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Y:\Bourg-MIFE\1-Commun\CIP+\OUTILS COMMUN\Outils\Reporting\"/>
    </mc:Choice>
  </mc:AlternateContent>
  <xr:revisionPtr revIDLastSave="0" documentId="13_ncr:1_{6CFA2042-30AA-4A45-8AAF-D066C2E620CE}" xr6:coauthVersionLast="36" xr6:coauthVersionMax="36" xr10:uidLastSave="{00000000-0000-0000-0000-000000000000}"/>
  <bookViews>
    <workbookView xWindow="0" yWindow="0" windowWidth="20496" windowHeight="6648" tabRatio="780" xr2:uid="{00000000-000D-0000-FFFF-FFFF00000000}"/>
  </bookViews>
  <sheets>
    <sheet name="AMBERIEU LAGNIEU" sheetId="1" r:id="rId1"/>
    <sheet name="BRSA SORTIES " sheetId="9" r:id="rId2"/>
    <sheet name="Sanctions + absence " sheetId="5" r:id="rId3"/>
    <sheet name="bilan de parcours  + démarches" sheetId="6" r:id="rId4"/>
    <sheet name="Tableau croisé NE PAS TOUCHER" sheetId="7" r:id="rId5"/>
    <sheet name="liste deroulante" sheetId="2" r:id="rId6"/>
    <sheet name="CODIFICATION ACTIVITE" sheetId="3" r:id="rId7"/>
    <sheet name="Feuil1" sheetId="8" r:id="rId8"/>
  </sheets>
  <externalReferences>
    <externalReference r:id="rId9"/>
    <externalReference r:id="rId10"/>
  </externalReferences>
  <definedNames>
    <definedName name="_xlnm._FilterDatabase" localSheetId="0" hidden="1">'AMBERIEU LAGNIEU'!$A$11:$AN$170</definedName>
    <definedName name="_xlnm._FilterDatabase" localSheetId="3" hidden="1">'bilan de parcours  + démarches'!$A$4:$S$4</definedName>
    <definedName name="_xlnm._FilterDatabase" localSheetId="1" hidden="1">'BRSA SORTIES '!$A$11:$AN$148</definedName>
    <definedName name="_xlnm._FilterDatabase" localSheetId="2" hidden="1">'Sanctions + absence '!$A$3:$AA$232</definedName>
    <definedName name="_xlnm.Print_Area" localSheetId="0">'AMBERIEU LAGNIEU'!$A$2:$U$134</definedName>
    <definedName name="_xlnm.Print_Area" localSheetId="1">'BRSA SORTIES '!$A$2:$U$11</definedName>
  </definedNames>
  <calcPr calcId="191029"/>
  <pivotCaches>
    <pivotCache cacheId="0" r:id="rId11"/>
    <pivotCache cacheId="1" r:id="rId12"/>
    <pivotCache cacheId="2" r:id="rId13"/>
    <pivotCache cacheId="3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3" i="9" l="1"/>
  <c r="I8" i="9" l="1"/>
  <c r="K148" i="9"/>
  <c r="K147" i="9"/>
  <c r="K146" i="9"/>
  <c r="K145" i="9"/>
  <c r="K144" i="9"/>
  <c r="K143" i="9"/>
  <c r="K142" i="9"/>
  <c r="K141" i="9"/>
  <c r="K140" i="9"/>
  <c r="K139" i="9"/>
  <c r="K138" i="9"/>
  <c r="K137" i="9"/>
  <c r="K136" i="9"/>
  <c r="K135" i="9"/>
  <c r="K134" i="9"/>
  <c r="K133" i="9"/>
  <c r="K132" i="9"/>
  <c r="K131" i="9"/>
  <c r="K130" i="9"/>
  <c r="K129" i="9"/>
  <c r="K128" i="9"/>
  <c r="K127" i="9"/>
  <c r="K126" i="9"/>
  <c r="K125" i="9"/>
  <c r="K124" i="9"/>
  <c r="K123" i="9"/>
  <c r="K122" i="9"/>
  <c r="K121" i="9"/>
  <c r="K120" i="9"/>
  <c r="K119" i="9"/>
  <c r="K118" i="9"/>
  <c r="K117" i="9"/>
  <c r="K116" i="9"/>
  <c r="K115" i="9"/>
  <c r="K114" i="9"/>
  <c r="K113" i="9"/>
  <c r="K112" i="9"/>
  <c r="K111" i="9"/>
  <c r="K110" i="9"/>
  <c r="K109" i="9"/>
  <c r="K108" i="9"/>
  <c r="K107" i="9"/>
  <c r="K106" i="9"/>
  <c r="K105" i="9"/>
  <c r="K104" i="9"/>
  <c r="K103" i="9"/>
  <c r="K102" i="9"/>
  <c r="K101" i="9"/>
  <c r="K100" i="9"/>
  <c r="K99" i="9"/>
  <c r="K98" i="9"/>
  <c r="K97" i="9"/>
  <c r="K96" i="9"/>
  <c r="K95" i="9"/>
  <c r="K94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A143" i="5" l="1"/>
  <c r="B143" i="5"/>
  <c r="T143" i="5"/>
  <c r="W143" i="5"/>
  <c r="AC143" i="5"/>
  <c r="A144" i="5"/>
  <c r="B144" i="5"/>
  <c r="T144" i="5"/>
  <c r="W144" i="5"/>
  <c r="AC144" i="5"/>
  <c r="A145" i="5"/>
  <c r="B145" i="5"/>
  <c r="T145" i="5"/>
  <c r="W145" i="5"/>
  <c r="AC145" i="5"/>
  <c r="A146" i="5"/>
  <c r="B146" i="5"/>
  <c r="T146" i="5"/>
  <c r="W146" i="5"/>
  <c r="AC146" i="5"/>
  <c r="A147" i="5"/>
  <c r="B147" i="5"/>
  <c r="T147" i="5"/>
  <c r="W147" i="5"/>
  <c r="AC147" i="5"/>
  <c r="A148" i="5"/>
  <c r="B148" i="5"/>
  <c r="T148" i="5"/>
  <c r="W148" i="5"/>
  <c r="AC148" i="5"/>
  <c r="A149" i="5"/>
  <c r="B149" i="5"/>
  <c r="T149" i="5"/>
  <c r="W149" i="5"/>
  <c r="AC149" i="5"/>
  <c r="A150" i="5"/>
  <c r="B150" i="5"/>
  <c r="T150" i="5"/>
  <c r="W150" i="5"/>
  <c r="AC150" i="5"/>
  <c r="A151" i="5"/>
  <c r="B151" i="5"/>
  <c r="T151" i="5"/>
  <c r="W151" i="5"/>
  <c r="AC151" i="5"/>
  <c r="A152" i="5"/>
  <c r="B152" i="5"/>
  <c r="T152" i="5"/>
  <c r="W152" i="5"/>
  <c r="AC152" i="5"/>
  <c r="A153" i="5"/>
  <c r="B153" i="5"/>
  <c r="T153" i="5"/>
  <c r="W153" i="5"/>
  <c r="AC153" i="5"/>
  <c r="K137" i="1" l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35" i="1" l="1"/>
  <c r="K136" i="1"/>
  <c r="A136" i="5" l="1"/>
  <c r="B136" i="5"/>
  <c r="A137" i="5"/>
  <c r="B137" i="5"/>
  <c r="A220" i="5" l="1"/>
  <c r="B220" i="5"/>
  <c r="A221" i="5"/>
  <c r="B221" i="5"/>
  <c r="A222" i="5"/>
  <c r="B222" i="5"/>
  <c r="A223" i="5"/>
  <c r="B223" i="5"/>
  <c r="A224" i="5"/>
  <c r="B224" i="5"/>
  <c r="A225" i="5"/>
  <c r="B225" i="5"/>
  <c r="A226" i="5"/>
  <c r="B226" i="5"/>
  <c r="A227" i="5"/>
  <c r="B227" i="5"/>
  <c r="A228" i="5"/>
  <c r="B228" i="5"/>
  <c r="A108" i="5"/>
  <c r="B108" i="5"/>
  <c r="A109" i="5"/>
  <c r="B109" i="5"/>
  <c r="A110" i="5"/>
  <c r="B110" i="5"/>
  <c r="A111" i="5"/>
  <c r="B111" i="5"/>
  <c r="A112" i="5"/>
  <c r="B112" i="5"/>
  <c r="A113" i="5"/>
  <c r="B113" i="5"/>
  <c r="A114" i="5"/>
  <c r="B114" i="5"/>
  <c r="A115" i="5"/>
  <c r="B115" i="5"/>
  <c r="A116" i="5"/>
  <c r="B116" i="5"/>
  <c r="A107" i="5"/>
  <c r="B107" i="5"/>
  <c r="T112" i="5"/>
  <c r="W112" i="5"/>
  <c r="AC112" i="5"/>
  <c r="T113" i="5"/>
  <c r="W113" i="5"/>
  <c r="AC113" i="5"/>
  <c r="T114" i="5"/>
  <c r="W114" i="5"/>
  <c r="AC114" i="5"/>
  <c r="T115" i="5"/>
  <c r="W115" i="5"/>
  <c r="AC115" i="5"/>
  <c r="T116" i="5"/>
  <c r="W116" i="5"/>
  <c r="AC116" i="5"/>
  <c r="T117" i="5"/>
  <c r="W117" i="5"/>
  <c r="AC117" i="5"/>
  <c r="T118" i="5"/>
  <c r="W118" i="5"/>
  <c r="AC118" i="5"/>
  <c r="T119" i="5"/>
  <c r="W119" i="5"/>
  <c r="AC119" i="5"/>
  <c r="T120" i="5"/>
  <c r="W120" i="5"/>
  <c r="AC120" i="5"/>
  <c r="T121" i="5"/>
  <c r="W121" i="5"/>
  <c r="AC121" i="5"/>
  <c r="T122" i="5"/>
  <c r="W122" i="5"/>
  <c r="AC122" i="5"/>
  <c r="T123" i="5"/>
  <c r="W123" i="5"/>
  <c r="AC123" i="5"/>
  <c r="T124" i="5"/>
  <c r="W124" i="5"/>
  <c r="AC124" i="5"/>
  <c r="T125" i="5"/>
  <c r="W125" i="5"/>
  <c r="AC125" i="5"/>
  <c r="T126" i="5"/>
  <c r="W126" i="5"/>
  <c r="AC126" i="5"/>
  <c r="T127" i="5"/>
  <c r="W127" i="5"/>
  <c r="AC127" i="5"/>
  <c r="T128" i="5"/>
  <c r="W128" i="5"/>
  <c r="AC128" i="5"/>
  <c r="T129" i="5"/>
  <c r="W129" i="5"/>
  <c r="AC129" i="5"/>
  <c r="T130" i="5"/>
  <c r="W130" i="5"/>
  <c r="AC130" i="5"/>
  <c r="T131" i="5"/>
  <c r="W131" i="5"/>
  <c r="AC131" i="5"/>
  <c r="T132" i="5"/>
  <c r="W132" i="5"/>
  <c r="AC132" i="5"/>
  <c r="T133" i="5"/>
  <c r="W133" i="5"/>
  <c r="AC133" i="5"/>
  <c r="T134" i="5"/>
  <c r="W134" i="5"/>
  <c r="AC134" i="5"/>
  <c r="T135" i="5"/>
  <c r="W135" i="5"/>
  <c r="AC135" i="5"/>
  <c r="T136" i="5"/>
  <c r="W136" i="5"/>
  <c r="AC136" i="5"/>
  <c r="T137" i="5"/>
  <c r="W137" i="5"/>
  <c r="AC137" i="5"/>
  <c r="T138" i="5"/>
  <c r="W138" i="5"/>
  <c r="AC138" i="5"/>
  <c r="T139" i="5"/>
  <c r="W139" i="5"/>
  <c r="AC139" i="5"/>
  <c r="T140" i="5"/>
  <c r="W140" i="5"/>
  <c r="AC140" i="5"/>
  <c r="T141" i="5"/>
  <c r="W141" i="5"/>
  <c r="AC141" i="5"/>
  <c r="T142" i="5"/>
  <c r="W142" i="5"/>
  <c r="AC142" i="5"/>
  <c r="T154" i="5"/>
  <c r="W154" i="5"/>
  <c r="AC154" i="5"/>
  <c r="T155" i="5"/>
  <c r="W155" i="5"/>
  <c r="AC155" i="5"/>
  <c r="T156" i="5"/>
  <c r="W156" i="5"/>
  <c r="AC156" i="5"/>
  <c r="T157" i="5"/>
  <c r="W157" i="5"/>
  <c r="AC157" i="5"/>
  <c r="T158" i="5"/>
  <c r="W158" i="5"/>
  <c r="AC158" i="5"/>
  <c r="T159" i="5"/>
  <c r="W159" i="5"/>
  <c r="AC159" i="5"/>
  <c r="T160" i="5"/>
  <c r="W160" i="5"/>
  <c r="AC160" i="5"/>
  <c r="T161" i="5"/>
  <c r="W161" i="5"/>
  <c r="AC161" i="5"/>
  <c r="T162" i="5"/>
  <c r="W162" i="5"/>
  <c r="AC162" i="5"/>
  <c r="T163" i="5"/>
  <c r="W163" i="5"/>
  <c r="AC163" i="5"/>
  <c r="T164" i="5"/>
  <c r="W164" i="5"/>
  <c r="AC164" i="5"/>
  <c r="T165" i="5"/>
  <c r="W165" i="5"/>
  <c r="AC165" i="5"/>
  <c r="T166" i="5"/>
  <c r="W166" i="5"/>
  <c r="AC166" i="5"/>
  <c r="T167" i="5"/>
  <c r="W167" i="5"/>
  <c r="AC167" i="5"/>
  <c r="T168" i="5"/>
  <c r="W168" i="5"/>
  <c r="AC168" i="5"/>
  <c r="T169" i="5"/>
  <c r="W169" i="5"/>
  <c r="AC169" i="5"/>
  <c r="T170" i="5"/>
  <c r="W170" i="5"/>
  <c r="AC170" i="5"/>
  <c r="T171" i="5"/>
  <c r="W171" i="5"/>
  <c r="AC171" i="5"/>
  <c r="T172" i="5"/>
  <c r="W172" i="5"/>
  <c r="AC172" i="5"/>
  <c r="T173" i="5"/>
  <c r="W173" i="5"/>
  <c r="AC173" i="5"/>
  <c r="T174" i="5"/>
  <c r="W174" i="5"/>
  <c r="AC174" i="5"/>
  <c r="T175" i="5"/>
  <c r="W175" i="5"/>
  <c r="AC175" i="5"/>
  <c r="T176" i="5"/>
  <c r="W176" i="5"/>
  <c r="AC176" i="5"/>
  <c r="T177" i="5"/>
  <c r="W177" i="5"/>
  <c r="AC177" i="5"/>
  <c r="T178" i="5"/>
  <c r="W178" i="5"/>
  <c r="AC178" i="5"/>
  <c r="T179" i="5"/>
  <c r="W179" i="5"/>
  <c r="AC179" i="5"/>
  <c r="T180" i="5"/>
  <c r="W180" i="5"/>
  <c r="AC180" i="5"/>
  <c r="T181" i="5"/>
  <c r="W181" i="5"/>
  <c r="AC181" i="5"/>
  <c r="T182" i="5"/>
  <c r="W182" i="5"/>
  <c r="AC182" i="5"/>
  <c r="T183" i="5"/>
  <c r="W183" i="5"/>
  <c r="AC183" i="5"/>
  <c r="T184" i="5"/>
  <c r="W184" i="5"/>
  <c r="AC184" i="5"/>
  <c r="T185" i="5"/>
  <c r="W185" i="5"/>
  <c r="AC185" i="5"/>
  <c r="T186" i="5"/>
  <c r="W186" i="5"/>
  <c r="AC186" i="5"/>
  <c r="T187" i="5"/>
  <c r="W187" i="5"/>
  <c r="AC187" i="5"/>
  <c r="T188" i="5"/>
  <c r="W188" i="5"/>
  <c r="AC188" i="5"/>
  <c r="T189" i="5"/>
  <c r="W189" i="5"/>
  <c r="AC189" i="5"/>
  <c r="T190" i="5"/>
  <c r="W190" i="5"/>
  <c r="AC190" i="5"/>
  <c r="T191" i="5"/>
  <c r="W191" i="5"/>
  <c r="AC191" i="5"/>
  <c r="T192" i="5"/>
  <c r="W192" i="5"/>
  <c r="AC192" i="5"/>
  <c r="T193" i="5"/>
  <c r="W193" i="5"/>
  <c r="AC193" i="5"/>
  <c r="T194" i="5"/>
  <c r="W194" i="5"/>
  <c r="AC194" i="5"/>
  <c r="T195" i="5"/>
  <c r="W195" i="5"/>
  <c r="AC195" i="5"/>
  <c r="T196" i="5"/>
  <c r="W196" i="5"/>
  <c r="AC196" i="5"/>
  <c r="T197" i="5"/>
  <c r="W197" i="5"/>
  <c r="AC197" i="5"/>
  <c r="T198" i="5"/>
  <c r="W198" i="5"/>
  <c r="AC198" i="5"/>
  <c r="T199" i="5"/>
  <c r="W199" i="5"/>
  <c r="AC199" i="5"/>
  <c r="T200" i="5"/>
  <c r="W200" i="5"/>
  <c r="AC200" i="5"/>
  <c r="T201" i="5"/>
  <c r="W201" i="5"/>
  <c r="AC201" i="5"/>
  <c r="T202" i="5"/>
  <c r="W202" i="5"/>
  <c r="AC202" i="5"/>
  <c r="T203" i="5"/>
  <c r="W203" i="5"/>
  <c r="AC203" i="5"/>
  <c r="T204" i="5"/>
  <c r="W204" i="5"/>
  <c r="AC204" i="5"/>
  <c r="T205" i="5"/>
  <c r="W205" i="5"/>
  <c r="AC205" i="5"/>
  <c r="T206" i="5"/>
  <c r="W206" i="5"/>
  <c r="AC206" i="5"/>
  <c r="T207" i="5"/>
  <c r="W207" i="5"/>
  <c r="AC207" i="5"/>
  <c r="T208" i="5"/>
  <c r="W208" i="5"/>
  <c r="AC208" i="5"/>
  <c r="T209" i="5"/>
  <c r="W209" i="5"/>
  <c r="AC209" i="5"/>
  <c r="T210" i="5"/>
  <c r="W210" i="5"/>
  <c r="AC210" i="5"/>
  <c r="T211" i="5"/>
  <c r="W211" i="5"/>
  <c r="AC211" i="5"/>
  <c r="T212" i="5"/>
  <c r="W212" i="5"/>
  <c r="AC212" i="5"/>
  <c r="T213" i="5"/>
  <c r="W213" i="5"/>
  <c r="AC213" i="5"/>
  <c r="T214" i="5"/>
  <c r="W214" i="5"/>
  <c r="AC214" i="5"/>
  <c r="T215" i="5"/>
  <c r="W215" i="5"/>
  <c r="AC215" i="5"/>
  <c r="T216" i="5"/>
  <c r="W216" i="5"/>
  <c r="AC216" i="5"/>
  <c r="T217" i="5"/>
  <c r="W217" i="5"/>
  <c r="AC217" i="5"/>
  <c r="T218" i="5"/>
  <c r="W218" i="5"/>
  <c r="AC218" i="5"/>
  <c r="T219" i="5"/>
  <c r="W219" i="5"/>
  <c r="AC219" i="5"/>
  <c r="T220" i="5"/>
  <c r="W220" i="5"/>
  <c r="AC220" i="5"/>
  <c r="T221" i="5"/>
  <c r="W221" i="5"/>
  <c r="AC221" i="5"/>
  <c r="T222" i="5"/>
  <c r="W222" i="5"/>
  <c r="AC222" i="5"/>
  <c r="T223" i="5"/>
  <c r="W223" i="5"/>
  <c r="AC223" i="5"/>
  <c r="T224" i="5"/>
  <c r="W224" i="5"/>
  <c r="AC224" i="5"/>
  <c r="T225" i="5"/>
  <c r="W225" i="5"/>
  <c r="AC225" i="5"/>
  <c r="T226" i="5"/>
  <c r="W226" i="5"/>
  <c r="AC226" i="5"/>
  <c r="K129" i="1" l="1"/>
  <c r="K130" i="1"/>
  <c r="K131" i="1"/>
  <c r="K132" i="1"/>
  <c r="K133" i="1"/>
  <c r="A10" i="5" l="1"/>
  <c r="B10" i="5"/>
  <c r="A129" i="5"/>
  <c r="B129" i="5"/>
  <c r="A130" i="5"/>
  <c r="B130" i="5"/>
  <c r="A131" i="5"/>
  <c r="B131" i="5"/>
  <c r="A132" i="5"/>
  <c r="B132" i="5"/>
  <c r="A133" i="5"/>
  <c r="B133" i="5"/>
  <c r="A134" i="5"/>
  <c r="B134" i="5"/>
  <c r="A135" i="5"/>
  <c r="B135" i="5"/>
  <c r="A138" i="5"/>
  <c r="B138" i="5"/>
  <c r="A139" i="5"/>
  <c r="B139" i="5"/>
  <c r="A140" i="5"/>
  <c r="B140" i="5"/>
  <c r="A141" i="5"/>
  <c r="B141" i="5"/>
  <c r="A142" i="5"/>
  <c r="B142" i="5"/>
  <c r="A124" i="5"/>
  <c r="B124" i="5"/>
  <c r="A125" i="5"/>
  <c r="B125" i="5"/>
  <c r="A126" i="5"/>
  <c r="B126" i="5"/>
  <c r="A127" i="5"/>
  <c r="B127" i="5"/>
  <c r="A128" i="5"/>
  <c r="B128" i="5"/>
  <c r="K126" i="1"/>
  <c r="K125" i="1"/>
  <c r="K124" i="1"/>
  <c r="K123" i="1"/>
  <c r="K122" i="1"/>
  <c r="K121" i="1"/>
  <c r="K120" i="1"/>
  <c r="K119" i="1"/>
  <c r="K118" i="1"/>
  <c r="K117" i="1"/>
  <c r="K116" i="1"/>
  <c r="K115" i="1"/>
  <c r="A5" i="6" l="1"/>
  <c r="B5" i="6"/>
  <c r="A6" i="6"/>
  <c r="B6" i="6"/>
  <c r="A7" i="6"/>
  <c r="B7" i="6"/>
  <c r="A8" i="6"/>
  <c r="B8" i="6"/>
  <c r="A9" i="6"/>
  <c r="B9" i="6"/>
  <c r="A10" i="6"/>
  <c r="B10" i="6"/>
  <c r="A11" i="6"/>
  <c r="B11" i="6"/>
  <c r="A12" i="6"/>
  <c r="B12" i="6"/>
  <c r="A13" i="6"/>
  <c r="B13" i="6"/>
  <c r="A14" i="6"/>
  <c r="B14" i="6"/>
  <c r="A15" i="6"/>
  <c r="B15" i="6"/>
  <c r="A16" i="6"/>
  <c r="B16" i="6"/>
  <c r="A17" i="6"/>
  <c r="B17" i="6"/>
  <c r="A18" i="6"/>
  <c r="B18" i="6"/>
  <c r="A19" i="6"/>
  <c r="B19" i="6"/>
  <c r="A20" i="6"/>
  <c r="B20" i="6"/>
  <c r="A21" i="6"/>
  <c r="B21" i="6"/>
  <c r="A22" i="6"/>
  <c r="B22" i="6"/>
  <c r="A23" i="6"/>
  <c r="B23" i="6"/>
  <c r="A24" i="6"/>
  <c r="B24" i="6"/>
  <c r="A25" i="6"/>
  <c r="B25" i="6"/>
  <c r="A26" i="6"/>
  <c r="B26" i="6"/>
  <c r="A27" i="6"/>
  <c r="B27" i="6"/>
  <c r="A28" i="6"/>
  <c r="B28" i="6"/>
  <c r="A29" i="6"/>
  <c r="B29" i="6"/>
  <c r="A30" i="6"/>
  <c r="B30" i="6"/>
  <c r="A31" i="6"/>
  <c r="B31" i="6"/>
  <c r="A32" i="6"/>
  <c r="B32" i="6"/>
  <c r="A33" i="6"/>
  <c r="B33" i="6"/>
  <c r="A34" i="6"/>
  <c r="B34" i="6"/>
  <c r="A35" i="6"/>
  <c r="B35" i="6"/>
  <c r="A36" i="6"/>
  <c r="B36" i="6"/>
  <c r="A37" i="6"/>
  <c r="B37" i="6"/>
  <c r="A38" i="6"/>
  <c r="B38" i="6"/>
  <c r="A39" i="6"/>
  <c r="B39" i="6"/>
  <c r="A40" i="6"/>
  <c r="B40" i="6"/>
  <c r="A41" i="6"/>
  <c r="B41" i="6"/>
  <c r="A42" i="6"/>
  <c r="B42" i="6"/>
  <c r="A43" i="6"/>
  <c r="B43" i="6"/>
  <c r="A44" i="6"/>
  <c r="B44" i="6"/>
  <c r="A45" i="6"/>
  <c r="B45" i="6"/>
  <c r="A46" i="6"/>
  <c r="B46" i="6"/>
  <c r="A47" i="6"/>
  <c r="B47" i="6"/>
  <c r="A48" i="6"/>
  <c r="B48" i="6"/>
  <c r="A49" i="6"/>
  <c r="B49" i="6"/>
  <c r="A50" i="6"/>
  <c r="B50" i="6"/>
  <c r="A51" i="6"/>
  <c r="B51" i="6"/>
  <c r="A52" i="6"/>
  <c r="B52" i="6"/>
  <c r="A53" i="6"/>
  <c r="B53" i="6"/>
  <c r="A54" i="6"/>
  <c r="B54" i="6"/>
  <c r="A55" i="6"/>
  <c r="B55" i="6"/>
  <c r="A56" i="6"/>
  <c r="B56" i="6"/>
  <c r="A57" i="6"/>
  <c r="B57" i="6"/>
  <c r="A58" i="6"/>
  <c r="B58" i="6"/>
  <c r="A59" i="6"/>
  <c r="B59" i="6"/>
  <c r="A60" i="6"/>
  <c r="B60" i="6"/>
  <c r="A61" i="6"/>
  <c r="B61" i="6"/>
  <c r="A62" i="6"/>
  <c r="B62" i="6"/>
  <c r="A63" i="6"/>
  <c r="B63" i="6"/>
  <c r="A64" i="6"/>
  <c r="B64" i="6"/>
  <c r="A65" i="6"/>
  <c r="B65" i="6"/>
  <c r="A66" i="6"/>
  <c r="B66" i="6"/>
  <c r="A67" i="6"/>
  <c r="B67" i="6"/>
  <c r="A68" i="6"/>
  <c r="B68" i="6"/>
  <c r="A69" i="6"/>
  <c r="B69" i="6"/>
  <c r="A70" i="6"/>
  <c r="B70" i="6"/>
  <c r="A71" i="6"/>
  <c r="B71" i="6"/>
  <c r="A72" i="6"/>
  <c r="B72" i="6"/>
  <c r="A73" i="6"/>
  <c r="B73" i="6"/>
  <c r="A74" i="6"/>
  <c r="B74" i="6"/>
  <c r="A75" i="6"/>
  <c r="B75" i="6"/>
  <c r="A76" i="6"/>
  <c r="B76" i="6"/>
  <c r="A77" i="6"/>
  <c r="B77" i="6"/>
  <c r="A78" i="6"/>
  <c r="B78" i="6"/>
  <c r="A79" i="6"/>
  <c r="B79" i="6"/>
  <c r="A80" i="6"/>
  <c r="B80" i="6"/>
  <c r="A81" i="6"/>
  <c r="B81" i="6"/>
  <c r="A82" i="6"/>
  <c r="B82" i="6"/>
  <c r="A83" i="6"/>
  <c r="B83" i="6"/>
  <c r="A84" i="6"/>
  <c r="B84" i="6"/>
  <c r="A85" i="6"/>
  <c r="B85" i="6"/>
  <c r="A86" i="6"/>
  <c r="B86" i="6"/>
  <c r="A87" i="6"/>
  <c r="B87" i="6"/>
  <c r="A88" i="6"/>
  <c r="B88" i="6"/>
  <c r="A89" i="6"/>
  <c r="B89" i="6"/>
  <c r="A90" i="6"/>
  <c r="B90" i="6"/>
  <c r="A91" i="6"/>
  <c r="B91" i="6"/>
  <c r="A92" i="6"/>
  <c r="B92" i="6"/>
  <c r="A93" i="6"/>
  <c r="B93" i="6"/>
  <c r="A94" i="6"/>
  <c r="B94" i="6"/>
  <c r="A95" i="6"/>
  <c r="B95" i="6"/>
  <c r="A96" i="6"/>
  <c r="B96" i="6"/>
  <c r="A97" i="6"/>
  <c r="B97" i="6"/>
  <c r="A98" i="6"/>
  <c r="B98" i="6"/>
  <c r="A99" i="6"/>
  <c r="B99" i="6"/>
  <c r="A100" i="6"/>
  <c r="B100" i="6"/>
  <c r="A101" i="6"/>
  <c r="B101" i="6"/>
  <c r="A102" i="6"/>
  <c r="B102" i="6"/>
  <c r="A103" i="6"/>
  <c r="B103" i="6"/>
  <c r="A104" i="6"/>
  <c r="B104" i="6"/>
  <c r="A105" i="6"/>
  <c r="B105" i="6"/>
  <c r="A106" i="6"/>
  <c r="B106" i="6"/>
  <c r="A107" i="6"/>
  <c r="B107" i="6"/>
  <c r="A108" i="6"/>
  <c r="B108" i="6"/>
  <c r="A109" i="6"/>
  <c r="B109" i="6"/>
  <c r="A110" i="6"/>
  <c r="B110" i="6"/>
  <c r="A111" i="6"/>
  <c r="B111" i="6"/>
  <c r="A112" i="6"/>
  <c r="B112" i="6"/>
  <c r="A113" i="6"/>
  <c r="B113" i="6"/>
  <c r="A114" i="6"/>
  <c r="B114" i="6"/>
  <c r="A115" i="6"/>
  <c r="B115" i="6"/>
  <c r="A116" i="6"/>
  <c r="B116" i="6"/>
  <c r="A117" i="6"/>
  <c r="B117" i="6"/>
  <c r="A118" i="6"/>
  <c r="B118" i="6"/>
  <c r="A119" i="6"/>
  <c r="B119" i="6"/>
  <c r="A120" i="6"/>
  <c r="B120" i="6"/>
  <c r="A121" i="6"/>
  <c r="B121" i="6"/>
  <c r="A122" i="6"/>
  <c r="B122" i="6"/>
  <c r="A123" i="6"/>
  <c r="B123" i="6"/>
  <c r="A124" i="6"/>
  <c r="B124" i="6"/>
  <c r="A125" i="6"/>
  <c r="B125" i="6"/>
  <c r="A126" i="6"/>
  <c r="B126" i="6"/>
  <c r="A127" i="6"/>
  <c r="B127" i="6"/>
  <c r="A128" i="6"/>
  <c r="B128" i="6"/>
  <c r="A129" i="6"/>
  <c r="B129" i="6"/>
  <c r="A130" i="6"/>
  <c r="B130" i="6"/>
  <c r="A131" i="6"/>
  <c r="B131" i="6"/>
  <c r="A132" i="6"/>
  <c r="B132" i="6"/>
  <c r="A133" i="6"/>
  <c r="B133" i="6"/>
  <c r="A134" i="6"/>
  <c r="B134" i="6"/>
  <c r="A135" i="6"/>
  <c r="B135" i="6"/>
  <c r="A136" i="6"/>
  <c r="B136" i="6"/>
  <c r="A137" i="6"/>
  <c r="B137" i="6"/>
  <c r="A138" i="6"/>
  <c r="B138" i="6"/>
  <c r="A139" i="6"/>
  <c r="B139" i="6"/>
  <c r="A140" i="6"/>
  <c r="B140" i="6"/>
  <c r="A141" i="6"/>
  <c r="B141" i="6"/>
  <c r="A142" i="6"/>
  <c r="B142" i="6"/>
  <c r="A143" i="6"/>
  <c r="B143" i="6"/>
  <c r="A144" i="6"/>
  <c r="B144" i="6"/>
  <c r="A145" i="6"/>
  <c r="B145" i="6"/>
  <c r="A146" i="6"/>
  <c r="B146" i="6"/>
  <c r="A147" i="6"/>
  <c r="B147" i="6"/>
  <c r="A148" i="6"/>
  <c r="B148" i="6"/>
  <c r="A149" i="6"/>
  <c r="B149" i="6"/>
  <c r="A150" i="6"/>
  <c r="B150" i="6"/>
  <c r="A151" i="6"/>
  <c r="B151" i="6"/>
  <c r="A152" i="6"/>
  <c r="B152" i="6"/>
  <c r="A153" i="6"/>
  <c r="B153" i="6"/>
  <c r="A154" i="6"/>
  <c r="B154" i="6"/>
  <c r="A155" i="6"/>
  <c r="B155" i="6"/>
  <c r="A156" i="6"/>
  <c r="B156" i="6"/>
  <c r="A157" i="6"/>
  <c r="B157" i="6"/>
  <c r="A158" i="6"/>
  <c r="B158" i="6"/>
  <c r="A159" i="6"/>
  <c r="B159" i="6"/>
  <c r="A160" i="6"/>
  <c r="B160" i="6"/>
  <c r="A161" i="6"/>
  <c r="B161" i="6"/>
  <c r="A162" i="6"/>
  <c r="B162" i="6"/>
  <c r="A163" i="6"/>
  <c r="B163" i="6"/>
  <c r="A164" i="6"/>
  <c r="B164" i="6"/>
  <c r="A165" i="6"/>
  <c r="B165" i="6"/>
  <c r="A166" i="6"/>
  <c r="B166" i="6"/>
  <c r="A167" i="6"/>
  <c r="B167" i="6"/>
  <c r="A168" i="6"/>
  <c r="B168" i="6"/>
  <c r="A169" i="6"/>
  <c r="B169" i="6"/>
  <c r="A170" i="6"/>
  <c r="B170" i="6"/>
  <c r="A171" i="6"/>
  <c r="B171" i="6"/>
  <c r="A172" i="6"/>
  <c r="B172" i="6"/>
  <c r="A173" i="6"/>
  <c r="B173" i="6"/>
  <c r="A174" i="6"/>
  <c r="B174" i="6"/>
  <c r="A175" i="6"/>
  <c r="B175" i="6"/>
  <c r="A176" i="6"/>
  <c r="B176" i="6"/>
  <c r="A177" i="6"/>
  <c r="B177" i="6"/>
  <c r="A178" i="6"/>
  <c r="B178" i="6"/>
  <c r="A179" i="6"/>
  <c r="B179" i="6"/>
  <c r="A180" i="6"/>
  <c r="B180" i="6"/>
  <c r="A181" i="6"/>
  <c r="B181" i="6"/>
  <c r="A182" i="6"/>
  <c r="B182" i="6"/>
  <c r="A183" i="6"/>
  <c r="B183" i="6"/>
  <c r="A184" i="6"/>
  <c r="B184" i="6"/>
  <c r="A185" i="6"/>
  <c r="B185" i="6"/>
  <c r="A186" i="6"/>
  <c r="B186" i="6"/>
  <c r="A187" i="6"/>
  <c r="B187" i="6"/>
  <c r="A188" i="6"/>
  <c r="B188" i="6"/>
  <c r="A189" i="6"/>
  <c r="B189" i="6"/>
  <c r="A190" i="6"/>
  <c r="B190" i="6"/>
  <c r="A191" i="6"/>
  <c r="B191" i="6"/>
  <c r="A192" i="6"/>
  <c r="B192" i="6"/>
  <c r="A193" i="6"/>
  <c r="B193" i="6"/>
  <c r="A194" i="6"/>
  <c r="B194" i="6"/>
  <c r="A195" i="6"/>
  <c r="B195" i="6"/>
  <c r="A196" i="6"/>
  <c r="B196" i="6"/>
  <c r="A197" i="6"/>
  <c r="B197" i="6"/>
  <c r="A198" i="6"/>
  <c r="B198" i="6"/>
  <c r="A217" i="5" l="1"/>
  <c r="B217" i="5"/>
  <c r="A218" i="5"/>
  <c r="B218" i="5"/>
  <c r="A219" i="5"/>
  <c r="B219" i="5"/>
  <c r="A229" i="5"/>
  <c r="B229" i="5"/>
  <c r="A230" i="5"/>
  <c r="B230" i="5"/>
  <c r="A231" i="5"/>
  <c r="B231" i="5"/>
  <c r="A232" i="5"/>
  <c r="B232" i="5"/>
  <c r="A203" i="5"/>
  <c r="B203" i="5"/>
  <c r="A204" i="5"/>
  <c r="B204" i="5"/>
  <c r="A205" i="5"/>
  <c r="B205" i="5"/>
  <c r="A206" i="5"/>
  <c r="B206" i="5"/>
  <c r="A207" i="5"/>
  <c r="B207" i="5"/>
  <c r="A208" i="5"/>
  <c r="B208" i="5"/>
  <c r="A209" i="5"/>
  <c r="B209" i="5"/>
  <c r="A210" i="5"/>
  <c r="B210" i="5"/>
  <c r="A211" i="5"/>
  <c r="B211" i="5"/>
  <c r="A212" i="5"/>
  <c r="B212" i="5"/>
  <c r="A213" i="5"/>
  <c r="B213" i="5"/>
  <c r="A214" i="5"/>
  <c r="B214" i="5"/>
  <c r="A215" i="5"/>
  <c r="B215" i="5"/>
  <c r="A216" i="5"/>
  <c r="B216" i="5"/>
  <c r="A195" i="5"/>
  <c r="B195" i="5"/>
  <c r="A196" i="5"/>
  <c r="B196" i="5"/>
  <c r="A197" i="5"/>
  <c r="B197" i="5"/>
  <c r="A198" i="5"/>
  <c r="B198" i="5"/>
  <c r="A199" i="5"/>
  <c r="B199" i="5"/>
  <c r="A200" i="5"/>
  <c r="B200" i="5"/>
  <c r="A201" i="5"/>
  <c r="B201" i="5"/>
  <c r="A202" i="5"/>
  <c r="B202" i="5"/>
  <c r="A187" i="5"/>
  <c r="B187" i="5"/>
  <c r="A188" i="5"/>
  <c r="B188" i="5"/>
  <c r="A189" i="5"/>
  <c r="B189" i="5"/>
  <c r="A190" i="5"/>
  <c r="B190" i="5"/>
  <c r="A191" i="5"/>
  <c r="B191" i="5"/>
  <c r="A192" i="5"/>
  <c r="B192" i="5"/>
  <c r="A193" i="5"/>
  <c r="B193" i="5"/>
  <c r="A194" i="5"/>
  <c r="B194" i="5"/>
  <c r="A178" i="5"/>
  <c r="B178" i="5"/>
  <c r="A179" i="5"/>
  <c r="B179" i="5"/>
  <c r="A180" i="5"/>
  <c r="B180" i="5"/>
  <c r="A181" i="5"/>
  <c r="B181" i="5"/>
  <c r="A182" i="5"/>
  <c r="B182" i="5"/>
  <c r="A183" i="5"/>
  <c r="B183" i="5"/>
  <c r="A184" i="5"/>
  <c r="B184" i="5"/>
  <c r="A185" i="5"/>
  <c r="B185" i="5"/>
  <c r="A186" i="5"/>
  <c r="B186" i="5"/>
  <c r="A170" i="5"/>
  <c r="B170" i="5"/>
  <c r="A171" i="5"/>
  <c r="B171" i="5"/>
  <c r="A172" i="5"/>
  <c r="B172" i="5"/>
  <c r="A173" i="5"/>
  <c r="B173" i="5"/>
  <c r="A174" i="5"/>
  <c r="B174" i="5"/>
  <c r="A175" i="5"/>
  <c r="B175" i="5"/>
  <c r="A176" i="5"/>
  <c r="B176" i="5"/>
  <c r="A177" i="5"/>
  <c r="B177" i="5"/>
  <c r="A5" i="5"/>
  <c r="B5" i="5"/>
  <c r="A6" i="5"/>
  <c r="B6" i="5"/>
  <c r="A7" i="5"/>
  <c r="B7" i="5"/>
  <c r="A8" i="5"/>
  <c r="B8" i="5"/>
  <c r="A9" i="5"/>
  <c r="B9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A30" i="5"/>
  <c r="B30" i="5"/>
  <c r="A31" i="5"/>
  <c r="B31" i="5"/>
  <c r="A32" i="5"/>
  <c r="B32" i="5"/>
  <c r="A33" i="5"/>
  <c r="B33" i="5"/>
  <c r="A34" i="5"/>
  <c r="B34" i="5"/>
  <c r="A35" i="5"/>
  <c r="B35" i="5"/>
  <c r="A36" i="5"/>
  <c r="B36" i="5"/>
  <c r="A37" i="5"/>
  <c r="B37" i="5"/>
  <c r="A38" i="5"/>
  <c r="B38" i="5"/>
  <c r="A39" i="5"/>
  <c r="B39" i="5"/>
  <c r="A40" i="5"/>
  <c r="B40" i="5"/>
  <c r="A41" i="5"/>
  <c r="B41" i="5"/>
  <c r="A42" i="5"/>
  <c r="B42" i="5"/>
  <c r="A43" i="5"/>
  <c r="B43" i="5"/>
  <c r="A44" i="5"/>
  <c r="B44" i="5"/>
  <c r="A45" i="5"/>
  <c r="B45" i="5"/>
  <c r="A46" i="5"/>
  <c r="B46" i="5"/>
  <c r="A47" i="5"/>
  <c r="B47" i="5"/>
  <c r="A48" i="5"/>
  <c r="B48" i="5"/>
  <c r="A49" i="5"/>
  <c r="B49" i="5"/>
  <c r="A50" i="5"/>
  <c r="B50" i="5"/>
  <c r="A51" i="5"/>
  <c r="B51" i="5"/>
  <c r="A52" i="5"/>
  <c r="B52" i="5"/>
  <c r="A53" i="5"/>
  <c r="B53" i="5"/>
  <c r="A54" i="5"/>
  <c r="B54" i="5"/>
  <c r="A55" i="5"/>
  <c r="B55" i="5"/>
  <c r="A56" i="5"/>
  <c r="B56" i="5"/>
  <c r="A57" i="5"/>
  <c r="B57" i="5"/>
  <c r="A58" i="5"/>
  <c r="B58" i="5"/>
  <c r="A59" i="5"/>
  <c r="B59" i="5"/>
  <c r="A60" i="5"/>
  <c r="B60" i="5"/>
  <c r="A61" i="5"/>
  <c r="B61" i="5"/>
  <c r="A62" i="5"/>
  <c r="B62" i="5"/>
  <c r="A63" i="5"/>
  <c r="B63" i="5"/>
  <c r="A64" i="5"/>
  <c r="B64" i="5"/>
  <c r="A65" i="5"/>
  <c r="B65" i="5"/>
  <c r="A66" i="5"/>
  <c r="B66" i="5"/>
  <c r="A67" i="5"/>
  <c r="B67" i="5"/>
  <c r="A68" i="5"/>
  <c r="B68" i="5"/>
  <c r="A69" i="5"/>
  <c r="B69" i="5"/>
  <c r="A70" i="5"/>
  <c r="B70" i="5"/>
  <c r="A71" i="5"/>
  <c r="B71" i="5"/>
  <c r="A72" i="5"/>
  <c r="B72" i="5"/>
  <c r="A73" i="5"/>
  <c r="B73" i="5"/>
  <c r="A74" i="5"/>
  <c r="B74" i="5"/>
  <c r="A75" i="5"/>
  <c r="B75" i="5"/>
  <c r="A76" i="5"/>
  <c r="B76" i="5"/>
  <c r="A77" i="5"/>
  <c r="B77" i="5"/>
  <c r="A78" i="5"/>
  <c r="B78" i="5"/>
  <c r="A79" i="5"/>
  <c r="B79" i="5"/>
  <c r="A80" i="5"/>
  <c r="B80" i="5"/>
  <c r="A81" i="5"/>
  <c r="B81" i="5"/>
  <c r="A82" i="5"/>
  <c r="B82" i="5"/>
  <c r="A83" i="5"/>
  <c r="B83" i="5"/>
  <c r="A84" i="5"/>
  <c r="B84" i="5"/>
  <c r="A85" i="5"/>
  <c r="B85" i="5"/>
  <c r="A86" i="5"/>
  <c r="B86" i="5"/>
  <c r="A87" i="5"/>
  <c r="B87" i="5"/>
  <c r="A88" i="5"/>
  <c r="B88" i="5"/>
  <c r="A89" i="5"/>
  <c r="B89" i="5"/>
  <c r="A90" i="5"/>
  <c r="B90" i="5"/>
  <c r="A91" i="5"/>
  <c r="B91" i="5"/>
  <c r="A92" i="5"/>
  <c r="B92" i="5"/>
  <c r="A93" i="5"/>
  <c r="B93" i="5"/>
  <c r="A94" i="5"/>
  <c r="B94" i="5"/>
  <c r="A95" i="5"/>
  <c r="B95" i="5"/>
  <c r="A96" i="5"/>
  <c r="B96" i="5"/>
  <c r="A97" i="5"/>
  <c r="B97" i="5"/>
  <c r="A98" i="5"/>
  <c r="B98" i="5"/>
  <c r="A99" i="5"/>
  <c r="B99" i="5"/>
  <c r="A100" i="5"/>
  <c r="B100" i="5"/>
  <c r="A101" i="5"/>
  <c r="B101" i="5"/>
  <c r="A102" i="5"/>
  <c r="B102" i="5"/>
  <c r="A103" i="5"/>
  <c r="B103" i="5"/>
  <c r="A104" i="5"/>
  <c r="B104" i="5"/>
  <c r="A105" i="5"/>
  <c r="B105" i="5"/>
  <c r="A106" i="5"/>
  <c r="B106" i="5"/>
  <c r="A117" i="5"/>
  <c r="B117" i="5"/>
  <c r="A118" i="5"/>
  <c r="B118" i="5"/>
  <c r="A119" i="5"/>
  <c r="B119" i="5"/>
  <c r="A120" i="5"/>
  <c r="B120" i="5"/>
  <c r="A121" i="5"/>
  <c r="B121" i="5"/>
  <c r="A122" i="5"/>
  <c r="B122" i="5"/>
  <c r="A123" i="5"/>
  <c r="B123" i="5"/>
  <c r="A154" i="5"/>
  <c r="B154" i="5"/>
  <c r="A155" i="5"/>
  <c r="B155" i="5"/>
  <c r="A156" i="5"/>
  <c r="B156" i="5"/>
  <c r="A157" i="5"/>
  <c r="B157" i="5"/>
  <c r="A158" i="5"/>
  <c r="B158" i="5"/>
  <c r="A159" i="5"/>
  <c r="B159" i="5"/>
  <c r="A160" i="5"/>
  <c r="B160" i="5"/>
  <c r="A161" i="5"/>
  <c r="B161" i="5"/>
  <c r="A162" i="5"/>
  <c r="B162" i="5"/>
  <c r="A163" i="5"/>
  <c r="B163" i="5"/>
  <c r="A164" i="5"/>
  <c r="B164" i="5"/>
  <c r="A165" i="5"/>
  <c r="B165" i="5"/>
  <c r="A166" i="5"/>
  <c r="B166" i="5"/>
  <c r="A167" i="5"/>
  <c r="B167" i="5"/>
  <c r="A168" i="5"/>
  <c r="B168" i="5"/>
  <c r="A169" i="5"/>
  <c r="B169" i="5"/>
  <c r="B4" i="5"/>
  <c r="A4" i="5"/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27" i="1"/>
  <c r="K128" i="1"/>
  <c r="K134" i="1"/>
  <c r="K12" i="1"/>
  <c r="AC2" i="5" l="1"/>
  <c r="T2" i="5"/>
  <c r="W2" i="5" s="1"/>
  <c r="T5" i="5" l="1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AC5" i="5" l="1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4" i="5"/>
  <c r="W5" i="5" l="1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4" i="5"/>
  <c r="W4" i="5" s="1"/>
  <c r="I8" i="1"/>
</calcChain>
</file>

<file path=xl/sharedStrings.xml><?xml version="1.0" encoding="utf-8"?>
<sst xmlns="http://schemas.openxmlformats.org/spreadsheetml/2006/main" count="2670" uniqueCount="1470">
  <si>
    <t>âge</t>
  </si>
  <si>
    <t>H/F</t>
  </si>
  <si>
    <t>Niveau scolaire</t>
  </si>
  <si>
    <t>Motif de sortie</t>
  </si>
  <si>
    <t>Années après le Bac</t>
  </si>
  <si>
    <t>Titre du diplôme</t>
  </si>
  <si>
    <t>Niveau de diplôme</t>
  </si>
  <si>
    <t>-</t>
  </si>
  <si>
    <t>CAP, BEP</t>
  </si>
  <si>
    <t>3 (anciennement V)</t>
  </si>
  <si>
    <t>Bac</t>
  </si>
  <si>
    <t>Baccalauréat</t>
  </si>
  <si>
    <t>4 (anciennement IV)</t>
  </si>
  <si>
    <t>Bac+2</t>
  </si>
  <si>
    <t>DEUG, BTS, DUT, DEUST</t>
  </si>
  <si>
    <t>5 (anciennement III)</t>
  </si>
  <si>
    <t>Bac+3</t>
  </si>
  <si>
    <t>Licence, licence professionnelle</t>
  </si>
  <si>
    <t>6 (anciennement II)</t>
  </si>
  <si>
    <t>Bac+4</t>
  </si>
  <si>
    <t>Maîtrise, master 1</t>
  </si>
  <si>
    <t>Bac+5</t>
  </si>
  <si>
    <t>Master, diplôme d'études approfondies, diplôme d'études supérieures spécialisées, diplôme d'ingénieur</t>
  </si>
  <si>
    <t>7 (anciennement I)</t>
  </si>
  <si>
    <t>Bac+8</t>
  </si>
  <si>
    <t>Doctorat, habilitation à diriger des recherches</t>
  </si>
  <si>
    <t>8 (anciennement I)</t>
  </si>
  <si>
    <t>H</t>
  </si>
  <si>
    <t>F</t>
  </si>
  <si>
    <t>Aucun diplôme</t>
  </si>
  <si>
    <t>CLI</t>
  </si>
  <si>
    <t>CDS</t>
  </si>
  <si>
    <t>DATE ORIENTATION</t>
  </si>
  <si>
    <t>FREINS IDENTIFIES</t>
  </si>
  <si>
    <t>BGE</t>
  </si>
  <si>
    <t>Emploi</t>
  </si>
  <si>
    <t>Formation</t>
  </si>
  <si>
    <t>Créa entreprise</t>
  </si>
  <si>
    <t xml:space="preserve">France Travail </t>
  </si>
  <si>
    <t>Réorientation</t>
  </si>
  <si>
    <t>MSA</t>
  </si>
  <si>
    <t>Positive</t>
  </si>
  <si>
    <t>Déménagement</t>
  </si>
  <si>
    <t>Fin DD</t>
  </si>
  <si>
    <t>Créa</t>
  </si>
  <si>
    <t>Interim&gt;ou= à 970h cumulées / an</t>
  </si>
  <si>
    <t>CDI &gt;ou= 24h</t>
  </si>
  <si>
    <t>CDD +6mois &gt;ou=254h</t>
  </si>
  <si>
    <t>types</t>
  </si>
  <si>
    <t xml:space="preserve">Sorties </t>
  </si>
  <si>
    <t>Sociale AAH</t>
  </si>
  <si>
    <t>Sociale retraite</t>
  </si>
  <si>
    <t>Sociale maternité</t>
  </si>
  <si>
    <t>Social freins+</t>
  </si>
  <si>
    <t>FT acc pro</t>
  </si>
  <si>
    <t>FT acco glo</t>
  </si>
  <si>
    <t>autre</t>
  </si>
  <si>
    <t>Arret mal longue durée</t>
  </si>
  <si>
    <t>Commentaires</t>
  </si>
  <si>
    <t>freins</t>
  </si>
  <si>
    <t>mobilité</t>
  </si>
  <si>
    <t>garde enfants</t>
  </si>
  <si>
    <t>Accompagnement des bénéficiaires du RSA - "CIP +" / 2025</t>
  </si>
  <si>
    <t>Oyonnax</t>
  </si>
  <si>
    <t>Nantua</t>
  </si>
  <si>
    <t>Belley</t>
  </si>
  <si>
    <t>Valserhone</t>
  </si>
  <si>
    <t>Pays de Gex</t>
  </si>
  <si>
    <t>Croix Blanche</t>
  </si>
  <si>
    <t>Pierre Goujon</t>
  </si>
  <si>
    <t>Montrevel</t>
  </si>
  <si>
    <t>Pont de Vaux</t>
  </si>
  <si>
    <t>St Didier sur Chalaronne</t>
  </si>
  <si>
    <t>Trevoux</t>
  </si>
  <si>
    <t>Chatillon sur Chalaronne</t>
  </si>
  <si>
    <t>Amberieu</t>
  </si>
  <si>
    <t>Lagnieu</t>
  </si>
  <si>
    <t>Miribel</t>
  </si>
  <si>
    <t>Renonciation RSA</t>
  </si>
  <si>
    <t>Besoin</t>
  </si>
  <si>
    <t>Ordre</t>
  </si>
  <si>
    <t>Code</t>
  </si>
  <si>
    <t>Libellé</t>
  </si>
  <si>
    <t>Volume horaire Hedbomadaire</t>
  </si>
  <si>
    <t>P01</t>
  </si>
  <si>
    <t>Choisir un métier</t>
  </si>
  <si>
    <t>Identification de ses points forts et de ses compétences</t>
  </si>
  <si>
    <t>Identifier ses points forts et ses compétences</t>
  </si>
  <si>
    <t>Information sur un métier ou un secteur d'activité</t>
  </si>
  <si>
    <t>S'informer sur un métier ou un secteur d'activité</t>
  </si>
  <si>
    <t>Observation en entreprise</t>
  </si>
  <si>
    <t>Réaliser une observation en entreprise</t>
  </si>
  <si>
    <t>Enquête métier afin de mieux connaître un métier</t>
  </si>
  <si>
    <t>Réaliser une enquête métier</t>
  </si>
  <si>
    <t xml:space="preserve">Participation à un salon ou un forum pour s'informer sur un métier </t>
  </si>
  <si>
    <t xml:space="preserve">Participer à un salon ou un forum pour s'informer sur un métier </t>
  </si>
  <si>
    <t>P02</t>
  </si>
  <si>
    <t>Se former</t>
  </si>
  <si>
    <t>Information sur un projet de formation ou de Validation des acquis de l'expérience</t>
  </si>
  <si>
    <t>S'informer sur un projet de formation ou de validation des acquis de l'expérience</t>
  </si>
  <si>
    <t>Montage d'un dossier d’inscription à une formation</t>
  </si>
  <si>
    <t xml:space="preserve">Monter son dossier de formation </t>
  </si>
  <si>
    <t xml:space="preserve">Participation à une formation                                   </t>
  </si>
  <si>
    <t xml:space="preserve">Participer à une formation                                   </t>
  </si>
  <si>
    <t>Participation à un salon ou un forum formation</t>
  </si>
  <si>
    <t>Participer à un salon ou un forum formation</t>
  </si>
  <si>
    <t>Initiation à l'informatique ou à Internet</t>
  </si>
  <si>
    <t>S'initier à l'informatique ou à Internet</t>
  </si>
  <si>
    <t>Participation à un dispositif d'insertion</t>
  </si>
  <si>
    <t>Participer à un dispositif d'insertion</t>
  </si>
  <si>
    <t>P03</t>
  </si>
  <si>
    <t>Préparer sa candidature</t>
  </si>
  <si>
    <t xml:space="preserve">Réalisation d'une démarche de VAE                                       </t>
  </si>
  <si>
    <t xml:space="preserve">Réaliser une démarche de VAE                                       </t>
  </si>
  <si>
    <t>Préparation de ses candidatures (CV, lettre de motivation, book)</t>
  </si>
  <si>
    <t xml:space="preserve"> Réaliser ou mettre à jour son CV sa lettre de motivation ou son portfolio</t>
  </si>
  <si>
    <t>Développer son réseau</t>
  </si>
  <si>
    <t>S'inscrire ou compléter son profil sur un réseau professionnel</t>
  </si>
  <si>
    <t>Réaliser des activités de bénévolat</t>
  </si>
  <si>
    <t>Organiser ses démarches de recherche d’emploi</t>
  </si>
  <si>
    <t>Compléter ou publier son profil de compétence</t>
  </si>
  <si>
    <t>Trouver un emploi</t>
  </si>
  <si>
    <t>Recherche d'offres d'emploi ou d'entreprises</t>
  </si>
  <si>
    <t>Rechercher des offres d'emploi ou d'entreprises</t>
  </si>
  <si>
    <t xml:space="preserve">Participation à un salon ou un forum pour rechercher des offres </t>
  </si>
  <si>
    <t>Participer à un salon ou un forum pour rechercher des offres d'emploi</t>
  </si>
  <si>
    <t xml:space="preserve">Réponse à des offres d'emploi                                           </t>
  </si>
  <si>
    <t xml:space="preserve">Répondre à des offres d'emploi                                           </t>
  </si>
  <si>
    <t>Candidatures spontanées</t>
  </si>
  <si>
    <t>Effectuer des candidatures spontanées</t>
  </si>
  <si>
    <t xml:space="preserve">Réalisation du suivi de ses candidatures et relance des recruteurs </t>
  </si>
  <si>
    <t xml:space="preserve">Réaliser le suivi de ses candidatures et relancer des recruteurs </t>
  </si>
  <si>
    <t>Préparation des entretiens d'embauche</t>
  </si>
  <si>
    <t>Préparer un entretien d'embauche</t>
  </si>
  <si>
    <t>Réalisation d'entretiens d'embauche</t>
  </si>
  <si>
    <t>Réaliser un entretien d'embauche</t>
  </si>
  <si>
    <t xml:space="preserve">Passation de tests de recrutement (concours, casting…) </t>
  </si>
  <si>
    <t xml:space="preserve">Passer des tests de recrutement (concours, casting…) </t>
  </si>
  <si>
    <t>Réalisation d'une mise en situation professionnelle dans une entreprise</t>
  </si>
  <si>
    <t>Réaliser une mise en situation professionnelle dans une entreprise</t>
  </si>
  <si>
    <t>Recherche de missions de service civique</t>
  </si>
  <si>
    <t>Rechercher des missions de service civique</t>
  </si>
  <si>
    <t>S'inscrire sur une plateforme de recrutement (agence d'intérim, cabinet de recrutement, site spécialisé…)</t>
  </si>
  <si>
    <t>P05</t>
  </si>
  <si>
    <t>Ma création et reprise d'entreprise</t>
  </si>
  <si>
    <t>Recherches pour créer ou reprendre une entreprise</t>
  </si>
  <si>
    <t>Effectuer des recherches pour créer ou reprendre une entreprise</t>
  </si>
  <si>
    <t>Réalisation d'une étude de marché auprès de prospects/clients /fournisseurs</t>
  </si>
  <si>
    <t>Réaliser une étude de marché auprès de prospects/clients /fournisseurs</t>
  </si>
  <si>
    <t>Participation à un salon ou forum pour s'informer sur la création entreprise</t>
  </si>
  <si>
    <t>Participer à un salon ou forum pour s'informer sur la création d'entreprise</t>
  </si>
  <si>
    <t>Réalisation d'un business plan afin de préparer la création de son entreprise</t>
  </si>
  <si>
    <t>Réaliser un business plan afin de préparer la création de son entreprise</t>
  </si>
  <si>
    <t>Prise de RDV avec des organismes financiers</t>
  </si>
  <si>
    <t>Prendre rendez-vous avec des organismes financiers</t>
  </si>
  <si>
    <t>Réalisation de démarches juridiques de création d'entreprise</t>
  </si>
  <si>
    <t>Réaliser des démarches juridiques de création d'entreprise</t>
  </si>
  <si>
    <t>Réalisation d'actions de communication pour faire connaitre son entreprise</t>
  </si>
  <si>
    <t>Réaliser des actions de communication pour faire connaître son entreprise</t>
  </si>
  <si>
    <t>Prospection pour développer sa clientèle</t>
  </si>
  <si>
    <t>Prospecter pour développer sa clientèle</t>
  </si>
  <si>
    <t>Développement de nouveaux partenariats</t>
  </si>
  <si>
    <t>Développer de nouveaux partenariats</t>
  </si>
  <si>
    <t>Mise en œuvre d'actions de fidélisation de ses clients ou utilisateurs</t>
  </si>
  <si>
    <t>Mettre en œuvre des actions de fidélisation de ses clients ou utilisateurs</t>
  </si>
  <si>
    <t>Organisation de son activité de dirigeant et de gestion de son entreprise</t>
  </si>
  <si>
    <t>Organiser son activité de dirigeant et la gestion de son entreprise</t>
  </si>
  <si>
    <t xml:space="preserve">Diversification de ses activités en proposant de nouveaux services ou produits </t>
  </si>
  <si>
    <t>Développer son entreprise en diversifiant ses activités</t>
  </si>
  <si>
    <t xml:space="preserve">Développement de son entreprise en procédant à des recrutements </t>
  </si>
  <si>
    <t xml:space="preserve">Développer son entreprise en procédant à des recrutements </t>
  </si>
  <si>
    <t xml:space="preserve">Réalisation d'autres actions pour développer son entreprise </t>
  </si>
  <si>
    <t xml:space="preserve">Réaliser d'autres actions pour développer son entreprise </t>
  </si>
  <si>
    <t>P06</t>
  </si>
  <si>
    <t>Entretiens avec un conseiller</t>
  </si>
  <si>
    <t>Réaliser un entretien avec un conseiller</t>
  </si>
  <si>
    <t>P08</t>
  </si>
  <si>
    <t>Développer sa mobilité</t>
  </si>
  <si>
    <t>Réaliser une démarche pour accéder aux transports en commun</t>
  </si>
  <si>
    <t>Mobiliser le réseau de transports à la demande</t>
  </si>
  <si>
    <t>Acquérir un moyen de locomotion</t>
  </si>
  <si>
    <t>Mobiliser un garage solidaire</t>
  </si>
  <si>
    <t>Constituer un dossier de financement pour l'achat d'un véhicule</t>
  </si>
  <si>
    <t>Louer un moyen de locomotion</t>
  </si>
  <si>
    <t>Participer à un rendez-vous avec un partenaire mobilité</t>
  </si>
  <si>
    <t>Constituer un dossier d'aide à la mobilité</t>
  </si>
  <si>
    <t>Résoudre ses problématiques de mobilité psychologique</t>
  </si>
  <si>
    <t>Entretenir ou réparer son véhicule</t>
  </si>
  <si>
    <t>Mettre en place une solution de covoiturage</t>
  </si>
  <si>
    <t>S'inscrire en auto-école</t>
  </si>
  <si>
    <t>Participer à un cours de code/conduite</t>
  </si>
  <si>
    <t>Passer le code de la route</t>
  </si>
  <si>
    <t>Passer le permis de conduire</t>
  </si>
  <si>
    <t xml:space="preserve">Récupérer son permis de conduire </t>
  </si>
  <si>
    <t>P09</t>
  </si>
  <si>
    <t>Accéder au numérique et en maîtriser les fondamentaux</t>
  </si>
  <si>
    <t xml:space="preserve">Acquérir un équipement informatique </t>
  </si>
  <si>
    <t>Accéder à une connexion Internet</t>
  </si>
  <si>
    <t>Réaliser le test PIX</t>
  </si>
  <si>
    <t>Participer à un rendez-vous avec un partenaire "numérique"</t>
  </si>
  <si>
    <t>Participer à un cours d'initiation à l'informatique/internet</t>
  </si>
  <si>
    <t>S'informer/se former à la confidentialité sur internet (RGPD…)</t>
  </si>
  <si>
    <t>Solliciter l'écrivain public numérique</t>
  </si>
  <si>
    <t>Participer à une formation numérique (PIX)</t>
  </si>
  <si>
    <t>Evaluation des compétences numériques</t>
  </si>
  <si>
    <t>Évaluer ses compétences numériques</t>
  </si>
  <si>
    <t>P10</t>
  </si>
  <si>
    <t>Faire face à des difficultés administratives et juridiques</t>
  </si>
  <si>
    <t>S'informer sur les voies de recours suite à une discrimination</t>
  </si>
  <si>
    <t>Réaliser des démarches administratives liées à l'état civil</t>
  </si>
  <si>
    <t>Participer à un rendez-vous avec un partenaire "administratif"</t>
  </si>
  <si>
    <t>Réaliser une demande de procédure judiciaire</t>
  </si>
  <si>
    <t>Participer à un rendez-vous avec un partenaire "juridique"</t>
  </si>
  <si>
    <t>Faire une demande d'aide juridictionnelle, conseil juridique</t>
  </si>
  <si>
    <t>Réaliser une déclaration de situation (impôt, CAF…)</t>
  </si>
  <si>
    <t>Réaliser une demande à la préfecture</t>
  </si>
  <si>
    <t>Classer ses documents administratifs</t>
  </si>
  <si>
    <t>Réaliser une demande de prestation ou droit (CAF, MSA…)</t>
  </si>
  <si>
    <t>Accéder aux informations et aides disponibles pour les aidants</t>
  </si>
  <si>
    <t xml:space="preserve">S'actualiser et rester inscrit à France Travail </t>
  </si>
  <si>
    <t>P11</t>
  </si>
  <si>
    <t>Faire face à des difficultés de logement</t>
  </si>
  <si>
    <t>Participer à un rendez-vous avec un partenaire logement</t>
  </si>
  <si>
    <t>Réaliser un diagnostic de précarité énergétique</t>
  </si>
  <si>
    <t>Réaliser une demande d'aide d'amélioration de l'habitat</t>
  </si>
  <si>
    <t>Monter un dossier de demande d'aide au logement (DALO, DAHO…)</t>
  </si>
  <si>
    <t>Appeler le 115</t>
  </si>
  <si>
    <t>Réaliser une demande de logement social</t>
  </si>
  <si>
    <t>Réaliser une visite de logement</t>
  </si>
  <si>
    <t>Réaliser une demande de domiciliation auprès d'un CCAS</t>
  </si>
  <si>
    <t>Réaliser des démarches dans le cadre du maintien dans le logement</t>
  </si>
  <si>
    <t>Effectuer des démarches dans le cadre d'une procédure d'expulsion</t>
  </si>
  <si>
    <t>P12</t>
  </si>
  <si>
    <t>Faire face à des difficultés financières</t>
  </si>
  <si>
    <t>Réaliser une demande de plan de surendettement</t>
  </si>
  <si>
    <t>Faire valoir ses droits à une pension (retraite, réversion...)</t>
  </si>
  <si>
    <t>Réaliser une demande d'aide alimentaire</t>
  </si>
  <si>
    <t>Participer à un rendez-vous avec un partenaire "Budget/Finance"</t>
  </si>
  <si>
    <t>Ouvrir un compte bancaire</t>
  </si>
  <si>
    <t>Réaliser une demande de micro-crédit social</t>
  </si>
  <si>
    <t>Réaliser une demande de carte solidaire (SNCF, Pass Solidaire)</t>
  </si>
  <si>
    <t>Monter un dossier financier (microcrédit, FIP, FSL, FAJ...)</t>
  </si>
  <si>
    <t>Se rendre dans un point conseil budget</t>
  </si>
  <si>
    <t>P13</t>
  </si>
  <si>
    <t>Prendre en compte son état de santé</t>
  </si>
  <si>
    <t xml:space="preserve">Effectuer un bilan de santé gratuit (CPAM) </t>
  </si>
  <si>
    <t>Participer à un rendez-vous médical</t>
  </si>
  <si>
    <t>Participer à une activité sportive</t>
  </si>
  <si>
    <t>Constituer un dossier MDPH/invalidité</t>
  </si>
  <si>
    <t>Réaliser des démarches administratives de santé (CMU, CPAM, RQTH...)</t>
  </si>
  <si>
    <t>Rechercher un professionnel de santé</t>
  </si>
  <si>
    <t>P14</t>
  </si>
  <si>
    <t>Surmonter ses contraintes familiales</t>
  </si>
  <si>
    <t>Rechercher un mode de garde</t>
  </si>
  <si>
    <t>Participer à des évènements culturels, artistiques, associatifs</t>
  </si>
  <si>
    <t>Réaliser une démarche d'organisation quotidienne</t>
  </si>
  <si>
    <t>Participer à un rendez-vous avec un partenaire "Famille et Parentalité"</t>
  </si>
  <si>
    <t>P15</t>
  </si>
  <si>
    <t>Développer ses capacités en lecture, écriture et calcul</t>
  </si>
  <si>
    <t>Participer à des cours de français</t>
  </si>
  <si>
    <t>Participer à des cours de lecture/écriture/calcul</t>
  </si>
  <si>
    <t>Réaliser ses heures OFII</t>
  </si>
  <si>
    <t>DATE 1ER RDV fixé</t>
  </si>
  <si>
    <t>NOM</t>
  </si>
  <si>
    <t>PRENOM</t>
  </si>
  <si>
    <t>Stephanie</t>
  </si>
  <si>
    <t>Touria</t>
  </si>
  <si>
    <t>YILMAZ</t>
  </si>
  <si>
    <t>AHAMADA</t>
  </si>
  <si>
    <t>AKKAOUI</t>
  </si>
  <si>
    <t>ALI ABDULLEH</t>
  </si>
  <si>
    <t>AMIRAT</t>
  </si>
  <si>
    <t>BA</t>
  </si>
  <si>
    <t>BAKHTOKHIL</t>
  </si>
  <si>
    <t>BAUDHUIN</t>
  </si>
  <si>
    <t>BENOIT GONIN</t>
  </si>
  <si>
    <t>BOUJLOUD</t>
  </si>
  <si>
    <t>CANI</t>
  </si>
  <si>
    <t>CELEBI</t>
  </si>
  <si>
    <t>CERVANTES</t>
  </si>
  <si>
    <t>CHANAL-MOGUET</t>
  </si>
  <si>
    <t>CHAUME</t>
  </si>
  <si>
    <t>DAMIRON</t>
  </si>
  <si>
    <t>EL ARKOUBI</t>
  </si>
  <si>
    <t>EL BAHMANI</t>
  </si>
  <si>
    <t>ERASLAN</t>
  </si>
  <si>
    <t>GILBERT</t>
  </si>
  <si>
    <t>HIDA</t>
  </si>
  <si>
    <t>HUMBERT</t>
  </si>
  <si>
    <t>KABA</t>
  </si>
  <si>
    <t>KACEM</t>
  </si>
  <si>
    <t>KASEMRATH</t>
  </si>
  <si>
    <t>LAHJAR</t>
  </si>
  <si>
    <t>LAHU</t>
  </si>
  <si>
    <t>LAZRAK</t>
  </si>
  <si>
    <t>MALKI</t>
  </si>
  <si>
    <t>MITKOVA</t>
  </si>
  <si>
    <t>M'MADI</t>
  </si>
  <si>
    <t>PATEL</t>
  </si>
  <si>
    <t>ROBERT</t>
  </si>
  <si>
    <t>SIOUDA</t>
  </si>
  <si>
    <t>SOEUM</t>
  </si>
  <si>
    <t>SOUCANE</t>
  </si>
  <si>
    <t>SYED RASHAD</t>
  </si>
  <si>
    <t>Fatima</t>
  </si>
  <si>
    <t>Badr</t>
  </si>
  <si>
    <t>Maymoun</t>
  </si>
  <si>
    <t>Saliha</t>
  </si>
  <si>
    <t>N Dela</t>
  </si>
  <si>
    <t>Hayatullah</t>
  </si>
  <si>
    <t>Claire</t>
  </si>
  <si>
    <t>Nadia</t>
  </si>
  <si>
    <t>Lucas</t>
  </si>
  <si>
    <t>Zeneb</t>
  </si>
  <si>
    <t>Rilinda</t>
  </si>
  <si>
    <t>Bekir</t>
  </si>
  <si>
    <t>Sabrina</t>
  </si>
  <si>
    <t>Virginie</t>
  </si>
  <si>
    <t>Arthur</t>
  </si>
  <si>
    <t>Naima</t>
  </si>
  <si>
    <t>Eren</t>
  </si>
  <si>
    <t>Stéphanie</t>
  </si>
  <si>
    <t>Soumaya</t>
  </si>
  <si>
    <t>Jolan</t>
  </si>
  <si>
    <t>M'balou</t>
  </si>
  <si>
    <t>Houaria</t>
  </si>
  <si>
    <t>Melanie</t>
  </si>
  <si>
    <t>Fabien</t>
  </si>
  <si>
    <t>Rajae</t>
  </si>
  <si>
    <t>Hanane</t>
  </si>
  <si>
    <t>Richard</t>
  </si>
  <si>
    <t>Marusya</t>
  </si>
  <si>
    <t>Zaidine</t>
  </si>
  <si>
    <t>Olivier</t>
  </si>
  <si>
    <t>Tourkia</t>
  </si>
  <si>
    <t>Justine</t>
  </si>
  <si>
    <t>Pascale</t>
  </si>
  <si>
    <t>Ayesha</t>
  </si>
  <si>
    <t>Talip</t>
  </si>
  <si>
    <t>COMMENTAIRES /OBSERVATION</t>
  </si>
  <si>
    <t>AIT YOUSSEF</t>
  </si>
  <si>
    <t>BAGHDADI</t>
  </si>
  <si>
    <t>BOUCHIAR</t>
  </si>
  <si>
    <t>CARMINATI</t>
  </si>
  <si>
    <t>CHENET</t>
  </si>
  <si>
    <t>MESE</t>
  </si>
  <si>
    <t>RIFATI</t>
  </si>
  <si>
    <t>SOK</t>
  </si>
  <si>
    <t>Maryam</t>
  </si>
  <si>
    <t>Edith</t>
  </si>
  <si>
    <t>Sérine</t>
  </si>
  <si>
    <t>Pierre Yves</t>
  </si>
  <si>
    <t>Maxime</t>
  </si>
  <si>
    <t>Loren</t>
  </si>
  <si>
    <t>Hafiza</t>
  </si>
  <si>
    <t>Bajram</t>
  </si>
  <si>
    <t>Huy</t>
  </si>
  <si>
    <t>ESCOBAR</t>
  </si>
  <si>
    <t>Simon</t>
  </si>
  <si>
    <t>CAO</t>
  </si>
  <si>
    <t>Marie</t>
  </si>
  <si>
    <t>DATE</t>
  </si>
  <si>
    <t>OKUMUS</t>
  </si>
  <si>
    <t>MOUSTAID</t>
  </si>
  <si>
    <t>Hichem</t>
  </si>
  <si>
    <t>ATTAR</t>
  </si>
  <si>
    <t>Karim</t>
  </si>
  <si>
    <t>OKAN</t>
  </si>
  <si>
    <t>MARNISSI</t>
  </si>
  <si>
    <t>Nesrine</t>
  </si>
  <si>
    <t>FABBRI</t>
  </si>
  <si>
    <t>Kelly</t>
  </si>
  <si>
    <t>MAHAMAT ABDALLAH</t>
  </si>
  <si>
    <t>Wossil</t>
  </si>
  <si>
    <t>AZZAOUI</t>
  </si>
  <si>
    <t>Hafida</t>
  </si>
  <si>
    <t>BENJAHA</t>
  </si>
  <si>
    <t>GJONGECAJ</t>
  </si>
  <si>
    <t>Anxhela</t>
  </si>
  <si>
    <t>NOMBRE D OFFRES D EMPLOI PROPOSEES (OE/INFO COLL/jobdating..)</t>
  </si>
  <si>
    <t>NBRE D ENTRETIENS DE RECRUTEMENT OBTENUS SUITE A VOS OFFRES D EMPLOI</t>
  </si>
  <si>
    <t>TEIXEIRA FERREIRA</t>
  </si>
  <si>
    <t>Antonio</t>
  </si>
  <si>
    <t>HINDI</t>
  </si>
  <si>
    <t>Sihame</t>
  </si>
  <si>
    <t>AOURAGH</t>
  </si>
  <si>
    <t>Salima</t>
  </si>
  <si>
    <t>DIAS LANDIM</t>
  </si>
  <si>
    <t>Vania</t>
  </si>
  <si>
    <t>RENARD</t>
  </si>
  <si>
    <t>Anaïs</t>
  </si>
  <si>
    <t>MARQUES</t>
  </si>
  <si>
    <t>Patrick</t>
  </si>
  <si>
    <t>KARA</t>
  </si>
  <si>
    <t>Fadime</t>
  </si>
  <si>
    <t>MARGAROLI</t>
  </si>
  <si>
    <t>Marie-Astrid</t>
  </si>
  <si>
    <t>Fadoua</t>
  </si>
  <si>
    <t>VARELA LOPES</t>
  </si>
  <si>
    <t>Joao Domingos</t>
  </si>
  <si>
    <t>DANTAN</t>
  </si>
  <si>
    <t>Théo</t>
  </si>
  <si>
    <t>DERARIDJ</t>
  </si>
  <si>
    <t>Karl</t>
  </si>
  <si>
    <t>DAYI</t>
  </si>
  <si>
    <t>Gulseren</t>
  </si>
  <si>
    <t>GUIRAUD</t>
  </si>
  <si>
    <t>Inci</t>
  </si>
  <si>
    <t>BEDIR</t>
  </si>
  <si>
    <t>Murat</t>
  </si>
  <si>
    <t>KASMI</t>
  </si>
  <si>
    <t>Tarik</t>
  </si>
  <si>
    <t>DERSI</t>
  </si>
  <si>
    <t>Sandrine</t>
  </si>
  <si>
    <t>KURNAZ</t>
  </si>
  <si>
    <t>Faden</t>
  </si>
  <si>
    <t>CHEVALIER</t>
  </si>
  <si>
    <t>Estelle</t>
  </si>
  <si>
    <t>BEN MABROUK</t>
  </si>
  <si>
    <t>Zina</t>
  </si>
  <si>
    <t>GROS</t>
  </si>
  <si>
    <t>Georges</t>
  </si>
  <si>
    <t>KHALIL</t>
  </si>
  <si>
    <t>Sajid</t>
  </si>
  <si>
    <t>HANON</t>
  </si>
  <si>
    <t>Thierry</t>
  </si>
  <si>
    <t>HAMDAOUI</t>
  </si>
  <si>
    <t>Mohamed</t>
  </si>
  <si>
    <t>BURRET</t>
  </si>
  <si>
    <t>EL HACHMI</t>
  </si>
  <si>
    <t>BARROS</t>
  </si>
  <si>
    <t>Mélanie</t>
  </si>
  <si>
    <r>
      <t>Nom de l'OPERATEUR :</t>
    </r>
    <r>
      <rPr>
        <sz val="12"/>
        <rFont val="Arial"/>
        <family val="2"/>
      </rPr>
      <t xml:space="preserve"> ALFA3A</t>
    </r>
  </si>
  <si>
    <t>XHAFAJ</t>
  </si>
  <si>
    <t>IGBALLE</t>
  </si>
  <si>
    <t>SASSI</t>
  </si>
  <si>
    <t>KAYAALP</t>
  </si>
  <si>
    <t>Melek</t>
  </si>
  <si>
    <t>MONTEIRO</t>
  </si>
  <si>
    <t>Aymerick</t>
  </si>
  <si>
    <t>ERDING</t>
  </si>
  <si>
    <t>Feruze</t>
  </si>
  <si>
    <t>KARAAGAC</t>
  </si>
  <si>
    <t>Zeliha</t>
  </si>
  <si>
    <t>DUCRET</t>
  </si>
  <si>
    <t>Guillaume</t>
  </si>
  <si>
    <t>ACHOURA</t>
  </si>
  <si>
    <t>Valérie</t>
  </si>
  <si>
    <t>DOGRU</t>
  </si>
  <si>
    <t>Hatice</t>
  </si>
  <si>
    <t>GUNERI</t>
  </si>
  <si>
    <t>Dilaver</t>
  </si>
  <si>
    <t>DIABY</t>
  </si>
  <si>
    <t>Sankoumba</t>
  </si>
  <si>
    <t>OZCELIK</t>
  </si>
  <si>
    <t>Turgay</t>
  </si>
  <si>
    <t>EL YAKHLOUFI</t>
  </si>
  <si>
    <t>Ahmed</t>
  </si>
  <si>
    <t>NAZARI</t>
  </si>
  <si>
    <t>Jahatullah</t>
  </si>
  <si>
    <t>COMINOTTI</t>
  </si>
  <si>
    <t>Céline</t>
  </si>
  <si>
    <t>NAZIMI</t>
  </si>
  <si>
    <t>Asadullah</t>
  </si>
  <si>
    <t>SAHBAZER</t>
  </si>
  <si>
    <t>Sumerya</t>
  </si>
  <si>
    <t>Mustafa</t>
  </si>
  <si>
    <t>KHOUAKHI</t>
  </si>
  <si>
    <t>Jihane</t>
  </si>
  <si>
    <t>GO ON</t>
  </si>
  <si>
    <t xml:space="preserve">MOBILITE </t>
  </si>
  <si>
    <t xml:space="preserve">ARIANE </t>
  </si>
  <si>
    <t xml:space="preserve">AGENT DE SANTE </t>
  </si>
  <si>
    <t xml:space="preserve">ADAPT </t>
  </si>
  <si>
    <t xml:space="preserve">ORSAC </t>
  </si>
  <si>
    <t>REPIT PARENTAL</t>
  </si>
  <si>
    <t xml:space="preserve">AIDE FINANCIERE </t>
  </si>
  <si>
    <t xml:space="preserve"> </t>
  </si>
  <si>
    <t>Renouvellement</t>
  </si>
  <si>
    <t>1er mois</t>
  </si>
  <si>
    <t>2e mois</t>
  </si>
  <si>
    <t>3e mois</t>
  </si>
  <si>
    <t>4e mois</t>
  </si>
  <si>
    <t>5e mois</t>
  </si>
  <si>
    <t>6e mois</t>
  </si>
  <si>
    <t>7e mois</t>
  </si>
  <si>
    <t>8e mois</t>
  </si>
  <si>
    <t>9e mois</t>
  </si>
  <si>
    <t>10e mois</t>
  </si>
  <si>
    <t>11e mois</t>
  </si>
  <si>
    <t>12e mois</t>
  </si>
  <si>
    <t>13e mois</t>
  </si>
  <si>
    <t>nom</t>
  </si>
  <si>
    <t>prenom</t>
  </si>
  <si>
    <t>7 eme mois Bilan fin de parcours</t>
  </si>
  <si>
    <t>14éme mois Bilan définitif</t>
  </si>
  <si>
    <t>Nom</t>
  </si>
  <si>
    <t>Prénom</t>
  </si>
  <si>
    <t xml:space="preserve">date de la demande </t>
  </si>
  <si>
    <t>GATINEAU</t>
  </si>
  <si>
    <t>SORTIES + sous objectif</t>
  </si>
  <si>
    <t xml:space="preserve">BOIS </t>
  </si>
  <si>
    <t xml:space="preserve">ALEXIS </t>
  </si>
  <si>
    <t>Clauses sociales</t>
  </si>
  <si>
    <t>D'ORAZIO</t>
  </si>
  <si>
    <t>ENZO</t>
  </si>
  <si>
    <t>VELON</t>
  </si>
  <si>
    <t>Alicia</t>
  </si>
  <si>
    <t>SOGOJEVA</t>
  </si>
  <si>
    <t>AOUDIA</t>
  </si>
  <si>
    <t>Kushtrim</t>
  </si>
  <si>
    <t>Nouara</t>
  </si>
  <si>
    <t>OUI</t>
  </si>
  <si>
    <t>NON</t>
  </si>
  <si>
    <t>nombres de démarches / par semaine</t>
  </si>
  <si>
    <t xml:space="preserve">Date </t>
  </si>
  <si>
    <t>Date</t>
  </si>
  <si>
    <t>Declic Emploi HBA</t>
  </si>
  <si>
    <t>MIFE 01</t>
  </si>
  <si>
    <t>Conseillers numériques</t>
  </si>
  <si>
    <t>suspension remob</t>
  </si>
  <si>
    <t>Cli</t>
  </si>
  <si>
    <t>C.E SIGNE</t>
  </si>
  <si>
    <t xml:space="preserve">FIN CE 6 MOIS </t>
  </si>
  <si>
    <t>BILAN PARCOURS (7eme mois)</t>
  </si>
  <si>
    <t>Resultat bilan parcours</t>
  </si>
  <si>
    <t>Réo FT</t>
  </si>
  <si>
    <t>Tripartite</t>
  </si>
  <si>
    <t>PMSMP (1 = oui)</t>
  </si>
  <si>
    <t>SORTIES DU DISPOSITIF</t>
  </si>
  <si>
    <t>Motifs Sorties</t>
  </si>
  <si>
    <t>Décès</t>
  </si>
  <si>
    <t>Incarcération</t>
  </si>
  <si>
    <t>Mauvaise orientation</t>
  </si>
  <si>
    <t>MOTIF de la REO</t>
  </si>
  <si>
    <t>SIAE (FT)</t>
  </si>
  <si>
    <t>Autres (preciser)</t>
  </si>
  <si>
    <t>demande</t>
  </si>
  <si>
    <t>Reo FT</t>
  </si>
  <si>
    <t>Réo sociale</t>
  </si>
  <si>
    <t>Préco Réo</t>
  </si>
  <si>
    <t>Sortie + sous objectif (les noter en vert tant que vous les garder en suivi dans l'emploi)</t>
  </si>
  <si>
    <t>Fin bilan parcours</t>
  </si>
  <si>
    <t>Dde etude de situation.</t>
  </si>
  <si>
    <t xml:space="preserve">Contact BRSA - 15 jours  </t>
  </si>
  <si>
    <t xml:space="preserve">Mail INFO CDS  </t>
  </si>
  <si>
    <t>Date courrier CDS (voir extraction transmise)</t>
  </si>
  <si>
    <t>Délai 15 jours pour contact</t>
  </si>
  <si>
    <t xml:space="preserve">Niveau 1 : AVERTISSEMENT AVANT SUSPENSION </t>
  </si>
  <si>
    <t>Niveau 2 : suspension remobilisation</t>
  </si>
  <si>
    <t>Délai de 35 jours pour reprendre contact</t>
  </si>
  <si>
    <t xml:space="preserve">le BRSA s'est manifesté ? </t>
  </si>
  <si>
    <t xml:space="preserve">Mail d'info au CDS manifestation ou non dans les 35 jours  </t>
  </si>
  <si>
    <t>Etape 3 : Etape pluridisciplinaire CLI</t>
  </si>
  <si>
    <t xml:space="preserve">Date CLI si le BRSA ne s'est pas manifesté au bout des 35 jours </t>
  </si>
  <si>
    <t>2 eme manquement (process direct etape 3)</t>
  </si>
  <si>
    <t>date demande étude de situation (Mail CDS)</t>
  </si>
  <si>
    <t>DATE courrier CDS</t>
  </si>
  <si>
    <t xml:space="preserve">35j pour reprendre contact date butoire </t>
  </si>
  <si>
    <t>DATE CLI</t>
  </si>
  <si>
    <t>(vide)</t>
  </si>
  <si>
    <t>Total général</t>
  </si>
  <si>
    <t>Nombre de 2e mois</t>
  </si>
  <si>
    <t>Nombre de 1er mois</t>
  </si>
  <si>
    <t>Somme de 3e mois</t>
  </si>
  <si>
    <t>Somme de 4e mois</t>
  </si>
  <si>
    <t>Somme de 5e mois</t>
  </si>
  <si>
    <t>Nombre de 6e mois</t>
  </si>
  <si>
    <t>Nombre de 7e mois</t>
  </si>
  <si>
    <t>Nombre de 8e mois</t>
  </si>
  <si>
    <t>Nombre de 9e mois</t>
  </si>
  <si>
    <t>Nombre de 10e mois</t>
  </si>
  <si>
    <t>Nombre de 11e mois</t>
  </si>
  <si>
    <t>Nombre de 12e mois</t>
  </si>
  <si>
    <t>Somme de Dde etude de situation.</t>
  </si>
  <si>
    <t>Valeurs</t>
  </si>
  <si>
    <t>Somme de date demande étude de situation (Mail CDS)</t>
  </si>
  <si>
    <t xml:space="preserve">Sanction et Absence </t>
  </si>
  <si>
    <t>Somme de 1er mois</t>
  </si>
  <si>
    <t>Somme de 2e mois</t>
  </si>
  <si>
    <t>Somme de 6e mois</t>
  </si>
  <si>
    <t>Nombre de demande</t>
  </si>
  <si>
    <t>Somme de Renouvellement</t>
  </si>
  <si>
    <t>Somme de 8e mois</t>
  </si>
  <si>
    <t>Somme de 9e mois</t>
  </si>
  <si>
    <t>Somme de 10e mois</t>
  </si>
  <si>
    <t>Somme de 11e mois</t>
  </si>
  <si>
    <t>Somme de 12e mois</t>
  </si>
  <si>
    <t>Somme de Préco Réo</t>
  </si>
  <si>
    <t xml:space="preserve">Bilan de parcours + démarches </t>
  </si>
  <si>
    <t>DATE SORTIE</t>
  </si>
  <si>
    <t>Nombre de H/F</t>
  </si>
  <si>
    <t>Moyenne de âge</t>
  </si>
  <si>
    <t>Nombre de C.E SIGNE</t>
  </si>
  <si>
    <t>Nombre de BILAN PARCOURS (7eme mois)</t>
  </si>
  <si>
    <t>Somme de PMSMP (1 = oui)</t>
  </si>
  <si>
    <t>Nombre de MOTIF de la REO</t>
  </si>
  <si>
    <t xml:space="preserve">Nombre de AIDE FINANCIERE </t>
  </si>
  <si>
    <t>Nombre de Motif de sortie</t>
  </si>
  <si>
    <t>Nombre de types</t>
  </si>
  <si>
    <t>SORTIES POSITIVES</t>
  </si>
  <si>
    <t>SORTIES</t>
  </si>
  <si>
    <t>SEXE</t>
  </si>
  <si>
    <t>DURAND RAPPELER RANDSTAD</t>
  </si>
  <si>
    <t>Saisie FSE</t>
  </si>
  <si>
    <t>Nombre de Saisie FSE</t>
  </si>
  <si>
    <t xml:space="preserve">Absence avant signature CE </t>
  </si>
  <si>
    <t>1ER RDV</t>
  </si>
  <si>
    <t>2EME</t>
  </si>
  <si>
    <t>Absences 2026 cumulées par mois (rdv-atelier-forum-jobdating..)  Après signature CE</t>
  </si>
  <si>
    <t>Nombre de 1ER RDV</t>
  </si>
  <si>
    <t>Somme de 2EME</t>
  </si>
  <si>
    <t>Territoire: CDS…. - LOT .../ CLPE ZONE …</t>
  </si>
  <si>
    <t xml:space="preserve">Exemples </t>
  </si>
  <si>
    <t>Exemple:</t>
  </si>
  <si>
    <t>Positionnement actions / démarches</t>
  </si>
  <si>
    <t>Stagiaire de la formation</t>
  </si>
  <si>
    <t xml:space="preserve">Madame </t>
  </si>
  <si>
    <t>CHAOU</t>
  </si>
  <si>
    <t>Bouchra</t>
  </si>
  <si>
    <t>Aucun diplômeAmbéreu</t>
  </si>
  <si>
    <t>Monsieur</t>
  </si>
  <si>
    <t>KACZOROWSKI</t>
  </si>
  <si>
    <t>Gary</t>
  </si>
  <si>
    <t xml:space="preserve">PILCH </t>
  </si>
  <si>
    <t>Jean-Christophe</t>
  </si>
  <si>
    <t>BAC PRO</t>
  </si>
  <si>
    <t>CLOYER</t>
  </si>
  <si>
    <t>Jérémy</t>
  </si>
  <si>
    <t>Ambérieu</t>
  </si>
  <si>
    <t>Mehmet</t>
  </si>
  <si>
    <t>AL ALI</t>
  </si>
  <si>
    <t>Abdallah</t>
  </si>
  <si>
    <t xml:space="preserve">Amberieu </t>
  </si>
  <si>
    <t>Madame</t>
  </si>
  <si>
    <t>ANAYAT</t>
  </si>
  <si>
    <t>Safreen</t>
  </si>
  <si>
    <t>ASLIMANI/LAAROUSSI</t>
  </si>
  <si>
    <t>Nasera</t>
  </si>
  <si>
    <t>18/09/20025</t>
  </si>
  <si>
    <t>BAJRAMOVA</t>
  </si>
  <si>
    <t>Juksela</t>
  </si>
  <si>
    <t>BERNARDIN</t>
  </si>
  <si>
    <t>Gaëlle</t>
  </si>
  <si>
    <t>BORKADI-KHALDI</t>
  </si>
  <si>
    <t>Cindy</t>
  </si>
  <si>
    <t>aucun diplôme</t>
  </si>
  <si>
    <t>CLAIRET</t>
  </si>
  <si>
    <t>Patrice</t>
  </si>
  <si>
    <t>CREPALDI</t>
  </si>
  <si>
    <t>David</t>
  </si>
  <si>
    <t>Yann</t>
  </si>
  <si>
    <t>FERNANDES</t>
  </si>
  <si>
    <t>Noemie</t>
  </si>
  <si>
    <t>FOFANA</t>
  </si>
  <si>
    <t>Fanta</t>
  </si>
  <si>
    <t>HAMOT</t>
  </si>
  <si>
    <t>Whitney</t>
  </si>
  <si>
    <t>JUVENAL</t>
  </si>
  <si>
    <t>Cédric</t>
  </si>
  <si>
    <t>Hanifa</t>
  </si>
  <si>
    <t>KOUASSI</t>
  </si>
  <si>
    <t>Amoin Désirée Prudence</t>
  </si>
  <si>
    <t>LAHURE</t>
  </si>
  <si>
    <t>Belinda</t>
  </si>
  <si>
    <t>LYONNET</t>
  </si>
  <si>
    <t>MAHAMADOU</t>
  </si>
  <si>
    <t>Haoua</t>
  </si>
  <si>
    <t>MAHESHE NKUBONAGE</t>
  </si>
  <si>
    <t>Nicole</t>
  </si>
  <si>
    <t>MIGUEL</t>
  </si>
  <si>
    <t>Herve</t>
  </si>
  <si>
    <t>MOHAMAD</t>
  </si>
  <si>
    <t>Shirin</t>
  </si>
  <si>
    <t>MOTA</t>
  </si>
  <si>
    <t>Jean Michel</t>
  </si>
  <si>
    <t>PIEDBOIS</t>
  </si>
  <si>
    <t>Youri</t>
  </si>
  <si>
    <t>POTENZIANI</t>
  </si>
  <si>
    <t>Nicolas</t>
  </si>
  <si>
    <t>PUVILLAN</t>
  </si>
  <si>
    <t>RAMDANI</t>
  </si>
  <si>
    <t>Ikram</t>
  </si>
  <si>
    <t>BAC</t>
  </si>
  <si>
    <t>RAMOS</t>
  </si>
  <si>
    <t>Audrey</t>
  </si>
  <si>
    <t>RONGIER</t>
  </si>
  <si>
    <t>Marine</t>
  </si>
  <si>
    <t>BP</t>
  </si>
  <si>
    <t>ROUSSEL</t>
  </si>
  <si>
    <t>Joanna</t>
  </si>
  <si>
    <t>SANTANA</t>
  </si>
  <si>
    <t>Alexis</t>
  </si>
  <si>
    <t>bac PRO</t>
  </si>
  <si>
    <t>SCHEID</t>
  </si>
  <si>
    <t>primaire</t>
  </si>
  <si>
    <t>SEYE</t>
  </si>
  <si>
    <t>BAC+3</t>
  </si>
  <si>
    <t>SOUADIA</t>
  </si>
  <si>
    <t>TAHIRI</t>
  </si>
  <si>
    <t>Marsela</t>
  </si>
  <si>
    <t>TALASH</t>
  </si>
  <si>
    <t>Mohamad</t>
  </si>
  <si>
    <t>THEVENON-DANIERE</t>
  </si>
  <si>
    <t>Géraldine</t>
  </si>
  <si>
    <t>BEP</t>
  </si>
  <si>
    <t>THOMASSON</t>
  </si>
  <si>
    <t>Amélie</t>
  </si>
  <si>
    <t>TOURE</t>
  </si>
  <si>
    <t>Marie Agnes</t>
  </si>
  <si>
    <t>bac</t>
  </si>
  <si>
    <t>TRONQUART</t>
  </si>
  <si>
    <t>Marie-Christine</t>
  </si>
  <si>
    <t>TUNCAY</t>
  </si>
  <si>
    <t>Esira</t>
  </si>
  <si>
    <t>VOGELSGSANG</t>
  </si>
  <si>
    <t>Emilie</t>
  </si>
  <si>
    <t>YOUNES</t>
  </si>
  <si>
    <t>Sarah</t>
  </si>
  <si>
    <t>ZABLOT</t>
  </si>
  <si>
    <t>CHEKKI</t>
  </si>
  <si>
    <t>Islam</t>
  </si>
  <si>
    <t>master</t>
  </si>
  <si>
    <t>LAMANCHE</t>
  </si>
  <si>
    <t>Steve</t>
  </si>
  <si>
    <t>SLIMANI</t>
  </si>
  <si>
    <t>Lahouaria</t>
  </si>
  <si>
    <t>TACHDJIAN</t>
  </si>
  <si>
    <t>Khatchik</t>
  </si>
  <si>
    <t>MALIQI</t>
  </si>
  <si>
    <t>Qendrese</t>
  </si>
  <si>
    <t>Malvina</t>
  </si>
  <si>
    <t>BALME</t>
  </si>
  <si>
    <t>Xavier</t>
  </si>
  <si>
    <t>BAC+2</t>
  </si>
  <si>
    <t>MICHALET</t>
  </si>
  <si>
    <t>Jean Louis</t>
  </si>
  <si>
    <t>Aucun dipôme</t>
  </si>
  <si>
    <t>LOMBARD</t>
  </si>
  <si>
    <t>Aurelia</t>
  </si>
  <si>
    <t>TEKIN</t>
  </si>
  <si>
    <t>Vural</t>
  </si>
  <si>
    <t>VANEENOO</t>
  </si>
  <si>
    <t>Cedric</t>
  </si>
  <si>
    <t>ucun diplôme</t>
  </si>
  <si>
    <t>YOUSEF</t>
  </si>
  <si>
    <t>Siraj</t>
  </si>
  <si>
    <t>Ingénieur</t>
  </si>
  <si>
    <t>OLRY</t>
  </si>
  <si>
    <t>Florence</t>
  </si>
  <si>
    <t>ENNAOURA</t>
  </si>
  <si>
    <t>Riyad</t>
  </si>
  <si>
    <t>TURPIN</t>
  </si>
  <si>
    <t>Océane</t>
  </si>
  <si>
    <t>HAMDANY / SAGGAI</t>
  </si>
  <si>
    <t>Sephora</t>
  </si>
  <si>
    <t>CHERON</t>
  </si>
  <si>
    <t>Carine</t>
  </si>
  <si>
    <t>Sans diplôme</t>
  </si>
  <si>
    <t>BEN BRAHIM</t>
  </si>
  <si>
    <t>Ridha</t>
  </si>
  <si>
    <t>MESSAI/RIBEIRO</t>
  </si>
  <si>
    <t>Hadda</t>
  </si>
  <si>
    <t>VEUGLE</t>
  </si>
  <si>
    <t>Alison</t>
  </si>
  <si>
    <t>BLIN</t>
  </si>
  <si>
    <t>Françoise</t>
  </si>
  <si>
    <t>MARNY</t>
  </si>
  <si>
    <t>Christopher</t>
  </si>
  <si>
    <t>PIOLAT</t>
  </si>
  <si>
    <t>GUILE</t>
  </si>
  <si>
    <t>Rolande</t>
  </si>
  <si>
    <t>CHARLIER</t>
  </si>
  <si>
    <t>William</t>
  </si>
  <si>
    <t>LAGNIEU</t>
  </si>
  <si>
    <t xml:space="preserve">SOULIER </t>
  </si>
  <si>
    <t>Pierre</t>
  </si>
  <si>
    <t>HAMM</t>
  </si>
  <si>
    <t>Alexandre</t>
  </si>
  <si>
    <t>BOISMENU</t>
  </si>
  <si>
    <t>TOURNU</t>
  </si>
  <si>
    <t>Marie-Claude</t>
  </si>
  <si>
    <t>HIRAUX</t>
  </si>
  <si>
    <t>Annabelle</t>
  </si>
  <si>
    <t>VULCAIN</t>
  </si>
  <si>
    <t>Alexandrine</t>
  </si>
  <si>
    <t>JUPITER</t>
  </si>
  <si>
    <t>Tanya</t>
  </si>
  <si>
    <t>bacpro</t>
  </si>
  <si>
    <t>GASHI</t>
  </si>
  <si>
    <t>Ramize</t>
  </si>
  <si>
    <t xml:space="preserve">Mme </t>
  </si>
  <si>
    <t>KAHLAOUI</t>
  </si>
  <si>
    <t>Samira</t>
  </si>
  <si>
    <t xml:space="preserve">Monsieur </t>
  </si>
  <si>
    <t>VESPAZIANI</t>
  </si>
  <si>
    <t>Vincent</t>
  </si>
  <si>
    <t>LACOSSE</t>
  </si>
  <si>
    <t>Alexandra</t>
  </si>
  <si>
    <t>GRAMMATICO</t>
  </si>
  <si>
    <t>BASILE</t>
  </si>
  <si>
    <t>Kévin</t>
  </si>
  <si>
    <t>BLONDEAU</t>
  </si>
  <si>
    <t>Mandy</t>
  </si>
  <si>
    <t>GUICHARD</t>
  </si>
  <si>
    <t>MANACH</t>
  </si>
  <si>
    <t>Victor</t>
  </si>
  <si>
    <t>LEBEAU</t>
  </si>
  <si>
    <t>Jonathan</t>
  </si>
  <si>
    <t>GOUVERNEUR</t>
  </si>
  <si>
    <t>GYSSELS</t>
  </si>
  <si>
    <t>Emeline</t>
  </si>
  <si>
    <t>TAOUCHE</t>
  </si>
  <si>
    <t>Malika</t>
  </si>
  <si>
    <t>THOLLOT</t>
  </si>
  <si>
    <t>Florian</t>
  </si>
  <si>
    <t xml:space="preserve">MORALES </t>
  </si>
  <si>
    <t>Georgie</t>
  </si>
  <si>
    <t>Luis</t>
  </si>
  <si>
    <t>LABARRIERE</t>
  </si>
  <si>
    <t>Paul Emile</t>
  </si>
  <si>
    <t>GUEPRATTE</t>
  </si>
  <si>
    <t>Ronny</t>
  </si>
  <si>
    <t>GABORIT</t>
  </si>
  <si>
    <t>Edwige</t>
  </si>
  <si>
    <t>KHAN</t>
  </si>
  <si>
    <t>Tahira</t>
  </si>
  <si>
    <t>NDOJ</t>
  </si>
  <si>
    <t>Dava</t>
  </si>
  <si>
    <t>HAYRAPETYAN</t>
  </si>
  <si>
    <t>Anush</t>
  </si>
  <si>
    <t>06//02/2026</t>
  </si>
  <si>
    <t>GALLE</t>
  </si>
  <si>
    <t>Aurélie</t>
  </si>
  <si>
    <t>AROUMOUGAM</t>
  </si>
  <si>
    <t>Selvaperoumal</t>
  </si>
  <si>
    <t>GROSSEPIECE</t>
  </si>
  <si>
    <t>Laetitia</t>
  </si>
  <si>
    <t>MESSAHEL</t>
  </si>
  <si>
    <t>CHTOPCZYK</t>
  </si>
  <si>
    <t>Johan</t>
  </si>
  <si>
    <t>CHAPUIS</t>
  </si>
  <si>
    <t>Hervé</t>
  </si>
  <si>
    <t>AL JOUMAA</t>
  </si>
  <si>
    <t>Hamoud</t>
  </si>
  <si>
    <t>DIVRECHY / COMBEAU</t>
  </si>
  <si>
    <t>Noémie</t>
  </si>
  <si>
    <t>ELAMBERT</t>
  </si>
  <si>
    <t>Adeline</t>
  </si>
  <si>
    <t>ETEMI / ETEMOV</t>
  </si>
  <si>
    <t>Irmizat</t>
  </si>
  <si>
    <t>GORUR</t>
  </si>
  <si>
    <t>Andréa</t>
  </si>
  <si>
    <t>HOUMADI</t>
  </si>
  <si>
    <t>Mayi</t>
  </si>
  <si>
    <t>KANGABA-KOKESSE</t>
  </si>
  <si>
    <t>Michelle</t>
  </si>
  <si>
    <t>KOKOT</t>
  </si>
  <si>
    <t>Aude</t>
  </si>
  <si>
    <t>KRELL</t>
  </si>
  <si>
    <t>KRIACH</t>
  </si>
  <si>
    <t>Monia</t>
  </si>
  <si>
    <t>KULA</t>
  </si>
  <si>
    <t>Gulsun</t>
  </si>
  <si>
    <t>Soulin</t>
  </si>
  <si>
    <t>MACON</t>
  </si>
  <si>
    <t>Julien</t>
  </si>
  <si>
    <t>MARBACH</t>
  </si>
  <si>
    <t>Anais</t>
  </si>
  <si>
    <t>MARTINEAU</t>
  </si>
  <si>
    <t>MONIER</t>
  </si>
  <si>
    <t>Lauren</t>
  </si>
  <si>
    <t>MOSTEFAOUI</t>
  </si>
  <si>
    <t>Zaira</t>
  </si>
  <si>
    <t>MOUSSAOUI</t>
  </si>
  <si>
    <t>Stéphane</t>
  </si>
  <si>
    <t>MUSSARD-PARASKIOVA</t>
  </si>
  <si>
    <t>Marjorie</t>
  </si>
  <si>
    <t>PONTANIER</t>
  </si>
  <si>
    <t>Laura</t>
  </si>
  <si>
    <t>RIVET</t>
  </si>
  <si>
    <t>Leo</t>
  </si>
  <si>
    <t>ROUGER</t>
  </si>
  <si>
    <t>SECCI</t>
  </si>
  <si>
    <t>Oceane</t>
  </si>
  <si>
    <t>SELEM</t>
  </si>
  <si>
    <t>Fathia</t>
  </si>
  <si>
    <t>SERROUKH</t>
  </si>
  <si>
    <t>SERVIOLES</t>
  </si>
  <si>
    <t>Vanessa</t>
  </si>
  <si>
    <t>TROTOT</t>
  </si>
  <si>
    <t>VERNE</t>
  </si>
  <si>
    <t>Jean-Michel</t>
  </si>
  <si>
    <t>VIN</t>
  </si>
  <si>
    <t>Romain</t>
  </si>
  <si>
    <t>MOAMMIN</t>
  </si>
  <si>
    <t>pas de diplôme</t>
  </si>
  <si>
    <t>VENCESLAU FERNANDES</t>
  </si>
  <si>
    <t>Rute</t>
  </si>
  <si>
    <t>DE  STEFANO</t>
  </si>
  <si>
    <t>Loïc</t>
  </si>
  <si>
    <t>MALLET</t>
  </si>
  <si>
    <t>Emmanuelle</t>
  </si>
  <si>
    <t>AL AWAD</t>
  </si>
  <si>
    <t>Yasser</t>
  </si>
  <si>
    <t>BARBEREUX</t>
  </si>
  <si>
    <t>MELEK</t>
  </si>
  <si>
    <t>Radouane</t>
  </si>
  <si>
    <t>BOITIER</t>
  </si>
  <si>
    <t>Anthony</t>
  </si>
  <si>
    <t>BORDIER</t>
  </si>
  <si>
    <t>Rémi</t>
  </si>
  <si>
    <t>MAANANI</t>
  </si>
  <si>
    <t>Fouad</t>
  </si>
  <si>
    <t>Mirsade</t>
  </si>
  <si>
    <t>MOLINA GAY</t>
  </si>
  <si>
    <t>Romuald</t>
  </si>
  <si>
    <t>OUVRIER BUFFET</t>
  </si>
  <si>
    <t>Marilou</t>
  </si>
  <si>
    <t>PASQUIER</t>
  </si>
  <si>
    <t>RODI</t>
  </si>
  <si>
    <t>RUIVET</t>
  </si>
  <si>
    <t>Corinne</t>
  </si>
  <si>
    <t>THOMASSIN</t>
  </si>
  <si>
    <t>Ashley</t>
  </si>
  <si>
    <t>ISLAMI</t>
  </si>
  <si>
    <t>Haxhere</t>
  </si>
  <si>
    <t>ZOGHLAMI</t>
  </si>
  <si>
    <t>Ali</t>
  </si>
  <si>
    <t>ingénieur</t>
  </si>
  <si>
    <t>TIEPOHEO</t>
  </si>
  <si>
    <t>Josy Nina</t>
  </si>
  <si>
    <t>aucun diplômeAmbérieu</t>
  </si>
  <si>
    <t>PERRON</t>
  </si>
  <si>
    <t>Pauline</t>
  </si>
  <si>
    <t>CASSINOTTI</t>
  </si>
  <si>
    <t>Barbara</t>
  </si>
  <si>
    <t>RUMIANO</t>
  </si>
  <si>
    <t>Aurélien</t>
  </si>
  <si>
    <t xml:space="preserve">GIROD </t>
  </si>
  <si>
    <t>Gwennaelle</t>
  </si>
  <si>
    <t>REZAEIPOUR</t>
  </si>
  <si>
    <t>Fatemeh</t>
  </si>
  <si>
    <t>VLERICK</t>
  </si>
  <si>
    <t>Anne</t>
  </si>
  <si>
    <t>Pas de diplôme</t>
  </si>
  <si>
    <t>BOYER</t>
  </si>
  <si>
    <t>Ghislaine</t>
  </si>
  <si>
    <t>ARNAISE</t>
  </si>
  <si>
    <t>MONGERAND</t>
  </si>
  <si>
    <t>Jhamalie</t>
  </si>
  <si>
    <t>SAIRAZADA</t>
  </si>
  <si>
    <t>Zahibullah</t>
  </si>
  <si>
    <t>BORRON</t>
  </si>
  <si>
    <t>Loic</t>
  </si>
  <si>
    <t>HUSSEIN</t>
  </si>
  <si>
    <t>Abdu</t>
  </si>
  <si>
    <t>ETEMOV</t>
  </si>
  <si>
    <t>Nevrija</t>
  </si>
  <si>
    <t>SDP</t>
  </si>
  <si>
    <t>Maman solo</t>
  </si>
  <si>
    <t>4 enfants</t>
  </si>
  <si>
    <t>maman solo</t>
  </si>
  <si>
    <t>enfant problème de santé</t>
  </si>
  <si>
    <t>enfant en bas âge</t>
  </si>
  <si>
    <t xml:space="preserve">SANTE </t>
  </si>
  <si>
    <t>environnement familial</t>
  </si>
  <si>
    <t>pas de véhicule</t>
  </si>
  <si>
    <t>SANTE</t>
  </si>
  <si>
    <t>soutien de sa compagne</t>
  </si>
  <si>
    <t>LOGEMENT</t>
  </si>
  <si>
    <t>LANGUE</t>
  </si>
  <si>
    <t>MAMAN SOLO</t>
  </si>
  <si>
    <t>Surendettement</t>
  </si>
  <si>
    <t>MOBILITE</t>
  </si>
  <si>
    <t>Pas de véhicule</t>
  </si>
  <si>
    <t>santé</t>
  </si>
  <si>
    <t xml:space="preserve">LANGUE </t>
  </si>
  <si>
    <t>Jeunes enfants</t>
  </si>
  <si>
    <t>Pas de qualif</t>
  </si>
  <si>
    <t>MATERNITE</t>
  </si>
  <si>
    <t>Repasser le permis</t>
  </si>
  <si>
    <t>enfant en situation d'handicap</t>
  </si>
  <si>
    <t>peu d'expérience professionnelle</t>
  </si>
  <si>
    <t>sans domicile</t>
  </si>
  <si>
    <t>frais de déplacement</t>
  </si>
  <si>
    <t>Probl perso</t>
  </si>
  <si>
    <t>ECRIT</t>
  </si>
  <si>
    <t>Enfant bas age</t>
  </si>
  <si>
    <t>VEHICULE</t>
  </si>
  <si>
    <t>Permis en cours</t>
  </si>
  <si>
    <t>ISOLEE</t>
  </si>
  <si>
    <t>HEBERGEMENT</t>
  </si>
  <si>
    <t>Hebergement</t>
  </si>
  <si>
    <t>peu d'expérience pro</t>
  </si>
  <si>
    <t>multiple projet</t>
  </si>
  <si>
    <t>séparation difficile</t>
  </si>
  <si>
    <t>Peu d'expérience</t>
  </si>
  <si>
    <t>enfant en difficulté</t>
  </si>
  <si>
    <t>papa solo</t>
  </si>
  <si>
    <t>pb lié au logement</t>
  </si>
  <si>
    <t>garde d'enfant</t>
  </si>
  <si>
    <t>Pas de médecin</t>
  </si>
  <si>
    <t>enfant en situation de handicap</t>
  </si>
  <si>
    <t>En coursd de divorce</t>
  </si>
  <si>
    <t>aucune exp pro</t>
  </si>
  <si>
    <t>ENFANTS</t>
  </si>
  <si>
    <t>Aide à parent malade</t>
  </si>
  <si>
    <t>RQTH</t>
  </si>
  <si>
    <t>Manque de confiance</t>
  </si>
  <si>
    <t>enfant autiste</t>
  </si>
  <si>
    <t>Aucun accèsb numérique</t>
  </si>
  <si>
    <t>motivation</t>
  </si>
  <si>
    <t>SANTETDA</t>
  </si>
  <si>
    <t>aucune qualif</t>
  </si>
  <si>
    <t>Faire le deuil de son entreprise</t>
  </si>
  <si>
    <t>AGE</t>
  </si>
  <si>
    <t>Difficultés financières</t>
  </si>
  <si>
    <t>enfant adulte handicapé</t>
  </si>
  <si>
    <t>indu CAF</t>
  </si>
  <si>
    <t>Enfant autiste</t>
  </si>
  <si>
    <t>Menace</t>
  </si>
  <si>
    <t xml:space="preserve">Changement de situation </t>
  </si>
  <si>
    <t>dernier emploi ?</t>
  </si>
  <si>
    <t>Congé parental</t>
  </si>
  <si>
    <t>Enfant de 18 mois</t>
  </si>
  <si>
    <t>Enfant en bas age</t>
  </si>
  <si>
    <t>ENFANTS JEUNES</t>
  </si>
  <si>
    <t>RECONVERSION</t>
  </si>
  <si>
    <t>enfant situation de handicap</t>
  </si>
  <si>
    <t>Santé</t>
  </si>
  <si>
    <t>problème psy</t>
  </si>
  <si>
    <t>français écrit</t>
  </si>
  <si>
    <t>PEU D'experience</t>
  </si>
  <si>
    <t>Repasser son permis</t>
  </si>
  <si>
    <t>Pas de formation</t>
  </si>
  <si>
    <t>Financier</t>
  </si>
  <si>
    <t>ADDICTION</t>
  </si>
  <si>
    <t>2 enfants AEH</t>
  </si>
  <si>
    <t>reorientation</t>
  </si>
  <si>
    <t>arrêt longue maladie</t>
  </si>
  <si>
    <t>FT SIAE</t>
  </si>
  <si>
    <t>France Travail</t>
  </si>
  <si>
    <t>Formation certifiante ou qualifiante</t>
  </si>
  <si>
    <t>reorientaion</t>
  </si>
  <si>
    <t>positive</t>
  </si>
  <si>
    <t>Très active, participations ateliers jobdating / Animatrice diplôme belge - assistante maternelle agréée</t>
  </si>
  <si>
    <t>travaille avec STAFFMATCH (petites missions ménage, cuisine) participation atelier, jobdating</t>
  </si>
  <si>
    <t>CM fourni réo faite le 06/02</t>
  </si>
  <si>
    <t>Mme a peur de son ex conjoint - se présente 1 fois sur 2 (remobilisation) ne se mobilise pas</t>
  </si>
  <si>
    <t>4 enfants (3 à l'ecole) - mere celibataire - dernier enfant 18 mois - a été commerciale</t>
  </si>
  <si>
    <t>Cdd 3 mois en garage non renouvelé - abs février refixer un rdv sinon REMOB - pas de cv !!</t>
  </si>
  <si>
    <t>CM : le medecin atteste qu elle peut travailler et peut suivre les cours Aintégré Léo Lagrange le 05/03</t>
  </si>
  <si>
    <t>en attente de réponse de la MDPH pour l'AAH / voir GPP avec Djamila</t>
  </si>
  <si>
    <t>Candidate beaucoup - manque de confiance en soi</t>
  </si>
  <si>
    <t>voir LOGGINS - CACES a renouveler faire une immersion</t>
  </si>
  <si>
    <t>GO ON, proposition fle/logistique FT2026 : a refusé</t>
  </si>
  <si>
    <t>Passé en CLI le 12/12/25 - sanctionné à 80% - pas de contact  repris</t>
  </si>
  <si>
    <t>Mr était SDF. Il reprend sa vie en main. Contrat appui entreprise 2 OE proposées refusées</t>
  </si>
  <si>
    <t>en interim jusqu'en décembre 2025 - cariste - formation caces 1 b35 ACTUAL - plus de nouvelle</t>
  </si>
  <si>
    <t>demarche assistante maternelle ? Pmsmp à faire / aide à domicile / atsem</t>
  </si>
  <si>
    <t>a CAP petite enfance - Chercher un autre projet professionnel</t>
  </si>
  <si>
    <t>Missions intérim en décembre poursuite en janvier - reclamer tous les contrats et refixer un rdv</t>
  </si>
  <si>
    <t xml:space="preserve">Mme a fait un CV, gens du voyage </t>
  </si>
  <si>
    <t xml:space="preserve">/ travaille en interim depuis décembre </t>
  </si>
  <si>
    <t>Assistante familiale mais pas d'enfant à l heure actuelle  jamais vue à convoquer d urgence</t>
  </si>
  <si>
    <t>vue par une assistance sociale BILAN DE PARCOURS REO SOCIALE</t>
  </si>
  <si>
    <t>reprise VD .Aime la vente mais contraintes familiales / immersion ok / aide à domicile</t>
  </si>
  <si>
    <t>Souvent malade proposer acco agent de santé - fripone ?</t>
  </si>
  <si>
    <t>intéressée formation SAMA</t>
  </si>
  <si>
    <t xml:space="preserve">a déjà travaillé en structure d'insertion - </t>
  </si>
  <si>
    <t>fils qui n'a pas de place en IME / vue sur Mex / revoir son dossier MDPH pour son fils pour pch</t>
  </si>
  <si>
    <t xml:space="preserve"> Aide à domicile / ash : aidant familila pour sa maman</t>
  </si>
  <si>
    <t xml:space="preserve">cariste - </t>
  </si>
  <si>
    <t>Autoentrepreneuse depuis 2021, a déjà eu un acco BGE - activité traductrice anglais + crs en ligne + missions informatique</t>
  </si>
  <si>
    <t>En attente AEH:PCH à relancer</t>
  </si>
  <si>
    <t xml:space="preserve">a eu l'AAH ne l'a plu voir ENVOL .Agent de santé / Voir une formation </t>
  </si>
  <si>
    <t>suivie par  AGIR. Français Llagrange. Inscription GOON - pas un mot de francais</t>
  </si>
  <si>
    <t>Comportement particulier!</t>
  </si>
  <si>
    <t xml:space="preserve"> en attente de loggins + clauses sociales/ aeu sa RQTH</t>
  </si>
  <si>
    <t xml:space="preserve">Mme a toujours été à son compte - </t>
  </si>
  <si>
    <t>Interim facteur poursuite possible en décembre</t>
  </si>
  <si>
    <t>Sortie des D et D</t>
  </si>
  <si>
    <t>Souhaite déménager vers Lyon</t>
  </si>
  <si>
    <t>En attente de preuves congé parental… / RSA MAJORE</t>
  </si>
  <si>
    <t>Recherche de solution de garde</t>
  </si>
  <si>
    <t>Mme travaille sur Lyon en attente de son contrat(AGIR) CONTRAT PAS TRANSMIS</t>
  </si>
  <si>
    <t>Mr est en attente d'une opération, en fonction des résultats MDPH</t>
  </si>
  <si>
    <t>Poursuite du permis/envisage auto-entreprise</t>
  </si>
  <si>
    <t>aide soignante</t>
  </si>
  <si>
    <t>Attente de doc AJPP DE catégorie 4</t>
  </si>
  <si>
    <t>4 ans de suivi Mission Locale… / suit agpp avec Djamila Zaied</t>
  </si>
  <si>
    <t>GOON</t>
  </si>
  <si>
    <t>Mr ne répond pas au mail/rdv fixé 29/01 entreprise bancale</t>
  </si>
  <si>
    <t>Mme a un contrat intérim éventuellement jusqu'à mars.</t>
  </si>
  <si>
    <t>Suit formation GOON (OFII), acco CADA, AGIR</t>
  </si>
  <si>
    <t>Mr AL JOUMAA est venu à son 1er RDV</t>
  </si>
  <si>
    <t>REO BOURG ATTENION sous SDP Mme COMBEAU.Ne dépend plus du cds d'AMBERIEU mais BOURG</t>
  </si>
  <si>
    <t>Mme est venue suivie par FT parcours pro</t>
  </si>
  <si>
    <t>Logisti+AI99que+AJ103:AQ106</t>
  </si>
  <si>
    <t>France T</t>
  </si>
  <si>
    <t>Déménagement autre département</t>
  </si>
  <si>
    <t>CDDde remplacement prolongé</t>
  </si>
  <si>
    <t>A eu plusieurs missions intérim. RDV le 15/10</t>
  </si>
  <si>
    <t>SIAE renouvellement L rénoverie</t>
  </si>
  <si>
    <t>Reprise de son emploi en CDI après congé parental</t>
  </si>
  <si>
    <t>Mme a une réo sociale : certificat médical de son médecin.</t>
  </si>
  <si>
    <t>J'ai le récépissé de demande de demande de retraite dossier bloqué</t>
  </si>
  <si>
    <t>Mme est venue au rdv et a déménagé dans une autre région.</t>
  </si>
  <si>
    <t>Déménagement CHRS Péronnas</t>
  </si>
  <si>
    <t>Toujours à GOON . Autoentreprise démarre janvier 26</t>
  </si>
  <si>
    <t>Déménagement à Chalamon. Reprise VALHORIZON</t>
  </si>
  <si>
    <t>Certificat médical contre-indication à l'emploi. En attente MDPH</t>
  </si>
  <si>
    <t xml:space="preserve">Parcours nuclèaire </t>
  </si>
  <si>
    <t>CM fourni /en cure dès le 9 décembre</t>
  </si>
  <si>
    <t>menuisier / missions à faire et voir clauses sociales</t>
  </si>
  <si>
    <t xml:space="preserve">CM </t>
  </si>
  <si>
    <t>Pas de cours de langue. Préinscription GOON Pas contente</t>
  </si>
  <si>
    <t>st dans la Loire A l'emploi jusqu'en septembre. Impossible à joindre</t>
  </si>
  <si>
    <t>certif medical suivi cmp reo social (agoraphobe)</t>
  </si>
  <si>
    <t>contrat benevole 4 mois - voir agri 01</t>
  </si>
  <si>
    <t>Mr a déménagé depuis 2 mois dans l'Isère</t>
  </si>
  <si>
    <t>cf agent de santé: médecin en arrêt rdv en nov. Mme ne peut pas marcher seule! CM en attente</t>
  </si>
  <si>
    <t>Problème de santé+, en attente de logement dans le 03</t>
  </si>
  <si>
    <t>A l'emploi</t>
  </si>
  <si>
    <t xml:space="preserve">Mr ZOGHLAMI est en CDI depuis septembre, fin de période d'essai + </t>
  </si>
  <si>
    <t>mme veut assister son conjoint qui a une entreprise</t>
  </si>
  <si>
    <t>Mme a prévenue Polel de sa situation</t>
  </si>
  <si>
    <t>réo BGE</t>
  </si>
  <si>
    <t>Mme GIROD a un contrat de remplacement prolongé jusqu'au 07/11/25</t>
  </si>
  <si>
    <t>Arrêt jusqu'à novembre ENVOI COURRIER 01/12 - CM</t>
  </si>
  <si>
    <t>Mme souhaite faire une formation agent d'accueil/immersion urgente</t>
  </si>
  <si>
    <t>Faire réo social CM médecin</t>
  </si>
  <si>
    <t>Réo à faire arrêt pas doc AMELI</t>
  </si>
  <si>
    <t>travaille Brigades natures</t>
  </si>
  <si>
    <t>formation fle logistique pas fonctionné -démarre à la rénoverie / AGIR</t>
  </si>
  <si>
    <r>
      <t xml:space="preserve">FLE </t>
    </r>
    <r>
      <rPr>
        <sz val="10"/>
        <rFont val="Arial"/>
        <family val="2"/>
      </rPr>
      <t>(GoOn-Ifra-Ville Bourg-centre social..)</t>
    </r>
  </si>
  <si>
    <t>1 exc</t>
  </si>
  <si>
    <t>en contrat</t>
  </si>
  <si>
    <t>en formation DAEU souhaite etre pretre perçoit des ARE</t>
  </si>
  <si>
    <t>Maternité</t>
  </si>
  <si>
    <r>
      <t xml:space="preserve">Peu disponible - Contrôle régulier de la PMI (1 enfant handicapé - en attente de la PCH) - </t>
    </r>
    <r>
      <rPr>
        <sz val="10"/>
        <color rgb="FFFF0000"/>
        <rFont val="Arial"/>
        <family val="2"/>
      </rPr>
      <t>FAIRE REO SOCIALE CF MAIL</t>
    </r>
  </si>
  <si>
    <t>FARINA</t>
  </si>
  <si>
    <t xml:space="preserve">incurie </t>
  </si>
  <si>
    <t>REO SOCIALE plusieurs hospitalisations</t>
  </si>
  <si>
    <t>Evenement emploi "ferrovière"pas accepté niveau trop bas</t>
  </si>
  <si>
    <t>Très active, PMSMP, achat de véhicule, petits boulots… A démarré LOGIN'S récupérer le contrat et suivre péride d'essai sortie FT</t>
  </si>
  <si>
    <t xml:space="preserve">Présente PEC pas retenue / petits boulots menage </t>
  </si>
  <si>
    <r>
      <t>travailler un projet pro -</t>
    </r>
    <r>
      <rPr>
        <sz val="10"/>
        <color rgb="FFFF0000"/>
        <rFont val="Arial"/>
        <family val="2"/>
      </rPr>
      <t xml:space="preserve"> A  RECONVOQUER </t>
    </r>
  </si>
  <si>
    <t>DOSSIER MDPH envisagé</t>
  </si>
  <si>
    <t>TDH piste santé</t>
  </si>
  <si>
    <t>réorientation</t>
  </si>
  <si>
    <t>freins+</t>
  </si>
  <si>
    <t>Arrêt longue maladie</t>
  </si>
  <si>
    <t>PREVOIR REMOB 2 absences non justifiées</t>
  </si>
  <si>
    <t>LEVER LA SANCTION REMOB vérifier que la personne se mobilise vraiment</t>
  </si>
  <si>
    <t>a réussi son code;conduite en cours - Attention Mr ne respecte pas . Prévoir un prochain rdv rapidement si absent REMOB</t>
  </si>
  <si>
    <t>Mr souhaite repartir en saison pour ne pas rester chez sa mère mais fragilité psy.</t>
  </si>
  <si>
    <t>En attente de réponse de la MDPH pour l'AAH. Relancer/médecin pour CM</t>
  </si>
  <si>
    <t>analphabètisme en attente de CM -poursuite de GOON jusqu'à juin.</t>
  </si>
  <si>
    <t>A l'emploi chez CHECHOIX, redemander fiches de paie</t>
  </si>
  <si>
    <t>cours de français avec bénévole CS de Saint Rambert. SORTIE</t>
  </si>
  <si>
    <t>A fait parcours nuclèaire . Voir santé Agent de santé? Aide financière à prévoir si logement ou emploi.</t>
  </si>
  <si>
    <t>Suivi par AGIR- parle tres bien le francais, ne sait pas lire ni ecrire / GO ON A convoquer</t>
  </si>
  <si>
    <t>Léo Lagrange</t>
  </si>
  <si>
    <t>Dossier retraite envisagée A RECONVOQUER (erreur de ma part) REO SOCIALE/AGE?</t>
  </si>
  <si>
    <t>A RECONVOQUER</t>
  </si>
  <si>
    <t>CDD en décembre 2025 -  AM jusqu'en fevrier car AT - CDI à venir ? A RAPPELER</t>
  </si>
  <si>
    <t>Orientée vers cours de français G0 ON - FAIRE REO SOCIALE OU BILAN TRIPARTITE - Personne seule pas de com possible</t>
  </si>
  <si>
    <t>verifier si bilan envoyé tripartite (doc dep)</t>
  </si>
  <si>
    <t>difficulté pour envoyer les candidatures A CONVOQUER</t>
  </si>
  <si>
    <t>A des difficultés à repasser son code. Bientôt non DD - plus de RSA - touche depuis 6 mois Ne répond pas au mail, ni tel</t>
  </si>
  <si>
    <t>A CONVOQUER Pris en SIAE a évoqué pb familial pour ne pas y aller</t>
  </si>
  <si>
    <t>Nrépond pas au tel , ni au mail A CONVOQUER  sinon remob</t>
  </si>
  <si>
    <t xml:space="preserve">Beaucoup d'abs exc enfant malade, bus… / diplôme ds aide a domicileA RECONVOQUER en couple avec Mr Potenziani enfants sous mesure </t>
  </si>
  <si>
    <t>SITUATION EN ATTENTE D'ETRE DEBLOQUEE FT - PRENDRE L ACCOMPANGNEMENT EN COURS  A RECONVOQUER</t>
  </si>
  <si>
    <t>BILAN TRIPARTITE</t>
  </si>
  <si>
    <t>ATTENTION PROBLEMATIQUE</t>
  </si>
  <si>
    <t>REO SOCIALE FAITE EN ACCORD AVEC INSERTION</t>
  </si>
  <si>
    <t>Aucun contact possible PREVOIR REMOB</t>
  </si>
  <si>
    <t>A RECONVOQUER Mr voulait recommencerd'être à son compte, démarches non réalisées.</t>
  </si>
  <si>
    <t>Projet irréaliste/état de santé</t>
  </si>
  <si>
    <t>abs rdv addiction</t>
  </si>
  <si>
    <t>reo sociale au 1er rdv. CM</t>
  </si>
  <si>
    <t>sans domicil</t>
  </si>
  <si>
    <t>addiction</t>
  </si>
  <si>
    <t>langue</t>
  </si>
  <si>
    <t>Peut prétendre à une retraite anticipé (il lui reste 2 ans sans comptabiliser sa RQTH)</t>
  </si>
  <si>
    <t>pas de permis</t>
  </si>
  <si>
    <t>demande de réo sociale - au vu de sa situation, trop de frein à l'embauche</t>
  </si>
  <si>
    <t>LAROUI</t>
  </si>
  <si>
    <t>Samera</t>
  </si>
  <si>
    <t>famille</t>
  </si>
  <si>
    <t>aidant familliale (45h/mois) en attente de l'augmentation d'heures</t>
  </si>
  <si>
    <t>Melvin</t>
  </si>
  <si>
    <t>BENAMARA</t>
  </si>
  <si>
    <t>Bounouar</t>
  </si>
  <si>
    <t>Actuellement en CDI intérim, a basculé au RSA suite a un arret de travail supérieur à 1 an. Dans l'attente d'un licenciment pour inaptitude</t>
  </si>
  <si>
    <t>DONER</t>
  </si>
  <si>
    <t>Zehra</t>
  </si>
  <si>
    <t>En instance de divorce - violences conjugales</t>
  </si>
  <si>
    <t>CORNIGLION</t>
  </si>
  <si>
    <t>Didier</t>
  </si>
  <si>
    <t>Dépôt de sa demande de départ à la retraite effetué le 06/05/2026</t>
  </si>
  <si>
    <t>POGGI</t>
  </si>
  <si>
    <t>DESORMAIS</t>
  </si>
  <si>
    <t>Dorian</t>
  </si>
  <si>
    <t>KHENDOUDI</t>
  </si>
  <si>
    <t>GUEDES</t>
  </si>
  <si>
    <t>José</t>
  </si>
  <si>
    <t>numérique</t>
  </si>
  <si>
    <t>DONATO</t>
  </si>
  <si>
    <t>Ludivine</t>
  </si>
  <si>
    <t>TABOURET</t>
  </si>
  <si>
    <t>Séverine</t>
  </si>
  <si>
    <t>ZAHEDI</t>
  </si>
  <si>
    <t>Shahrzad</t>
  </si>
  <si>
    <t>ARBOUCHE</t>
  </si>
  <si>
    <t>Francis</t>
  </si>
  <si>
    <t>LARCHER</t>
  </si>
  <si>
    <t>Yannick</t>
  </si>
  <si>
    <t>REYDELLET</t>
  </si>
  <si>
    <t>Sylvie</t>
  </si>
  <si>
    <t>BAZENVAL</t>
  </si>
  <si>
    <t>Gaetan</t>
  </si>
  <si>
    <t>LAURENT</t>
  </si>
  <si>
    <t>Nathalie</t>
  </si>
  <si>
    <t>NOVAC</t>
  </si>
  <si>
    <t>Petru</t>
  </si>
  <si>
    <t>LENOIR</t>
  </si>
  <si>
    <t>ALVAREZ</t>
  </si>
  <si>
    <t>Marie-Hélène</t>
  </si>
  <si>
    <t>Chatillon/chalaronne</t>
  </si>
  <si>
    <t xml:space="preserve">VIDARD ROUSSEAU </t>
  </si>
  <si>
    <t>Marina</t>
  </si>
  <si>
    <t>DUWAT</t>
  </si>
  <si>
    <t>Grégory</t>
  </si>
  <si>
    <t>Entretien chez Brigade nature</t>
  </si>
  <si>
    <t>Elle a eu un grave accident après avoir rempli son questionnaire RSA. Elle est toujours en soins (attente certificat médical) - radié depuis le 11/04/2025</t>
  </si>
  <si>
    <t>GROUX</t>
  </si>
  <si>
    <t>FUENTES</t>
  </si>
  <si>
    <t>Morgan</t>
  </si>
  <si>
    <t>Droit au chômage ouvert</t>
  </si>
  <si>
    <t>Ne sait pas quel métier faire (voir pour une prépa-compétences)</t>
  </si>
  <si>
    <t>BLATRIX</t>
  </si>
  <si>
    <t>Véronique</t>
  </si>
  <si>
    <t>En cours de création d'entreprise / demande RQTH</t>
  </si>
  <si>
    <t>garde d'enfants</t>
  </si>
  <si>
    <t>Contre indication médicale</t>
  </si>
  <si>
    <t>souhaite créer son entreprise / transfère de la demande RQTH de Dreux (28) vers Bourg-en-Bresse (01)</t>
  </si>
  <si>
    <t>Projet de formation ASH</t>
  </si>
  <si>
    <t>entreprrise créée / suivi par le BGE</t>
  </si>
  <si>
    <t>Emploi professeur de technologie</t>
  </si>
  <si>
    <t>demande de RQTH a faire</t>
  </si>
  <si>
    <t>ARMAND</t>
  </si>
  <si>
    <t>Souffre de troubles DYS</t>
  </si>
  <si>
    <t>MARSIGLIA</t>
  </si>
  <si>
    <t>NASTASI</t>
  </si>
  <si>
    <t>Droit de visite 2h pour son enfant - agenda mensuel de visite</t>
  </si>
  <si>
    <t>N'a pas de document français</t>
  </si>
  <si>
    <t>CAVE</t>
  </si>
  <si>
    <t>Ivan</t>
  </si>
  <si>
    <t xml:space="preserve">possède le permis mais n'a pas de véhicule - refuse la RQTH (aveugle d'un œil) </t>
  </si>
  <si>
    <t>logement</t>
  </si>
  <si>
    <t>MULLAEVA</t>
  </si>
  <si>
    <t>25/11/20252</t>
  </si>
  <si>
    <t>Mendes Vaz Amarante</t>
  </si>
  <si>
    <t>REBELO RAMALHO</t>
  </si>
  <si>
    <t>en attente CM ? A CONVOQUER</t>
  </si>
  <si>
    <t>CIP : HELENE VRAINE (arret à partir du 13/3 - arrivée Aviva le</t>
  </si>
  <si>
    <t>DUROSIER</t>
  </si>
  <si>
    <t>Noella</t>
  </si>
  <si>
    <t>ALCINA</t>
  </si>
  <si>
    <t>acc pro</t>
  </si>
  <si>
    <t>formation</t>
  </si>
  <si>
    <t>changement de ref</t>
  </si>
  <si>
    <t>,</t>
  </si>
  <si>
    <t>ALONSO</t>
  </si>
  <si>
    <t>Lieux de résidense peu déservi - pas de prmis / Pas accès SDP - demande de changement d'adresse (69)</t>
  </si>
  <si>
    <t>LAZZARO</t>
  </si>
  <si>
    <t>STHELY</t>
  </si>
  <si>
    <t>Ingryd</t>
  </si>
  <si>
    <t>Territoire: CDS AMBERIEU/MEXIMIEUX…. - LOT 3.../ CLPE ZONE 3</t>
  </si>
  <si>
    <t>Radié suite CLI</t>
  </si>
  <si>
    <t>POULAIN</t>
  </si>
  <si>
    <t>Mr VANEENOO est actuellement à l'emploi (CDD du 01/05/26 au 31/10/26)</t>
  </si>
  <si>
    <t>P24</t>
  </si>
  <si>
    <t>P27</t>
  </si>
  <si>
    <t>P28</t>
  </si>
  <si>
    <t>P61</t>
  </si>
  <si>
    <t>P64</t>
  </si>
  <si>
    <t>P65</t>
  </si>
  <si>
    <t>P104</t>
  </si>
  <si>
    <t>P105</t>
  </si>
  <si>
    <t>P106</t>
  </si>
  <si>
    <t>P107</t>
  </si>
  <si>
    <t>P108</t>
  </si>
  <si>
    <t>P110</t>
  </si>
  <si>
    <t>P111</t>
  </si>
  <si>
    <t>P245</t>
  </si>
  <si>
    <t>P246</t>
  </si>
  <si>
    <t>P247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</si>
  <si>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</si>
  <si>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</si>
  <si>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</si>
  <si>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</si>
  <si>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</si>
  <si>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</si>
  <si>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</si>
  <si>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</si>
  <si>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</si>
  <si>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P301</t>
  </si>
  <si>
    <t>P302</t>
  </si>
  <si>
    <t>P303</t>
  </si>
  <si>
    <t>P304</t>
  </si>
  <si>
    <t>P429</t>
  </si>
  <si>
    <t>P430</t>
  </si>
  <si>
    <t>P431</t>
  </si>
  <si>
    <t>P433</t>
  </si>
  <si>
    <t>P434</t>
  </si>
  <si>
    <t>P435</t>
  </si>
  <si>
    <t>P451</t>
  </si>
  <si>
    <t>P454</t>
  </si>
  <si>
    <t>AYUREK</t>
  </si>
  <si>
    <t>P456</t>
  </si>
  <si>
    <t>P458</t>
  </si>
  <si>
    <t>P460</t>
  </si>
  <si>
    <t>P462</t>
  </si>
  <si>
    <t>P464</t>
  </si>
  <si>
    <t>P494</t>
  </si>
  <si>
    <t>P506</t>
  </si>
  <si>
    <t>P508</t>
  </si>
  <si>
    <t>P496</t>
  </si>
  <si>
    <t>P522</t>
  </si>
  <si>
    <t>P553</t>
  </si>
  <si>
    <t>P559</t>
  </si>
  <si>
    <t>P563</t>
  </si>
  <si>
    <t>P566</t>
  </si>
  <si>
    <t>PERRIN BERTOZZO</t>
  </si>
  <si>
    <t>A le permis mais plus de Véhicule / enfant en ITEP</t>
  </si>
  <si>
    <t>enfant en situation de handicape</t>
  </si>
  <si>
    <t>MAUNIER</t>
  </si>
  <si>
    <t>Célier</t>
  </si>
  <si>
    <t>KHALO / OMAR</t>
  </si>
  <si>
    <t>Mr CHAPUIS souffre d'une grande addiction (certificat médical) / demande de réo effectuée</t>
  </si>
  <si>
    <t>Enfants en situation de handicape</t>
  </si>
  <si>
    <t>Elle veut relancer son entreprise qu'elle a fermé depuis longtemps. Projet en coup d'analyse</t>
  </si>
  <si>
    <t>P1224</t>
  </si>
  <si>
    <t>P1225</t>
  </si>
  <si>
    <t>P1226</t>
  </si>
  <si>
    <t>P1227</t>
  </si>
  <si>
    <t>P1228</t>
  </si>
  <si>
    <t>P1230</t>
  </si>
  <si>
    <t>P1231</t>
  </si>
  <si>
    <t>P1233</t>
  </si>
  <si>
    <t>P1234</t>
  </si>
  <si>
    <t>P1235</t>
  </si>
  <si>
    <t>P1236</t>
  </si>
  <si>
    <t>P1237</t>
  </si>
  <si>
    <t>P1238</t>
  </si>
  <si>
    <t>P1239</t>
  </si>
  <si>
    <t>SONTHONNAX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</si>
  <si>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</si>
  <si>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</si>
  <si>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</si>
  <si>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</si>
  <si>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</si>
  <si>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</si>
  <si>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</si>
  <si>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</si>
  <si>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</si>
  <si>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</si>
  <si>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</si>
  <si>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</si>
  <si>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</si>
  <si>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</si>
  <si>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</si>
  <si>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</si>
  <si>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</si>
  <si>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</si>
  <si>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</si>
  <si>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</si>
  <si>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</si>
  <si>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</si>
  <si>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</si>
  <si>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</si>
  <si>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</si>
  <si>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</si>
  <si>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</si>
  <si>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P1268</t>
  </si>
  <si>
    <t>PIQUET</t>
  </si>
  <si>
    <t>PRADEL</t>
  </si>
  <si>
    <t>Elisabeth</t>
  </si>
  <si>
    <t>BENYOUCEF</t>
  </si>
  <si>
    <t>Nora</t>
  </si>
  <si>
    <t>PRESSARD</t>
  </si>
  <si>
    <t>Jean-Matthieu</t>
  </si>
  <si>
    <t>Mondieur</t>
  </si>
  <si>
    <t>SAGAYANADANE</t>
  </si>
  <si>
    <t>Arputham</t>
  </si>
  <si>
    <t>MERMAND</t>
  </si>
  <si>
    <t>Delphine</t>
  </si>
  <si>
    <t>KALAIDJI (LAZHARI)</t>
  </si>
  <si>
    <t>Khadija</t>
  </si>
  <si>
    <t>TOREMIS</t>
  </si>
  <si>
    <t>Yilmaz</t>
  </si>
  <si>
    <t>PIEDOR</t>
  </si>
  <si>
    <t>GRENIER</t>
  </si>
  <si>
    <t>DURANDETTO (PIERRARD)</t>
  </si>
  <si>
    <t>Esmeralda</t>
  </si>
  <si>
    <t>ASENSIO-GOMEZ</t>
  </si>
  <si>
    <t>Jean-Pierre</t>
  </si>
  <si>
    <t>ANSELME</t>
  </si>
  <si>
    <t>Christophe</t>
  </si>
  <si>
    <t>MANZOOR</t>
  </si>
  <si>
    <t>Tanian</t>
  </si>
  <si>
    <t>ALLEYSSON</t>
  </si>
  <si>
    <t>Geneviève</t>
  </si>
  <si>
    <t>permis mais pas de véhicule</t>
  </si>
  <si>
    <t>CAP REBOND</t>
  </si>
  <si>
    <t>FILLOL</t>
  </si>
  <si>
    <t>Coralie</t>
  </si>
  <si>
    <t>P1353</t>
  </si>
  <si>
    <t>P1355</t>
  </si>
  <si>
    <t>Contrat TESA</t>
  </si>
  <si>
    <t>FOUGNIES</t>
  </si>
  <si>
    <t>Justice</t>
  </si>
  <si>
    <t>Procédure judiciaire contre le père / enfant traumatisé ne pouvant se séparer de sa mère</t>
  </si>
  <si>
    <t>Demande de RQTH à faire</t>
  </si>
  <si>
    <t>LOVATO</t>
  </si>
  <si>
    <t>BOCQUET</t>
  </si>
  <si>
    <t>Hubert</t>
  </si>
  <si>
    <t>contrat TESA / commence des formation mais ne les termines pas</t>
  </si>
  <si>
    <t xml:space="preserve">DURANDETTO </t>
  </si>
  <si>
    <t>Bryan</t>
  </si>
  <si>
    <t>CGF</t>
  </si>
  <si>
    <t>5 enfants / le dernier à 7mois / sa femme est enceinte de 5mois / AEMO</t>
  </si>
  <si>
    <t>début de soins pour dépression / a le permis mais ne sais pas si il lui reste des points + véhicule en panne / CAP REBOND</t>
  </si>
  <si>
    <t>NOMBRE DE BRSA</t>
  </si>
  <si>
    <t xml:space="preserve">NOMBRE DE BRSA </t>
  </si>
  <si>
    <t>224/06/2026</t>
  </si>
  <si>
    <t>TEDESCO</t>
  </si>
  <si>
    <t>Mickael</t>
  </si>
  <si>
    <t>Suspension de permis depuis mai 2026 pour 6mois</t>
  </si>
  <si>
    <t>BARGEL</t>
  </si>
  <si>
    <t>Christinati</t>
  </si>
  <si>
    <t>langue (écrit)</t>
  </si>
  <si>
    <t>PACOUD</t>
  </si>
  <si>
    <t>Laurent</t>
  </si>
  <si>
    <t>CISSE</t>
  </si>
  <si>
    <t>Coumba</t>
  </si>
  <si>
    <t>en attente de son titre de séjour</t>
  </si>
  <si>
    <t>BORISSOFF</t>
  </si>
  <si>
    <t>Adian</t>
  </si>
  <si>
    <t>PLANAISE</t>
  </si>
  <si>
    <t>Annick</t>
  </si>
  <si>
    <t>non véhiculé</t>
  </si>
  <si>
    <t>GHULAM MANZOOR</t>
  </si>
  <si>
    <t>Nisba</t>
  </si>
  <si>
    <t>4 enfants (10/9/7/6) et trouve trop cher de les mettre à la cantine et au périscolaire</t>
  </si>
  <si>
    <t>SOUS CURATELLE</t>
  </si>
  <si>
    <t>Grossesse pathologique (10éme) / en attente de certificat médical pour réo social</t>
  </si>
  <si>
    <t>enfant en situation d'handicape</t>
  </si>
  <si>
    <t>auto-entrepreur / mandataire judiciaire</t>
  </si>
  <si>
    <t>Inscription formation CIP</t>
  </si>
  <si>
    <t>touche ARE mais pas de RSA</t>
  </si>
  <si>
    <t>illectronisme</t>
  </si>
  <si>
    <t>KARAARSLAN ASLAN</t>
  </si>
  <si>
    <t>tugba</t>
  </si>
  <si>
    <t>problème de nom (erreur) sur carte de séjour / niveau de langue 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</si>
</sst>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€_-;\-* #,##0.00\ _€_-;_-* &quot;-&quot;??\ _€_-;_-@_-"/>
    <numFmt numFmtId="164" formatCode="00"/>
  </numFmts>
  <fonts count="55">
    <font>
      <sz val="11"/>
      <color theme="1"/>
      <name val="Calibri"/>
      <family val="2"/>
      <scheme val="minor"/>
    </font>
    <font>
      <sz val="10"/>
      <color rgb="FFFFFFFF"/>
      <name val="&amp;quot"/>
    </font>
    <font>
      <sz val="10"/>
      <color rgb="FF414856"/>
      <name val="&amp;quot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Times New Roman"/>
      <family val="1"/>
    </font>
    <font>
      <b/>
      <sz val="10"/>
      <color theme="1"/>
      <name val="Calibri"/>
      <family val="2"/>
      <scheme val="minor"/>
    </font>
    <font>
      <sz val="12"/>
      <name val="Times New Roman"/>
      <family val="1"/>
    </font>
    <font>
      <b/>
      <sz val="10"/>
      <color theme="0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59595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0"/>
      <name val="Verdana"/>
      <family val="2"/>
    </font>
    <font>
      <sz val="11"/>
      <color rgb="FFFF0000"/>
      <name val="Calibri"/>
      <family val="2"/>
      <scheme val="minor"/>
    </font>
    <font>
      <sz val="9"/>
      <color rgb="FF00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5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Euphemia"/>
      <family val="2"/>
    </font>
    <font>
      <sz val="11"/>
      <color theme="1"/>
      <name val="Calibri"/>
      <family val="2"/>
      <scheme val="minor"/>
    </font>
    <font>
      <b/>
      <sz val="9"/>
      <color rgb="FFFF0000"/>
      <name val="Arial"/>
      <family val="2"/>
    </font>
    <font>
      <sz val="11"/>
      <name val="Arial"/>
      <family val="2"/>
    </font>
    <font>
      <b/>
      <sz val="12"/>
      <name val="&amp;quot"/>
    </font>
    <font>
      <b/>
      <sz val="14"/>
      <name val="&amp;quot"/>
    </font>
    <font>
      <sz val="8"/>
      <name val="Arial"/>
      <family val="2"/>
    </font>
    <font>
      <sz val="10"/>
      <color rgb="FFFF0000"/>
      <name val="Arial"/>
      <family val="2"/>
    </font>
    <font>
      <b/>
      <sz val="12"/>
      <color theme="0"/>
      <name val="Arial"/>
      <family val="2"/>
    </font>
    <font>
      <b/>
      <sz val="10"/>
      <color rgb="FFFF0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theme="6" tint="-0.499984740745262"/>
      <name val="Arial"/>
      <family val="2"/>
    </font>
    <font>
      <sz val="10"/>
      <color rgb="FF333333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B6BA8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AA6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60497A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4" tint="-0.499984740745262"/>
        <bgColor theme="4" tint="0.79998168889431442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981C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0070C0"/>
        <bgColor rgb="FFFFFFFF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/>
      <bottom style="thick">
        <color theme="3"/>
      </bottom>
      <diagonal/>
    </border>
    <border>
      <left/>
      <right/>
      <top/>
      <bottom style="thin">
        <color indexed="64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 style="thin">
        <color indexed="64"/>
      </left>
      <right/>
      <top style="thick">
        <color theme="3"/>
      </top>
      <bottom/>
      <diagonal/>
    </border>
    <border>
      <left style="thick">
        <color rgb="FF002060"/>
      </left>
      <right style="thick">
        <color rgb="FF002060"/>
      </right>
      <top/>
      <bottom/>
      <diagonal/>
    </border>
    <border>
      <left style="medium">
        <color rgb="FF002060"/>
      </left>
      <right style="thick">
        <color rgb="FF002060"/>
      </right>
      <top/>
      <bottom/>
      <diagonal/>
    </border>
    <border>
      <left style="thick">
        <color theme="3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ck">
        <color rgb="FF002060"/>
      </left>
      <right style="thick">
        <color rgb="FF002060"/>
      </right>
      <top style="medium">
        <color rgb="FF002060"/>
      </top>
      <bottom style="thick">
        <color rgb="FF002060"/>
      </bottom>
      <diagonal/>
    </border>
    <border>
      <left style="medium">
        <color rgb="FF002060"/>
      </left>
      <right style="thick">
        <color rgb="FF002060"/>
      </right>
      <top style="medium">
        <color rgb="FF002060"/>
      </top>
      <bottom style="thick">
        <color rgb="FF002060"/>
      </bottom>
      <diagonal/>
    </border>
    <border>
      <left style="thick">
        <color theme="3"/>
      </left>
      <right style="thick">
        <color theme="3"/>
      </right>
      <top style="thick">
        <color theme="3"/>
      </top>
      <bottom/>
      <diagonal/>
    </border>
    <border>
      <left style="thick">
        <color theme="3"/>
      </left>
      <right style="thin">
        <color indexed="64"/>
      </right>
      <top style="thick">
        <color theme="3"/>
      </top>
      <bottom/>
      <diagonal/>
    </border>
    <border>
      <left style="thin">
        <color indexed="64"/>
      </left>
      <right style="thick">
        <color rgb="FF002060"/>
      </right>
      <top style="thick">
        <color theme="3"/>
      </top>
      <bottom/>
      <diagonal/>
    </border>
    <border>
      <left style="thick">
        <color theme="3"/>
      </left>
      <right style="thick">
        <color theme="3"/>
      </right>
      <top/>
      <bottom/>
      <diagonal/>
    </border>
    <border>
      <left style="thick">
        <color theme="3"/>
      </left>
      <right style="thin">
        <color indexed="64"/>
      </right>
      <top/>
      <bottom/>
      <diagonal/>
    </border>
    <border>
      <left style="thin">
        <color indexed="64"/>
      </left>
      <right style="thick">
        <color rgb="FF002060"/>
      </right>
      <top/>
      <bottom/>
      <diagonal/>
    </border>
    <border>
      <left style="thick">
        <color theme="3"/>
      </left>
      <right style="thick">
        <color theme="3"/>
      </right>
      <top/>
      <bottom style="thick">
        <color theme="3"/>
      </bottom>
      <diagonal/>
    </border>
    <border>
      <left style="thin">
        <color indexed="64"/>
      </left>
      <right style="thick">
        <color rgb="FF002060"/>
      </right>
      <top/>
      <bottom style="thick">
        <color theme="3"/>
      </bottom>
      <diagonal/>
    </border>
    <border>
      <left style="thick">
        <color rgb="FF002060"/>
      </left>
      <right/>
      <top/>
      <bottom/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2060"/>
      </left>
      <right style="thick">
        <color rgb="FF002060"/>
      </right>
      <top style="thin">
        <color indexed="64"/>
      </top>
      <bottom style="thick">
        <color rgb="FF002060"/>
      </bottom>
      <diagonal/>
    </border>
    <border>
      <left/>
      <right/>
      <top style="thick">
        <color theme="3"/>
      </top>
      <bottom/>
      <diagonal/>
    </border>
    <border>
      <left style="thick">
        <color theme="3"/>
      </left>
      <right style="thin">
        <color indexed="64"/>
      </right>
      <top/>
      <bottom style="thick">
        <color theme="3"/>
      </bottom>
      <diagonal/>
    </border>
    <border>
      <left style="thick">
        <color rgb="FF1F497D"/>
      </left>
      <right style="thick">
        <color rgb="FF002060"/>
      </right>
      <top style="thick">
        <color rgb="FF1F497D"/>
      </top>
      <bottom style="thick">
        <color rgb="FF1F497D"/>
      </bottom>
      <diagonal/>
    </border>
    <border>
      <left style="thick">
        <color rgb="FF002060"/>
      </left>
      <right/>
      <top style="thick">
        <color rgb="FF1F497D"/>
      </top>
      <bottom style="thick">
        <color rgb="FF1F497D"/>
      </bottom>
      <diagonal/>
    </border>
    <border>
      <left/>
      <right style="thin">
        <color indexed="64"/>
      </right>
      <top style="thin">
        <color rgb="FF9BC2E6"/>
      </top>
      <bottom/>
      <diagonal/>
    </border>
    <border>
      <left style="thick">
        <color rgb="FF002060"/>
      </left>
      <right style="thick">
        <color rgb="FF002060"/>
      </right>
      <top style="thick">
        <color theme="3"/>
      </top>
      <bottom/>
      <diagonal/>
    </border>
    <border>
      <left/>
      <right style="thin">
        <color indexed="64"/>
      </right>
      <top/>
      <bottom style="thin">
        <color rgb="FF9BC2E6"/>
      </bottom>
      <diagonal/>
    </border>
    <border>
      <left style="thick">
        <color rgb="FF002060"/>
      </left>
      <right style="thick">
        <color rgb="FF002060"/>
      </right>
      <top/>
      <bottom style="thick">
        <color theme="3"/>
      </bottom>
      <diagonal/>
    </border>
    <border>
      <left/>
      <right/>
      <top style="thin">
        <color rgb="FF9BC2E6"/>
      </top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 style="medium">
        <color rgb="FF002060"/>
      </left>
      <right style="thick">
        <color rgb="FF002060"/>
      </right>
      <top style="medium">
        <color rgb="FF002060"/>
      </top>
      <bottom/>
      <diagonal/>
    </border>
    <border>
      <left style="thick">
        <color theme="3"/>
      </left>
      <right style="thick">
        <color theme="3"/>
      </right>
      <top style="thick">
        <color theme="3" tint="-0.499984740745262"/>
      </top>
      <bottom/>
      <diagonal/>
    </border>
    <border>
      <left style="thin">
        <color indexed="64"/>
      </left>
      <right/>
      <top style="thin">
        <color rgb="FF9BC2E6"/>
      </top>
      <bottom/>
      <diagonal/>
    </border>
    <border>
      <left style="thick">
        <color rgb="FF002060"/>
      </left>
      <right style="thick">
        <color rgb="FF002060"/>
      </right>
      <top style="thick">
        <color theme="3" tint="-0.249977111117893"/>
      </top>
      <bottom style="thick">
        <color theme="3" tint="-0.249977111117893"/>
      </bottom>
      <diagonal/>
    </border>
    <border>
      <left style="medium">
        <color rgb="FF002060"/>
      </left>
      <right style="thick">
        <color rgb="FF002060"/>
      </right>
      <top/>
      <bottom style="thick">
        <color rgb="FF00206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6" fillId="0" borderId="0"/>
    <xf numFmtId="43" fontId="41" fillId="0" borderId="0" applyFont="0" applyFill="0" applyBorder="0" applyAlignment="0" applyProtection="0"/>
  </cellStyleXfs>
  <cellXfs count="664">
    <xf numFmtId="0" fontId="0" fillId="0" borderId="0" xfId="0"/>
    <xf numFmtId="0" fontId="1" fillId="4" borderId="9" xfId="0" applyFont="1" applyFill="1" applyBorder="1" applyAlignment="1">
      <alignment horizontal="left" vertical="center" wrapText="1"/>
    </xf>
    <xf numFmtId="0" fontId="2" fillId="5" borderId="10" xfId="0" applyFont="1" applyFill="1" applyBorder="1" applyAlignment="1">
      <alignment vertical="center" wrapText="1"/>
    </xf>
    <xf numFmtId="0" fontId="2" fillId="5" borderId="11" xfId="0" applyFont="1" applyFill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5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1" fillId="4" borderId="12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6" borderId="0" xfId="0" applyFont="1" applyFill="1"/>
    <xf numFmtId="0" fontId="4" fillId="0" borderId="0" xfId="0" applyFont="1"/>
    <xf numFmtId="0" fontId="9" fillId="6" borderId="0" xfId="0" applyFont="1" applyFill="1" applyAlignment="1">
      <alignment horizontal="center" vertical="center" wrapText="1"/>
    </xf>
    <xf numFmtId="0" fontId="9" fillId="7" borderId="0" xfId="0" quotePrefix="1" applyFont="1" applyFill="1" applyAlignment="1">
      <alignment horizontal="center" vertical="center" wrapText="1"/>
    </xf>
    <xf numFmtId="164" fontId="10" fillId="7" borderId="0" xfId="0" quotePrefix="1" applyNumberFormat="1" applyFont="1" applyFill="1" applyAlignment="1">
      <alignment horizontal="center" vertical="center" wrapText="1"/>
    </xf>
    <xf numFmtId="0" fontId="9" fillId="7" borderId="14" xfId="0" quotePrefix="1" applyFont="1" applyFill="1" applyBorder="1" applyAlignment="1">
      <alignment horizontal="center" vertical="center" wrapText="1"/>
    </xf>
    <xf numFmtId="0" fontId="9" fillId="7" borderId="15" xfId="0" quotePrefix="1" applyFont="1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vertical="center" wrapText="1"/>
    </xf>
    <xf numFmtId="0" fontId="3" fillId="10" borderId="19" xfId="0" applyFont="1" applyFill="1" applyBorder="1" applyAlignment="1">
      <alignment horizontal="left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11" borderId="22" xfId="0" applyFont="1" applyFill="1" applyBorder="1" applyAlignment="1">
      <alignment vertical="center" wrapText="1"/>
    </xf>
    <xf numFmtId="0" fontId="3" fillId="11" borderId="23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vertical="center"/>
    </xf>
    <xf numFmtId="0" fontId="9" fillId="13" borderId="28" xfId="0" applyFont="1" applyFill="1" applyBorder="1" applyAlignment="1">
      <alignment horizontal="center" vertical="center" wrapText="1"/>
    </xf>
    <xf numFmtId="0" fontId="3" fillId="10" borderId="32" xfId="0" applyFont="1" applyFill="1" applyBorder="1" applyAlignment="1">
      <alignment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7" fillId="10" borderId="33" xfId="0" applyFont="1" applyFill="1" applyBorder="1" applyAlignment="1">
      <alignment horizontal="center" vertical="center" wrapText="1"/>
    </xf>
    <xf numFmtId="0" fontId="3" fillId="11" borderId="34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4" fillId="17" borderId="37" xfId="0" applyFont="1" applyFill="1" applyBorder="1" applyAlignment="1">
      <alignment horizontal="center" vertical="center" wrapText="1"/>
    </xf>
    <xf numFmtId="0" fontId="15" fillId="18" borderId="37" xfId="0" applyFont="1" applyFill="1" applyBorder="1" applyAlignment="1">
      <alignment vertical="center" wrapText="1"/>
    </xf>
    <xf numFmtId="0" fontId="15" fillId="18" borderId="38" xfId="0" applyFont="1" applyFill="1" applyBorder="1" applyAlignment="1">
      <alignment horizontal="center" vertical="center" textRotation="90" wrapText="1"/>
    </xf>
    <xf numFmtId="0" fontId="3" fillId="19" borderId="19" xfId="0" applyFont="1" applyFill="1" applyBorder="1" applyAlignment="1">
      <alignment horizontal="left" vertical="center" wrapText="1"/>
    </xf>
    <xf numFmtId="0" fontId="16" fillId="20" borderId="8" xfId="0" applyFont="1" applyFill="1" applyBorder="1" applyAlignment="1">
      <alignment horizontal="center" vertical="center" wrapText="1"/>
    </xf>
    <xf numFmtId="0" fontId="7" fillId="11" borderId="22" xfId="0" applyFont="1" applyFill="1" applyBorder="1" applyAlignment="1">
      <alignment vertical="center" wrapText="1"/>
    </xf>
    <xf numFmtId="0" fontId="7" fillId="11" borderId="23" xfId="0" applyFont="1" applyFill="1" applyBorder="1" applyAlignment="1">
      <alignment horizontal="left" vertical="center" wrapText="1"/>
    </xf>
    <xf numFmtId="0" fontId="17" fillId="0" borderId="0" xfId="0" applyFont="1"/>
    <xf numFmtId="0" fontId="13" fillId="0" borderId="0" xfId="0" applyFont="1"/>
    <xf numFmtId="0" fontId="3" fillId="11" borderId="45" xfId="0" applyFont="1" applyFill="1" applyBorder="1" applyAlignment="1">
      <alignment horizontal="left" vertical="center" wrapText="1"/>
    </xf>
    <xf numFmtId="0" fontId="3" fillId="10" borderId="46" xfId="0" applyFont="1" applyFill="1" applyBorder="1" applyAlignment="1">
      <alignment horizontal="left" vertical="center" wrapText="1"/>
    </xf>
    <xf numFmtId="0" fontId="3" fillId="11" borderId="48" xfId="0" applyFont="1" applyFill="1" applyBorder="1" applyAlignment="1">
      <alignment horizontal="left" vertical="center" wrapText="1"/>
    </xf>
    <xf numFmtId="0" fontId="3" fillId="10" borderId="48" xfId="0" applyFont="1" applyFill="1" applyBorder="1" applyAlignment="1">
      <alignment horizontal="left" vertical="center" wrapText="1"/>
    </xf>
    <xf numFmtId="0" fontId="3" fillId="11" borderId="49" xfId="0" applyFont="1" applyFill="1" applyBorder="1" applyAlignment="1">
      <alignment horizontal="left" vertical="center" wrapText="1"/>
    </xf>
    <xf numFmtId="164" fontId="5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19" fillId="0" borderId="0" xfId="0" applyFont="1" applyFill="1" applyAlignment="1">
      <alignment horizontal="center"/>
    </xf>
    <xf numFmtId="0" fontId="26" fillId="3" borderId="0" xfId="0" applyFont="1" applyFill="1" applyAlignment="1">
      <alignment horizontal="center"/>
    </xf>
    <xf numFmtId="0" fontId="27" fillId="0" borderId="0" xfId="0" applyFont="1" applyAlignment="1"/>
    <xf numFmtId="14" fontId="27" fillId="0" borderId="0" xfId="0" applyNumberFormat="1" applyFont="1" applyAlignment="1"/>
    <xf numFmtId="14" fontId="28" fillId="0" borderId="0" xfId="0" applyNumberFormat="1" applyFont="1" applyAlignment="1"/>
    <xf numFmtId="14" fontId="26" fillId="3" borderId="0" xfId="0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49" fontId="25" fillId="0" borderId="0" xfId="0" applyNumberFormat="1" applyFont="1" applyAlignment="1"/>
    <xf numFmtId="49" fontId="25" fillId="3" borderId="0" xfId="0" applyNumberFormat="1" applyFont="1" applyFill="1" applyAlignment="1"/>
    <xf numFmtId="49" fontId="25" fillId="0" borderId="0" xfId="0" applyNumberFormat="1" applyFont="1" applyAlignment="1">
      <alignment horizontal="center"/>
    </xf>
    <xf numFmtId="49" fontId="25" fillId="0" borderId="0" xfId="0" applyNumberFormat="1" applyFont="1" applyAlignment="1">
      <alignment horizontal="left"/>
    </xf>
    <xf numFmtId="0" fontId="26" fillId="0" borderId="0" xfId="0" applyFont="1" applyAlignment="1">
      <alignment horizontal="center"/>
    </xf>
    <xf numFmtId="14" fontId="30" fillId="0" borderId="0" xfId="0" applyNumberFormat="1" applyFont="1" applyAlignment="1">
      <alignment horizontal="center"/>
    </xf>
    <xf numFmtId="0" fontId="26" fillId="0" borderId="0" xfId="0" applyFont="1" applyAlignment="1">
      <alignment horizontal="left"/>
    </xf>
    <xf numFmtId="0" fontId="0" fillId="0" borderId="1" xfId="0" applyBorder="1"/>
    <xf numFmtId="0" fontId="19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31" fillId="24" borderId="1" xfId="0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8" borderId="0" xfId="0" applyFill="1"/>
    <xf numFmtId="0" fontId="0" fillId="28" borderId="1" xfId="0" applyFill="1" applyBorder="1" applyAlignment="1">
      <alignment horizontal="center" vertical="center"/>
    </xf>
    <xf numFmtId="0" fontId="0" fillId="28" borderId="1" xfId="0" applyFill="1" applyBorder="1" applyAlignment="1">
      <alignment wrapText="1"/>
    </xf>
    <xf numFmtId="0" fontId="0" fillId="28" borderId="1" xfId="0" applyFill="1" applyBorder="1"/>
    <xf numFmtId="0" fontId="0" fillId="0" borderId="0" xfId="0" applyFill="1"/>
    <xf numFmtId="0" fontId="0" fillId="29" borderId="1" xfId="0" applyFill="1" applyBorder="1" applyAlignment="1">
      <alignment horizontal="center" vertical="center" wrapText="1"/>
    </xf>
    <xf numFmtId="14" fontId="23" fillId="28" borderId="1" xfId="0" applyNumberFormat="1" applyFont="1" applyFill="1" applyBorder="1" applyAlignment="1">
      <alignment horizontal="center" vertical="center" wrapText="1"/>
    </xf>
    <xf numFmtId="0" fontId="31" fillId="24" borderId="1" xfId="0" applyFont="1" applyFill="1" applyBorder="1" applyAlignment="1">
      <alignment horizontal="center" vertical="center" wrapText="1"/>
    </xf>
    <xf numFmtId="0" fontId="32" fillId="8" borderId="1" xfId="0" applyFont="1" applyFill="1" applyBorder="1"/>
    <xf numFmtId="14" fontId="32" fillId="8" borderId="1" xfId="0" applyNumberFormat="1" applyFont="1" applyFill="1" applyBorder="1"/>
    <xf numFmtId="0" fontId="32" fillId="8" borderId="0" xfId="0" applyFont="1" applyFill="1"/>
    <xf numFmtId="0" fontId="0" fillId="8" borderId="1" xfId="0" applyFill="1" applyBorder="1"/>
    <xf numFmtId="14" fontId="0" fillId="8" borderId="1" xfId="0" applyNumberFormat="1" applyFill="1" applyBorder="1"/>
    <xf numFmtId="0" fontId="0" fillId="8" borderId="0" xfId="0" applyFill="1"/>
    <xf numFmtId="0" fontId="25" fillId="3" borderId="0" xfId="0" applyFont="1" applyFill="1" applyAlignment="1">
      <alignment horizontal="center"/>
    </xf>
    <xf numFmtId="0" fontId="35" fillId="0" borderId="0" xfId="0" applyFont="1"/>
    <xf numFmtId="0" fontId="0" fillId="27" borderId="1" xfId="0" applyFill="1" applyBorder="1" applyAlignment="1">
      <alignment horizontal="center" vertical="center" wrapText="1"/>
    </xf>
    <xf numFmtId="0" fontId="0" fillId="34" borderId="1" xfId="0" applyFill="1" applyBorder="1" applyAlignment="1">
      <alignment horizontal="center" vertical="center" wrapText="1"/>
    </xf>
    <xf numFmtId="0" fontId="34" fillId="35" borderId="1" xfId="0" applyFont="1" applyFill="1" applyBorder="1" applyAlignment="1">
      <alignment horizontal="center" vertical="center" wrapText="1"/>
    </xf>
    <xf numFmtId="0" fontId="36" fillId="27" borderId="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49" fontId="26" fillId="0" borderId="0" xfId="0" applyNumberFormat="1" applyFont="1" applyAlignment="1">
      <alignment horizontal="center"/>
    </xf>
    <xf numFmtId="0" fontId="0" fillId="24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2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31" fillId="34" borderId="1" xfId="0" applyFont="1" applyFill="1" applyBorder="1" applyAlignment="1">
      <alignment horizontal="center" vertical="center" wrapText="1"/>
    </xf>
    <xf numFmtId="14" fontId="39" fillId="0" borderId="1" xfId="0" applyNumberFormat="1" applyFont="1" applyBorder="1"/>
    <xf numFmtId="0" fontId="7" fillId="34" borderId="1" xfId="0" applyFont="1" applyFill="1" applyBorder="1" applyAlignment="1">
      <alignment horizontal="center" vertical="center" wrapText="1"/>
    </xf>
    <xf numFmtId="14" fontId="0" fillId="0" borderId="1" xfId="0" applyNumberFormat="1" applyFont="1" applyBorder="1"/>
    <xf numFmtId="0" fontId="4" fillId="0" borderId="1" xfId="0" applyFont="1" applyBorder="1"/>
    <xf numFmtId="14" fontId="5" fillId="8" borderId="1" xfId="0" applyNumberFormat="1" applyFont="1" applyFill="1" applyBorder="1"/>
    <xf numFmtId="14" fontId="4" fillId="8" borderId="1" xfId="0" applyNumberFormat="1" applyFont="1" applyFill="1" applyBorder="1"/>
    <xf numFmtId="14" fontId="4" fillId="0" borderId="1" xfId="0" applyNumberFormat="1" applyFont="1" applyBorder="1"/>
    <xf numFmtId="0" fontId="31" fillId="29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/>
    <xf numFmtId="14" fontId="20" fillId="28" borderId="1" xfId="0" applyNumberFormat="1" applyFont="1" applyFill="1" applyBorder="1"/>
    <xf numFmtId="0" fontId="0" fillId="28" borderId="0" xfId="0" applyFill="1" applyBorder="1"/>
    <xf numFmtId="14" fontId="0" fillId="28" borderId="1" xfId="0" applyNumberFormat="1" applyFill="1" applyBorder="1"/>
    <xf numFmtId="0" fontId="32" fillId="0" borderId="1" xfId="0" applyFont="1" applyFill="1" applyBorder="1"/>
    <xf numFmtId="0" fontId="32" fillId="0" borderId="1" xfId="0" applyFont="1" applyFill="1" applyBorder="1" applyAlignment="1">
      <alignment horizontal="center"/>
    </xf>
    <xf numFmtId="14" fontId="5" fillId="0" borderId="1" xfId="0" applyNumberFormat="1" applyFont="1" applyFill="1" applyBorder="1"/>
    <xf numFmtId="14" fontId="32" fillId="0" borderId="1" xfId="0" applyNumberFormat="1" applyFont="1" applyFill="1" applyBorder="1"/>
    <xf numFmtId="0" fontId="32" fillId="0" borderId="0" xfId="0" applyFont="1" applyFill="1"/>
    <xf numFmtId="0" fontId="31" fillId="37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left" vertical="center"/>
    </xf>
    <xf numFmtId="14" fontId="24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/>
    <xf numFmtId="0" fontId="24" fillId="0" borderId="1" xfId="0" applyFont="1" applyFill="1" applyBorder="1" applyAlignment="1">
      <alignment wrapText="1"/>
    </xf>
    <xf numFmtId="0" fontId="24" fillId="0" borderId="0" xfId="0" applyFont="1" applyFill="1"/>
    <xf numFmtId="0" fontId="21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2" xfId="0" applyBorder="1"/>
    <xf numFmtId="0" fontId="0" fillId="0" borderId="1" xfId="0" applyFill="1" applyBorder="1"/>
    <xf numFmtId="0" fontId="32" fillId="28" borderId="1" xfId="0" applyFont="1" applyFill="1" applyBorder="1"/>
    <xf numFmtId="0" fontId="0" fillId="30" borderId="1" xfId="0" applyFill="1" applyBorder="1" applyAlignment="1">
      <alignment horizontal="center" vertical="center"/>
    </xf>
    <xf numFmtId="14" fontId="0" fillId="30" borderId="1" xfId="0" applyNumberFormat="1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horizontal="center" vertical="center" wrapText="1"/>
    </xf>
    <xf numFmtId="0" fontId="7" fillId="30" borderId="1" xfId="0" applyFont="1" applyFill="1" applyBorder="1" applyAlignment="1">
      <alignment horizontal="center" vertical="center" wrapText="1"/>
    </xf>
    <xf numFmtId="0" fontId="34" fillId="30" borderId="1" xfId="0" applyFont="1" applyFill="1" applyBorder="1" applyAlignment="1">
      <alignment horizontal="center" vertical="center" wrapText="1"/>
    </xf>
    <xf numFmtId="0" fontId="31" fillId="30" borderId="0" xfId="0" applyFont="1" applyFill="1" applyBorder="1" applyAlignment="1">
      <alignment horizontal="center" vertical="center" wrapText="1"/>
    </xf>
    <xf numFmtId="0" fontId="0" fillId="30" borderId="0" xfId="0" applyFill="1" applyAlignment="1">
      <alignment horizontal="center" vertical="center" wrapText="1"/>
    </xf>
    <xf numFmtId="0" fontId="32" fillId="30" borderId="1" xfId="0" applyFont="1" applyFill="1" applyBorder="1" applyAlignment="1">
      <alignment horizontal="center"/>
    </xf>
    <xf numFmtId="14" fontId="7" fillId="30" borderId="1" xfId="0" applyNumberFormat="1" applyFont="1" applyFill="1" applyBorder="1" applyAlignment="1">
      <alignment horizontal="center" vertical="center" wrapText="1"/>
    </xf>
    <xf numFmtId="14" fontId="32" fillId="30" borderId="1" xfId="0" applyNumberFormat="1" applyFont="1" applyFill="1" applyBorder="1"/>
    <xf numFmtId="14" fontId="0" fillId="30" borderId="1" xfId="0" applyNumberFormat="1" applyFill="1" applyBorder="1" applyAlignment="1">
      <alignment horizontal="center" vertical="center" wrapText="1"/>
    </xf>
    <xf numFmtId="0" fontId="24" fillId="0" borderId="1" xfId="0" applyFont="1" applyFill="1" applyBorder="1"/>
    <xf numFmtId="0" fontId="22" fillId="0" borderId="1" xfId="0" applyFont="1" applyFill="1" applyBorder="1" applyAlignment="1">
      <alignment wrapText="1"/>
    </xf>
    <xf numFmtId="0" fontId="22" fillId="0" borderId="1" xfId="0" applyFont="1" applyFill="1" applyBorder="1"/>
    <xf numFmtId="0" fontId="40" fillId="0" borderId="0" xfId="0" applyFont="1"/>
    <xf numFmtId="0" fontId="25" fillId="31" borderId="54" xfId="0" applyFont="1" applyFill="1" applyBorder="1" applyAlignment="1">
      <alignment horizontal="center"/>
    </xf>
    <xf numFmtId="0" fontId="25" fillId="27" borderId="3" xfId="0" applyFont="1" applyFill="1" applyBorder="1" applyAlignment="1">
      <alignment horizontal="center"/>
    </xf>
    <xf numFmtId="0" fontId="25" fillId="29" borderId="68" xfId="0" applyFont="1" applyFill="1" applyBorder="1" applyAlignment="1">
      <alignment horizontal="center"/>
    </xf>
    <xf numFmtId="14" fontId="27" fillId="0" borderId="61" xfId="0" applyNumberFormat="1" applyFont="1" applyFill="1" applyBorder="1" applyAlignment="1"/>
    <xf numFmtId="0" fontId="27" fillId="0" borderId="61" xfId="0" applyFont="1" applyFill="1" applyBorder="1" applyAlignment="1"/>
    <xf numFmtId="0" fontId="27" fillId="0" borderId="64" xfId="0" applyFont="1" applyFill="1" applyBorder="1" applyAlignment="1">
      <alignment horizontal="center"/>
    </xf>
    <xf numFmtId="0" fontId="22" fillId="22" borderId="50" xfId="0" applyFont="1" applyFill="1" applyBorder="1" applyAlignment="1">
      <alignment horizontal="left" vertical="center" wrapText="1"/>
    </xf>
    <xf numFmtId="0" fontId="22" fillId="39" borderId="50" xfId="0" applyFont="1" applyFill="1" applyBorder="1" applyAlignment="1">
      <alignment horizontal="left" vertical="center" wrapText="1"/>
    </xf>
    <xf numFmtId="0" fontId="21" fillId="3" borderId="5" xfId="0" applyFont="1" applyFill="1" applyBorder="1" applyAlignment="1">
      <alignment horizontal="center" vertical="center"/>
    </xf>
    <xf numFmtId="0" fontId="22" fillId="0" borderId="51" xfId="0" applyFont="1" applyFill="1" applyBorder="1" applyAlignment="1">
      <alignment horizontal="left" wrapText="1"/>
    </xf>
    <xf numFmtId="0" fontId="22" fillId="22" borderId="51" xfId="0" applyFont="1" applyFill="1" applyBorder="1" applyAlignment="1">
      <alignment horizontal="center"/>
    </xf>
    <xf numFmtId="0" fontId="22" fillId="0" borderId="5" xfId="0" applyFont="1" applyFill="1" applyBorder="1" applyAlignment="1">
      <alignment horizontal="left"/>
    </xf>
    <xf numFmtId="0" fontId="22" fillId="22" borderId="50" xfId="0" applyFont="1" applyFill="1" applyBorder="1" applyAlignment="1">
      <alignment horizontal="left" wrapText="1"/>
    </xf>
    <xf numFmtId="14" fontId="22" fillId="22" borderId="51" xfId="0" applyNumberFormat="1" applyFont="1" applyFill="1" applyBorder="1" applyAlignment="1">
      <alignment horizontal="left"/>
    </xf>
    <xf numFmtId="0" fontId="22" fillId="38" borderId="1" xfId="0" applyFont="1" applyFill="1" applyBorder="1" applyAlignment="1">
      <alignment horizontal="left" vertical="center" wrapText="1"/>
    </xf>
    <xf numFmtId="0" fontId="22" fillId="38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/>
    </xf>
    <xf numFmtId="0" fontId="19" fillId="31" borderId="1" xfId="0" applyFont="1" applyFill="1" applyBorder="1" applyAlignment="1">
      <alignment horizontal="center" vertical="center" wrapText="1"/>
    </xf>
    <xf numFmtId="0" fontId="24" fillId="31" borderId="1" xfId="0" applyFont="1" applyFill="1" applyBorder="1" applyAlignment="1">
      <alignment horizontal="center" vertical="center" wrapText="1"/>
    </xf>
    <xf numFmtId="0" fontId="22" fillId="39" borderId="51" xfId="0" applyFont="1" applyFill="1" applyBorder="1" applyAlignment="1">
      <alignment horizontal="left" wrapText="1"/>
    </xf>
    <xf numFmtId="0" fontId="19" fillId="29" borderId="1" xfId="0" applyFont="1" applyFill="1" applyBorder="1" applyAlignment="1">
      <alignment horizontal="center" vertical="center" wrapText="1"/>
    </xf>
    <xf numFmtId="0" fontId="24" fillId="29" borderId="1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/>
    </xf>
    <xf numFmtId="0" fontId="22" fillId="0" borderId="51" xfId="0" applyFont="1" applyFill="1" applyBorder="1" applyAlignment="1">
      <alignment horizontal="center"/>
    </xf>
    <xf numFmtId="0" fontId="22" fillId="0" borderId="50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left" vertical="center" wrapText="1"/>
    </xf>
    <xf numFmtId="0" fontId="21" fillId="0" borderId="1" xfId="0" applyFont="1" applyFill="1" applyBorder="1" applyAlignment="1">
      <alignment horizontal="left" vertical="center" wrapText="1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left" vertical="center"/>
    </xf>
    <xf numFmtId="0" fontId="21" fillId="0" borderId="1" xfId="0" applyFont="1" applyFill="1" applyBorder="1" applyAlignment="1">
      <alignment horizontal="center" vertical="center"/>
    </xf>
    <xf numFmtId="0" fontId="43" fillId="0" borderId="0" xfId="0" applyFont="1"/>
    <xf numFmtId="0" fontId="43" fillId="3" borderId="0" xfId="0" applyFont="1" applyFill="1"/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22" fillId="22" borderId="0" xfId="0" applyFont="1" applyFill="1" applyBorder="1" applyAlignment="1">
      <alignment horizontal="left" vertical="center" wrapText="1"/>
    </xf>
    <xf numFmtId="0" fontId="43" fillId="3" borderId="0" xfId="0" applyFont="1" applyFill="1" applyAlignment="1">
      <alignment horizontal="center"/>
    </xf>
    <xf numFmtId="14" fontId="43" fillId="3" borderId="0" xfId="0" applyNumberFormat="1" applyFont="1" applyFill="1" applyAlignment="1">
      <alignment horizontal="center"/>
    </xf>
    <xf numFmtId="0" fontId="43" fillId="0" borderId="0" xfId="0" applyFont="1" applyAlignment="1">
      <alignment wrapText="1"/>
    </xf>
    <xf numFmtId="49" fontId="25" fillId="0" borderId="0" xfId="0" applyNumberFormat="1" applyFont="1" applyFill="1" applyAlignment="1"/>
    <xf numFmtId="0" fontId="44" fillId="4" borderId="62" xfId="0" applyFont="1" applyFill="1" applyBorder="1" applyAlignment="1">
      <alignment horizontal="center" vertical="center" wrapText="1"/>
    </xf>
    <xf numFmtId="0" fontId="43" fillId="0" borderId="0" xfId="0" applyFont="1" applyBorder="1"/>
    <xf numFmtId="0" fontId="22" fillId="0" borderId="15" xfId="0" applyFont="1" applyBorder="1"/>
    <xf numFmtId="0" fontId="22" fillId="0" borderId="0" xfId="0" applyFont="1"/>
    <xf numFmtId="0" fontId="22" fillId="0" borderId="50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left" vertical="center"/>
    </xf>
    <xf numFmtId="14" fontId="21" fillId="0" borderId="50" xfId="3" applyNumberFormat="1" applyFont="1" applyFill="1" applyBorder="1" applyAlignment="1">
      <alignment horizontal="center" vertical="center" wrapText="1"/>
    </xf>
    <xf numFmtId="14" fontId="24" fillId="0" borderId="7" xfId="0" applyNumberFormat="1" applyFont="1" applyFill="1" applyBorder="1" applyAlignment="1">
      <alignment horizontal="center" vertical="center" wrapText="1"/>
    </xf>
    <xf numFmtId="0" fontId="24" fillId="0" borderId="7" xfId="0" applyFont="1" applyFill="1" applyBorder="1" applyAlignment="1">
      <alignment horizontal="left" vertical="center" wrapText="1"/>
    </xf>
    <xf numFmtId="0" fontId="24" fillId="0" borderId="7" xfId="0" applyFont="1" applyFill="1" applyBorder="1" applyAlignment="1">
      <alignment horizontal="center" vertical="center" wrapText="1"/>
    </xf>
    <xf numFmtId="0" fontId="24" fillId="0" borderId="7" xfId="0" applyFont="1" applyFill="1" applyBorder="1" applyAlignment="1">
      <alignment horizontal="center"/>
    </xf>
    <xf numFmtId="0" fontId="24" fillId="0" borderId="7" xfId="0" applyFont="1" applyFill="1" applyBorder="1" applyAlignment="1">
      <alignment horizontal="left"/>
    </xf>
    <xf numFmtId="0" fontId="24" fillId="0" borderId="7" xfId="0" applyFont="1" applyFill="1" applyBorder="1" applyAlignment="1"/>
    <xf numFmtId="0" fontId="24" fillId="0" borderId="7" xfId="0" applyFont="1" applyFill="1" applyBorder="1" applyAlignment="1">
      <alignment wrapText="1"/>
    </xf>
    <xf numFmtId="0" fontId="24" fillId="0" borderId="1" xfId="0" applyFont="1" applyFill="1" applyBorder="1" applyAlignment="1">
      <alignment horizontal="center"/>
    </xf>
    <xf numFmtId="14" fontId="24" fillId="0" borderId="1" xfId="0" applyNumberFormat="1" applyFont="1" applyFill="1" applyBorder="1" applyAlignment="1"/>
    <xf numFmtId="0" fontId="22" fillId="38" borderId="50" xfId="0" applyFont="1" applyFill="1" applyBorder="1" applyAlignment="1">
      <alignment horizontal="left" vertical="center" wrapText="1"/>
    </xf>
    <xf numFmtId="0" fontId="22" fillId="38" borderId="50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left" vertical="center"/>
    </xf>
    <xf numFmtId="0" fontId="22" fillId="8" borderId="5" xfId="0" applyFont="1" applyFill="1" applyBorder="1" applyAlignment="1">
      <alignment horizontal="left" vertical="center"/>
    </xf>
    <xf numFmtId="0" fontId="21" fillId="29" borderId="5" xfId="0" applyFont="1" applyFill="1" applyBorder="1" applyAlignment="1">
      <alignment horizontal="center" vertical="center"/>
    </xf>
    <xf numFmtId="0" fontId="22" fillId="29" borderId="50" xfId="0" applyFont="1" applyFill="1" applyBorder="1" applyAlignment="1">
      <alignment horizontal="left" vertical="center" wrapText="1"/>
    </xf>
    <xf numFmtId="0" fontId="22" fillId="29" borderId="50" xfId="0" applyFont="1" applyFill="1" applyBorder="1" applyAlignment="1">
      <alignment horizontal="center" vertical="center"/>
    </xf>
    <xf numFmtId="0" fontId="22" fillId="29" borderId="5" xfId="0" applyFont="1" applyFill="1" applyBorder="1" applyAlignment="1">
      <alignment horizontal="left" vertical="center"/>
    </xf>
    <xf numFmtId="14" fontId="24" fillId="29" borderId="7" xfId="0" applyNumberFormat="1" applyFont="1" applyFill="1" applyBorder="1" applyAlignment="1">
      <alignment horizontal="center" vertical="center" wrapText="1"/>
    </xf>
    <xf numFmtId="0" fontId="24" fillId="29" borderId="1" xfId="0" applyFont="1" applyFill="1" applyBorder="1" applyAlignment="1">
      <alignment horizontal="center"/>
    </xf>
    <xf numFmtId="0" fontId="24" fillId="29" borderId="7" xfId="0" applyFont="1" applyFill="1" applyBorder="1" applyAlignment="1">
      <alignment horizontal="center"/>
    </xf>
    <xf numFmtId="0" fontId="24" fillId="29" borderId="7" xfId="0" applyFont="1" applyFill="1" applyBorder="1" applyAlignment="1">
      <alignment horizontal="left"/>
    </xf>
    <xf numFmtId="0" fontId="24" fillId="29" borderId="1" xfId="0" applyFont="1" applyFill="1" applyBorder="1" applyAlignment="1"/>
    <xf numFmtId="14" fontId="24" fillId="29" borderId="1" xfId="0" applyNumberFormat="1" applyFont="1" applyFill="1" applyBorder="1" applyAlignment="1">
      <alignment horizontal="center" vertical="center" wrapText="1"/>
    </xf>
    <xf numFmtId="0" fontId="24" fillId="29" borderId="1" xfId="0" applyFont="1" applyFill="1" applyBorder="1" applyAlignment="1">
      <alignment wrapText="1"/>
    </xf>
    <xf numFmtId="0" fontId="24" fillId="29" borderId="0" xfId="0" applyFont="1" applyFill="1"/>
    <xf numFmtId="0" fontId="21" fillId="31" borderId="5" xfId="0" applyFont="1" applyFill="1" applyBorder="1" applyAlignment="1">
      <alignment horizontal="center" vertical="center"/>
    </xf>
    <xf numFmtId="0" fontId="22" fillId="39" borderId="50" xfId="0" applyFont="1" applyFill="1" applyBorder="1" applyAlignment="1">
      <alignment horizontal="center" vertical="center"/>
    </xf>
    <xf numFmtId="0" fontId="22" fillId="31" borderId="5" xfId="0" applyFont="1" applyFill="1" applyBorder="1" applyAlignment="1">
      <alignment horizontal="left" vertical="center"/>
    </xf>
    <xf numFmtId="0" fontId="24" fillId="31" borderId="1" xfId="0" applyFont="1" applyFill="1" applyBorder="1" applyAlignment="1"/>
    <xf numFmtId="14" fontId="24" fillId="31" borderId="7" xfId="0" applyNumberFormat="1" applyFont="1" applyFill="1" applyBorder="1" applyAlignment="1">
      <alignment horizontal="center" vertical="center" wrapText="1"/>
    </xf>
    <xf numFmtId="0" fontId="24" fillId="31" borderId="1" xfId="0" applyFont="1" applyFill="1" applyBorder="1" applyAlignment="1">
      <alignment horizontal="center"/>
    </xf>
    <xf numFmtId="0" fontId="24" fillId="31" borderId="7" xfId="0" applyFont="1" applyFill="1" applyBorder="1" applyAlignment="1">
      <alignment horizontal="center"/>
    </xf>
    <xf numFmtId="0" fontId="24" fillId="31" borderId="7" xfId="0" applyFont="1" applyFill="1" applyBorder="1" applyAlignment="1">
      <alignment horizontal="left"/>
    </xf>
    <xf numFmtId="14" fontId="24" fillId="31" borderId="1" xfId="0" applyNumberFormat="1" applyFont="1" applyFill="1" applyBorder="1" applyAlignment="1">
      <alignment horizontal="center" vertical="center" wrapText="1"/>
    </xf>
    <xf numFmtId="0" fontId="24" fillId="31" borderId="1" xfId="0" applyFont="1" applyFill="1" applyBorder="1" applyAlignment="1">
      <alignment wrapText="1"/>
    </xf>
    <xf numFmtId="0" fontId="24" fillId="31" borderId="0" xfId="0" applyFont="1" applyFill="1"/>
    <xf numFmtId="0" fontId="21" fillId="0" borderId="50" xfId="0" applyFont="1" applyFill="1" applyBorder="1" applyAlignment="1">
      <alignment horizontal="left" vertical="center" wrapText="1"/>
    </xf>
    <xf numFmtId="0" fontId="22" fillId="0" borderId="70" xfId="0" applyFont="1" applyFill="1" applyBorder="1" applyAlignment="1">
      <alignment vertical="center" wrapText="1"/>
    </xf>
    <xf numFmtId="0" fontId="21" fillId="0" borderId="70" xfId="0" applyFont="1" applyFill="1" applyBorder="1" applyAlignment="1">
      <alignment vertical="center" wrapText="1"/>
    </xf>
    <xf numFmtId="0" fontId="22" fillId="0" borderId="70" xfId="0" applyFont="1" applyFill="1" applyBorder="1" applyAlignment="1">
      <alignment horizontal="center" vertical="center"/>
    </xf>
    <xf numFmtId="0" fontId="22" fillId="22" borderId="70" xfId="0" applyFont="1" applyFill="1" applyBorder="1" applyAlignment="1">
      <alignment vertical="center" wrapText="1"/>
    </xf>
    <xf numFmtId="0" fontId="22" fillId="0" borderId="51" xfId="0" applyFont="1" applyFill="1" applyBorder="1" applyAlignment="1">
      <alignment horizontal="left" vertical="center" wrapText="1"/>
    </xf>
    <xf numFmtId="0" fontId="22" fillId="0" borderId="51" xfId="0" applyFont="1" applyFill="1" applyBorder="1" applyAlignment="1">
      <alignment horizontal="center" vertical="center"/>
    </xf>
    <xf numFmtId="0" fontId="22" fillId="39" borderId="51" xfId="0" applyFont="1" applyFill="1" applyBorder="1" applyAlignment="1">
      <alignment horizontal="center"/>
    </xf>
    <xf numFmtId="0" fontId="22" fillId="31" borderId="5" xfId="0" applyFont="1" applyFill="1" applyBorder="1" applyAlignment="1">
      <alignment horizontal="left"/>
    </xf>
    <xf numFmtId="0" fontId="22" fillId="39" borderId="50" xfId="0" applyFont="1" applyFill="1" applyBorder="1" applyAlignment="1">
      <alignment horizontal="left" wrapText="1"/>
    </xf>
    <xf numFmtId="0" fontId="22" fillId="38" borderId="51" xfId="0" applyFont="1" applyFill="1" applyBorder="1" applyAlignment="1">
      <alignment horizontal="left" wrapText="1"/>
    </xf>
    <xf numFmtId="0" fontId="22" fillId="38" borderId="51" xfId="0" applyFont="1" applyFill="1" applyBorder="1" applyAlignment="1">
      <alignment horizontal="left" vertical="center" wrapText="1"/>
    </xf>
    <xf numFmtId="0" fontId="22" fillId="22" borderId="51" xfId="0" applyFont="1" applyFill="1" applyBorder="1" applyAlignment="1">
      <alignment horizontal="center" vertical="center"/>
    </xf>
    <xf numFmtId="0" fontId="22" fillId="38" borderId="51" xfId="0" applyFont="1" applyFill="1" applyBorder="1" applyAlignment="1">
      <alignment vertical="center" wrapText="1"/>
    </xf>
    <xf numFmtId="0" fontId="22" fillId="38" borderId="51" xfId="0" applyFont="1" applyFill="1" applyBorder="1" applyAlignment="1">
      <alignment vertical="center"/>
    </xf>
    <xf numFmtId="0" fontId="22" fillId="3" borderId="5" xfId="0" applyFont="1" applyFill="1" applyBorder="1" applyAlignment="1">
      <alignment vertical="center"/>
    </xf>
    <xf numFmtId="0" fontId="22" fillId="38" borderId="50" xfId="0" applyFont="1" applyFill="1" applyBorder="1" applyAlignment="1">
      <alignment vertical="center" wrapText="1"/>
    </xf>
    <xf numFmtId="0" fontId="22" fillId="0" borderId="5" xfId="0" applyFont="1" applyFill="1" applyBorder="1" applyAlignment="1">
      <alignment horizontal="center" vertical="center"/>
    </xf>
    <xf numFmtId="0" fontId="22" fillId="3" borderId="51" xfId="0" applyFont="1" applyFill="1" applyBorder="1" applyAlignment="1">
      <alignment horizontal="left" wrapText="1"/>
    </xf>
    <xf numFmtId="0" fontId="22" fillId="22" borderId="51" xfId="0" applyFont="1" applyFill="1" applyBorder="1" applyAlignment="1">
      <alignment horizontal="left" wrapText="1"/>
    </xf>
    <xf numFmtId="0" fontId="22" fillId="38" borderId="69" xfId="0" applyFont="1" applyFill="1" applyBorder="1" applyAlignment="1">
      <alignment horizontal="left" vertical="center" wrapText="1"/>
    </xf>
    <xf numFmtId="0" fontId="22" fillId="0" borderId="50" xfId="0" applyFont="1" applyFill="1" applyBorder="1" applyAlignment="1">
      <alignment horizontal="left" wrapText="1"/>
    </xf>
    <xf numFmtId="0" fontId="19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/>
    <xf numFmtId="14" fontId="22" fillId="0" borderId="1" xfId="0" applyNumberFormat="1" applyFont="1" applyFill="1" applyBorder="1" applyAlignment="1"/>
    <xf numFmtId="0" fontId="22" fillId="0" borderId="1" xfId="0" applyFont="1" applyFill="1" applyBorder="1" applyAlignment="1">
      <alignment horizontal="center"/>
    </xf>
    <xf numFmtId="0" fontId="22" fillId="0" borderId="0" xfId="0" applyFont="1" applyFill="1"/>
    <xf numFmtId="0" fontId="22" fillId="22" borderId="69" xfId="0" applyFont="1" applyFill="1" applyBorder="1" applyAlignment="1">
      <alignment horizontal="left" wrapText="1"/>
    </xf>
    <xf numFmtId="0" fontId="43" fillId="0" borderId="1" xfId="0" applyFont="1" applyFill="1" applyBorder="1"/>
    <xf numFmtId="0" fontId="43" fillId="0" borderId="1" xfId="0" applyFont="1" applyFill="1" applyBorder="1" applyAlignment="1">
      <alignment horizontal="center"/>
    </xf>
    <xf numFmtId="14" fontId="43" fillId="0" borderId="1" xfId="0" applyNumberFormat="1" applyFont="1" applyFill="1" applyBorder="1" applyAlignment="1">
      <alignment horizontal="center"/>
    </xf>
    <xf numFmtId="0" fontId="43" fillId="0" borderId="1" xfId="0" applyFont="1" applyFill="1" applyBorder="1" applyAlignment="1">
      <alignment wrapText="1"/>
    </xf>
    <xf numFmtId="0" fontId="43" fillId="0" borderId="0" xfId="0" applyFont="1" applyFill="1"/>
    <xf numFmtId="0" fontId="22" fillId="22" borderId="1" xfId="0" applyFont="1" applyFill="1" applyBorder="1" applyAlignment="1">
      <alignment horizontal="left" vertical="center" wrapText="1"/>
    </xf>
    <xf numFmtId="0" fontId="22" fillId="22" borderId="1" xfId="0" applyFont="1" applyFill="1" applyBorder="1" applyAlignment="1">
      <alignment horizontal="center" vertical="center"/>
    </xf>
    <xf numFmtId="0" fontId="21" fillId="22" borderId="1" xfId="0" applyFont="1" applyFill="1" applyBorder="1" applyAlignment="1">
      <alignment horizontal="left" vertical="center" wrapText="1"/>
    </xf>
    <xf numFmtId="0" fontId="43" fillId="3" borderId="1" xfId="0" applyFont="1" applyFill="1" applyBorder="1" applyAlignment="1">
      <alignment horizontal="center"/>
    </xf>
    <xf numFmtId="14" fontId="43" fillId="3" borderId="1" xfId="0" applyNumberFormat="1" applyFont="1" applyFill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43" fillId="0" borderId="1" xfId="0" applyFont="1" applyBorder="1"/>
    <xf numFmtId="0" fontId="43" fillId="0" borderId="1" xfId="0" applyFont="1" applyBorder="1" applyAlignment="1">
      <alignment wrapText="1"/>
    </xf>
    <xf numFmtId="0" fontId="46" fillId="22" borderId="1" xfId="0" applyFont="1" applyFill="1" applyBorder="1" applyAlignment="1">
      <alignment horizontal="left" vertical="center" wrapText="1"/>
    </xf>
    <xf numFmtId="0" fontId="22" fillId="39" borderId="1" xfId="0" applyFont="1" applyFill="1" applyBorder="1" applyAlignment="1">
      <alignment horizontal="left" vertical="center" wrapText="1"/>
    </xf>
    <xf numFmtId="0" fontId="22" fillId="39" borderId="1" xfId="0" applyFont="1" applyFill="1" applyBorder="1" applyAlignment="1">
      <alignment horizontal="center" vertical="center"/>
    </xf>
    <xf numFmtId="0" fontId="22" fillId="31" borderId="1" xfId="0" applyFont="1" applyFill="1" applyBorder="1" applyAlignment="1">
      <alignment horizontal="left" vertical="center"/>
    </xf>
    <xf numFmtId="14" fontId="43" fillId="31" borderId="1" xfId="0" applyNumberFormat="1" applyFont="1" applyFill="1" applyBorder="1" applyAlignment="1">
      <alignment horizontal="center"/>
    </xf>
    <xf numFmtId="0" fontId="43" fillId="31" borderId="1" xfId="0" applyFont="1" applyFill="1" applyBorder="1" applyAlignment="1">
      <alignment horizontal="center"/>
    </xf>
    <xf numFmtId="0" fontId="43" fillId="31" borderId="1" xfId="0" applyFont="1" applyFill="1" applyBorder="1"/>
    <xf numFmtId="0" fontId="43" fillId="31" borderId="1" xfId="0" applyFont="1" applyFill="1" applyBorder="1" applyAlignment="1">
      <alignment wrapText="1"/>
    </xf>
    <xf numFmtId="0" fontId="43" fillId="31" borderId="0" xfId="0" applyFont="1" applyFill="1"/>
    <xf numFmtId="0" fontId="22" fillId="38" borderId="1" xfId="0" applyFont="1" applyFill="1" applyBorder="1" applyAlignment="1">
      <alignment horizontal="left" wrapText="1"/>
    </xf>
    <xf numFmtId="0" fontId="22" fillId="38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left"/>
    </xf>
    <xf numFmtId="14" fontId="21" fillId="0" borderId="1" xfId="3" applyNumberFormat="1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left" wrapText="1"/>
    </xf>
    <xf numFmtId="0" fontId="22" fillId="0" borderId="1" xfId="0" applyFont="1" applyFill="1" applyBorder="1" applyAlignment="1">
      <alignment horizontal="left"/>
    </xf>
    <xf numFmtId="0" fontId="22" fillId="3" borderId="1" xfId="0" applyFont="1" applyFill="1" applyBorder="1" applyAlignment="1">
      <alignment horizontal="left" wrapText="1"/>
    </xf>
    <xf numFmtId="0" fontId="22" fillId="3" borderId="1" xfId="0" applyFont="1" applyFill="1" applyBorder="1" applyAlignment="1">
      <alignment horizontal="center"/>
    </xf>
    <xf numFmtId="0" fontId="22" fillId="39" borderId="1" xfId="0" applyFont="1" applyFill="1" applyBorder="1" applyAlignment="1">
      <alignment horizontal="left" wrapText="1"/>
    </xf>
    <xf numFmtId="0" fontId="22" fillId="39" borderId="1" xfId="0" applyFont="1" applyFill="1" applyBorder="1" applyAlignment="1">
      <alignment horizontal="center"/>
    </xf>
    <xf numFmtId="0" fontId="22" fillId="31" borderId="1" xfId="0" applyFont="1" applyFill="1" applyBorder="1" applyAlignment="1">
      <alignment horizontal="left"/>
    </xf>
    <xf numFmtId="0" fontId="43" fillId="3" borderId="1" xfId="0" applyFont="1" applyFill="1" applyBorder="1"/>
    <xf numFmtId="0" fontId="43" fillId="0" borderId="1" xfId="0" applyFont="1" applyBorder="1" applyAlignment="1">
      <alignment horizontal="left"/>
    </xf>
    <xf numFmtId="0" fontId="28" fillId="3" borderId="0" xfId="0" applyFont="1" applyFill="1" applyAlignment="1">
      <alignment horizontal="center"/>
    </xf>
    <xf numFmtId="14" fontId="28" fillId="3" borderId="0" xfId="0" applyNumberFormat="1" applyFont="1" applyFill="1" applyAlignment="1">
      <alignment horizontal="center"/>
    </xf>
    <xf numFmtId="14" fontId="21" fillId="0" borderId="50" xfId="0" applyNumberFormat="1" applyFont="1" applyFill="1" applyBorder="1" applyAlignment="1">
      <alignment horizontal="center" vertical="center"/>
    </xf>
    <xf numFmtId="14" fontId="19" fillId="0" borderId="7" xfId="0" applyNumberFormat="1" applyFont="1" applyFill="1" applyBorder="1" applyAlignment="1">
      <alignment horizontal="center" vertical="center" wrapText="1"/>
    </xf>
    <xf numFmtId="14" fontId="21" fillId="0" borderId="50" xfId="0" applyNumberFormat="1" applyFont="1" applyFill="1" applyBorder="1" applyAlignment="1">
      <alignment horizontal="center" vertical="center" wrapText="1"/>
    </xf>
    <xf numFmtId="14" fontId="19" fillId="0" borderId="1" xfId="0" applyNumberFormat="1" applyFont="1" applyFill="1" applyBorder="1" applyAlignment="1">
      <alignment horizontal="center"/>
    </xf>
    <xf numFmtId="0" fontId="21" fillId="0" borderId="50" xfId="0" applyFont="1" applyFill="1" applyBorder="1" applyAlignment="1">
      <alignment horizontal="center" vertical="center" wrapText="1"/>
    </xf>
    <xf numFmtId="14" fontId="21" fillId="38" borderId="50" xfId="0" applyNumberFormat="1" applyFont="1" applyFill="1" applyBorder="1" applyAlignment="1">
      <alignment horizontal="center" vertical="center"/>
    </xf>
    <xf numFmtId="14" fontId="21" fillId="38" borderId="50" xfId="0" applyNumberFormat="1" applyFont="1" applyFill="1" applyBorder="1" applyAlignment="1">
      <alignment horizontal="center" vertical="center" wrapText="1"/>
    </xf>
    <xf numFmtId="14" fontId="21" fillId="0" borderId="52" xfId="0" applyNumberFormat="1" applyFont="1" applyFill="1" applyBorder="1" applyAlignment="1">
      <alignment horizontal="center" vertical="center" wrapText="1"/>
    </xf>
    <xf numFmtId="14" fontId="21" fillId="38" borderId="69" xfId="0" applyNumberFormat="1" applyFont="1" applyFill="1" applyBorder="1" applyAlignment="1">
      <alignment horizontal="center" vertical="center" wrapText="1"/>
    </xf>
    <xf numFmtId="14" fontId="21" fillId="29" borderId="50" xfId="0" applyNumberFormat="1" applyFont="1" applyFill="1" applyBorder="1" applyAlignment="1">
      <alignment horizontal="center" vertical="center"/>
    </xf>
    <xf numFmtId="14" fontId="21" fillId="29" borderId="50" xfId="0" applyNumberFormat="1" applyFont="1" applyFill="1" applyBorder="1" applyAlignment="1">
      <alignment horizontal="center" vertical="center" wrapText="1"/>
    </xf>
    <xf numFmtId="14" fontId="19" fillId="29" borderId="7" xfId="0" applyNumberFormat="1" applyFont="1" applyFill="1" applyBorder="1" applyAlignment="1">
      <alignment horizontal="center" vertical="center" wrapText="1"/>
    </xf>
    <xf numFmtId="14" fontId="21" fillId="39" borderId="50" xfId="0" applyNumberFormat="1" applyFont="1" applyFill="1" applyBorder="1" applyAlignment="1">
      <alignment horizontal="center" vertical="center"/>
    </xf>
    <xf numFmtId="14" fontId="21" fillId="39" borderId="50" xfId="0" applyNumberFormat="1" applyFont="1" applyFill="1" applyBorder="1" applyAlignment="1">
      <alignment horizontal="center" vertical="center" wrapText="1"/>
    </xf>
    <xf numFmtId="14" fontId="19" fillId="31" borderId="7" xfId="0" applyNumberFormat="1" applyFont="1" applyFill="1" applyBorder="1" applyAlignment="1">
      <alignment horizontal="center" vertical="center" wrapText="1"/>
    </xf>
    <xf numFmtId="14" fontId="21" fillId="0" borderId="8" xfId="0" applyNumberFormat="1" applyFont="1" applyFill="1" applyBorder="1" applyAlignment="1">
      <alignment horizontal="center" vertical="center" wrapText="1"/>
    </xf>
    <xf numFmtId="14" fontId="21" fillId="0" borderId="69" xfId="0" applyNumberFormat="1" applyFont="1" applyFill="1" applyBorder="1" applyAlignment="1">
      <alignment horizontal="center" vertical="center"/>
    </xf>
    <xf numFmtId="14" fontId="21" fillId="0" borderId="70" xfId="0" applyNumberFormat="1" applyFont="1" applyFill="1" applyBorder="1" applyAlignment="1">
      <alignment horizontal="center" vertical="center"/>
    </xf>
    <xf numFmtId="14" fontId="21" fillId="0" borderId="51" xfId="0" applyNumberFormat="1" applyFont="1" applyFill="1" applyBorder="1" applyAlignment="1">
      <alignment horizontal="center" vertical="center"/>
    </xf>
    <xf numFmtId="14" fontId="21" fillId="0" borderId="51" xfId="0" applyNumberFormat="1" applyFont="1" applyFill="1" applyBorder="1" applyAlignment="1">
      <alignment horizontal="center"/>
    </xf>
    <xf numFmtId="14" fontId="21" fillId="39" borderId="51" xfId="0" applyNumberFormat="1" applyFont="1" applyFill="1" applyBorder="1" applyAlignment="1">
      <alignment horizontal="center"/>
    </xf>
    <xf numFmtId="14" fontId="25" fillId="0" borderId="1" xfId="0" applyNumberFormat="1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/>
    </xf>
    <xf numFmtId="14" fontId="28" fillId="0" borderId="1" xfId="0" applyNumberFormat="1" applyFont="1" applyFill="1" applyBorder="1" applyAlignment="1">
      <alignment horizontal="center"/>
    </xf>
    <xf numFmtId="14" fontId="21" fillId="0" borderId="1" xfId="0" applyNumberFormat="1" applyFont="1" applyFill="1" applyBorder="1" applyAlignment="1">
      <alignment horizontal="center" vertical="center"/>
    </xf>
    <xf numFmtId="14" fontId="21" fillId="0" borderId="1" xfId="0" applyNumberFormat="1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/>
    </xf>
    <xf numFmtId="14" fontId="21" fillId="39" borderId="1" xfId="0" applyNumberFormat="1" applyFont="1" applyFill="1" applyBorder="1" applyAlignment="1">
      <alignment horizontal="center" vertical="center"/>
    </xf>
    <xf numFmtId="14" fontId="21" fillId="39" borderId="1" xfId="0" applyNumberFormat="1" applyFont="1" applyFill="1" applyBorder="1" applyAlignment="1">
      <alignment horizontal="center" vertical="center" wrapText="1"/>
    </xf>
    <xf numFmtId="14" fontId="28" fillId="31" borderId="1" xfId="0" applyNumberFormat="1" applyFont="1" applyFill="1" applyBorder="1" applyAlignment="1">
      <alignment horizontal="center"/>
    </xf>
    <xf numFmtId="14" fontId="21" fillId="38" borderId="1" xfId="0" applyNumberFormat="1" applyFont="1" applyFill="1" applyBorder="1" applyAlignment="1">
      <alignment horizontal="center" vertical="center"/>
    </xf>
    <xf numFmtId="14" fontId="21" fillId="38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/>
    </xf>
    <xf numFmtId="0" fontId="21" fillId="38" borderId="1" xfId="0" applyFont="1" applyFill="1" applyBorder="1" applyAlignment="1">
      <alignment horizontal="center" vertical="center" wrapText="1"/>
    </xf>
    <xf numFmtId="14" fontId="21" fillId="38" borderId="1" xfId="0" applyNumberFormat="1" applyFont="1" applyFill="1" applyBorder="1" applyAlignment="1">
      <alignment horizontal="center"/>
    </xf>
    <xf numFmtId="14" fontId="21" fillId="0" borderId="1" xfId="0" applyNumberFormat="1" applyFont="1" applyFill="1" applyBorder="1" applyAlignment="1">
      <alignment horizontal="center"/>
    </xf>
    <xf numFmtId="14" fontId="21" fillId="3" borderId="1" xfId="0" applyNumberFormat="1" applyFont="1" applyFill="1" applyBorder="1" applyAlignment="1">
      <alignment horizontal="center"/>
    </xf>
    <xf numFmtId="14" fontId="21" fillId="39" borderId="1" xfId="0" applyNumberFormat="1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42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wrapText="1"/>
    </xf>
    <xf numFmtId="0" fontId="43" fillId="3" borderId="0" xfId="0" applyNumberFormat="1" applyFont="1" applyFill="1" applyAlignment="1">
      <alignment horizontal="center"/>
    </xf>
    <xf numFmtId="0" fontId="27" fillId="0" borderId="0" xfId="0" applyNumberFormat="1" applyFont="1" applyAlignment="1"/>
    <xf numFmtId="0" fontId="28" fillId="0" borderId="0" xfId="0" applyNumberFormat="1" applyFont="1" applyAlignment="1"/>
    <xf numFmtId="0" fontId="26" fillId="3" borderId="0" xfId="0" applyNumberFormat="1" applyFont="1" applyFill="1" applyAlignment="1">
      <alignment horizontal="center"/>
    </xf>
    <xf numFmtId="0" fontId="27" fillId="3" borderId="0" xfId="0" applyNumberFormat="1" applyFont="1" applyFill="1" applyAlignment="1">
      <alignment horizontal="center" vertical="center"/>
    </xf>
    <xf numFmtId="0" fontId="24" fillId="0" borderId="7" xfId="0" applyNumberFormat="1" applyFont="1" applyFill="1" applyBorder="1" applyAlignment="1">
      <alignment horizontal="center" vertical="center" wrapText="1"/>
    </xf>
    <xf numFmtId="0" fontId="24" fillId="29" borderId="7" xfId="0" applyNumberFormat="1" applyFont="1" applyFill="1" applyBorder="1" applyAlignment="1">
      <alignment horizontal="center" vertical="center" wrapText="1"/>
    </xf>
    <xf numFmtId="0" fontId="24" fillId="31" borderId="7" xfId="0" applyNumberFormat="1" applyFont="1" applyFill="1" applyBorder="1" applyAlignment="1">
      <alignment horizontal="center" vertical="center" wrapText="1"/>
    </xf>
    <xf numFmtId="0" fontId="43" fillId="0" borderId="1" xfId="0" applyNumberFormat="1" applyFont="1" applyFill="1" applyBorder="1" applyAlignment="1">
      <alignment horizontal="center"/>
    </xf>
    <xf numFmtId="0" fontId="43" fillId="3" borderId="1" xfId="0" applyNumberFormat="1" applyFont="1" applyFill="1" applyBorder="1" applyAlignment="1">
      <alignment horizontal="center"/>
    </xf>
    <xf numFmtId="14" fontId="19" fillId="27" borderId="7" xfId="0" applyNumberFormat="1" applyFont="1" applyFill="1" applyBorder="1" applyAlignment="1">
      <alignment horizontal="center" vertical="center" wrapText="1"/>
    </xf>
    <xf numFmtId="14" fontId="24" fillId="27" borderId="7" xfId="0" applyNumberFormat="1" applyFont="1" applyFill="1" applyBorder="1" applyAlignment="1">
      <alignment horizontal="center" vertical="center" wrapText="1"/>
    </xf>
    <xf numFmtId="0" fontId="19" fillId="27" borderId="1" xfId="0" applyFont="1" applyFill="1" applyBorder="1" applyAlignment="1">
      <alignment horizontal="center" vertical="center" wrapText="1"/>
    </xf>
    <xf numFmtId="0" fontId="47" fillId="32" borderId="1" xfId="0" applyFont="1" applyFill="1" applyBorder="1" applyAlignment="1">
      <alignment wrapText="1"/>
    </xf>
    <xf numFmtId="0" fontId="24" fillId="27" borderId="1" xfId="0" applyFont="1" applyFill="1" applyBorder="1" applyAlignment="1">
      <alignment wrapText="1"/>
    </xf>
    <xf numFmtId="0" fontId="22" fillId="31" borderId="51" xfId="0" applyFont="1" applyFill="1" applyBorder="1" applyAlignment="1">
      <alignment horizontal="left" wrapText="1"/>
    </xf>
    <xf numFmtId="0" fontId="22" fillId="31" borderId="51" xfId="0" applyFont="1" applyFill="1" applyBorder="1" applyAlignment="1">
      <alignment horizontal="center"/>
    </xf>
    <xf numFmtId="14" fontId="21" fillId="31" borderId="51" xfId="0" applyNumberFormat="1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 vertical="center"/>
    </xf>
    <xf numFmtId="0" fontId="22" fillId="38" borderId="51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left"/>
    </xf>
    <xf numFmtId="14" fontId="21" fillId="3" borderId="51" xfId="0" applyNumberFormat="1" applyFont="1" applyFill="1" applyBorder="1" applyAlignment="1">
      <alignment horizontal="center"/>
    </xf>
    <xf numFmtId="14" fontId="19" fillId="3" borderId="7" xfId="0" applyNumberFormat="1" applyFont="1" applyFill="1" applyBorder="1" applyAlignment="1">
      <alignment horizontal="center" vertical="center" wrapText="1"/>
    </xf>
    <xf numFmtId="14" fontId="24" fillId="3" borderId="7" xfId="0" applyNumberFormat="1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4" fillId="3" borderId="7" xfId="0" applyFont="1" applyFill="1" applyBorder="1" applyAlignment="1">
      <alignment horizontal="left"/>
    </xf>
    <xf numFmtId="0" fontId="24" fillId="3" borderId="1" xfId="0" applyFont="1" applyFill="1" applyBorder="1" applyAlignment="1"/>
    <xf numFmtId="14" fontId="24" fillId="3" borderId="1" xfId="0" applyNumberFormat="1" applyFont="1" applyFill="1" applyBorder="1" applyAlignment="1">
      <alignment horizontal="center" vertical="center" wrapText="1"/>
    </xf>
    <xf numFmtId="0" fontId="24" fillId="3" borderId="7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wrapText="1"/>
    </xf>
    <xf numFmtId="0" fontId="24" fillId="3" borderId="0" xfId="0" applyFont="1" applyFill="1"/>
    <xf numFmtId="0" fontId="19" fillId="27" borderId="1" xfId="0" applyFont="1" applyFill="1" applyBorder="1" applyAlignment="1">
      <alignment horizontal="center" vertical="center"/>
    </xf>
    <xf numFmtId="0" fontId="24" fillId="27" borderId="1" xfId="0" applyFont="1" applyFill="1" applyBorder="1" applyAlignment="1">
      <alignment horizontal="center"/>
    </xf>
    <xf numFmtId="0" fontId="24" fillId="27" borderId="7" xfId="0" applyFont="1" applyFill="1" applyBorder="1" applyAlignment="1">
      <alignment horizontal="center"/>
    </xf>
    <xf numFmtId="0" fontId="24" fillId="27" borderId="7" xfId="0" applyFont="1" applyFill="1" applyBorder="1" applyAlignment="1">
      <alignment horizontal="left"/>
    </xf>
    <xf numFmtId="0" fontId="24" fillId="27" borderId="1" xfId="0" applyFont="1" applyFill="1" applyBorder="1" applyAlignment="1"/>
    <xf numFmtId="14" fontId="24" fillId="27" borderId="1" xfId="0" applyNumberFormat="1" applyFont="1" applyFill="1" applyBorder="1" applyAlignment="1">
      <alignment horizontal="center" vertical="center" wrapText="1"/>
    </xf>
    <xf numFmtId="0" fontId="24" fillId="27" borderId="7" xfId="0" applyNumberFormat="1" applyFont="1" applyFill="1" applyBorder="1" applyAlignment="1">
      <alignment horizontal="center" vertical="center" wrapText="1"/>
    </xf>
    <xf numFmtId="0" fontId="24" fillId="27" borderId="0" xfId="0" applyFont="1" applyFill="1"/>
    <xf numFmtId="0" fontId="21" fillId="24" borderId="5" xfId="0" applyFont="1" applyFill="1" applyBorder="1" applyAlignment="1">
      <alignment horizontal="center" vertical="center"/>
    </xf>
    <xf numFmtId="0" fontId="22" fillId="3" borderId="50" xfId="0" applyFont="1" applyFill="1" applyBorder="1" applyAlignment="1">
      <alignment horizontal="left" vertical="center" wrapText="1"/>
    </xf>
    <xf numFmtId="0" fontId="22" fillId="3" borderId="50" xfId="0" applyFont="1" applyFill="1" applyBorder="1" applyAlignment="1">
      <alignment horizontal="center" vertical="center"/>
    </xf>
    <xf numFmtId="0" fontId="19" fillId="24" borderId="1" xfId="0" applyFont="1" applyFill="1" applyBorder="1" applyAlignment="1">
      <alignment horizontal="center" vertical="center"/>
    </xf>
    <xf numFmtId="14" fontId="21" fillId="24" borderId="50" xfId="0" applyNumberFormat="1" applyFont="1" applyFill="1" applyBorder="1" applyAlignment="1">
      <alignment horizontal="center" vertical="center"/>
    </xf>
    <xf numFmtId="0" fontId="33" fillId="0" borderId="63" xfId="0" applyFont="1" applyFill="1" applyBorder="1" applyAlignment="1">
      <alignment horizontal="center"/>
    </xf>
    <xf numFmtId="14" fontId="19" fillId="0" borderId="1" xfId="0" applyNumberFormat="1" applyFont="1" applyFill="1" applyBorder="1" applyAlignment="1">
      <alignment horizontal="center" vertical="center" wrapText="1"/>
    </xf>
    <xf numFmtId="14" fontId="19" fillId="0" borderId="1" xfId="0" applyNumberFormat="1" applyFont="1" applyFill="1" applyBorder="1" applyAlignment="1">
      <alignment horizontal="center" vertical="center"/>
    </xf>
    <xf numFmtId="14" fontId="19" fillId="31" borderId="1" xfId="0" applyNumberFormat="1" applyFont="1" applyFill="1" applyBorder="1" applyAlignment="1">
      <alignment horizontal="center"/>
    </xf>
    <xf numFmtId="14" fontId="19" fillId="29" borderId="1" xfId="0" applyNumberFormat="1" applyFont="1" applyFill="1" applyBorder="1" applyAlignment="1">
      <alignment horizontal="center"/>
    </xf>
    <xf numFmtId="14" fontId="19" fillId="3" borderId="1" xfId="0" applyNumberFormat="1" applyFont="1" applyFill="1" applyBorder="1" applyAlignment="1">
      <alignment horizontal="center"/>
    </xf>
    <xf numFmtId="0" fontId="19" fillId="0" borderId="1" xfId="0" applyFont="1" applyFill="1" applyBorder="1" applyAlignment="1">
      <alignment horizontal="center"/>
    </xf>
    <xf numFmtId="0" fontId="22" fillId="22" borderId="51" xfId="0" applyFont="1" applyFill="1" applyBorder="1" applyAlignment="1">
      <alignment horizontal="left" vertical="center" wrapText="1"/>
    </xf>
    <xf numFmtId="0" fontId="21" fillId="36" borderId="5" xfId="0" applyFont="1" applyFill="1" applyBorder="1" applyAlignment="1">
      <alignment horizontal="center" vertical="center"/>
    </xf>
    <xf numFmtId="0" fontId="21" fillId="42" borderId="5" xfId="0" applyFont="1" applyFill="1" applyBorder="1" applyAlignment="1">
      <alignment horizontal="center" vertical="center"/>
    </xf>
    <xf numFmtId="0" fontId="22" fillId="42" borderId="50" xfId="0" applyFont="1" applyFill="1" applyBorder="1" applyAlignment="1">
      <alignment horizontal="left" vertical="center" wrapText="1"/>
    </xf>
    <xf numFmtId="0" fontId="22" fillId="42" borderId="50" xfId="0" applyFont="1" applyFill="1" applyBorder="1" applyAlignment="1">
      <alignment horizontal="center" vertical="center"/>
    </xf>
    <xf numFmtId="0" fontId="22" fillId="42" borderId="5" xfId="0" applyFont="1" applyFill="1" applyBorder="1" applyAlignment="1">
      <alignment horizontal="left" vertical="center"/>
    </xf>
    <xf numFmtId="0" fontId="22" fillId="43" borderId="50" xfId="0" applyFont="1" applyFill="1" applyBorder="1" applyAlignment="1">
      <alignment horizontal="left" vertical="center" wrapText="1"/>
    </xf>
    <xf numFmtId="14" fontId="21" fillId="42" borderId="50" xfId="0" applyNumberFormat="1" applyFont="1" applyFill="1" applyBorder="1" applyAlignment="1">
      <alignment horizontal="center" vertical="center"/>
    </xf>
    <xf numFmtId="14" fontId="19" fillId="42" borderId="7" xfId="0" applyNumberFormat="1" applyFont="1" applyFill="1" applyBorder="1" applyAlignment="1">
      <alignment horizontal="center" vertical="center" wrapText="1"/>
    </xf>
    <xf numFmtId="14" fontId="24" fillId="42" borderId="7" xfId="0" applyNumberFormat="1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left" vertical="center" wrapText="1"/>
    </xf>
    <xf numFmtId="0" fontId="24" fillId="42" borderId="1" xfId="0" applyFont="1" applyFill="1" applyBorder="1" applyAlignment="1">
      <alignment horizontal="center" vertical="center" wrapText="1"/>
    </xf>
    <xf numFmtId="0" fontId="24" fillId="42" borderId="7" xfId="0" applyFont="1" applyFill="1" applyBorder="1" applyAlignment="1">
      <alignment horizontal="center"/>
    </xf>
    <xf numFmtId="0" fontId="24" fillId="42" borderId="7" xfId="0" applyFont="1" applyFill="1" applyBorder="1" applyAlignment="1">
      <alignment horizontal="left"/>
    </xf>
    <xf numFmtId="0" fontId="24" fillId="42" borderId="1" xfId="0" applyFont="1" applyFill="1" applyBorder="1" applyAlignment="1"/>
    <xf numFmtId="14" fontId="24" fillId="42" borderId="1" xfId="0" applyNumberFormat="1" applyFont="1" applyFill="1" applyBorder="1" applyAlignment="1">
      <alignment horizontal="center" vertical="center" wrapText="1"/>
    </xf>
    <xf numFmtId="0" fontId="24" fillId="42" borderId="7" xfId="0" applyNumberFormat="1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wrapText="1"/>
    </xf>
    <xf numFmtId="0" fontId="24" fillId="42" borderId="0" xfId="0" applyFont="1" applyFill="1"/>
    <xf numFmtId="0" fontId="22" fillId="42" borderId="5" xfId="0" applyFont="1" applyFill="1" applyBorder="1" applyAlignment="1">
      <alignment horizontal="center" vertical="center"/>
    </xf>
    <xf numFmtId="14" fontId="22" fillId="42" borderId="50" xfId="0" applyNumberFormat="1" applyFont="1" applyFill="1" applyBorder="1" applyAlignment="1">
      <alignment horizontal="center" vertical="center"/>
    </xf>
    <xf numFmtId="14" fontId="22" fillId="42" borderId="50" xfId="3" applyNumberFormat="1" applyFont="1" applyFill="1" applyBorder="1" applyAlignment="1">
      <alignment horizontal="center" vertical="center" wrapText="1"/>
    </xf>
    <xf numFmtId="0" fontId="46" fillId="42" borderId="50" xfId="0" applyFont="1" applyFill="1" applyBorder="1" applyAlignment="1">
      <alignment horizontal="left" vertical="center" wrapText="1"/>
    </xf>
    <xf numFmtId="14" fontId="21" fillId="42" borderId="50" xfId="0" applyNumberFormat="1" applyFont="1" applyFill="1" applyBorder="1" applyAlignment="1">
      <alignment horizontal="center" vertical="center" wrapText="1"/>
    </xf>
    <xf numFmtId="14" fontId="19" fillId="42" borderId="1" xfId="0" applyNumberFormat="1" applyFont="1" applyFill="1" applyBorder="1" applyAlignment="1">
      <alignment horizontal="center" vertical="center"/>
    </xf>
    <xf numFmtId="0" fontId="19" fillId="42" borderId="1" xfId="0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7" xfId="0" applyFont="1" applyFill="1" applyBorder="1" applyAlignment="1">
      <alignment horizontal="center" vertical="center"/>
    </xf>
    <xf numFmtId="0" fontId="24" fillId="42" borderId="7" xfId="0" applyFont="1" applyFill="1" applyBorder="1" applyAlignment="1">
      <alignment horizontal="left" vertical="center"/>
    </xf>
    <xf numFmtId="0" fontId="24" fillId="42" borderId="1" xfId="0" applyFont="1" applyFill="1" applyBorder="1" applyAlignment="1">
      <alignment vertical="center"/>
    </xf>
    <xf numFmtId="14" fontId="21" fillId="38" borderId="51" xfId="0" applyNumberFormat="1" applyFont="1" applyFill="1" applyBorder="1" applyAlignment="1">
      <alignment horizontal="center" vertical="center"/>
    </xf>
    <xf numFmtId="14" fontId="21" fillId="24" borderId="51" xfId="0" applyNumberFormat="1" applyFont="1" applyFill="1" applyBorder="1" applyAlignment="1">
      <alignment horizontal="center"/>
    </xf>
    <xf numFmtId="14" fontId="22" fillId="0" borderId="1" xfId="0" applyNumberFormat="1" applyFont="1" applyFill="1" applyBorder="1" applyAlignment="1">
      <alignment vertical="center"/>
    </xf>
    <xf numFmtId="0" fontId="24" fillId="0" borderId="7" xfId="0" applyFont="1" applyFill="1" applyBorder="1" applyAlignment="1">
      <alignment horizontal="center" vertical="center"/>
    </xf>
    <xf numFmtId="0" fontId="24" fillId="0" borderId="7" xfId="0" applyFont="1" applyFill="1" applyBorder="1" applyAlignment="1">
      <alignment horizontal="left" vertical="center"/>
    </xf>
    <xf numFmtId="0" fontId="22" fillId="0" borderId="1" xfId="0" applyFont="1" applyFill="1" applyBorder="1" applyAlignment="1">
      <alignment vertical="center"/>
    </xf>
    <xf numFmtId="0" fontId="22" fillId="0" borderId="1" xfId="0" applyFont="1" applyFill="1" applyBorder="1" applyAlignment="1">
      <alignment vertical="center" wrapText="1"/>
    </xf>
    <xf numFmtId="0" fontId="22" fillId="0" borderId="0" xfId="0" applyFont="1" applyFill="1" applyAlignment="1">
      <alignment vertical="center"/>
    </xf>
    <xf numFmtId="14" fontId="19" fillId="42" borderId="1" xfId="0" applyNumberFormat="1" applyFont="1" applyFill="1" applyBorder="1" applyAlignment="1">
      <alignment horizontal="center"/>
    </xf>
    <xf numFmtId="0" fontId="22" fillId="38" borderId="50" xfId="0" applyFont="1" applyFill="1" applyBorder="1" applyAlignment="1">
      <alignment horizontal="left" wrapText="1"/>
    </xf>
    <xf numFmtId="14" fontId="21" fillId="38" borderId="51" xfId="0" applyNumberFormat="1" applyFont="1" applyFill="1" applyBorder="1" applyAlignment="1">
      <alignment horizontal="center"/>
    </xf>
    <xf numFmtId="14" fontId="49" fillId="0" borderId="7" xfId="0" applyNumberFormat="1" applyFont="1" applyFill="1" applyBorder="1" applyAlignment="1">
      <alignment horizontal="center" vertical="center" wrapText="1"/>
    </xf>
    <xf numFmtId="0" fontId="22" fillId="43" borderId="51" xfId="0" applyFont="1" applyFill="1" applyBorder="1" applyAlignment="1">
      <alignment horizontal="left" vertical="center" wrapText="1"/>
    </xf>
    <xf numFmtId="0" fontId="22" fillId="43" borderId="51" xfId="0" applyFont="1" applyFill="1" applyBorder="1" applyAlignment="1">
      <alignment horizontal="center" vertical="center"/>
    </xf>
    <xf numFmtId="14" fontId="21" fillId="42" borderId="51" xfId="0" applyNumberFormat="1" applyFont="1" applyFill="1" applyBorder="1" applyAlignment="1">
      <alignment horizontal="center" vertical="center"/>
    </xf>
    <xf numFmtId="14" fontId="47" fillId="0" borderId="7" xfId="0" applyNumberFormat="1" applyFont="1" applyFill="1" applyBorder="1" applyAlignment="1">
      <alignment horizontal="center" vertical="center" wrapText="1"/>
    </xf>
    <xf numFmtId="14" fontId="19" fillId="0" borderId="51" xfId="0" applyNumberFormat="1" applyFont="1" applyFill="1" applyBorder="1" applyAlignment="1">
      <alignment horizontal="center"/>
    </xf>
    <xf numFmtId="14" fontId="24" fillId="0" borderId="1" xfId="0" applyNumberFormat="1" applyFont="1" applyFill="1" applyBorder="1" applyAlignment="1">
      <alignment horizontal="center" vertical="center"/>
    </xf>
    <xf numFmtId="14" fontId="49" fillId="0" borderId="1" xfId="0" applyNumberFormat="1" applyFont="1" applyFill="1" applyBorder="1" applyAlignment="1">
      <alignment horizontal="center"/>
    </xf>
    <xf numFmtId="0" fontId="19" fillId="31" borderId="1" xfId="0" applyFont="1" applyFill="1" applyBorder="1" applyAlignment="1">
      <alignment horizontal="center" vertical="center"/>
    </xf>
    <xf numFmtId="0" fontId="20" fillId="0" borderId="0" xfId="0" applyFont="1" applyFill="1"/>
    <xf numFmtId="0" fontId="50" fillId="0" borderId="0" xfId="0" applyFont="1"/>
    <xf numFmtId="0" fontId="50" fillId="3" borderId="0" xfId="0" applyFont="1" applyFill="1"/>
    <xf numFmtId="0" fontId="50" fillId="0" borderId="0" xfId="0" applyFont="1" applyAlignment="1">
      <alignment horizontal="center"/>
    </xf>
    <xf numFmtId="0" fontId="50" fillId="0" borderId="0" xfId="0" applyFont="1" applyAlignment="1">
      <alignment horizontal="left"/>
    </xf>
    <xf numFmtId="0" fontId="18" fillId="22" borderId="0" xfId="0" applyFont="1" applyFill="1" applyBorder="1" applyAlignment="1">
      <alignment horizontal="left" vertical="center" wrapText="1"/>
    </xf>
    <xf numFmtId="0" fontId="51" fillId="3" borderId="0" xfId="0" applyFont="1" applyFill="1" applyAlignment="1">
      <alignment horizontal="center"/>
    </xf>
    <xf numFmtId="0" fontId="50" fillId="3" borderId="0" xfId="0" applyFont="1" applyFill="1" applyAlignment="1">
      <alignment horizontal="center"/>
    </xf>
    <xf numFmtId="14" fontId="50" fillId="3" borderId="0" xfId="0" applyNumberFormat="1" applyFont="1" applyFill="1" applyAlignment="1">
      <alignment horizontal="center"/>
    </xf>
    <xf numFmtId="0" fontId="33" fillId="0" borderId="0" xfId="0" applyFont="1" applyAlignment="1"/>
    <xf numFmtId="0" fontId="20" fillId="0" borderId="0" xfId="0" applyFont="1" applyAlignment="1">
      <alignment horizontal="center"/>
    </xf>
    <xf numFmtId="0" fontId="50" fillId="0" borderId="0" xfId="0" applyFont="1" applyAlignment="1">
      <alignment wrapText="1"/>
    </xf>
    <xf numFmtId="0" fontId="33" fillId="0" borderId="63" xfId="0" applyFont="1" applyFill="1" applyBorder="1" applyAlignment="1"/>
    <xf numFmtId="0" fontId="24" fillId="31" borderId="1" xfId="0" applyFont="1" applyFill="1" applyBorder="1" applyAlignment="1">
      <alignment horizontal="left" vertical="center" wrapText="1"/>
    </xf>
    <xf numFmtId="0" fontId="24" fillId="31" borderId="1" xfId="0" applyFont="1" applyFill="1" applyBorder="1" applyAlignment="1">
      <alignment horizontal="center" vertical="center"/>
    </xf>
    <xf numFmtId="0" fontId="24" fillId="31" borderId="1" xfId="0" applyFont="1" applyFill="1" applyBorder="1" applyAlignment="1">
      <alignment horizontal="left" vertical="center"/>
    </xf>
    <xf numFmtId="0" fontId="24" fillId="31" borderId="1" xfId="0" applyFont="1" applyFill="1" applyBorder="1"/>
    <xf numFmtId="0" fontId="22" fillId="44" borderId="51" xfId="0" applyFont="1" applyFill="1" applyBorder="1" applyAlignment="1">
      <alignment horizontal="left" wrapText="1"/>
    </xf>
    <xf numFmtId="0" fontId="22" fillId="44" borderId="51" xfId="0" applyFont="1" applyFill="1" applyBorder="1" applyAlignment="1">
      <alignment horizontal="center"/>
    </xf>
    <xf numFmtId="0" fontId="22" fillId="25" borderId="5" xfId="0" applyFont="1" applyFill="1" applyBorder="1" applyAlignment="1">
      <alignment horizontal="left"/>
    </xf>
    <xf numFmtId="0" fontId="22" fillId="44" borderId="50" xfId="0" applyFont="1" applyFill="1" applyBorder="1" applyAlignment="1">
      <alignment horizontal="left" vertical="center" wrapText="1"/>
    </xf>
    <xf numFmtId="14" fontId="21" fillId="25" borderId="51" xfId="0" applyNumberFormat="1" applyFont="1" applyFill="1" applyBorder="1" applyAlignment="1">
      <alignment horizontal="center"/>
    </xf>
    <xf numFmtId="14" fontId="19" fillId="25" borderId="1" xfId="0" applyNumberFormat="1" applyFont="1" applyFill="1" applyBorder="1" applyAlignment="1">
      <alignment horizontal="center"/>
    </xf>
    <xf numFmtId="14" fontId="19" fillId="25" borderId="7" xfId="0" applyNumberFormat="1" applyFont="1" applyFill="1" applyBorder="1" applyAlignment="1">
      <alignment horizontal="center" vertical="center" wrapText="1"/>
    </xf>
    <xf numFmtId="14" fontId="24" fillId="25" borderId="7" xfId="0" applyNumberFormat="1" applyFont="1" applyFill="1" applyBorder="1" applyAlignment="1">
      <alignment horizontal="center" vertical="center" wrapText="1"/>
    </xf>
    <xf numFmtId="0" fontId="19" fillId="25" borderId="1" xfId="0" applyFont="1" applyFill="1" applyBorder="1" applyAlignment="1">
      <alignment horizontal="center" vertical="center" wrapText="1"/>
    </xf>
    <xf numFmtId="0" fontId="24" fillId="25" borderId="1" xfId="0" applyFont="1" applyFill="1" applyBorder="1" applyAlignment="1">
      <alignment horizontal="center"/>
    </xf>
    <xf numFmtId="0" fontId="24" fillId="25" borderId="7" xfId="0" applyFont="1" applyFill="1" applyBorder="1" applyAlignment="1">
      <alignment horizontal="center"/>
    </xf>
    <xf numFmtId="0" fontId="24" fillId="25" borderId="7" xfId="0" applyFont="1" applyFill="1" applyBorder="1" applyAlignment="1">
      <alignment horizontal="left"/>
    </xf>
    <xf numFmtId="0" fontId="24" fillId="25" borderId="1" xfId="0" applyFont="1" applyFill="1" applyBorder="1" applyAlignment="1"/>
    <xf numFmtId="14" fontId="24" fillId="25" borderId="1" xfId="0" applyNumberFormat="1" applyFont="1" applyFill="1" applyBorder="1" applyAlignment="1">
      <alignment horizontal="center" vertical="center" wrapText="1"/>
    </xf>
    <xf numFmtId="0" fontId="24" fillId="25" borderId="7" xfId="0" applyNumberFormat="1" applyFont="1" applyFill="1" applyBorder="1" applyAlignment="1">
      <alignment horizontal="center" vertical="center" wrapText="1"/>
    </xf>
    <xf numFmtId="0" fontId="24" fillId="25" borderId="1" xfId="0" applyFont="1" applyFill="1" applyBorder="1" applyAlignment="1">
      <alignment wrapText="1"/>
    </xf>
    <xf numFmtId="0" fontId="24" fillId="25" borderId="0" xfId="0" applyFont="1" applyFill="1"/>
    <xf numFmtId="0" fontId="22" fillId="25" borderId="51" xfId="0" applyFont="1" applyFill="1" applyBorder="1" applyAlignment="1">
      <alignment horizontal="left" wrapText="1"/>
    </xf>
    <xf numFmtId="0" fontId="22" fillId="25" borderId="51" xfId="0" applyFont="1" applyFill="1" applyBorder="1" applyAlignment="1">
      <alignment horizontal="center"/>
    </xf>
    <xf numFmtId="0" fontId="22" fillId="25" borderId="50" xfId="0" applyFont="1" applyFill="1" applyBorder="1" applyAlignment="1">
      <alignment horizontal="left" wrapText="1"/>
    </xf>
    <xf numFmtId="14" fontId="21" fillId="40" borderId="0" xfId="0" applyNumberFormat="1" applyFont="1" applyFill="1" applyBorder="1" applyAlignment="1">
      <alignment horizontal="center" vertical="center"/>
    </xf>
    <xf numFmtId="14" fontId="21" fillId="38" borderId="0" xfId="0" applyNumberFormat="1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left" vertical="center" wrapText="1"/>
    </xf>
    <xf numFmtId="0" fontId="21" fillId="27" borderId="5" xfId="0" applyFont="1" applyFill="1" applyBorder="1" applyAlignment="1">
      <alignment horizontal="center" vertical="center"/>
    </xf>
    <xf numFmtId="0" fontId="22" fillId="27" borderId="50" xfId="0" applyFont="1" applyFill="1" applyBorder="1" applyAlignment="1">
      <alignment horizontal="left" vertical="center" wrapText="1"/>
    </xf>
    <xf numFmtId="0" fontId="22" fillId="27" borderId="50" xfId="0" applyFont="1" applyFill="1" applyBorder="1" applyAlignment="1">
      <alignment horizontal="center" vertical="center"/>
    </xf>
    <xf numFmtId="0" fontId="22" fillId="27" borderId="5" xfId="0" applyFont="1" applyFill="1" applyBorder="1" applyAlignment="1">
      <alignment horizontal="left" vertical="center"/>
    </xf>
    <xf numFmtId="0" fontId="22" fillId="41" borderId="50" xfId="0" applyFont="1" applyFill="1" applyBorder="1" applyAlignment="1">
      <alignment horizontal="left" vertical="center" wrapText="1"/>
    </xf>
    <xf numFmtId="14" fontId="21" fillId="27" borderId="50" xfId="0" applyNumberFormat="1" applyFont="1" applyFill="1" applyBorder="1" applyAlignment="1">
      <alignment horizontal="center" vertical="center"/>
    </xf>
    <xf numFmtId="14" fontId="21" fillId="27" borderId="50" xfId="0" applyNumberFormat="1" applyFont="1" applyFill="1" applyBorder="1" applyAlignment="1">
      <alignment horizontal="center" vertical="center" wrapText="1"/>
    </xf>
    <xf numFmtId="14" fontId="19" fillId="27" borderId="1" xfId="0" applyNumberFormat="1" applyFont="1" applyFill="1" applyBorder="1" applyAlignment="1">
      <alignment horizontal="center"/>
    </xf>
    <xf numFmtId="0" fontId="24" fillId="27" borderId="1" xfId="0" applyFont="1" applyFill="1" applyBorder="1" applyAlignment="1">
      <alignment horizontal="center" vertical="center" wrapText="1"/>
    </xf>
    <xf numFmtId="14" fontId="21" fillId="27" borderId="69" xfId="0" applyNumberFormat="1" applyFont="1" applyFill="1" applyBorder="1" applyAlignment="1">
      <alignment horizontal="center" vertical="center" wrapText="1"/>
    </xf>
    <xf numFmtId="0" fontId="22" fillId="31" borderId="50" xfId="0" applyFont="1" applyFill="1" applyBorder="1" applyAlignment="1">
      <alignment horizontal="left" vertical="center" wrapText="1"/>
    </xf>
    <xf numFmtId="0" fontId="22" fillId="31" borderId="50" xfId="0" applyFont="1" applyFill="1" applyBorder="1" applyAlignment="1">
      <alignment horizontal="center" vertical="center"/>
    </xf>
    <xf numFmtId="14" fontId="21" fillId="31" borderId="50" xfId="0" applyNumberFormat="1" applyFont="1" applyFill="1" applyBorder="1" applyAlignment="1">
      <alignment horizontal="center" vertical="center"/>
    </xf>
    <xf numFmtId="14" fontId="21" fillId="31" borderId="0" xfId="0" applyNumberFormat="1" applyFont="1" applyFill="1" applyBorder="1" applyAlignment="1">
      <alignment horizontal="center" vertical="center"/>
    </xf>
    <xf numFmtId="0" fontId="24" fillId="27" borderId="1" xfId="0" applyFont="1" applyFill="1" applyBorder="1" applyAlignment="1">
      <alignment horizontal="left" vertical="center" wrapText="1"/>
    </xf>
    <xf numFmtId="0" fontId="24" fillId="27" borderId="1" xfId="0" applyFont="1" applyFill="1" applyBorder="1" applyAlignment="1">
      <alignment horizontal="center" vertical="center"/>
    </xf>
    <xf numFmtId="0" fontId="24" fillId="27" borderId="1" xfId="0" applyFont="1" applyFill="1" applyBorder="1" applyAlignment="1">
      <alignment horizontal="left" vertical="center"/>
    </xf>
    <xf numFmtId="14" fontId="24" fillId="27" borderId="1" xfId="0" applyNumberFormat="1" applyFont="1" applyFill="1" applyBorder="1" applyAlignment="1">
      <alignment horizontal="center" vertical="center"/>
    </xf>
    <xf numFmtId="0" fontId="24" fillId="27" borderId="1" xfId="0" applyFont="1" applyFill="1" applyBorder="1"/>
    <xf numFmtId="0" fontId="22" fillId="38" borderId="69" xfId="0" applyFont="1" applyFill="1" applyBorder="1" applyAlignment="1">
      <alignment horizontal="left" wrapText="1"/>
    </xf>
    <xf numFmtId="14" fontId="19" fillId="3" borderId="51" xfId="0" applyNumberFormat="1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left" vertical="center"/>
    </xf>
    <xf numFmtId="0" fontId="24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/>
    <xf numFmtId="0" fontId="54" fillId="0" borderId="0" xfId="0" applyFont="1" applyAlignment="1">
      <alignment horizontal="center"/>
    </xf>
    <xf numFmtId="14" fontId="24" fillId="31" borderId="1" xfId="0" applyNumberFormat="1" applyFont="1" applyFill="1" applyBorder="1" applyAlignment="1">
      <alignment horizontal="center" vertical="center"/>
    </xf>
    <xf numFmtId="0" fontId="22" fillId="45" borderId="50" xfId="0" applyFont="1" applyFill="1" applyBorder="1" applyAlignment="1">
      <alignment horizontal="left" vertical="center" wrapText="1"/>
    </xf>
    <xf numFmtId="14" fontId="19" fillId="29" borderId="1" xfId="0" applyNumberFormat="1" applyFont="1" applyFill="1" applyBorder="1" applyAlignment="1">
      <alignment horizontal="center" vertical="center"/>
    </xf>
    <xf numFmtId="14" fontId="21" fillId="27" borderId="50" xfId="3" applyNumberFormat="1" applyFont="1" applyFill="1" applyBorder="1" applyAlignment="1">
      <alignment horizontal="center" vertical="center" wrapText="1"/>
    </xf>
    <xf numFmtId="14" fontId="19" fillId="27" borderId="1" xfId="0" applyNumberFormat="1" applyFont="1" applyFill="1" applyBorder="1" applyAlignment="1">
      <alignment horizontal="center" vertical="center" wrapText="1"/>
    </xf>
    <xf numFmtId="0" fontId="22" fillId="29" borderId="51" xfId="0" applyFont="1" applyFill="1" applyBorder="1" applyAlignment="1">
      <alignment horizontal="left" vertical="center" wrapText="1"/>
    </xf>
    <xf numFmtId="0" fontId="22" fillId="29" borderId="51" xfId="0" applyFont="1" applyFill="1" applyBorder="1" applyAlignment="1">
      <alignment horizontal="center" vertical="center"/>
    </xf>
    <xf numFmtId="14" fontId="21" fillId="29" borderId="51" xfId="0" applyNumberFormat="1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left" vertical="center" wrapText="1"/>
    </xf>
    <xf numFmtId="0" fontId="24" fillId="14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left" vertical="center"/>
    </xf>
    <xf numFmtId="0" fontId="22" fillId="46" borderId="50" xfId="0" applyFont="1" applyFill="1" applyBorder="1" applyAlignment="1">
      <alignment horizontal="left" vertical="center" wrapText="1"/>
    </xf>
    <xf numFmtId="14" fontId="24" fillId="14" borderId="1" xfId="0" applyNumberFormat="1" applyFont="1" applyFill="1" applyBorder="1" applyAlignment="1">
      <alignment horizontal="center" vertical="center"/>
    </xf>
    <xf numFmtId="14" fontId="19" fillId="14" borderId="1" xfId="0" applyNumberFormat="1" applyFont="1" applyFill="1" applyBorder="1" applyAlignment="1">
      <alignment horizontal="center"/>
    </xf>
    <xf numFmtId="14" fontId="19" fillId="14" borderId="7" xfId="0" applyNumberFormat="1" applyFont="1" applyFill="1" applyBorder="1" applyAlignment="1">
      <alignment horizontal="center" vertical="center" wrapText="1"/>
    </xf>
    <xf numFmtId="14" fontId="24" fillId="14" borderId="1" xfId="0" applyNumberFormat="1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center"/>
    </xf>
    <xf numFmtId="0" fontId="24" fillId="14" borderId="7" xfId="0" applyFont="1" applyFill="1" applyBorder="1" applyAlignment="1">
      <alignment horizontal="center"/>
    </xf>
    <xf numFmtId="0" fontId="24" fillId="14" borderId="7" xfId="0" applyFont="1" applyFill="1" applyBorder="1" applyAlignment="1">
      <alignment horizontal="left"/>
    </xf>
    <xf numFmtId="0" fontId="24" fillId="14" borderId="1" xfId="0" applyFont="1" applyFill="1" applyBorder="1" applyAlignment="1"/>
    <xf numFmtId="0" fontId="24" fillId="14" borderId="7" xfId="0" applyNumberFormat="1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wrapText="1"/>
    </xf>
    <xf numFmtId="0" fontId="24" fillId="14" borderId="1" xfId="0" applyFont="1" applyFill="1" applyBorder="1"/>
    <xf numFmtId="0" fontId="24" fillId="14" borderId="0" xfId="0" applyFont="1" applyFill="1"/>
    <xf numFmtId="2" fontId="48" fillId="6" borderId="0" xfId="0" applyNumberFormat="1" applyFont="1" applyFill="1" applyAlignment="1">
      <alignment horizontal="center" vertical="center" wrapText="1"/>
    </xf>
    <xf numFmtId="0" fontId="19" fillId="29" borderId="1" xfId="0" applyFont="1" applyFill="1" applyBorder="1" applyAlignment="1">
      <alignment horizontal="center" vertical="center"/>
    </xf>
    <xf numFmtId="0" fontId="24" fillId="29" borderId="1" xfId="0" applyFont="1" applyFill="1" applyBorder="1" applyAlignment="1">
      <alignment horizontal="left" vertical="center" wrapText="1"/>
    </xf>
    <xf numFmtId="0" fontId="24" fillId="29" borderId="1" xfId="0" applyFont="1" applyFill="1" applyBorder="1" applyAlignment="1">
      <alignment horizontal="center" vertical="center"/>
    </xf>
    <xf numFmtId="0" fontId="24" fillId="29" borderId="1" xfId="0" applyFont="1" applyFill="1" applyBorder="1" applyAlignment="1">
      <alignment horizontal="left" vertical="center"/>
    </xf>
    <xf numFmtId="14" fontId="24" fillId="29" borderId="1" xfId="0" applyNumberFormat="1" applyFont="1" applyFill="1" applyBorder="1" applyAlignment="1">
      <alignment horizontal="center" vertical="center"/>
    </xf>
    <xf numFmtId="0" fontId="24" fillId="29" borderId="1" xfId="0" applyFont="1" applyFill="1" applyBorder="1"/>
    <xf numFmtId="0" fontId="25" fillId="0" borderId="63" xfId="0" applyFont="1" applyFill="1" applyBorder="1" applyAlignment="1">
      <alignment horizontal="center"/>
    </xf>
    <xf numFmtId="0" fontId="25" fillId="0" borderId="61" xfId="0" applyFont="1" applyFill="1" applyBorder="1" applyAlignment="1">
      <alignment horizontal="center"/>
    </xf>
    <xf numFmtId="0" fontId="25" fillId="0" borderId="64" xfId="0" applyFont="1" applyFill="1" applyBorder="1" applyAlignment="1">
      <alignment horizontal="center"/>
    </xf>
    <xf numFmtId="49" fontId="25" fillId="0" borderId="65" xfId="0" applyNumberFormat="1" applyFont="1" applyFill="1" applyBorder="1" applyAlignment="1">
      <alignment horizontal="center"/>
    </xf>
    <xf numFmtId="49" fontId="25" fillId="0" borderId="0" xfId="0" applyNumberFormat="1" applyFont="1" applyFill="1" applyBorder="1" applyAlignment="1">
      <alignment horizontal="center"/>
    </xf>
    <xf numFmtId="49" fontId="25" fillId="0" borderId="60" xfId="0" applyNumberFormat="1" applyFont="1" applyFill="1" applyBorder="1" applyAlignment="1">
      <alignment horizontal="center"/>
    </xf>
    <xf numFmtId="0" fontId="33" fillId="0" borderId="65" xfId="0" applyFont="1" applyFill="1" applyBorder="1" applyAlignment="1">
      <alignment horizontal="left"/>
    </xf>
    <xf numFmtId="0" fontId="33" fillId="0" borderId="0" xfId="0" applyFont="1" applyFill="1" applyBorder="1" applyAlignment="1">
      <alignment horizontal="left"/>
    </xf>
    <xf numFmtId="0" fontId="33" fillId="0" borderId="60" xfId="0" applyFont="1" applyFill="1" applyBorder="1" applyAlignment="1">
      <alignment horizontal="left"/>
    </xf>
    <xf numFmtId="0" fontId="33" fillId="0" borderId="66" xfId="0" applyFont="1" applyFill="1" applyBorder="1" applyAlignment="1">
      <alignment horizontal="left" vertical="top"/>
    </xf>
    <xf numFmtId="0" fontId="33" fillId="0" borderId="59" xfId="0" applyFont="1" applyFill="1" applyBorder="1" applyAlignment="1">
      <alignment horizontal="left" vertical="top"/>
    </xf>
    <xf numFmtId="0" fontId="33" fillId="0" borderId="67" xfId="0" applyFont="1" applyFill="1" applyBorder="1" applyAlignment="1">
      <alignment horizontal="left" vertical="top"/>
    </xf>
    <xf numFmtId="49" fontId="25" fillId="0" borderId="66" xfId="0" applyNumberFormat="1" applyFont="1" applyFill="1" applyBorder="1" applyAlignment="1">
      <alignment horizontal="center"/>
    </xf>
    <xf numFmtId="49" fontId="25" fillId="0" borderId="59" xfId="0" applyNumberFormat="1" applyFont="1" applyFill="1" applyBorder="1" applyAlignment="1">
      <alignment horizontal="center"/>
    </xf>
    <xf numFmtId="49" fontId="25" fillId="0" borderId="67" xfId="0" applyNumberFormat="1" applyFont="1" applyFill="1" applyBorder="1" applyAlignment="1">
      <alignment horizontal="center"/>
    </xf>
    <xf numFmtId="0" fontId="52" fillId="0" borderId="63" xfId="0" applyFont="1" applyFill="1" applyBorder="1" applyAlignment="1">
      <alignment horizontal="center"/>
    </xf>
    <xf numFmtId="0" fontId="52" fillId="0" borderId="61" xfId="0" applyFont="1" applyFill="1" applyBorder="1" applyAlignment="1">
      <alignment horizontal="center"/>
    </xf>
    <xf numFmtId="0" fontId="52" fillId="0" borderId="64" xfId="0" applyFont="1" applyFill="1" applyBorder="1" applyAlignment="1">
      <alignment horizontal="center"/>
    </xf>
    <xf numFmtId="49" fontId="53" fillId="0" borderId="65" xfId="0" applyNumberFormat="1" applyFont="1" applyFill="1" applyBorder="1" applyAlignment="1">
      <alignment horizontal="center"/>
    </xf>
    <xf numFmtId="49" fontId="53" fillId="0" borderId="0" xfId="0" applyNumberFormat="1" applyFont="1" applyFill="1" applyBorder="1" applyAlignment="1">
      <alignment horizontal="center"/>
    </xf>
    <xf numFmtId="49" fontId="53" fillId="0" borderId="60" xfId="0" applyNumberFormat="1" applyFont="1" applyFill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164" fontId="19" fillId="2" borderId="1" xfId="0" applyNumberFormat="1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/>
    </xf>
    <xf numFmtId="0" fontId="28" fillId="25" borderId="55" xfId="0" applyFont="1" applyFill="1" applyBorder="1" applyAlignment="1">
      <alignment horizontal="center" vertical="center"/>
    </xf>
    <xf numFmtId="0" fontId="28" fillId="25" borderId="61" xfId="0" applyFont="1" applyFill="1" applyBorder="1" applyAlignment="1">
      <alignment horizontal="center" vertical="center"/>
    </xf>
    <xf numFmtId="0" fontId="28" fillId="25" borderId="57" xfId="0" applyFont="1" applyFill="1" applyBorder="1" applyAlignment="1">
      <alignment horizontal="center" vertical="center"/>
    </xf>
    <xf numFmtId="49" fontId="26" fillId="0" borderId="0" xfId="0" applyNumberFormat="1" applyFont="1" applyAlignment="1"/>
    <xf numFmtId="164" fontId="19" fillId="3" borderId="1" xfId="0" applyNumberFormat="1" applyFont="1" applyFill="1" applyBorder="1" applyAlignment="1">
      <alignment horizontal="center" vertical="center" wrapText="1"/>
    </xf>
    <xf numFmtId="0" fontId="19" fillId="27" borderId="1" xfId="0" applyFont="1" applyFill="1" applyBorder="1" applyAlignment="1">
      <alignment horizontal="center" vertical="center" textRotation="70" wrapText="1"/>
    </xf>
    <xf numFmtId="0" fontId="19" fillId="27" borderId="1" xfId="0" applyFont="1" applyFill="1" applyBorder="1" applyAlignment="1">
      <alignment horizontal="center" vertical="center" textRotation="70"/>
    </xf>
    <xf numFmtId="0" fontId="27" fillId="31" borderId="1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center" vertical="center" wrapText="1"/>
    </xf>
    <xf numFmtId="0" fontId="44" fillId="4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2" fillId="23" borderId="1" xfId="0" applyFont="1" applyFill="1" applyBorder="1" applyAlignment="1">
      <alignment horizontal="center" vertical="center" wrapText="1"/>
    </xf>
    <xf numFmtId="0" fontId="19" fillId="24" borderId="1" xfId="0" applyFont="1" applyFill="1" applyBorder="1" applyAlignment="1">
      <alignment horizontal="center" vertical="center" wrapText="1"/>
    </xf>
    <xf numFmtId="0" fontId="28" fillId="24" borderId="1" xfId="0" applyFont="1" applyFill="1" applyBorder="1" applyAlignment="1">
      <alignment horizontal="center" vertical="center" wrapText="1"/>
    </xf>
    <xf numFmtId="0" fontId="28" fillId="33" borderId="55" xfId="0" applyFont="1" applyFill="1" applyBorder="1" applyAlignment="1">
      <alignment horizontal="center" vertical="center" wrapText="1"/>
    </xf>
    <xf numFmtId="0" fontId="28" fillId="33" borderId="57" xfId="0" applyFont="1" applyFill="1" applyBorder="1" applyAlignment="1">
      <alignment horizontal="center" vertical="center" wrapText="1"/>
    </xf>
    <xf numFmtId="14" fontId="28" fillId="33" borderId="1" xfId="0" applyNumberFormat="1" applyFont="1" applyFill="1" applyBorder="1" applyAlignment="1">
      <alignment horizontal="center" vertical="center" wrapText="1"/>
    </xf>
    <xf numFmtId="0" fontId="21" fillId="26" borderId="1" xfId="0" applyFont="1" applyFill="1" applyBorder="1" applyAlignment="1">
      <alignment horizontal="center" vertical="center" wrapText="1"/>
    </xf>
    <xf numFmtId="0" fontId="28" fillId="32" borderId="5" xfId="0" applyFont="1" applyFill="1" applyBorder="1" applyAlignment="1">
      <alignment horizontal="center" vertical="center" wrapText="1"/>
    </xf>
    <xf numFmtId="0" fontId="28" fillId="32" borderId="7" xfId="0" applyFont="1" applyFill="1" applyBorder="1" applyAlignment="1">
      <alignment horizontal="center" vertical="center" wrapText="1"/>
    </xf>
    <xf numFmtId="0" fontId="24" fillId="0" borderId="8" xfId="0" applyFont="1" applyFill="1" applyBorder="1" applyAlignment="1">
      <alignment horizontal="center"/>
    </xf>
    <xf numFmtId="0" fontId="24" fillId="0" borderId="71" xfId="0" applyFont="1" applyFill="1" applyBorder="1" applyAlignment="1">
      <alignment horizontal="center"/>
    </xf>
    <xf numFmtId="0" fontId="21" fillId="27" borderId="5" xfId="0" applyFont="1" applyFill="1" applyBorder="1" applyAlignment="1">
      <alignment horizontal="center" vertical="center" wrapText="1"/>
    </xf>
    <xf numFmtId="0" fontId="21" fillId="27" borderId="7" xfId="0" applyFont="1" applyFill="1" applyBorder="1" applyAlignment="1">
      <alignment horizontal="center" vertical="center" wrapText="1"/>
    </xf>
    <xf numFmtId="0" fontId="28" fillId="27" borderId="1" xfId="0" applyFont="1" applyFill="1" applyBorder="1" applyAlignment="1">
      <alignment horizontal="center" vertical="center" wrapText="1"/>
    </xf>
    <xf numFmtId="164" fontId="19" fillId="27" borderId="1" xfId="0" applyNumberFormat="1" applyFont="1" applyFill="1" applyBorder="1" applyAlignment="1">
      <alignment horizontal="center" vertical="center" textRotation="70" wrapText="1"/>
    </xf>
    <xf numFmtId="14" fontId="28" fillId="36" borderId="1" xfId="0" applyNumberFormat="1" applyFont="1" applyFill="1" applyBorder="1" applyAlignment="1">
      <alignment horizontal="center" vertical="center" wrapText="1"/>
    </xf>
    <xf numFmtId="0" fontId="37" fillId="6" borderId="1" xfId="0" applyNumberFormat="1" applyFont="1" applyFill="1" applyBorder="1" applyAlignment="1">
      <alignment horizontal="center" vertical="center" wrapText="1"/>
    </xf>
    <xf numFmtId="0" fontId="31" fillId="30" borderId="2" xfId="0" applyFont="1" applyFill="1" applyBorder="1" applyAlignment="1">
      <alignment horizontal="center" vertical="center" wrapText="1"/>
    </xf>
    <xf numFmtId="0" fontId="31" fillId="30" borderId="4" xfId="0" applyFont="1" applyFill="1" applyBorder="1" applyAlignment="1">
      <alignment horizontal="center" vertical="center" wrapText="1"/>
    </xf>
    <xf numFmtId="0" fontId="36" fillId="29" borderId="58" xfId="0" applyFont="1" applyFill="1" applyBorder="1" applyAlignment="1">
      <alignment horizontal="center" vertical="center" wrapText="1"/>
    </xf>
    <xf numFmtId="0" fontId="36" fillId="29" borderId="15" xfId="0" applyFont="1" applyFill="1" applyBorder="1" applyAlignment="1">
      <alignment horizontal="center" vertical="center" wrapText="1"/>
    </xf>
    <xf numFmtId="0" fontId="36" fillId="34" borderId="1" xfId="0" applyFont="1" applyFill="1" applyBorder="1" applyAlignment="1">
      <alignment horizontal="center"/>
    </xf>
    <xf numFmtId="0" fontId="33" fillId="35" borderId="1" xfId="0" applyFont="1" applyFill="1" applyBorder="1" applyAlignment="1">
      <alignment horizontal="center"/>
    </xf>
    <xf numFmtId="0" fontId="38" fillId="24" borderId="2" xfId="0" applyFont="1" applyFill="1" applyBorder="1" applyAlignment="1">
      <alignment horizontal="center" wrapText="1"/>
    </xf>
    <xf numFmtId="0" fontId="38" fillId="24" borderId="3" xfId="0" applyFont="1" applyFill="1" applyBorder="1" applyAlignment="1">
      <alignment horizontal="center" wrapText="1"/>
    </xf>
    <xf numFmtId="0" fontId="38" fillId="24" borderId="4" xfId="0" applyFont="1" applyFill="1" applyBorder="1" applyAlignment="1">
      <alignment horizontal="center" wrapText="1"/>
    </xf>
    <xf numFmtId="0" fontId="0" fillId="37" borderId="2" xfId="0" applyFill="1" applyBorder="1" applyAlignment="1">
      <alignment horizontal="center" wrapText="1"/>
    </xf>
    <xf numFmtId="0" fontId="0" fillId="37" borderId="4" xfId="0" applyFill="1" applyBorder="1" applyAlignment="1">
      <alignment horizontal="center" wrapText="1"/>
    </xf>
    <xf numFmtId="0" fontId="0" fillId="28" borderId="5" xfId="0" applyFill="1" applyBorder="1" applyAlignment="1">
      <alignment horizontal="center"/>
    </xf>
    <xf numFmtId="0" fontId="0" fillId="24" borderId="6" xfId="0" applyFill="1" applyBorder="1" applyAlignment="1">
      <alignment horizontal="center"/>
    </xf>
    <xf numFmtId="0" fontId="0" fillId="24" borderId="53" xfId="0" applyFill="1" applyBorder="1" applyAlignment="1">
      <alignment horizontal="center"/>
    </xf>
    <xf numFmtId="0" fontId="0" fillId="24" borderId="56" xfId="0" applyFill="1" applyBorder="1" applyAlignment="1">
      <alignment horizontal="center"/>
    </xf>
    <xf numFmtId="0" fontId="0" fillId="28" borderId="5" xfId="0" applyFill="1" applyBorder="1" applyAlignment="1">
      <alignment horizontal="center" wrapText="1"/>
    </xf>
    <xf numFmtId="0" fontId="31" fillId="30" borderId="2" xfId="0" applyFont="1" applyFill="1" applyBorder="1" applyAlignment="1">
      <alignment horizontal="center" vertical="center"/>
    </xf>
    <xf numFmtId="0" fontId="31" fillId="30" borderId="4" xfId="0" applyFont="1" applyFill="1" applyBorder="1" applyAlignment="1">
      <alignment horizontal="center" vertical="center"/>
    </xf>
    <xf numFmtId="164" fontId="11" fillId="8" borderId="16" xfId="0" applyNumberFormat="1" applyFont="1" applyFill="1" applyBorder="1" applyAlignment="1">
      <alignment horizontal="center" vertical="center" wrapText="1"/>
    </xf>
    <xf numFmtId="164" fontId="11" fillId="8" borderId="20" xfId="0" applyNumberFormat="1" applyFont="1" applyFill="1" applyBorder="1" applyAlignment="1">
      <alignment horizontal="center" vertical="center" wrapText="1"/>
    </xf>
    <xf numFmtId="0" fontId="16" fillId="20" borderId="39" xfId="0" applyFont="1" applyFill="1" applyBorder="1" applyAlignment="1">
      <alignment horizontal="center" vertical="center" wrapText="1"/>
    </xf>
    <xf numFmtId="0" fontId="16" fillId="20" borderId="8" xfId="0" applyFont="1" applyFill="1" applyBorder="1" applyAlignment="1">
      <alignment horizontal="center" vertical="center" wrapText="1"/>
    </xf>
    <xf numFmtId="0" fontId="16" fillId="20" borderId="43" xfId="0" applyFont="1" applyFill="1" applyBorder="1" applyAlignment="1">
      <alignment horizontal="center" vertical="center" wrapText="1"/>
    </xf>
    <xf numFmtId="0" fontId="16" fillId="20" borderId="0" xfId="0" applyFont="1" applyFill="1" applyAlignment="1">
      <alignment horizontal="center" vertical="center" wrapText="1"/>
    </xf>
    <xf numFmtId="0" fontId="16" fillId="20" borderId="47" xfId="0" applyFont="1" applyFill="1" applyBorder="1" applyAlignment="1">
      <alignment horizontal="center" vertical="center" wrapText="1"/>
    </xf>
    <xf numFmtId="0" fontId="16" fillId="20" borderId="21" xfId="0" applyFont="1" applyFill="1" applyBorder="1" applyAlignment="1">
      <alignment horizontal="center" vertical="center" wrapText="1"/>
    </xf>
    <xf numFmtId="0" fontId="16" fillId="20" borderId="41" xfId="0" applyFont="1" applyFill="1" applyBorder="1" applyAlignment="1">
      <alignment horizontal="center" vertical="center" wrapText="1"/>
    </xf>
    <xf numFmtId="0" fontId="9" fillId="21" borderId="40" xfId="0" applyFont="1" applyFill="1" applyBorder="1" applyAlignment="1">
      <alignment horizontal="center" vertical="center" textRotation="90" wrapText="1"/>
    </xf>
    <xf numFmtId="0" fontId="9" fillId="21" borderId="18" xfId="0" applyFont="1" applyFill="1" applyBorder="1" applyAlignment="1">
      <alignment horizontal="center" vertical="center" textRotation="90" wrapText="1"/>
    </xf>
    <xf numFmtId="0" fontId="9" fillId="21" borderId="42" xfId="0" applyFont="1" applyFill="1" applyBorder="1" applyAlignment="1">
      <alignment horizontal="center" vertical="center" textRotation="90" wrapText="1"/>
    </xf>
    <xf numFmtId="164" fontId="11" fillId="8" borderId="44" xfId="0" applyNumberFormat="1" applyFont="1" applyFill="1" applyBorder="1" applyAlignment="1">
      <alignment horizontal="center" vertical="center" wrapText="1"/>
    </xf>
    <xf numFmtId="0" fontId="9" fillId="15" borderId="20" xfId="0" applyFont="1" applyFill="1" applyBorder="1" applyAlignment="1">
      <alignment horizontal="center" vertical="center" wrapText="1"/>
    </xf>
    <xf numFmtId="0" fontId="9" fillId="15" borderId="21" xfId="0" applyFont="1" applyFill="1" applyBorder="1" applyAlignment="1">
      <alignment horizontal="center" vertical="center" textRotation="90" wrapText="1"/>
    </xf>
    <xf numFmtId="164" fontId="12" fillId="8" borderId="20" xfId="0" applyNumberFormat="1" applyFont="1" applyFill="1" applyBorder="1" applyAlignment="1">
      <alignment horizontal="center" vertical="center" wrapText="1"/>
    </xf>
    <xf numFmtId="0" fontId="9" fillId="16" borderId="25" xfId="0" applyFont="1" applyFill="1" applyBorder="1" applyAlignment="1">
      <alignment horizontal="center" vertical="center" wrapText="1"/>
    </xf>
    <xf numFmtId="0" fontId="9" fillId="16" borderId="28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vertical="center" wrapText="1"/>
    </xf>
    <xf numFmtId="0" fontId="4" fillId="0" borderId="36" xfId="0" applyFont="1" applyBorder="1" applyAlignment="1">
      <alignment vertical="center" wrapText="1"/>
    </xf>
    <xf numFmtId="0" fontId="9" fillId="16" borderId="35" xfId="0" applyFont="1" applyFill="1" applyBorder="1" applyAlignment="1">
      <alignment horizontal="center" vertical="center" textRotation="90" wrapText="1"/>
    </xf>
    <xf numFmtId="0" fontId="9" fillId="16" borderId="0" xfId="0" applyFont="1" applyFill="1" applyAlignment="1">
      <alignment horizontal="center" vertical="center" textRotation="90" wrapText="1"/>
    </xf>
    <xf numFmtId="0" fontId="4" fillId="0" borderId="0" xfId="0" applyFont="1" applyAlignment="1">
      <alignment vertical="center" wrapText="1"/>
    </xf>
    <xf numFmtId="164" fontId="11" fillId="12" borderId="24" xfId="0" applyNumberFormat="1" applyFont="1" applyFill="1" applyBorder="1" applyAlignment="1">
      <alignment horizontal="center" vertical="center" wrapText="1"/>
    </xf>
    <xf numFmtId="164" fontId="11" fillId="12" borderId="27" xfId="0" applyNumberFormat="1" applyFont="1" applyFill="1" applyBorder="1" applyAlignment="1">
      <alignment horizontal="center" vertical="center" wrapText="1"/>
    </xf>
    <xf numFmtId="164" fontId="11" fillId="12" borderId="30" xfId="0" applyNumberFormat="1" applyFont="1" applyFill="1" applyBorder="1" applyAlignment="1">
      <alignment horizontal="center" vertical="center" wrapText="1"/>
    </xf>
    <xf numFmtId="0" fontId="9" fillId="13" borderId="25" xfId="0" applyFont="1" applyFill="1" applyBorder="1" applyAlignment="1">
      <alignment horizontal="center" vertical="center" wrapText="1"/>
    </xf>
    <xf numFmtId="0" fontId="9" fillId="13" borderId="28" xfId="0" applyFont="1" applyFill="1" applyBorder="1" applyAlignment="1">
      <alignment horizontal="center" vertical="center" wrapText="1"/>
    </xf>
    <xf numFmtId="0" fontId="9" fillId="13" borderId="26" xfId="0" applyFont="1" applyFill="1" applyBorder="1" applyAlignment="1">
      <alignment horizontal="center" vertical="center" textRotation="90" wrapText="1"/>
    </xf>
    <xf numFmtId="0" fontId="9" fillId="13" borderId="29" xfId="0" applyFont="1" applyFill="1" applyBorder="1" applyAlignment="1">
      <alignment horizontal="center" vertical="center" textRotation="90" wrapText="1"/>
    </xf>
    <xf numFmtId="0" fontId="9" fillId="13" borderId="31" xfId="0" applyFont="1" applyFill="1" applyBorder="1" applyAlignment="1">
      <alignment horizontal="center" vertical="center" textRotation="90" wrapText="1"/>
    </xf>
    <xf numFmtId="164" fontId="11" fillId="8" borderId="24" xfId="0" applyNumberFormat="1" applyFont="1" applyFill="1" applyBorder="1" applyAlignment="1">
      <alignment horizontal="center" vertical="center"/>
    </xf>
    <xf numFmtId="164" fontId="11" fillId="8" borderId="27" xfId="0" applyNumberFormat="1" applyFont="1" applyFill="1" applyBorder="1" applyAlignment="1">
      <alignment horizontal="center" vertical="center"/>
    </xf>
    <xf numFmtId="0" fontId="9" fillId="14" borderId="25" xfId="0" applyFont="1" applyFill="1" applyBorder="1" applyAlignment="1">
      <alignment horizontal="center" vertical="center" wrapText="1"/>
    </xf>
    <xf numFmtId="0" fontId="9" fillId="14" borderId="28" xfId="0" applyFont="1" applyFill="1" applyBorder="1" applyAlignment="1">
      <alignment horizontal="center" vertical="center" wrapText="1"/>
    </xf>
    <xf numFmtId="0" fontId="9" fillId="14" borderId="26" xfId="0" applyFont="1" applyFill="1" applyBorder="1" applyAlignment="1">
      <alignment horizontal="center" vertical="center" textRotation="90" wrapText="1"/>
    </xf>
    <xf numFmtId="0" fontId="9" fillId="14" borderId="29" xfId="0" applyFont="1" applyFill="1" applyBorder="1" applyAlignment="1">
      <alignment horizontal="center" vertical="center" textRotation="90" wrapText="1"/>
    </xf>
    <xf numFmtId="0" fontId="9" fillId="6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0" xfId="0" quotePrefix="1" applyFont="1" applyFill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vertical="center" textRotation="90" wrapText="1"/>
    </xf>
    <xf numFmtId="0" fontId="4" fillId="0" borderId="21" xfId="0" applyFont="1" applyBorder="1" applyAlignment="1">
      <alignment horizontal="center" vertical="center" textRotation="90" wrapText="1"/>
    </xf>
    <xf numFmtId="14" fontId="25" fillId="3" borderId="1" xfId="0" applyNumberFormat="1" applyFont="1" applyFill="1" applyBorder="1" applyAlignment="1">
      <alignment horizontal="center" vertical="center"/>
    </xf>
    <xf numFmtId="14" fontId="24" fillId="3" borderId="1" xfId="0" applyNumberFormat="1" applyFont="1" applyFill="1" applyBorder="1" applyAlignment="1">
      <alignment horizontal="center" vertical="center"/>
    </xf>
    <xf numFmtId="14" fontId="0" fillId="8" borderId="0" xfId="0" applyNumberFormat="1" applyFill="1"/>
    <xf numFmtId="0" fontId="32" fillId="29" borderId="1" xfId="0" applyFont="1" applyFill="1" applyBorder="1"/>
  </cellXfs>
  <cellStyles count="4">
    <cellStyle name="Milliers" xfId="3" builtinId="3"/>
    <cellStyle name="Normal" xfId="0" builtinId="0"/>
    <cellStyle name="Normal 2" xfId="2" xr:uid="{00000000-0005-0000-0000-000002000000}"/>
    <cellStyle name="Normal 3" xfId="1" xr:uid="{00000000-0005-0000-0000-000003000000}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C981C2"/>
      <color rgb="FF66FFFF"/>
      <color rgb="FF9966FF"/>
      <color rgb="FFFDBFF9"/>
      <color rgb="FF00FFCC"/>
      <color rgb="FF95FDFB"/>
      <color rgb="FFB3C1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ing%20HELENE%20ma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MBERIEU\Codif\ANNEXE%201%20%20Tableau%20quantitatif%20Ainsertion%20+%20%202021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 deroulant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LISTE DEROULANTE"/>
    </sheetNames>
    <sheetDataSet>
      <sheetData sheetId="0"/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line SARIGOL" refreshedDate="46087.684136111115" createdVersion="6" refreshedVersion="6" minRefreshableVersion="3" recordCount="232" xr:uid="{00000000-000A-0000-FFFF-FFFF01000000}">
  <cacheSource type="worksheet">
    <worksheetSource ref="A4:S235" sheet="bilan de parcours  + démarches"/>
  </cacheSource>
  <cacheFields count="19">
    <cacheField name="nom" numFmtId="0">
      <sharedItems containsBlank="1" containsMixedTypes="1" containsNumber="1" containsInteger="1" minValue="0" maxValue="0"/>
    </cacheField>
    <cacheField name="prenom" numFmtId="0">
      <sharedItems containsBlank="1" containsMixedTypes="1" containsNumber="1" containsInteger="1" minValue="0" maxValue="0"/>
    </cacheField>
    <cacheField name="1er mois" numFmtId="0">
      <sharedItems containsNonDate="0" containsString="0" containsBlank="1"/>
    </cacheField>
    <cacheField name="2e mois" numFmtId="0">
      <sharedItems containsNonDate="0" containsString="0" containsBlank="1"/>
    </cacheField>
    <cacheField name="3e mois" numFmtId="0">
      <sharedItems containsNonDate="0" containsString="0" containsBlank="1"/>
    </cacheField>
    <cacheField name="4e mois" numFmtId="0">
      <sharedItems containsNonDate="0" containsString="0" containsBlank="1"/>
    </cacheField>
    <cacheField name="5e mois" numFmtId="0">
      <sharedItems containsNonDate="0" containsString="0" containsBlank="1"/>
    </cacheField>
    <cacheField name="6e mois" numFmtId="0">
      <sharedItems containsNonDate="0" containsString="0" containsBlank="1"/>
    </cacheField>
    <cacheField name="demande" numFmtId="0">
      <sharedItems containsNonDate="0" containsString="0" containsBlank="1"/>
    </cacheField>
    <cacheField name="Date" numFmtId="0">
      <sharedItems containsNonDate="0" containsString="0" containsBlank="1"/>
    </cacheField>
    <cacheField name="Renouvellement" numFmtId="0">
      <sharedItems containsNonDate="0" containsString="0" containsBlank="1"/>
    </cacheField>
    <cacheField name="8e mois" numFmtId="0">
      <sharedItems containsNonDate="0" containsString="0" containsBlank="1"/>
    </cacheField>
    <cacheField name="9e mois" numFmtId="0">
      <sharedItems containsNonDate="0" containsString="0" containsBlank="1"/>
    </cacheField>
    <cacheField name="10e mois" numFmtId="0">
      <sharedItems containsNonDate="0" containsString="0" containsBlank="1"/>
    </cacheField>
    <cacheField name="11e mois" numFmtId="0">
      <sharedItems containsNonDate="0" containsString="0" containsBlank="1"/>
    </cacheField>
    <cacheField name="12e mois" numFmtId="0">
      <sharedItems containsNonDate="0" containsString="0" containsBlank="1"/>
    </cacheField>
    <cacheField name="13e mois" numFmtId="0">
      <sharedItems containsNonDate="0" containsString="0" containsBlank="1"/>
    </cacheField>
    <cacheField name="Date " numFmtId="0">
      <sharedItems containsNonDate="0" containsString="0" containsBlank="1"/>
    </cacheField>
    <cacheField name="Préco Ré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line SARIGOL" refreshedDate="46087.685412500003" createdVersion="6" refreshedVersion="6" minRefreshableVersion="3" recordCount="198" xr:uid="{00000000-000A-0000-FFFF-FFFF02000000}">
  <cacheSource type="worksheet">
    <worksheetSource ref="B10:AL239" sheet="AMBERIEU LAGNIEU"/>
  </cacheSource>
  <cacheFields count="37">
    <cacheField name="H/F" numFmtId="0">
      <sharedItems containsBlank="1"/>
    </cacheField>
    <cacheField name="NOM" numFmtId="0">
      <sharedItems containsBlank="1"/>
    </cacheField>
    <cacheField name="PRENOM" numFmtId="0">
      <sharedItems containsBlank="1"/>
    </cacheField>
    <cacheField name="âge" numFmtId="0">
      <sharedItems containsString="0" containsBlank="1" containsNumber="1" containsInteger="1" minValue="24" maxValue="63"/>
    </cacheField>
    <cacheField name="Niveau scolaire" numFmtId="0">
      <sharedItems containsBlank="1"/>
    </cacheField>
    <cacheField name="CDS" numFmtId="0">
      <sharedItems containsBlank="1"/>
    </cacheField>
    <cacheField name="DATE ORIENTATION" numFmtId="0">
      <sharedItems containsDate="1" containsBlank="1" containsMixedTypes="1" minDate="2025-03-27T00:00:00" maxDate="2026-03-27T00:00:00"/>
    </cacheField>
    <cacheField name="DATE 1ER RDV fixé" numFmtId="0">
      <sharedItems containsDate="1" containsBlank="1" containsMixedTypes="1" minDate="2005-09-08T00:00:00" maxDate="2026-03-26T00:00:00"/>
    </cacheField>
    <cacheField name="C.E SIGNE" numFmtId="0">
      <sharedItems containsDate="1" containsBlank="1" containsMixedTypes="1" minDate="1899-12-31T00:00:00" maxDate="2025-12-02T00:00:00"/>
    </cacheField>
    <cacheField name="FIN CE 6 MOIS " numFmtId="14">
      <sharedItems containsDate="1" containsBlank="1" containsMixedTypes="1" minDate="1900-06-28T00:00:00" maxDate="2026-09-01T00:00:00"/>
    </cacheField>
    <cacheField name="BILAN PARCOURS (7eme mois)" numFmtId="0">
      <sharedItems containsNonDate="0" containsString="0" containsBlank="1"/>
    </cacheField>
    <cacheField name="1" numFmtId="0">
      <sharedItems containsBlank="1"/>
    </cacheField>
    <cacheField name="2" numFmtId="0">
      <sharedItems containsBlank="1"/>
    </cacheField>
    <cacheField name="autre" numFmtId="0">
      <sharedItems containsBlank="1" containsMixedTypes="1" containsNumber="1" containsInteger="1" minValue="0" maxValue="0"/>
    </cacheField>
    <cacheField name="NOMBRE D OFFRES D EMPLOI PROPOSEES (OE/INFO COLL/jobdating..)" numFmtId="0">
      <sharedItems containsBlank="1" containsMixedTypes="1" containsNumber="1" containsInteger="1" minValue="1" maxValue="8"/>
    </cacheField>
    <cacheField name="NBRE D ENTRETIENS DE RECRUTEMENT OBTENUS SUITE A VOS OFFRES D EMPLOI" numFmtId="0">
      <sharedItems containsBlank="1" containsMixedTypes="1" containsNumber="1" containsInteger="1" minValue="1" maxValue="1"/>
    </cacheField>
    <cacheField name="PMSMP (1 = oui)" numFmtId="0">
      <sharedItems containsNonDate="0" containsString="0" containsBlank="1"/>
    </cacheField>
    <cacheField name="Motif de sortie" numFmtId="0">
      <sharedItems containsBlank="1"/>
    </cacheField>
    <cacheField name="MOTIF de la REO" numFmtId="0">
      <sharedItems containsBlank="1"/>
    </cacheField>
    <cacheField name="types" numFmtId="0">
      <sharedItems containsBlank="1"/>
    </cacheField>
    <cacheField name="DATE SORTIE" numFmtId="14">
      <sharedItems containsNonDate="0" containsString="0" containsBlank="1"/>
    </cacheField>
    <cacheField name="Saisie FSE" numFmtId="0">
      <sharedItems containsString="0" containsBlank="1" containsNumber="1" containsInteger="1" minValue="1" maxValue="1"/>
    </cacheField>
    <cacheField name="FLE (GoOn-Ifra-Ville Bourg-centre social..)" numFmtId="0">
      <sharedItems containsNonDate="0" containsString="0" containsBlank="1"/>
    </cacheField>
    <cacheField name="Declic Emploi HBA" numFmtId="0">
      <sharedItems containsNonDate="0" containsString="0" containsBlank="1"/>
    </cacheField>
    <cacheField name="MIFE 01" numFmtId="0">
      <sharedItems containsNonDate="0" containsString="0" containsBlank="1"/>
    </cacheField>
    <cacheField name="AIDE FINANCIERE " numFmtId="0">
      <sharedItems containsNonDate="0" containsString="0" containsBlank="1"/>
    </cacheField>
    <cacheField name="Conseillers numériques" numFmtId="0">
      <sharedItems containsNonDate="0" containsString="0" containsBlank="1"/>
    </cacheField>
    <cacheField name="GO ON" numFmtId="0">
      <sharedItems containsNonDate="0" containsString="0" containsBlank="1"/>
    </cacheField>
    <cacheField name="MOBILITE " numFmtId="0">
      <sharedItems containsNonDate="0" containsString="0" containsBlank="1"/>
    </cacheField>
    <cacheField name="ARIANE " numFmtId="0">
      <sharedItems containsNonDate="0" containsString="0" containsBlank="1"/>
    </cacheField>
    <cacheField name="AGENT DE SANTE " numFmtId="0">
      <sharedItems containsNonDate="0" containsString="0" containsBlank="1"/>
    </cacheField>
    <cacheField name="ADAPT " numFmtId="0">
      <sharedItems containsNonDate="0" containsString="0" containsBlank="1"/>
    </cacheField>
    <cacheField name="ORSAC " numFmtId="0">
      <sharedItems containsNonDate="0" containsString="0" containsBlank="1"/>
    </cacheField>
    <cacheField name="REPIT PARENTAL" numFmtId="0">
      <sharedItems containsNonDate="0" containsString="0" containsBlank="1"/>
    </cacheField>
    <cacheField name="Clauses sociales" numFmtId="0">
      <sharedItems containsNonDate="0" containsString="0" containsBlank="1"/>
    </cacheField>
    <cacheField name="Autres (preciser)" numFmtId="0">
      <sharedItems containsNonDate="0" containsString="0" containsBlank="1"/>
    </cacheField>
    <cacheField name="COMMENTAIRES /OBSERV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line SARIGOL" refreshedDate="46087.685543402775" createdVersion="6" refreshedVersion="6" minRefreshableVersion="3" recordCount="124" xr:uid="{00000000-000A-0000-FFFF-FFFF03000000}">
  <cacheSource type="worksheet">
    <worksheetSource ref="B10:AK134" sheet="AMBERIEU LAGNIEU"/>
  </cacheSource>
  <cacheFields count="36">
    <cacheField name="H/F" numFmtId="0">
      <sharedItems containsBlank="1" count="6">
        <m/>
        <s v="Madame "/>
        <s v="Monsieur"/>
        <s v="Madame"/>
        <s v="Mme "/>
        <s v="Monsieur "/>
      </sharedItems>
    </cacheField>
    <cacheField name="NOM" numFmtId="0">
      <sharedItems containsBlank="1"/>
    </cacheField>
    <cacheField name="PRENOM" numFmtId="0">
      <sharedItems containsBlank="1"/>
    </cacheField>
    <cacheField name="âge" numFmtId="0">
      <sharedItems containsString="0" containsBlank="1" containsNumber="1" containsInteger="1" minValue="26" maxValue="63"/>
    </cacheField>
    <cacheField name="Niveau scolaire" numFmtId="0">
      <sharedItems containsBlank="1"/>
    </cacheField>
    <cacheField name="CDS" numFmtId="0">
      <sharedItems containsBlank="1"/>
    </cacheField>
    <cacheField name="DATE ORIENTATION" numFmtId="0">
      <sharedItems containsDate="1" containsBlank="1" containsMixedTypes="1" minDate="2025-04-11T00:00:00" maxDate="2026-03-27T00:00:00"/>
    </cacheField>
    <cacheField name="DATE 1ER RDV fixé" numFmtId="0">
      <sharedItems containsDate="1" containsBlank="1" containsMixedTypes="1" minDate="2005-09-08T00:00:00" maxDate="2026-03-26T00:00:00"/>
    </cacheField>
    <cacheField name="C.E SIGNE" numFmtId="0">
      <sharedItems containsDate="1" containsBlank="1" containsMixedTypes="1" minDate="1899-12-31T00:00:00" maxDate="1900-01-05T09:51:04"/>
    </cacheField>
    <cacheField name="FIN CE 6 MOIS " numFmtId="14">
      <sharedItems containsDate="1" containsBlank="1" containsMixedTypes="1" minDate="1900-06-28T00:00:00" maxDate="2026-09-01T00:00:00"/>
    </cacheField>
    <cacheField name="BILAN PARCOURS (7eme mois)" numFmtId="0">
      <sharedItems containsNonDate="0" containsString="0" containsBlank="1"/>
    </cacheField>
    <cacheField name="1" numFmtId="0">
      <sharedItems containsBlank="1"/>
    </cacheField>
    <cacheField name="2" numFmtId="0">
      <sharedItems containsBlank="1"/>
    </cacheField>
    <cacheField name="autre" numFmtId="0">
      <sharedItems containsBlank="1"/>
    </cacheField>
    <cacheField name="NOMBRE D OFFRES D EMPLOI PROPOSEES (OE/INFO COLL/jobdating..)" numFmtId="0">
      <sharedItems containsBlank="1" containsMixedTypes="1" containsNumber="1" containsInteger="1" minValue="1" maxValue="8"/>
    </cacheField>
    <cacheField name="NBRE D ENTRETIENS DE RECRUTEMENT OBTENUS SUITE A VOS OFFRES D EMPLOI" numFmtId="0">
      <sharedItems containsBlank="1" containsMixedTypes="1" containsNumber="1" containsInteger="1" minValue="1" maxValue="1"/>
    </cacheField>
    <cacheField name="PMSMP (1 = oui)" numFmtId="0">
      <sharedItems containsNonDate="0" containsString="0" containsBlank="1"/>
    </cacheField>
    <cacheField name="Motif de sortie" numFmtId="0">
      <sharedItems containsBlank="1" count="9">
        <m/>
        <s v="autre"/>
        <s v="reorientation"/>
        <s v="Fin DD"/>
        <s v="Réorientation"/>
        <s v="Renonciation RSA" u="1"/>
        <s v="Mauvaise orientation" u="1"/>
        <s v="Positive" u="1"/>
        <s v="Déménagement" u="1"/>
      </sharedItems>
    </cacheField>
    <cacheField name="MOTIF de la REO" numFmtId="0">
      <sharedItems containsBlank="1" count="8">
        <m/>
        <s v="Arret mal longue durée"/>
        <s v="FT acc pro"/>
        <s v="arrêt longue maladie"/>
        <s v="BGE" u="1"/>
        <s v="FT acco glo" u="1"/>
        <s v="Sociale retraite" u="1"/>
        <s v="Social freins+" u="1"/>
      </sharedItems>
    </cacheField>
    <cacheField name="types" numFmtId="0">
      <sharedItems containsNonDate="0" containsBlank="1" count="6">
        <m/>
        <s v="CDI &gt;ou= 24h" u="1"/>
        <s v="CDD +6mois &gt;ou=254h" u="1"/>
        <s v="Créa" u="1"/>
        <s v="Formation certifiante ou qualifiante" u="1"/>
        <s v="FT SIAE" u="1"/>
      </sharedItems>
    </cacheField>
    <cacheField name="DATE SORTIE" numFmtId="14">
      <sharedItems containsNonDate="0" containsString="0" containsBlank="1"/>
    </cacheField>
    <cacheField name="Saisie FSE" numFmtId="0">
      <sharedItems containsString="0" containsBlank="1" containsNumber="1" containsInteger="1" minValue="1" maxValue="1"/>
    </cacheField>
    <cacheField name="FLE (GoOn-Ifra-Ville Bourg-centre social..)" numFmtId="0">
      <sharedItems containsNonDate="0" containsString="0" containsBlank="1"/>
    </cacheField>
    <cacheField name="Declic Emploi HBA" numFmtId="0">
      <sharedItems containsNonDate="0" containsString="0" containsBlank="1"/>
    </cacheField>
    <cacheField name="MIFE 01" numFmtId="0">
      <sharedItems containsNonDate="0" containsString="0" containsBlank="1"/>
    </cacheField>
    <cacheField name="AIDE FINANCIERE " numFmtId="0">
      <sharedItems containsNonDate="0" containsString="0" containsBlank="1"/>
    </cacheField>
    <cacheField name="Conseillers numériques" numFmtId="0">
      <sharedItems containsNonDate="0" containsString="0" containsBlank="1"/>
    </cacheField>
    <cacheField name="GO ON" numFmtId="0">
      <sharedItems containsNonDate="0" containsString="0" containsBlank="1"/>
    </cacheField>
    <cacheField name="MOBILITE " numFmtId="0">
      <sharedItems containsNonDate="0" containsString="0" containsBlank="1"/>
    </cacheField>
    <cacheField name="ARIANE " numFmtId="0">
      <sharedItems containsNonDate="0" containsString="0" containsBlank="1"/>
    </cacheField>
    <cacheField name="AGENT DE SANTE " numFmtId="0">
      <sharedItems containsNonDate="0" containsString="0" containsBlank="1"/>
    </cacheField>
    <cacheField name="ADAPT " numFmtId="0">
      <sharedItems containsNonDate="0" containsString="0" containsBlank="1"/>
    </cacheField>
    <cacheField name="ORSAC " numFmtId="0">
      <sharedItems containsNonDate="0" containsString="0" containsBlank="1"/>
    </cacheField>
    <cacheField name="REPIT PARENTAL" numFmtId="0">
      <sharedItems containsNonDate="0" containsString="0" containsBlank="1"/>
    </cacheField>
    <cacheField name="Clauses sociales" numFmtId="0">
      <sharedItems containsNonDate="0" containsString="0" containsBlank="1"/>
    </cacheField>
    <cacheField name="Autres (preciser)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line SARIGOL" refreshedDate="46203.411883796296" createdVersion="6" refreshedVersion="6" minRefreshableVersion="3" recordCount="108" xr:uid="{00000000-000A-0000-FFFF-FFFF00000000}">
  <cacheSource type="worksheet">
    <worksheetSource ref="A3:AD111" sheet="Sanctions + absence "/>
  </cacheSource>
  <cacheFields count="30">
    <cacheField name="Nom" numFmtId="0">
      <sharedItems/>
    </cacheField>
    <cacheField name="Prénom" numFmtId="0">
      <sharedItems/>
    </cacheField>
    <cacheField name="1ER RDV" numFmtId="0">
      <sharedItems containsBlank="1" containsMixedTypes="1" containsNumber="1" containsInteger="1" minValue="1" maxValue="1"/>
    </cacheField>
    <cacheField name="2EME" numFmtId="0">
      <sharedItems containsString="0" containsBlank="1" containsNumber="1" containsInteger="1" minValue="1" maxValue="1"/>
    </cacheField>
    <cacheField name="1er mois" numFmtId="0">
      <sharedItems containsNonDate="0" containsString="0" containsBlank="1"/>
    </cacheField>
    <cacheField name="2e mois" numFmtId="0">
      <sharedItems containsNonDate="0" containsString="0" containsBlank="1"/>
    </cacheField>
    <cacheField name="3e mois" numFmtId="0">
      <sharedItems containsNonDate="0" containsString="0" containsBlank="1"/>
    </cacheField>
    <cacheField name="4e mois" numFmtId="0">
      <sharedItems containsNonDate="0" containsString="0" containsBlank="1"/>
    </cacheField>
    <cacheField name="5e mois" numFmtId="0">
      <sharedItems containsString="0" containsBlank="1" containsNumber="1" containsInteger="1" minValue="1" maxValue="1"/>
    </cacheField>
    <cacheField name="6e mois" numFmtId="0">
      <sharedItems containsString="0" containsBlank="1" containsNumber="1" containsInteger="1" minValue="1" maxValue="1"/>
    </cacheField>
    <cacheField name="7e mois" numFmtId="0">
      <sharedItems containsNonDate="0" containsString="0" containsBlank="1"/>
    </cacheField>
    <cacheField name="8e mois" numFmtId="0">
      <sharedItems containsNonDate="0" containsString="0" containsBlank="1"/>
    </cacheField>
    <cacheField name="9e mois" numFmtId="0">
      <sharedItems containsNonDate="0" containsString="0" containsBlank="1"/>
    </cacheField>
    <cacheField name="10e mois" numFmtId="0">
      <sharedItems containsNonDate="0" containsString="0" containsBlank="1"/>
    </cacheField>
    <cacheField name="11e mois" numFmtId="0">
      <sharedItems containsNonDate="0" containsString="0" containsBlank="1"/>
    </cacheField>
    <cacheField name="12e mois" numFmtId="0">
      <sharedItems containsNonDate="0" containsString="0" containsBlank="1"/>
    </cacheField>
    <cacheField name="Dde etude de situation." numFmtId="0">
      <sharedItems containsString="0" containsBlank="1" containsNumber="1" containsInteger="1" minValue="1" maxValue="1"/>
    </cacheField>
    <cacheField name="date de la demande " numFmtId="0">
      <sharedItems containsNonDate="0" containsDate="1" containsString="0" containsBlank="1" minDate="2026-04-04T00:00:00" maxDate="2026-04-05T00:00:00"/>
    </cacheField>
    <cacheField name="Date courrier CDS (voir extraction transmise)" numFmtId="0">
      <sharedItems containsNonDate="0" containsDate="1" containsString="0" containsBlank="1" minDate="2026-04-16T00:00:00" maxDate="2026-04-17T00:00:00"/>
    </cacheField>
    <cacheField name="Délai 15 jours pour contact" numFmtId="14">
      <sharedItems containsSemiMixedTypes="0" containsNonDate="0" containsDate="1" containsString="0" minDate="1900-01-14T00:00:00" maxDate="2026-05-02T00:00:00"/>
    </cacheField>
    <cacheField name="Contact BRSA - 15 jours  " numFmtId="0">
      <sharedItems containsString="0" containsBlank="1" containsNumber="1" containsInteger="1" minValue="0" maxValue="0"/>
    </cacheField>
    <cacheField name="Mail INFO CDS  " numFmtId="0">
      <sharedItems containsString="0" containsBlank="1" containsNumber="1" containsInteger="1" minValue="1" maxValue="1"/>
    </cacheField>
    <cacheField name="Délai de 35 jours pour reprendre contact" numFmtId="14">
      <sharedItems containsSemiMixedTypes="0" containsNonDate="0" containsDate="1" containsString="0" minDate="1900-02-18T00:00:00" maxDate="2026-06-06T00:00:00"/>
    </cacheField>
    <cacheField name="le BRSA s'est manifesté ? " numFmtId="0">
      <sharedItems containsNonDate="0" containsString="0" containsBlank="1"/>
    </cacheField>
    <cacheField name="Mail d'info au CDS manifestation ou non dans les 35 jours  " numFmtId="0">
      <sharedItems containsNonDate="0" containsString="0" containsBlank="1"/>
    </cacheField>
    <cacheField name="Date CLI si le BRSA ne s'est pas manifesté au bout des 35 jours " numFmtId="0">
      <sharedItems containsNonDate="0" containsString="0" containsBlank="1"/>
    </cacheField>
    <cacheField name="date demande étude de situation (Mail CDS)" numFmtId="0">
      <sharedItems containsNonDate="0" containsString="0" containsBlank="1"/>
    </cacheField>
    <cacheField name="DATE courrier CDS" numFmtId="0">
      <sharedItems containsNonDate="0" containsString="0" containsBlank="1"/>
    </cacheField>
    <cacheField name="35j pour reprendre contact date butoire " numFmtId="14">
      <sharedItems containsSemiMixedTypes="0" containsNonDate="0" containsDate="1" containsString="0" minDate="1900-02-03T00:00:00" maxDate="1900-02-04T00:00:00"/>
    </cacheField>
    <cacheField name="DATE CLI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s v="CHAOU"/>
    <s v="Bouchra"/>
    <m/>
    <m/>
    <m/>
    <m/>
    <m/>
    <m/>
    <m/>
    <m/>
    <m/>
    <m/>
    <m/>
    <m/>
    <m/>
    <m/>
    <m/>
    <m/>
    <m/>
  </r>
  <r>
    <s v="KACZOROWSKI"/>
    <s v="Gary"/>
    <m/>
    <m/>
    <m/>
    <m/>
    <m/>
    <m/>
    <m/>
    <m/>
    <m/>
    <m/>
    <m/>
    <m/>
    <m/>
    <m/>
    <m/>
    <m/>
    <m/>
  </r>
  <r>
    <s v="PILCH "/>
    <s v="Jean-Christophe"/>
    <m/>
    <m/>
    <m/>
    <m/>
    <m/>
    <m/>
    <m/>
    <m/>
    <m/>
    <m/>
    <m/>
    <m/>
    <m/>
    <m/>
    <m/>
    <m/>
    <m/>
  </r>
  <r>
    <s v="CLOYER"/>
    <s v="Jérémy"/>
    <m/>
    <m/>
    <m/>
    <m/>
    <m/>
    <m/>
    <m/>
    <m/>
    <m/>
    <m/>
    <m/>
    <m/>
    <m/>
    <m/>
    <m/>
    <m/>
    <m/>
  </r>
  <r>
    <s v="YILMAZ"/>
    <s v="Mehmet"/>
    <m/>
    <m/>
    <m/>
    <m/>
    <m/>
    <m/>
    <m/>
    <m/>
    <m/>
    <m/>
    <m/>
    <m/>
    <m/>
    <m/>
    <m/>
    <m/>
    <m/>
  </r>
  <r>
    <s v="AL ALI"/>
    <s v="Abdallah"/>
    <m/>
    <m/>
    <m/>
    <m/>
    <m/>
    <m/>
    <m/>
    <m/>
    <m/>
    <m/>
    <m/>
    <m/>
    <m/>
    <m/>
    <m/>
    <m/>
    <m/>
  </r>
  <r>
    <s v="ANAYAT"/>
    <s v="Safreen"/>
    <m/>
    <m/>
    <m/>
    <m/>
    <m/>
    <m/>
    <m/>
    <m/>
    <m/>
    <m/>
    <m/>
    <m/>
    <m/>
    <m/>
    <m/>
    <m/>
    <m/>
  </r>
  <r>
    <s v="ASLIMANI/LAAROUSSI"/>
    <s v="Nasera"/>
    <m/>
    <m/>
    <m/>
    <m/>
    <m/>
    <m/>
    <m/>
    <m/>
    <m/>
    <m/>
    <m/>
    <m/>
    <m/>
    <m/>
    <m/>
    <m/>
    <m/>
  </r>
  <r>
    <s v="BAJRAMOVA"/>
    <s v="Juksela"/>
    <m/>
    <m/>
    <m/>
    <m/>
    <m/>
    <m/>
    <m/>
    <m/>
    <m/>
    <m/>
    <m/>
    <m/>
    <m/>
    <m/>
    <m/>
    <m/>
    <m/>
  </r>
  <r>
    <s v="BERNARDIN"/>
    <s v="Gaëlle"/>
    <m/>
    <m/>
    <m/>
    <m/>
    <m/>
    <m/>
    <m/>
    <m/>
    <m/>
    <m/>
    <m/>
    <m/>
    <m/>
    <m/>
    <m/>
    <m/>
    <m/>
  </r>
  <r>
    <s v="BORKADI-KHALDI"/>
    <s v="Cindy"/>
    <m/>
    <m/>
    <m/>
    <m/>
    <m/>
    <m/>
    <m/>
    <m/>
    <m/>
    <m/>
    <m/>
    <m/>
    <m/>
    <m/>
    <m/>
    <m/>
    <m/>
  </r>
  <r>
    <s v="CLAIRET"/>
    <s v="Patrice"/>
    <m/>
    <m/>
    <m/>
    <m/>
    <m/>
    <m/>
    <m/>
    <m/>
    <m/>
    <m/>
    <m/>
    <m/>
    <m/>
    <m/>
    <m/>
    <m/>
    <m/>
  </r>
  <r>
    <s v="CREPALDI"/>
    <s v="David"/>
    <m/>
    <m/>
    <m/>
    <m/>
    <m/>
    <m/>
    <m/>
    <m/>
    <m/>
    <m/>
    <m/>
    <m/>
    <m/>
    <m/>
    <m/>
    <m/>
    <m/>
  </r>
  <r>
    <s v="FARINA*** "/>
    <s v="Yann"/>
    <m/>
    <m/>
    <m/>
    <m/>
    <m/>
    <m/>
    <m/>
    <m/>
    <m/>
    <m/>
    <m/>
    <m/>
    <m/>
    <m/>
    <m/>
    <m/>
    <m/>
  </r>
  <r>
    <s v="FERNANDES"/>
    <s v="Noemie"/>
    <m/>
    <m/>
    <m/>
    <m/>
    <m/>
    <m/>
    <m/>
    <m/>
    <m/>
    <m/>
    <m/>
    <m/>
    <m/>
    <m/>
    <m/>
    <m/>
    <m/>
  </r>
  <r>
    <s v="FOFANA"/>
    <s v="Fanta"/>
    <m/>
    <m/>
    <m/>
    <m/>
    <m/>
    <m/>
    <m/>
    <m/>
    <m/>
    <m/>
    <m/>
    <m/>
    <m/>
    <m/>
    <m/>
    <m/>
    <m/>
  </r>
  <r>
    <s v="HAMOT"/>
    <s v="Whitney"/>
    <m/>
    <m/>
    <m/>
    <m/>
    <m/>
    <m/>
    <m/>
    <m/>
    <m/>
    <m/>
    <m/>
    <m/>
    <m/>
    <m/>
    <m/>
    <m/>
    <m/>
  </r>
  <r>
    <s v="JUVENAL"/>
    <s v="Cédric"/>
    <m/>
    <m/>
    <m/>
    <m/>
    <m/>
    <m/>
    <m/>
    <m/>
    <m/>
    <m/>
    <m/>
    <m/>
    <m/>
    <m/>
    <m/>
    <m/>
    <m/>
  </r>
  <r>
    <s v="KHALO"/>
    <s v="Hanifa"/>
    <m/>
    <m/>
    <m/>
    <m/>
    <m/>
    <m/>
    <m/>
    <m/>
    <m/>
    <m/>
    <m/>
    <m/>
    <m/>
    <m/>
    <m/>
    <m/>
    <m/>
  </r>
  <r>
    <s v="KOUASSI"/>
    <s v="Amoin Désirée Prudence"/>
    <m/>
    <m/>
    <m/>
    <m/>
    <m/>
    <m/>
    <m/>
    <m/>
    <m/>
    <m/>
    <m/>
    <m/>
    <m/>
    <m/>
    <m/>
    <m/>
    <m/>
  </r>
  <r>
    <s v="LAHURE"/>
    <s v="Belinda"/>
    <m/>
    <m/>
    <m/>
    <m/>
    <m/>
    <m/>
    <m/>
    <m/>
    <m/>
    <m/>
    <m/>
    <m/>
    <m/>
    <m/>
    <m/>
    <m/>
    <m/>
  </r>
  <r>
    <s v="LYONNET"/>
    <s v="Sandrine"/>
    <m/>
    <m/>
    <m/>
    <m/>
    <m/>
    <m/>
    <m/>
    <m/>
    <m/>
    <m/>
    <m/>
    <m/>
    <m/>
    <m/>
    <m/>
    <m/>
    <m/>
  </r>
  <r>
    <s v="MAHAMADOU"/>
    <s v="Haoua"/>
    <m/>
    <m/>
    <m/>
    <m/>
    <m/>
    <m/>
    <m/>
    <m/>
    <m/>
    <m/>
    <m/>
    <m/>
    <m/>
    <m/>
    <m/>
    <m/>
    <m/>
  </r>
  <r>
    <s v="MAHESHE NKUBONAGE"/>
    <s v="Nicole"/>
    <m/>
    <m/>
    <m/>
    <m/>
    <m/>
    <m/>
    <m/>
    <m/>
    <m/>
    <m/>
    <m/>
    <m/>
    <m/>
    <m/>
    <m/>
    <m/>
    <m/>
  </r>
  <r>
    <s v="MIGUEL"/>
    <s v="Herve"/>
    <m/>
    <m/>
    <m/>
    <m/>
    <m/>
    <m/>
    <m/>
    <m/>
    <m/>
    <m/>
    <m/>
    <m/>
    <m/>
    <m/>
    <m/>
    <m/>
    <m/>
  </r>
  <r>
    <s v="MOHAMAD"/>
    <s v="Shirin"/>
    <m/>
    <m/>
    <m/>
    <m/>
    <m/>
    <m/>
    <m/>
    <m/>
    <m/>
    <m/>
    <m/>
    <m/>
    <m/>
    <m/>
    <m/>
    <m/>
    <m/>
  </r>
  <r>
    <s v="MOTA"/>
    <s v="Jean Michel"/>
    <m/>
    <m/>
    <m/>
    <m/>
    <m/>
    <m/>
    <m/>
    <m/>
    <m/>
    <m/>
    <m/>
    <m/>
    <m/>
    <m/>
    <m/>
    <m/>
    <m/>
  </r>
  <r>
    <s v="PIEDBOIS"/>
    <s v="Youri"/>
    <m/>
    <m/>
    <m/>
    <m/>
    <m/>
    <m/>
    <m/>
    <m/>
    <m/>
    <m/>
    <m/>
    <m/>
    <m/>
    <m/>
    <m/>
    <m/>
    <m/>
  </r>
  <r>
    <s v="POTENZIANI"/>
    <s v="Nicolas"/>
    <m/>
    <m/>
    <m/>
    <m/>
    <m/>
    <m/>
    <m/>
    <m/>
    <m/>
    <m/>
    <m/>
    <m/>
    <m/>
    <m/>
    <m/>
    <m/>
    <m/>
  </r>
  <r>
    <s v="PUVILLAN"/>
    <s v="Cédric"/>
    <m/>
    <m/>
    <m/>
    <m/>
    <m/>
    <m/>
    <m/>
    <m/>
    <m/>
    <m/>
    <m/>
    <m/>
    <m/>
    <m/>
    <m/>
    <m/>
    <m/>
  </r>
  <r>
    <s v="RAMDANI"/>
    <s v="Ikram"/>
    <m/>
    <m/>
    <m/>
    <m/>
    <m/>
    <m/>
    <m/>
    <m/>
    <m/>
    <m/>
    <m/>
    <m/>
    <m/>
    <m/>
    <m/>
    <m/>
    <m/>
  </r>
  <r>
    <s v="RAMOS"/>
    <s v="Audrey"/>
    <m/>
    <m/>
    <m/>
    <m/>
    <m/>
    <m/>
    <m/>
    <m/>
    <m/>
    <m/>
    <m/>
    <m/>
    <m/>
    <m/>
    <m/>
    <m/>
    <m/>
  </r>
  <r>
    <s v="RONGIER"/>
    <s v="Marine"/>
    <m/>
    <m/>
    <m/>
    <m/>
    <m/>
    <m/>
    <m/>
    <m/>
    <m/>
    <m/>
    <m/>
    <m/>
    <m/>
    <m/>
    <m/>
    <m/>
    <m/>
  </r>
  <r>
    <s v="ROUSSEL"/>
    <s v="Joanna"/>
    <m/>
    <m/>
    <m/>
    <m/>
    <m/>
    <m/>
    <m/>
    <m/>
    <m/>
    <m/>
    <m/>
    <m/>
    <m/>
    <m/>
    <m/>
    <m/>
    <m/>
  </r>
  <r>
    <s v="SANTANA"/>
    <s v="Alexis"/>
    <m/>
    <m/>
    <m/>
    <m/>
    <m/>
    <m/>
    <m/>
    <m/>
    <m/>
    <m/>
    <m/>
    <m/>
    <m/>
    <m/>
    <m/>
    <m/>
    <m/>
  </r>
  <r>
    <s v="SCHEID"/>
    <s v="Marie"/>
    <m/>
    <m/>
    <m/>
    <m/>
    <m/>
    <m/>
    <m/>
    <m/>
    <m/>
    <m/>
    <m/>
    <m/>
    <m/>
    <m/>
    <m/>
    <m/>
    <m/>
  </r>
  <r>
    <s v="SEYE"/>
    <s v="Mohamed"/>
    <m/>
    <m/>
    <m/>
    <m/>
    <m/>
    <m/>
    <m/>
    <m/>
    <m/>
    <m/>
    <m/>
    <m/>
    <m/>
    <m/>
    <m/>
    <m/>
    <m/>
  </r>
  <r>
    <s v="SOUADIA"/>
    <s v="Sandrine"/>
    <m/>
    <m/>
    <m/>
    <m/>
    <m/>
    <m/>
    <m/>
    <m/>
    <m/>
    <m/>
    <m/>
    <m/>
    <m/>
    <m/>
    <m/>
    <m/>
    <m/>
  </r>
  <r>
    <s v="TAHIRI"/>
    <s v="Marsela"/>
    <m/>
    <m/>
    <m/>
    <m/>
    <m/>
    <m/>
    <m/>
    <m/>
    <m/>
    <m/>
    <m/>
    <m/>
    <m/>
    <m/>
    <m/>
    <m/>
    <m/>
  </r>
  <r>
    <s v="TALASH"/>
    <s v="Mohamad"/>
    <m/>
    <m/>
    <m/>
    <m/>
    <m/>
    <m/>
    <m/>
    <m/>
    <m/>
    <m/>
    <m/>
    <m/>
    <m/>
    <m/>
    <m/>
    <m/>
    <m/>
  </r>
  <r>
    <s v="THEVENON-DANIERE"/>
    <s v="Géraldine"/>
    <m/>
    <m/>
    <m/>
    <m/>
    <m/>
    <m/>
    <m/>
    <m/>
    <m/>
    <m/>
    <m/>
    <m/>
    <m/>
    <m/>
    <m/>
    <m/>
    <m/>
  </r>
  <r>
    <s v="THOMASSON"/>
    <s v="Amélie"/>
    <m/>
    <m/>
    <m/>
    <m/>
    <m/>
    <m/>
    <m/>
    <m/>
    <m/>
    <m/>
    <m/>
    <m/>
    <m/>
    <m/>
    <m/>
    <m/>
    <m/>
  </r>
  <r>
    <s v="TOURE"/>
    <s v="Marie Agnes"/>
    <m/>
    <m/>
    <m/>
    <m/>
    <m/>
    <m/>
    <m/>
    <m/>
    <m/>
    <m/>
    <m/>
    <m/>
    <m/>
    <m/>
    <m/>
    <m/>
    <m/>
  </r>
  <r>
    <s v="TRONQUART"/>
    <s v="Marie-Christine"/>
    <m/>
    <m/>
    <m/>
    <m/>
    <m/>
    <m/>
    <m/>
    <m/>
    <m/>
    <m/>
    <m/>
    <m/>
    <m/>
    <m/>
    <m/>
    <m/>
    <m/>
  </r>
  <r>
    <s v="TUNCAY"/>
    <s v="Esira"/>
    <m/>
    <m/>
    <m/>
    <m/>
    <m/>
    <m/>
    <m/>
    <m/>
    <m/>
    <m/>
    <m/>
    <m/>
    <m/>
    <m/>
    <m/>
    <m/>
    <m/>
  </r>
  <r>
    <s v="VOGELSGSANG"/>
    <s v="Emilie"/>
    <m/>
    <m/>
    <m/>
    <m/>
    <m/>
    <m/>
    <m/>
    <m/>
    <m/>
    <m/>
    <m/>
    <m/>
    <m/>
    <m/>
    <m/>
    <m/>
    <m/>
  </r>
  <r>
    <s v="YOUNES"/>
    <s v="Sarah"/>
    <m/>
    <m/>
    <m/>
    <m/>
    <m/>
    <m/>
    <m/>
    <m/>
    <m/>
    <m/>
    <m/>
    <m/>
    <m/>
    <m/>
    <m/>
    <m/>
    <m/>
  </r>
  <r>
    <s v="ZABLOT"/>
    <s v="Arthur"/>
    <m/>
    <m/>
    <m/>
    <m/>
    <m/>
    <m/>
    <m/>
    <m/>
    <m/>
    <m/>
    <m/>
    <m/>
    <m/>
    <m/>
    <m/>
    <m/>
    <m/>
  </r>
  <r>
    <s v="CHEKKI"/>
    <s v="Islam"/>
    <m/>
    <m/>
    <m/>
    <m/>
    <m/>
    <m/>
    <m/>
    <m/>
    <m/>
    <m/>
    <m/>
    <m/>
    <m/>
    <m/>
    <m/>
    <m/>
    <m/>
  </r>
  <r>
    <s v="LAMANCHE"/>
    <s v="Steve"/>
    <m/>
    <m/>
    <m/>
    <m/>
    <m/>
    <m/>
    <m/>
    <m/>
    <m/>
    <m/>
    <m/>
    <m/>
    <m/>
    <m/>
    <m/>
    <m/>
    <m/>
  </r>
  <r>
    <s v="SLIMANI"/>
    <s v="Lahouaria"/>
    <m/>
    <m/>
    <m/>
    <m/>
    <m/>
    <m/>
    <m/>
    <m/>
    <m/>
    <m/>
    <m/>
    <m/>
    <m/>
    <m/>
    <m/>
    <m/>
    <m/>
  </r>
  <r>
    <s v="TACHDJIAN"/>
    <s v="Khatchik"/>
    <m/>
    <m/>
    <m/>
    <m/>
    <m/>
    <m/>
    <m/>
    <m/>
    <m/>
    <m/>
    <m/>
    <m/>
    <m/>
    <m/>
    <m/>
    <m/>
    <m/>
  </r>
  <r>
    <s v="MALIQI"/>
    <s v="Qendrese"/>
    <m/>
    <m/>
    <m/>
    <m/>
    <m/>
    <m/>
    <m/>
    <m/>
    <m/>
    <m/>
    <m/>
    <m/>
    <m/>
    <m/>
    <m/>
    <m/>
    <m/>
  </r>
  <r>
    <s v="MUELLAEVA"/>
    <s v="Malvina"/>
    <m/>
    <m/>
    <m/>
    <m/>
    <m/>
    <m/>
    <m/>
    <m/>
    <m/>
    <m/>
    <m/>
    <m/>
    <m/>
    <m/>
    <m/>
    <m/>
    <m/>
  </r>
  <r>
    <s v="BALME"/>
    <s v="Xavier"/>
    <m/>
    <m/>
    <m/>
    <m/>
    <m/>
    <m/>
    <m/>
    <m/>
    <m/>
    <m/>
    <m/>
    <m/>
    <m/>
    <m/>
    <m/>
    <m/>
    <m/>
  </r>
  <r>
    <s v="MICHALET"/>
    <s v="Jean Louis"/>
    <m/>
    <m/>
    <m/>
    <m/>
    <m/>
    <m/>
    <m/>
    <m/>
    <m/>
    <m/>
    <m/>
    <m/>
    <m/>
    <m/>
    <m/>
    <m/>
    <m/>
  </r>
  <r>
    <s v="LOMBARD"/>
    <s v="Aurelia"/>
    <m/>
    <m/>
    <m/>
    <m/>
    <m/>
    <m/>
    <m/>
    <m/>
    <m/>
    <m/>
    <m/>
    <m/>
    <m/>
    <m/>
    <m/>
    <m/>
    <m/>
  </r>
  <r>
    <s v="TEKIN"/>
    <s v="Vural"/>
    <m/>
    <m/>
    <m/>
    <m/>
    <m/>
    <m/>
    <m/>
    <m/>
    <m/>
    <m/>
    <m/>
    <m/>
    <m/>
    <m/>
    <m/>
    <m/>
    <m/>
  </r>
  <r>
    <s v="VANEENOO"/>
    <s v="Cedric"/>
    <m/>
    <m/>
    <m/>
    <m/>
    <m/>
    <m/>
    <m/>
    <m/>
    <m/>
    <m/>
    <m/>
    <m/>
    <m/>
    <m/>
    <m/>
    <m/>
    <m/>
  </r>
  <r>
    <s v="YOUSEF"/>
    <s v="Siraj"/>
    <m/>
    <m/>
    <m/>
    <m/>
    <m/>
    <m/>
    <m/>
    <m/>
    <m/>
    <m/>
    <m/>
    <m/>
    <m/>
    <m/>
    <m/>
    <m/>
    <m/>
  </r>
  <r>
    <s v="OLRY"/>
    <s v="Florence"/>
    <m/>
    <m/>
    <m/>
    <m/>
    <m/>
    <m/>
    <m/>
    <m/>
    <m/>
    <m/>
    <m/>
    <m/>
    <m/>
    <m/>
    <m/>
    <m/>
    <m/>
  </r>
  <r>
    <s v="ENNAOURA"/>
    <s v="Riyad"/>
    <m/>
    <m/>
    <m/>
    <m/>
    <m/>
    <m/>
    <m/>
    <m/>
    <m/>
    <m/>
    <m/>
    <m/>
    <m/>
    <m/>
    <m/>
    <m/>
    <m/>
  </r>
  <r>
    <s v="TURPIN"/>
    <s v="Océane"/>
    <m/>
    <m/>
    <m/>
    <m/>
    <m/>
    <m/>
    <m/>
    <m/>
    <m/>
    <m/>
    <m/>
    <m/>
    <m/>
    <m/>
    <m/>
    <m/>
    <m/>
  </r>
  <r>
    <s v="HAMDANY / SAGGAI"/>
    <s v="Sephora"/>
    <m/>
    <m/>
    <m/>
    <m/>
    <m/>
    <m/>
    <m/>
    <m/>
    <m/>
    <m/>
    <m/>
    <m/>
    <m/>
    <m/>
    <m/>
    <m/>
    <m/>
  </r>
  <r>
    <s v="CHERON"/>
    <s v="Carine"/>
    <m/>
    <m/>
    <m/>
    <m/>
    <m/>
    <m/>
    <m/>
    <m/>
    <m/>
    <m/>
    <m/>
    <m/>
    <m/>
    <m/>
    <m/>
    <m/>
    <m/>
  </r>
  <r>
    <s v="BEN BRAHIM"/>
    <s v="Ridha"/>
    <m/>
    <m/>
    <m/>
    <m/>
    <m/>
    <m/>
    <m/>
    <m/>
    <m/>
    <m/>
    <m/>
    <m/>
    <m/>
    <m/>
    <m/>
    <m/>
    <m/>
  </r>
  <r>
    <s v="MESSAI/RIBEIRO"/>
    <s v="Hadda"/>
    <m/>
    <m/>
    <m/>
    <m/>
    <m/>
    <m/>
    <m/>
    <m/>
    <m/>
    <m/>
    <m/>
    <m/>
    <m/>
    <m/>
    <m/>
    <m/>
    <m/>
  </r>
  <r>
    <s v="VEUGLE"/>
    <s v="Alison"/>
    <m/>
    <m/>
    <m/>
    <m/>
    <m/>
    <m/>
    <m/>
    <m/>
    <m/>
    <m/>
    <m/>
    <m/>
    <m/>
    <m/>
    <m/>
    <m/>
    <m/>
  </r>
  <r>
    <s v="BLIN"/>
    <s v="Françoise"/>
    <m/>
    <m/>
    <m/>
    <m/>
    <m/>
    <m/>
    <m/>
    <m/>
    <m/>
    <m/>
    <m/>
    <m/>
    <m/>
    <m/>
    <m/>
    <m/>
    <m/>
  </r>
  <r>
    <s v="MARNY"/>
    <s v="Christopher"/>
    <m/>
    <m/>
    <m/>
    <m/>
    <m/>
    <m/>
    <m/>
    <m/>
    <m/>
    <m/>
    <m/>
    <m/>
    <m/>
    <m/>
    <m/>
    <m/>
    <m/>
  </r>
  <r>
    <s v="PIOLAT"/>
    <s v="Virginie"/>
    <m/>
    <m/>
    <m/>
    <m/>
    <m/>
    <m/>
    <m/>
    <m/>
    <m/>
    <m/>
    <m/>
    <m/>
    <m/>
    <m/>
    <m/>
    <m/>
    <m/>
  </r>
  <r>
    <s v="GUILE"/>
    <s v="Rolande"/>
    <m/>
    <m/>
    <m/>
    <m/>
    <m/>
    <m/>
    <m/>
    <m/>
    <m/>
    <m/>
    <m/>
    <m/>
    <m/>
    <m/>
    <m/>
    <m/>
    <m/>
  </r>
  <r>
    <s v="CHARLIER"/>
    <s v="William"/>
    <m/>
    <m/>
    <m/>
    <m/>
    <m/>
    <m/>
    <m/>
    <m/>
    <m/>
    <m/>
    <m/>
    <m/>
    <m/>
    <m/>
    <m/>
    <m/>
    <m/>
  </r>
  <r>
    <s v="SOULIER "/>
    <s v="Pierre"/>
    <m/>
    <m/>
    <m/>
    <m/>
    <m/>
    <m/>
    <m/>
    <m/>
    <m/>
    <m/>
    <m/>
    <m/>
    <m/>
    <m/>
    <m/>
    <m/>
    <m/>
  </r>
  <r>
    <s v="HAMM"/>
    <s v="Alexandre"/>
    <m/>
    <m/>
    <m/>
    <m/>
    <m/>
    <m/>
    <m/>
    <m/>
    <m/>
    <m/>
    <m/>
    <m/>
    <m/>
    <m/>
    <m/>
    <m/>
    <m/>
  </r>
  <r>
    <s v="BOISMENU"/>
    <s v="David"/>
    <m/>
    <m/>
    <m/>
    <m/>
    <m/>
    <m/>
    <m/>
    <m/>
    <m/>
    <m/>
    <m/>
    <m/>
    <m/>
    <m/>
    <m/>
    <m/>
    <m/>
  </r>
  <r>
    <s v="TOURNU"/>
    <s v="Marie-Claude"/>
    <m/>
    <m/>
    <m/>
    <m/>
    <m/>
    <m/>
    <m/>
    <m/>
    <m/>
    <m/>
    <m/>
    <m/>
    <m/>
    <m/>
    <m/>
    <m/>
    <m/>
  </r>
  <r>
    <s v="HIRAUX"/>
    <s v="Annabelle"/>
    <m/>
    <m/>
    <m/>
    <m/>
    <m/>
    <m/>
    <m/>
    <m/>
    <m/>
    <m/>
    <m/>
    <m/>
    <m/>
    <m/>
    <m/>
    <m/>
    <m/>
  </r>
  <r>
    <s v="VULCAIN"/>
    <s v="Alexandrine"/>
    <m/>
    <m/>
    <m/>
    <m/>
    <m/>
    <m/>
    <m/>
    <m/>
    <m/>
    <m/>
    <m/>
    <m/>
    <m/>
    <m/>
    <m/>
    <m/>
    <m/>
  </r>
  <r>
    <s v="JUPITER"/>
    <s v="Tanya"/>
    <m/>
    <m/>
    <m/>
    <m/>
    <m/>
    <m/>
    <m/>
    <m/>
    <m/>
    <m/>
    <m/>
    <m/>
    <m/>
    <m/>
    <m/>
    <m/>
    <m/>
  </r>
  <r>
    <s v="GASHI"/>
    <s v="Ramize"/>
    <m/>
    <m/>
    <m/>
    <m/>
    <m/>
    <m/>
    <m/>
    <m/>
    <m/>
    <m/>
    <m/>
    <m/>
    <m/>
    <m/>
    <m/>
    <m/>
    <m/>
  </r>
  <r>
    <s v="SAGGAI"/>
    <s v="Sephora"/>
    <m/>
    <m/>
    <m/>
    <m/>
    <m/>
    <m/>
    <m/>
    <m/>
    <m/>
    <m/>
    <m/>
    <m/>
    <m/>
    <m/>
    <m/>
    <m/>
    <m/>
  </r>
  <r>
    <s v="KAHLAOUI"/>
    <s v="Samira"/>
    <m/>
    <m/>
    <m/>
    <m/>
    <m/>
    <m/>
    <m/>
    <m/>
    <m/>
    <m/>
    <m/>
    <m/>
    <m/>
    <m/>
    <m/>
    <m/>
    <m/>
  </r>
  <r>
    <s v="VESPAZIANI"/>
    <s v="Vincent"/>
    <m/>
    <m/>
    <m/>
    <m/>
    <m/>
    <m/>
    <m/>
    <m/>
    <m/>
    <m/>
    <m/>
    <m/>
    <m/>
    <m/>
    <m/>
    <m/>
    <m/>
  </r>
  <r>
    <s v="LACOSSE"/>
    <s v="Alexandra"/>
    <m/>
    <m/>
    <m/>
    <m/>
    <m/>
    <m/>
    <m/>
    <m/>
    <m/>
    <m/>
    <m/>
    <m/>
    <m/>
    <m/>
    <m/>
    <m/>
    <m/>
  </r>
  <r>
    <s v="GRAMMATICO"/>
    <s v="Valérie"/>
    <m/>
    <m/>
    <m/>
    <m/>
    <m/>
    <m/>
    <m/>
    <m/>
    <m/>
    <m/>
    <m/>
    <m/>
    <m/>
    <m/>
    <m/>
    <m/>
    <m/>
  </r>
  <r>
    <s v="BASILE"/>
    <s v="Kévin"/>
    <m/>
    <m/>
    <m/>
    <m/>
    <m/>
    <m/>
    <m/>
    <m/>
    <m/>
    <m/>
    <m/>
    <m/>
    <m/>
    <m/>
    <m/>
    <m/>
    <m/>
  </r>
  <r>
    <s v="BLONDEAU"/>
    <s v="Mandy"/>
    <m/>
    <m/>
    <m/>
    <m/>
    <m/>
    <m/>
    <m/>
    <m/>
    <m/>
    <m/>
    <m/>
    <m/>
    <m/>
    <m/>
    <m/>
    <m/>
    <m/>
  </r>
  <r>
    <s v="GUICHARD"/>
    <s v="Marie"/>
    <m/>
    <m/>
    <m/>
    <m/>
    <m/>
    <m/>
    <m/>
    <m/>
    <m/>
    <m/>
    <m/>
    <m/>
    <m/>
    <m/>
    <m/>
    <m/>
    <m/>
  </r>
  <r>
    <s v="MANACH"/>
    <s v="Victor"/>
    <m/>
    <m/>
    <m/>
    <m/>
    <m/>
    <m/>
    <m/>
    <m/>
    <m/>
    <m/>
    <m/>
    <m/>
    <m/>
    <m/>
    <m/>
    <m/>
    <m/>
  </r>
  <r>
    <s v="LEBEAU"/>
    <s v="Jonathan"/>
    <m/>
    <m/>
    <m/>
    <m/>
    <m/>
    <m/>
    <m/>
    <m/>
    <m/>
    <m/>
    <m/>
    <m/>
    <m/>
    <m/>
    <m/>
    <m/>
    <m/>
  </r>
  <r>
    <s v="GOUVERNEUR"/>
    <s v="Nicolas"/>
    <m/>
    <m/>
    <m/>
    <m/>
    <m/>
    <m/>
    <m/>
    <m/>
    <m/>
    <m/>
    <m/>
    <m/>
    <m/>
    <m/>
    <m/>
    <m/>
    <m/>
  </r>
  <r>
    <s v="GYSSELS"/>
    <s v="Emeline"/>
    <m/>
    <m/>
    <m/>
    <m/>
    <m/>
    <m/>
    <m/>
    <m/>
    <m/>
    <m/>
    <m/>
    <m/>
    <m/>
    <m/>
    <m/>
    <m/>
    <m/>
  </r>
  <r>
    <s v="TAOUCHE"/>
    <s v="Malika"/>
    <m/>
    <m/>
    <m/>
    <m/>
    <m/>
    <m/>
    <m/>
    <m/>
    <m/>
    <m/>
    <m/>
    <m/>
    <m/>
    <m/>
    <m/>
    <m/>
    <m/>
  </r>
  <r>
    <s v="THOLLOT"/>
    <s v="Florian"/>
    <m/>
    <m/>
    <m/>
    <m/>
    <m/>
    <m/>
    <m/>
    <m/>
    <m/>
    <m/>
    <m/>
    <m/>
    <m/>
    <m/>
    <m/>
    <m/>
    <m/>
  </r>
  <r>
    <s v="MORALES "/>
    <s v="Georgie"/>
    <m/>
    <m/>
    <m/>
    <m/>
    <m/>
    <m/>
    <m/>
    <m/>
    <m/>
    <m/>
    <m/>
    <m/>
    <m/>
    <m/>
    <m/>
    <m/>
    <m/>
  </r>
  <r>
    <s v="RABELO RAMALHO"/>
    <s v="Luis"/>
    <m/>
    <m/>
    <m/>
    <m/>
    <m/>
    <m/>
    <m/>
    <m/>
    <m/>
    <m/>
    <m/>
    <m/>
    <m/>
    <m/>
    <m/>
    <m/>
    <m/>
  </r>
  <r>
    <s v="LABARRIERE"/>
    <s v="Paul Emile"/>
    <m/>
    <m/>
    <m/>
    <m/>
    <m/>
    <m/>
    <m/>
    <m/>
    <m/>
    <m/>
    <m/>
    <m/>
    <m/>
    <m/>
    <m/>
    <m/>
    <m/>
  </r>
  <r>
    <s v="GUEPRATTE"/>
    <s v="Ronny"/>
    <m/>
    <m/>
    <m/>
    <m/>
    <m/>
    <m/>
    <m/>
    <m/>
    <m/>
    <m/>
    <m/>
    <m/>
    <m/>
    <m/>
    <m/>
    <m/>
    <m/>
  </r>
  <r>
    <s v="GABORIT"/>
    <s v="Edwige"/>
    <m/>
    <m/>
    <m/>
    <m/>
    <m/>
    <m/>
    <m/>
    <m/>
    <m/>
    <m/>
    <m/>
    <m/>
    <m/>
    <m/>
    <m/>
    <m/>
    <m/>
  </r>
  <r>
    <s v="KHAN"/>
    <s v="Tahira"/>
    <m/>
    <m/>
    <m/>
    <m/>
    <m/>
    <m/>
    <m/>
    <m/>
    <m/>
    <m/>
    <m/>
    <m/>
    <m/>
    <m/>
    <m/>
    <m/>
    <m/>
  </r>
  <r>
    <s v="NDOJ"/>
    <s v="Dava"/>
    <m/>
    <m/>
    <m/>
    <m/>
    <m/>
    <m/>
    <m/>
    <m/>
    <m/>
    <m/>
    <m/>
    <m/>
    <m/>
    <m/>
    <m/>
    <m/>
    <m/>
  </r>
  <r>
    <s v="HAYRAPETYAN"/>
    <s v="Anush"/>
    <m/>
    <m/>
    <m/>
    <m/>
    <m/>
    <m/>
    <m/>
    <m/>
    <m/>
    <m/>
    <m/>
    <m/>
    <m/>
    <m/>
    <m/>
    <m/>
    <m/>
  </r>
  <r>
    <s v="EL HAOUTI "/>
    <s v="Jamel"/>
    <m/>
    <m/>
    <m/>
    <m/>
    <m/>
    <m/>
    <m/>
    <m/>
    <m/>
    <m/>
    <m/>
    <m/>
    <m/>
    <m/>
    <m/>
    <m/>
    <m/>
  </r>
  <r>
    <s v="VANEENOO"/>
    <s v="Jérémy"/>
    <m/>
    <m/>
    <m/>
    <m/>
    <m/>
    <m/>
    <m/>
    <m/>
    <m/>
    <m/>
    <m/>
    <m/>
    <m/>
    <m/>
    <m/>
    <m/>
    <m/>
  </r>
  <r>
    <s v="GALLE"/>
    <s v="Aurélie"/>
    <m/>
    <m/>
    <m/>
    <m/>
    <m/>
    <m/>
    <m/>
    <m/>
    <m/>
    <m/>
    <m/>
    <m/>
    <m/>
    <m/>
    <m/>
    <m/>
    <m/>
  </r>
  <r>
    <s v="AROUMOUGAM"/>
    <s v="Selvaperoumal"/>
    <m/>
    <m/>
    <m/>
    <m/>
    <m/>
    <m/>
    <m/>
    <m/>
    <m/>
    <m/>
    <m/>
    <m/>
    <m/>
    <m/>
    <m/>
    <m/>
    <m/>
  </r>
  <r>
    <s v="GROSSEPIECE"/>
    <s v="Laetitia"/>
    <m/>
    <m/>
    <m/>
    <m/>
    <m/>
    <m/>
    <m/>
    <m/>
    <m/>
    <m/>
    <m/>
    <m/>
    <m/>
    <m/>
    <m/>
    <m/>
    <m/>
  </r>
  <r>
    <s v="MESSAHEL"/>
    <s v="Malika"/>
    <m/>
    <m/>
    <m/>
    <m/>
    <m/>
    <m/>
    <m/>
    <m/>
    <m/>
    <m/>
    <m/>
    <m/>
    <m/>
    <m/>
    <m/>
    <m/>
    <m/>
  </r>
  <r>
    <s v="CHTOPCZYK"/>
    <s v="Johan"/>
    <m/>
    <m/>
    <m/>
    <m/>
    <m/>
    <m/>
    <m/>
    <m/>
    <m/>
    <m/>
    <m/>
    <m/>
    <m/>
    <m/>
    <m/>
    <m/>
    <m/>
  </r>
  <r>
    <s v="CHAPUIS"/>
    <s v="Hervé"/>
    <m/>
    <m/>
    <m/>
    <m/>
    <m/>
    <m/>
    <m/>
    <m/>
    <m/>
    <m/>
    <m/>
    <m/>
    <m/>
    <m/>
    <m/>
    <m/>
    <m/>
  </r>
  <r>
    <s v="Mendes Vaz Amante"/>
    <s v="Kévin"/>
    <m/>
    <m/>
    <m/>
    <m/>
    <m/>
    <m/>
    <m/>
    <m/>
    <m/>
    <m/>
    <m/>
    <m/>
    <m/>
    <m/>
    <m/>
    <m/>
    <m/>
  </r>
  <r>
    <s v="SANTHONNAX"/>
    <s v="Alexandre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s v="AL JOUMAA"/>
    <s v="Hamoud"/>
    <m/>
    <m/>
    <m/>
    <m/>
    <m/>
    <m/>
    <m/>
    <m/>
    <m/>
    <m/>
    <m/>
    <m/>
    <m/>
    <m/>
    <m/>
    <m/>
    <m/>
  </r>
  <r>
    <s v="DIVRECHY / COMBEAU"/>
    <s v="Noémie"/>
    <m/>
    <m/>
    <m/>
    <m/>
    <m/>
    <m/>
    <m/>
    <m/>
    <m/>
    <m/>
    <m/>
    <m/>
    <m/>
    <m/>
    <m/>
    <m/>
    <m/>
  </r>
  <r>
    <s v="ELAMBERT"/>
    <s v="Adeline"/>
    <m/>
    <m/>
    <m/>
    <m/>
    <m/>
    <m/>
    <m/>
    <m/>
    <m/>
    <m/>
    <m/>
    <m/>
    <m/>
    <m/>
    <m/>
    <m/>
    <m/>
  </r>
  <r>
    <s v="ETEMI / ETEMOV"/>
    <s v="Irmizat"/>
    <m/>
    <m/>
    <m/>
    <m/>
    <m/>
    <m/>
    <m/>
    <m/>
    <m/>
    <m/>
    <m/>
    <m/>
    <m/>
    <m/>
    <m/>
    <m/>
    <m/>
  </r>
  <r>
    <s v="GORUR"/>
    <s v="Andréa"/>
    <m/>
    <m/>
    <m/>
    <m/>
    <m/>
    <m/>
    <m/>
    <m/>
    <m/>
    <m/>
    <m/>
    <m/>
    <m/>
    <m/>
    <m/>
    <m/>
    <m/>
  </r>
  <r>
    <s v="HOUMADI"/>
    <s v="Mayi"/>
    <m/>
    <m/>
    <m/>
    <m/>
    <m/>
    <m/>
    <m/>
    <m/>
    <m/>
    <m/>
    <m/>
    <m/>
    <m/>
    <m/>
    <m/>
    <m/>
    <m/>
  </r>
  <r>
    <s v="KANGABA-KOKESSE"/>
    <s v="Michelle"/>
    <m/>
    <m/>
    <m/>
    <m/>
    <m/>
    <m/>
    <m/>
    <m/>
    <m/>
    <m/>
    <m/>
    <m/>
    <m/>
    <m/>
    <m/>
    <m/>
    <m/>
  </r>
  <r>
    <s v="KOKOT"/>
    <s v="Aude"/>
    <m/>
    <m/>
    <m/>
    <m/>
    <m/>
    <m/>
    <m/>
    <m/>
    <m/>
    <m/>
    <m/>
    <m/>
    <m/>
    <m/>
    <m/>
    <m/>
    <m/>
  </r>
  <r>
    <s v="KRELL"/>
    <s v="Olivier"/>
    <m/>
    <m/>
    <m/>
    <m/>
    <m/>
    <m/>
    <m/>
    <m/>
    <m/>
    <m/>
    <m/>
    <m/>
    <m/>
    <m/>
    <m/>
    <m/>
    <m/>
  </r>
  <r>
    <s v="KRIACH"/>
    <s v="Monia"/>
    <m/>
    <m/>
    <m/>
    <m/>
    <m/>
    <m/>
    <m/>
    <m/>
    <m/>
    <m/>
    <m/>
    <m/>
    <m/>
    <m/>
    <m/>
    <m/>
    <m/>
  </r>
  <r>
    <s v="KULA"/>
    <s v="Gulsun"/>
    <m/>
    <m/>
    <m/>
    <m/>
    <m/>
    <m/>
    <m/>
    <m/>
    <m/>
    <m/>
    <m/>
    <m/>
    <m/>
    <m/>
    <m/>
    <m/>
    <m/>
  </r>
  <r>
    <s v="LYONNET"/>
    <s v="Soulin"/>
    <m/>
    <m/>
    <m/>
    <m/>
    <m/>
    <m/>
    <m/>
    <m/>
    <m/>
    <m/>
    <m/>
    <m/>
    <m/>
    <m/>
    <m/>
    <m/>
    <m/>
  </r>
  <r>
    <s v="MACON"/>
    <s v="Julien"/>
    <m/>
    <m/>
    <m/>
    <m/>
    <m/>
    <m/>
    <m/>
    <m/>
    <m/>
    <m/>
    <m/>
    <m/>
    <m/>
    <m/>
    <m/>
    <m/>
    <m/>
  </r>
  <r>
    <s v="MARBACH"/>
    <s v="Anais"/>
    <m/>
    <m/>
    <m/>
    <m/>
    <m/>
    <m/>
    <m/>
    <m/>
    <m/>
    <m/>
    <m/>
    <m/>
    <m/>
    <m/>
    <m/>
    <m/>
    <m/>
  </r>
  <r>
    <s v="MARTINEAU"/>
    <s v="Sandrine"/>
    <m/>
    <m/>
    <m/>
    <m/>
    <m/>
    <m/>
    <m/>
    <m/>
    <m/>
    <m/>
    <m/>
    <m/>
    <m/>
    <m/>
    <m/>
    <m/>
    <m/>
  </r>
  <r>
    <s v="MONIER"/>
    <s v="Lauren"/>
    <m/>
    <m/>
    <m/>
    <m/>
    <m/>
    <m/>
    <m/>
    <m/>
    <m/>
    <m/>
    <m/>
    <m/>
    <m/>
    <m/>
    <m/>
    <m/>
    <m/>
  </r>
  <r>
    <s v="MOSTEFAOUI"/>
    <s v="Zaira"/>
    <m/>
    <m/>
    <m/>
    <m/>
    <m/>
    <m/>
    <m/>
    <m/>
    <m/>
    <m/>
    <m/>
    <m/>
    <m/>
    <m/>
    <m/>
    <m/>
    <m/>
  </r>
  <r>
    <s v="MOUSSAOUI"/>
    <s v="Stéphane"/>
    <m/>
    <m/>
    <m/>
    <m/>
    <m/>
    <m/>
    <m/>
    <m/>
    <m/>
    <m/>
    <m/>
    <m/>
    <m/>
    <m/>
    <m/>
    <m/>
    <m/>
  </r>
  <r>
    <s v="MUSSARD-PARASKIOVA"/>
    <s v="Marjorie"/>
    <m/>
    <m/>
    <m/>
    <m/>
    <m/>
    <m/>
    <m/>
    <m/>
    <m/>
    <m/>
    <m/>
    <m/>
    <m/>
    <m/>
    <m/>
    <m/>
    <m/>
  </r>
  <r>
    <s v="PONTANIER"/>
    <s v="Laura"/>
    <m/>
    <m/>
    <m/>
    <m/>
    <m/>
    <m/>
    <m/>
    <m/>
    <m/>
    <m/>
    <m/>
    <m/>
    <m/>
    <m/>
    <m/>
    <m/>
    <m/>
  </r>
  <r>
    <s v="RIVET"/>
    <s v="Leo"/>
    <m/>
    <m/>
    <m/>
    <m/>
    <m/>
    <m/>
    <m/>
    <m/>
    <m/>
    <m/>
    <m/>
    <m/>
    <m/>
    <m/>
    <m/>
    <m/>
    <m/>
  </r>
  <r>
    <s v="ROUGER"/>
    <s v="Emilie"/>
    <m/>
    <m/>
    <m/>
    <m/>
    <m/>
    <m/>
    <m/>
    <m/>
    <m/>
    <m/>
    <m/>
    <m/>
    <m/>
    <m/>
    <m/>
    <m/>
    <m/>
  </r>
  <r>
    <s v="SECCI"/>
    <s v="Oceane"/>
    <m/>
    <m/>
    <m/>
    <m/>
    <m/>
    <m/>
    <m/>
    <m/>
    <m/>
    <m/>
    <m/>
    <m/>
    <m/>
    <m/>
    <m/>
    <m/>
    <m/>
  </r>
  <r>
    <s v="SELEM"/>
    <s v="Fathia"/>
    <m/>
    <m/>
    <m/>
    <m/>
    <m/>
    <m/>
    <m/>
    <m/>
    <m/>
    <m/>
    <m/>
    <m/>
    <m/>
    <m/>
    <m/>
    <m/>
    <m/>
  </r>
  <r>
    <s v="SERROUKH"/>
    <s v="Fatima"/>
    <m/>
    <m/>
    <m/>
    <m/>
    <m/>
    <m/>
    <m/>
    <m/>
    <m/>
    <m/>
    <m/>
    <m/>
    <m/>
    <m/>
    <m/>
    <m/>
    <m/>
  </r>
  <r>
    <s v="SERVIOLES"/>
    <s v="Vanessa"/>
    <m/>
    <m/>
    <m/>
    <m/>
    <m/>
    <m/>
    <m/>
    <m/>
    <m/>
    <m/>
    <m/>
    <m/>
    <m/>
    <m/>
    <m/>
    <m/>
    <m/>
  </r>
  <r>
    <s v="TROTOT"/>
    <s v="Estelle"/>
    <m/>
    <m/>
    <m/>
    <m/>
    <m/>
    <m/>
    <m/>
    <m/>
    <m/>
    <m/>
    <m/>
    <m/>
    <m/>
    <m/>
    <m/>
    <m/>
    <m/>
  </r>
  <r>
    <s v="VERNE"/>
    <s v="Jean-Michel"/>
    <m/>
    <m/>
    <m/>
    <m/>
    <m/>
    <m/>
    <m/>
    <m/>
    <m/>
    <m/>
    <m/>
    <m/>
    <m/>
    <m/>
    <m/>
    <m/>
    <m/>
  </r>
  <r>
    <s v="VIN"/>
    <s v="Romain"/>
    <m/>
    <m/>
    <m/>
    <m/>
    <m/>
    <m/>
    <m/>
    <m/>
    <m/>
    <m/>
    <m/>
    <m/>
    <m/>
    <m/>
    <m/>
    <m/>
    <m/>
  </r>
  <r>
    <s v="MOAMMIN"/>
    <s v="Nadia"/>
    <m/>
    <m/>
    <m/>
    <m/>
    <m/>
    <m/>
    <m/>
    <m/>
    <m/>
    <m/>
    <m/>
    <m/>
    <m/>
    <m/>
    <m/>
    <m/>
    <m/>
  </r>
  <r>
    <s v="SCHEID"/>
    <s v="Mélanie"/>
    <m/>
    <m/>
    <m/>
    <m/>
    <m/>
    <m/>
    <m/>
    <m/>
    <m/>
    <m/>
    <m/>
    <m/>
    <m/>
    <m/>
    <m/>
    <m/>
    <m/>
  </r>
  <r>
    <s v="VENCESLAU FERNANDES"/>
    <s v="Rute"/>
    <m/>
    <m/>
    <m/>
    <m/>
    <m/>
    <m/>
    <m/>
    <m/>
    <m/>
    <m/>
    <m/>
    <m/>
    <m/>
    <m/>
    <m/>
    <m/>
    <m/>
  </r>
  <r>
    <s v="DE  STEFANO"/>
    <s v="Loïc"/>
    <m/>
    <m/>
    <m/>
    <m/>
    <m/>
    <m/>
    <m/>
    <m/>
    <m/>
    <m/>
    <m/>
    <m/>
    <m/>
    <m/>
    <m/>
    <m/>
    <m/>
  </r>
  <r>
    <s v="MALLET"/>
    <s v="Emmanuelle"/>
    <m/>
    <m/>
    <m/>
    <m/>
    <m/>
    <m/>
    <m/>
    <m/>
    <m/>
    <m/>
    <m/>
    <m/>
    <m/>
    <m/>
    <m/>
    <m/>
    <m/>
  </r>
  <r>
    <s v="AL AWAD"/>
    <s v="Yasser"/>
    <m/>
    <m/>
    <m/>
    <m/>
    <m/>
    <m/>
    <m/>
    <m/>
    <m/>
    <m/>
    <m/>
    <m/>
    <m/>
    <m/>
    <m/>
    <m/>
    <m/>
  </r>
  <r>
    <s v="BARBEREUX"/>
    <s v="Sabrina"/>
    <m/>
    <m/>
    <m/>
    <m/>
    <m/>
    <m/>
    <m/>
    <m/>
    <m/>
    <m/>
    <m/>
    <m/>
    <m/>
    <m/>
    <m/>
    <m/>
    <m/>
  </r>
  <r>
    <s v="AKYUEREK"/>
    <s v="MELEK"/>
    <m/>
    <m/>
    <m/>
    <m/>
    <m/>
    <m/>
    <m/>
    <m/>
    <m/>
    <m/>
    <m/>
    <m/>
    <m/>
    <m/>
    <m/>
    <m/>
    <m/>
  </r>
  <r>
    <s v="CHEKKI"/>
    <s v="Radouane"/>
    <m/>
    <m/>
    <m/>
    <m/>
    <m/>
    <m/>
    <m/>
    <m/>
    <m/>
    <m/>
    <m/>
    <m/>
    <m/>
    <m/>
    <m/>
    <m/>
    <m/>
  </r>
  <r>
    <s v="BOITIER"/>
    <s v="Anthony"/>
    <m/>
    <m/>
    <m/>
    <m/>
    <m/>
    <m/>
    <m/>
    <m/>
    <m/>
    <m/>
    <m/>
    <m/>
    <m/>
    <m/>
    <m/>
    <m/>
    <m/>
  </r>
  <r>
    <s v="BORDIER"/>
    <s v="Rémi"/>
    <m/>
    <m/>
    <m/>
    <m/>
    <m/>
    <m/>
    <m/>
    <m/>
    <m/>
    <m/>
    <m/>
    <m/>
    <m/>
    <m/>
    <m/>
    <m/>
    <m/>
  </r>
  <r>
    <s v="MAANANI"/>
    <s v="Fouad"/>
    <m/>
    <m/>
    <m/>
    <m/>
    <m/>
    <m/>
    <m/>
    <m/>
    <m/>
    <m/>
    <m/>
    <m/>
    <m/>
    <m/>
    <m/>
    <m/>
    <m/>
  </r>
  <r>
    <s v="MALIQI"/>
    <s v="Mirsade"/>
    <m/>
    <m/>
    <m/>
    <m/>
    <m/>
    <m/>
    <m/>
    <m/>
    <m/>
    <m/>
    <m/>
    <m/>
    <m/>
    <m/>
    <m/>
    <m/>
    <m/>
  </r>
  <r>
    <s v="MOLINA GAY"/>
    <s v="Romuald"/>
    <m/>
    <m/>
    <m/>
    <m/>
    <m/>
    <m/>
    <m/>
    <m/>
    <m/>
    <m/>
    <m/>
    <m/>
    <m/>
    <m/>
    <m/>
    <m/>
    <m/>
  </r>
  <r>
    <s v="OUVRIER BUFFET"/>
    <s v="Marilou"/>
    <m/>
    <m/>
    <m/>
    <m/>
    <m/>
    <m/>
    <m/>
    <m/>
    <m/>
    <m/>
    <m/>
    <m/>
    <m/>
    <m/>
    <m/>
    <m/>
    <m/>
  </r>
  <r>
    <s v="PASQUIER"/>
    <s v="Yann"/>
    <m/>
    <m/>
    <m/>
    <m/>
    <m/>
    <m/>
    <m/>
    <m/>
    <m/>
    <m/>
    <m/>
    <m/>
    <m/>
    <m/>
    <m/>
    <m/>
    <m/>
  </r>
  <r>
    <s v="RODI"/>
    <s v="Florian"/>
    <m/>
    <m/>
    <m/>
    <m/>
    <m/>
    <m/>
    <m/>
    <m/>
    <m/>
    <m/>
    <m/>
    <m/>
    <m/>
    <m/>
    <m/>
    <m/>
    <m/>
  </r>
  <r>
    <s v="RUIVET"/>
    <s v="Corinne"/>
    <m/>
    <m/>
    <m/>
    <m/>
    <m/>
    <m/>
    <m/>
    <m/>
    <m/>
    <m/>
    <m/>
    <m/>
    <m/>
    <m/>
    <m/>
    <m/>
    <m/>
  </r>
  <r>
    <s v="THOMASSIN"/>
    <s v="Ashley"/>
    <m/>
    <m/>
    <m/>
    <m/>
    <m/>
    <m/>
    <m/>
    <m/>
    <m/>
    <m/>
    <m/>
    <m/>
    <m/>
    <m/>
    <m/>
    <m/>
    <m/>
  </r>
  <r>
    <s v="ISLAMI"/>
    <s v="Haxhere"/>
    <m/>
    <m/>
    <m/>
    <m/>
    <m/>
    <m/>
    <m/>
    <m/>
    <m/>
    <m/>
    <m/>
    <m/>
    <m/>
    <m/>
    <m/>
    <m/>
    <m/>
  </r>
  <r>
    <s v="ZOGHLAMI"/>
    <s v="Ali"/>
    <m/>
    <m/>
    <m/>
    <m/>
    <m/>
    <m/>
    <m/>
    <m/>
    <m/>
    <m/>
    <m/>
    <m/>
    <m/>
    <m/>
    <m/>
    <m/>
    <m/>
  </r>
  <r>
    <s v="TIEPOHEO"/>
    <s v="Josy Nina"/>
    <m/>
    <m/>
    <m/>
    <m/>
    <m/>
    <m/>
    <m/>
    <m/>
    <m/>
    <m/>
    <m/>
    <m/>
    <m/>
    <m/>
    <m/>
    <m/>
    <m/>
  </r>
  <r>
    <s v="PERRON"/>
    <s v="Pauline"/>
    <m/>
    <m/>
    <m/>
    <m/>
    <m/>
    <m/>
    <m/>
    <m/>
    <m/>
    <m/>
    <m/>
    <m/>
    <m/>
    <m/>
    <m/>
    <m/>
    <m/>
  </r>
  <r>
    <s v="CASSINOTTI"/>
    <s v="Barbara"/>
    <m/>
    <m/>
    <m/>
    <m/>
    <m/>
    <m/>
    <m/>
    <m/>
    <m/>
    <m/>
    <m/>
    <m/>
    <m/>
    <m/>
    <m/>
    <m/>
    <m/>
  </r>
  <r>
    <s v="RUMIANO"/>
    <s v="Aurélien"/>
    <m/>
    <m/>
    <m/>
    <m/>
    <m/>
    <m/>
    <m/>
    <m/>
    <m/>
    <m/>
    <m/>
    <m/>
    <m/>
    <m/>
    <m/>
    <m/>
    <m/>
  </r>
  <r>
    <s v="GIROD "/>
    <s v="Gwennaelle"/>
    <m/>
    <m/>
    <m/>
    <m/>
    <m/>
    <m/>
    <m/>
    <m/>
    <m/>
    <m/>
    <m/>
    <m/>
    <m/>
    <m/>
    <m/>
    <m/>
    <m/>
  </r>
  <r>
    <s v="REZAEIPOUR"/>
    <s v="Fatemeh"/>
    <m/>
    <m/>
    <m/>
    <m/>
    <m/>
    <m/>
    <m/>
    <m/>
    <m/>
    <m/>
    <m/>
    <m/>
    <m/>
    <m/>
    <m/>
    <m/>
    <m/>
  </r>
  <r>
    <s v="VLERICK"/>
    <s v="Anne"/>
    <m/>
    <m/>
    <m/>
    <m/>
    <m/>
    <m/>
    <m/>
    <m/>
    <m/>
    <m/>
    <m/>
    <m/>
    <m/>
    <m/>
    <m/>
    <m/>
    <m/>
  </r>
  <r>
    <s v="BOYER"/>
    <s v="Ghislaine"/>
    <m/>
    <m/>
    <m/>
    <m/>
    <m/>
    <m/>
    <m/>
    <m/>
    <m/>
    <m/>
    <m/>
    <m/>
    <m/>
    <m/>
    <m/>
    <m/>
    <m/>
  </r>
  <r>
    <s v="ARNAISE"/>
    <s v="Guillaume"/>
    <m/>
    <m/>
    <m/>
    <m/>
    <m/>
    <m/>
    <m/>
    <m/>
    <m/>
    <m/>
    <m/>
    <m/>
    <m/>
    <m/>
    <m/>
    <m/>
    <m/>
  </r>
  <r>
    <s v="MONGERAND"/>
    <s v="Jhamalie"/>
    <m/>
    <m/>
    <m/>
    <m/>
    <m/>
    <m/>
    <m/>
    <m/>
    <m/>
    <m/>
    <m/>
    <m/>
    <m/>
    <m/>
    <m/>
    <m/>
    <m/>
  </r>
  <r>
    <s v="SAIRAZADA"/>
    <s v="Zahibullah"/>
    <m/>
    <m/>
    <m/>
    <m/>
    <m/>
    <m/>
    <m/>
    <m/>
    <m/>
    <m/>
    <m/>
    <m/>
    <m/>
    <m/>
    <m/>
    <m/>
    <m/>
  </r>
  <r>
    <s v="BORRON"/>
    <s v="Loic"/>
    <m/>
    <m/>
    <m/>
    <m/>
    <m/>
    <m/>
    <m/>
    <m/>
    <m/>
    <m/>
    <m/>
    <m/>
    <m/>
    <m/>
    <m/>
    <m/>
    <m/>
  </r>
  <r>
    <s v="HUSSEIN"/>
    <s v="Abdu"/>
    <m/>
    <m/>
    <m/>
    <m/>
    <m/>
    <m/>
    <m/>
    <m/>
    <m/>
    <m/>
    <m/>
    <m/>
    <m/>
    <m/>
    <m/>
    <m/>
    <m/>
  </r>
  <r>
    <s v="ETEMOV"/>
    <s v="Nevrija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n v="0"/>
    <n v="0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">
  <r>
    <m/>
    <m/>
    <m/>
    <m/>
    <m/>
    <m/>
    <m/>
    <m/>
    <m/>
    <m/>
    <m/>
    <m/>
    <m/>
    <m/>
    <s v="(chiffres à cumuler / mois"/>
    <s v="(chiffres à cumuler / mois"/>
    <m/>
    <m/>
    <m/>
    <m/>
    <m/>
    <m/>
    <m/>
    <m/>
    <m/>
    <m/>
    <m/>
    <m/>
    <m/>
    <m/>
    <m/>
    <m/>
    <m/>
    <m/>
    <m/>
    <m/>
    <s v="Commentaires"/>
  </r>
  <r>
    <s v="Madame "/>
    <s v="CHAOU"/>
    <s v="Bouchra"/>
    <n v="35"/>
    <s v="Aucun diplômeAmbéreu"/>
    <m/>
    <m/>
    <d v="2026-01-13T00:00:00"/>
    <d v="2026-01-13T00:00:00"/>
    <d v="2026-07-12T00:00:00"/>
    <m/>
    <s v="SANTE"/>
    <m/>
    <m/>
    <m/>
    <m/>
    <m/>
    <m/>
    <m/>
    <m/>
    <m/>
    <m/>
    <m/>
    <m/>
    <m/>
    <m/>
    <m/>
    <m/>
    <m/>
    <m/>
    <m/>
    <m/>
    <m/>
    <m/>
    <m/>
    <m/>
    <m/>
  </r>
  <r>
    <s v="Monsieur"/>
    <s v="KACZOROWSKI"/>
    <s v="Gary"/>
    <n v="40"/>
    <s v="CAP, BEP"/>
    <s v="Lagnieu"/>
    <m/>
    <d v="2026-01-06T00:00:00"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s v="Monsieur"/>
    <s v="PILCH "/>
    <s v="Jean-Christophe"/>
    <n v="47"/>
    <s v="BAC PRO"/>
    <s v="Lagnieu"/>
    <m/>
    <d v="2026-01-06T00:00:00"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s v="Monsieur"/>
    <s v="CLOYER"/>
    <s v="Jérémy"/>
    <n v="40"/>
    <s v="Aucun diplôme"/>
    <s v="Ambérieu"/>
    <m/>
    <d v="2026-01-14T00:00:00"/>
    <d v="2026-01-14T00:00:00"/>
    <d v="2026-07-13T00:00:00"/>
    <m/>
    <s v="SANTE"/>
    <s v="MOBILITE"/>
    <s v="LOGEMENT"/>
    <m/>
    <m/>
    <m/>
    <m/>
    <m/>
    <m/>
    <m/>
    <m/>
    <m/>
    <m/>
    <m/>
    <m/>
    <m/>
    <m/>
    <m/>
    <m/>
    <m/>
    <m/>
    <m/>
    <m/>
    <m/>
    <m/>
    <s v="En attente de CM"/>
  </r>
  <r>
    <s v="Monsieur"/>
    <s v="YILMAZ"/>
    <s v="Mehmet"/>
    <n v="50"/>
    <s v="Aucun diplôme"/>
    <s v="Ambérieu"/>
    <m/>
    <d v="2026-01-22T00:00:00"/>
    <m/>
    <d v="1900-06-28T00:00:00"/>
    <m/>
    <s v="Repasser le permis"/>
    <m/>
    <m/>
    <m/>
    <m/>
    <m/>
    <m/>
    <m/>
    <m/>
    <m/>
    <m/>
    <m/>
    <m/>
    <m/>
    <m/>
    <m/>
    <m/>
    <m/>
    <m/>
    <m/>
    <m/>
    <m/>
    <m/>
    <m/>
    <m/>
    <s v="Evenement emploi &quot;ferrovière&quot;"/>
  </r>
  <r>
    <s v="Monsieur"/>
    <s v="AL ALI"/>
    <s v="Abdallah"/>
    <n v="41"/>
    <s v="Aucun diplôme"/>
    <s v="Amberieu "/>
    <d v="2025-06-03T00:00:00"/>
    <d v="2025-08-04T00:00:00"/>
    <d v="2025-08-04T00:00:00"/>
    <d v="2026-01-31T00:00:00"/>
    <m/>
    <s v="LANGUE"/>
    <s v="SANTE"/>
    <m/>
    <m/>
    <m/>
    <m/>
    <m/>
    <m/>
    <m/>
    <m/>
    <n v="1"/>
    <m/>
    <m/>
    <m/>
    <m/>
    <m/>
    <m/>
    <m/>
    <m/>
    <m/>
    <m/>
    <m/>
    <m/>
    <m/>
    <m/>
    <s v="analphabètisme voir SIAE, en attente de CM - GO ON"/>
  </r>
  <r>
    <s v="Madame"/>
    <s v="ANAYAT"/>
    <s v="Safreen"/>
    <n v="53"/>
    <s v="Aucun diplôme"/>
    <s v="Amberieu "/>
    <d v="2025-07-29T00:00:00"/>
    <d v="2025-09-10T00:00:00"/>
    <d v="2025-09-10T00:00:00"/>
    <d v="2026-03-09T00:00:00"/>
    <m/>
    <s v="LANGUE"/>
    <s v="SANTE "/>
    <s v="MOBILITE"/>
    <m/>
    <m/>
    <m/>
    <m/>
    <m/>
    <m/>
    <m/>
    <m/>
    <m/>
    <m/>
    <m/>
    <m/>
    <m/>
    <m/>
    <m/>
    <m/>
    <m/>
    <m/>
    <m/>
    <m/>
    <m/>
    <m/>
    <s v="suit cours de français bénévole CS Saint Rambert 0 com tributaire de ses enfants pour venir. RSA fluctuant / STAGE AVEC SA FILLE ? Ou menage"/>
  </r>
  <r>
    <s v="Madame"/>
    <s v="ASLIMANI/LAAROUSSI"/>
    <s v="Nasera"/>
    <n v="40"/>
    <s v="CAP, BEP"/>
    <s v="Amberieu "/>
    <d v="2025-06-03T00:00:00"/>
    <s v="18/09/20025"/>
    <d v="2025-11-07T00:00:00"/>
    <d v="2026-05-06T00:00:00"/>
    <m/>
    <s v="MOBILITE"/>
    <s v="SANTE"/>
    <m/>
    <m/>
    <m/>
    <m/>
    <m/>
    <m/>
    <m/>
    <m/>
    <m/>
    <m/>
    <m/>
    <m/>
    <m/>
    <m/>
    <m/>
    <m/>
    <m/>
    <m/>
    <m/>
    <m/>
    <m/>
    <m/>
    <m/>
    <s v="Très active, participations ateliers jobdating / Animatrice diplôme belge - assistante maternelle agréée"/>
  </r>
  <r>
    <s v="Madame"/>
    <s v="BAJRAMOVA"/>
    <s v="Juksela"/>
    <n v="48"/>
    <s v="Aucun diplôme"/>
    <s v="Amberieu "/>
    <d v="2025-07-31T00:00:00"/>
    <d v="2025-09-11T00:00:00"/>
    <d v="2025-09-11T00:00:00"/>
    <d v="2026-03-10T00:00:00"/>
    <m/>
    <s v="LOGEMENT"/>
    <s v="SANTE"/>
    <s v="MOBILITE"/>
    <n v="4"/>
    <m/>
    <m/>
    <m/>
    <m/>
    <m/>
    <m/>
    <m/>
    <m/>
    <m/>
    <m/>
    <m/>
    <m/>
    <m/>
    <m/>
    <m/>
    <m/>
    <m/>
    <m/>
    <m/>
    <m/>
    <m/>
    <s v="travaille avec STAFFMATCH (petites missions ménage, cuisine) participation atelier, jobdating"/>
  </r>
  <r>
    <s v="Madame"/>
    <s v="BERNARDIN"/>
    <s v="Gaëlle"/>
    <n v="43"/>
    <s v="Aucun diplôme"/>
    <s v="Amberieu "/>
    <d v="2025-06-04T00:00:00"/>
    <d v="2025-08-12T00:00:00"/>
    <n v="45897"/>
    <d v="2026-02-24T00:00:00"/>
    <m/>
    <s v="MAMAN SOLO"/>
    <m/>
    <m/>
    <n v="3"/>
    <m/>
    <m/>
    <m/>
    <m/>
    <m/>
    <m/>
    <n v="1"/>
    <m/>
    <m/>
    <m/>
    <m/>
    <m/>
    <m/>
    <m/>
    <m/>
    <m/>
    <m/>
    <m/>
    <m/>
    <m/>
    <m/>
    <s v="adapa"/>
  </r>
  <r>
    <s v="Madame"/>
    <s v="BORKADI-KHALDI"/>
    <s v="Cindy"/>
    <n v="33"/>
    <s v="Aucun diplôme"/>
    <s v="Amberieu "/>
    <d v="2025-04-22T00:00:00"/>
    <d v="2025-09-01T00:00:00"/>
    <d v="2025-09-01T00:00:00"/>
    <d v="2026-02-28T00:00:00"/>
    <m/>
    <s v="MOBILITE"/>
    <s v="enfant en situation d'handicap"/>
    <s v="peu d'expérience professionnelle"/>
    <n v="2"/>
    <m/>
    <m/>
    <m/>
    <m/>
    <m/>
    <m/>
    <n v="1"/>
    <m/>
    <m/>
    <m/>
    <m/>
    <m/>
    <m/>
    <m/>
    <m/>
    <m/>
    <m/>
    <m/>
    <m/>
    <m/>
    <m/>
    <s v="Peu disponible - Contrôle régulier de la PMI (1 enfant handicapé - en attente de la PCH) - ménage"/>
  </r>
  <r>
    <s v="Monsieur"/>
    <s v="CLAIRET"/>
    <s v="Patrice"/>
    <n v="43"/>
    <s v="Aucun diplôme"/>
    <s v="Amberieu "/>
    <d v="2025-06-12T00:00:00"/>
    <d v="2025-08-25T00:00:00"/>
    <d v="2025-09-09T00:00:00"/>
    <d v="2026-03-08T00:00:00"/>
    <m/>
    <s v="SANTE"/>
    <s v="MOBILITE"/>
    <m/>
    <m/>
    <m/>
    <m/>
    <s v="autre"/>
    <s v="Arret mal longue durée"/>
    <m/>
    <m/>
    <n v="1"/>
    <m/>
    <m/>
    <m/>
    <m/>
    <m/>
    <m/>
    <m/>
    <m/>
    <m/>
    <m/>
    <m/>
    <m/>
    <m/>
    <m/>
    <s v="CM fourni réo faite le 06/02"/>
  </r>
  <r>
    <s v="Monsieur"/>
    <s v="CREPALDI"/>
    <s v="David"/>
    <n v="41"/>
    <s v="BAC PRO"/>
    <s v="Lagnieu"/>
    <d v="2025-06-13T00:00:00"/>
    <d v="2025-08-04T00:00:00"/>
    <d v="2025-08-04T00:00:00"/>
    <d v="2026-01-31T00:00:00"/>
    <m/>
    <s v="SANTE"/>
    <m/>
    <m/>
    <n v="2"/>
    <n v="1"/>
    <m/>
    <m/>
    <m/>
    <m/>
    <m/>
    <n v="1"/>
    <m/>
    <m/>
    <m/>
    <m/>
    <m/>
    <m/>
    <m/>
    <m/>
    <m/>
    <m/>
    <m/>
    <m/>
    <m/>
    <m/>
    <s v="En attente d'arrêt CM santé dégradée - plus de nouvelle (REMOBILISATION) pas de nvelle depuis 2 mois"/>
  </r>
  <r>
    <s v="Monsieur"/>
    <s v="FARINA*** "/>
    <s v="Yann"/>
    <n v="42"/>
    <s v="Aucun diplôme"/>
    <s v="Amberieu "/>
    <d v="2025-06-06T00:00:00"/>
    <d v="2025-09-01T00:00:00"/>
    <d v="2025-10-15T00:00:00"/>
    <d v="2026-04-13T00:00:00"/>
    <m/>
    <s v="sans domicile"/>
    <s v="frais de déplacement"/>
    <m/>
    <n v="3"/>
    <m/>
    <m/>
    <m/>
    <m/>
    <m/>
    <m/>
    <n v="1"/>
    <m/>
    <m/>
    <m/>
    <m/>
    <m/>
    <m/>
    <m/>
    <m/>
    <m/>
    <m/>
    <m/>
    <m/>
    <m/>
    <m/>
    <s v="Petits boulots (vendanges), toujours pas de CV - REFUS TRI - CRESSONNIERE gros pbme d hygiene"/>
  </r>
  <r>
    <s v="Madame"/>
    <s v="FERNANDES"/>
    <s v="Noemie"/>
    <n v="28"/>
    <s v="DEUG, BTS, DUT, DEUST"/>
    <s v="Amberieu "/>
    <d v="2025-06-06T00:00:00"/>
    <d v="2025-08-05T00:00:00"/>
    <d v="2025-08-05T00:00:00"/>
    <d v="2026-02-01T00:00:00"/>
    <m/>
    <s v="SANTE"/>
    <s v="Probl perso"/>
    <m/>
    <n v="2"/>
    <m/>
    <m/>
    <m/>
    <m/>
    <m/>
    <m/>
    <m/>
    <m/>
    <m/>
    <m/>
    <m/>
    <m/>
    <m/>
    <m/>
    <m/>
    <m/>
    <m/>
    <m/>
    <m/>
    <m/>
    <m/>
    <s v="Mme a peur de son ex conjoint - se présente 1 fois sur 2 (remobilisation) ne se mobilise pas"/>
  </r>
  <r>
    <s v="Madame"/>
    <s v="FOFANA"/>
    <s v="Fanta"/>
    <n v="29"/>
    <s v="Aucun diplôme"/>
    <s v="Amberieu "/>
    <d v="2025-06-12T00:00:00"/>
    <d v="2025-07-30T00:00:00"/>
    <d v="2025-09-12T00:00:00"/>
    <d v="2026-03-11T00:00:00"/>
    <m/>
    <s v="ECRIT"/>
    <s v="santé"/>
    <m/>
    <m/>
    <m/>
    <m/>
    <m/>
    <m/>
    <m/>
    <m/>
    <n v="1"/>
    <m/>
    <m/>
    <m/>
    <m/>
    <m/>
    <m/>
    <m/>
    <m/>
    <m/>
    <m/>
    <m/>
    <m/>
    <m/>
    <m/>
    <s v="Suivi par AGIR, contrat de w en attente (mission interim tri) - parle tres bien le francais, ne sait pas lire ni ecrire / GO ON"/>
  </r>
  <r>
    <s v="Madame"/>
    <s v="HAMOT"/>
    <s v="Whitney"/>
    <n v="28"/>
    <s v="DEUG, BTS, DUT, DEUST"/>
    <s v="Lagnieu"/>
    <d v="2025-06-27T00:00:00"/>
    <d v="2025-07-28T00:00:00"/>
    <n v="45873"/>
    <d v="2026-01-31T00:00:00"/>
    <m/>
    <s v="Enfant bas age"/>
    <m/>
    <m/>
    <n v="2"/>
    <m/>
    <m/>
    <m/>
    <m/>
    <m/>
    <m/>
    <n v="1"/>
    <m/>
    <m/>
    <m/>
    <m/>
    <m/>
    <m/>
    <m/>
    <m/>
    <m/>
    <m/>
    <m/>
    <m/>
    <m/>
    <m/>
    <s v="4 enfants (3 à l'ecole) - mere celibataire - dernier enfant 18 mois - a été commerciale"/>
  </r>
  <r>
    <s v="Monsieur"/>
    <s v="JUVENAL"/>
    <s v="Cédric"/>
    <n v="48"/>
    <s v="CAP, BEP"/>
    <s v="Lagnieu"/>
    <d v="2025-07-02T00:00:00"/>
    <d v="2025-09-01T00:00:00"/>
    <n v="45922"/>
    <d v="2026-03-21T00:00:00"/>
    <m/>
    <s v="SANTE"/>
    <m/>
    <m/>
    <n v="4"/>
    <m/>
    <m/>
    <m/>
    <m/>
    <m/>
    <m/>
    <m/>
    <m/>
    <m/>
    <m/>
    <m/>
    <m/>
    <m/>
    <m/>
    <m/>
    <m/>
    <m/>
    <m/>
    <m/>
    <m/>
    <m/>
    <s v="Cdd 3 mois en garage non renouvelé - abs février refixer un rdv sinon REMOB - pas de cv !!"/>
  </r>
  <r>
    <s v="Madame"/>
    <s v="KHALO"/>
    <s v="Hanifa"/>
    <n v="40"/>
    <s v="Aucun diplôme"/>
    <s v="Amberieu "/>
    <d v="2025-06-19T00:00:00"/>
    <d v="2025-08-14T00:00:00"/>
    <n v="45912"/>
    <d v="2026-03-11T00:00:00"/>
    <m/>
    <s v="LANGUE"/>
    <s v="SANTE"/>
    <s v="MOBILITE"/>
    <m/>
    <m/>
    <m/>
    <m/>
    <m/>
    <m/>
    <m/>
    <n v="1"/>
    <m/>
    <m/>
    <m/>
    <m/>
    <m/>
    <m/>
    <m/>
    <m/>
    <m/>
    <m/>
    <m/>
    <m/>
    <m/>
    <m/>
    <s v="CM : le medecin atteste qu elle peut travailler et peut suivre les cours Aintégré Léo Lagrange le 05/03"/>
  </r>
  <r>
    <s v="Madame"/>
    <s v="KOUASSI"/>
    <s v="Amoin Désirée Prudence"/>
    <n v="30"/>
    <s v="CAP, BEP"/>
    <s v="Amberieu "/>
    <d v="2025-07-02T00:00:00"/>
    <d v="2025-07-21T00:00:00"/>
    <d v="2025-07-21T00:00:00"/>
    <d v="2026-01-17T00:00:00"/>
    <m/>
    <s v="SANTE"/>
    <s v="VEHICULE"/>
    <m/>
    <n v="8"/>
    <m/>
    <m/>
    <m/>
    <m/>
    <m/>
    <m/>
    <n v="1"/>
    <m/>
    <m/>
    <m/>
    <m/>
    <m/>
    <m/>
    <m/>
    <m/>
    <m/>
    <m/>
    <m/>
    <m/>
    <m/>
    <m/>
    <s v="Très active, PMSMP, achat de véhicule, petits boulots… va travailler en 2 x 8 prochainement loggins"/>
  </r>
  <r>
    <s v="Madame"/>
    <s v="LAHURE"/>
    <s v="Belinda"/>
    <n v="47"/>
    <s v="Aucun diplôme"/>
    <s v="Amberieu "/>
    <d v="2025-06-24T00:00:00"/>
    <d v="2025-08-27T00:00:00"/>
    <n v="45896"/>
    <d v="2026-02-23T00:00:00"/>
    <m/>
    <s v="SANTE"/>
    <s v="Permis en cours"/>
    <m/>
    <n v="5"/>
    <m/>
    <m/>
    <m/>
    <m/>
    <m/>
    <m/>
    <n v="1"/>
    <m/>
    <m/>
    <m/>
    <m/>
    <m/>
    <m/>
    <m/>
    <m/>
    <m/>
    <m/>
    <m/>
    <m/>
    <m/>
    <m/>
    <s v="Présente PEC pas retenue / petits boulots menage /AGENT DE SANTE"/>
  </r>
  <r>
    <s v="Madame"/>
    <s v="LYONNET"/>
    <s v="Sandrine"/>
    <n v="46"/>
    <s v="CAP, BEP"/>
    <s v="Amberieu "/>
    <d v="2025-06-13T00:00:00"/>
    <d v="2025-08-13T00:00:00"/>
    <d v="2025-08-13T00:00:00"/>
    <d v="2026-02-09T00:00:00"/>
    <m/>
    <s v="SANTE"/>
    <s v="pas de véhicule"/>
    <m/>
    <n v="3"/>
    <m/>
    <m/>
    <m/>
    <m/>
    <m/>
    <m/>
    <n v="1"/>
    <m/>
    <m/>
    <m/>
    <m/>
    <m/>
    <m/>
    <m/>
    <m/>
    <m/>
    <m/>
    <m/>
    <m/>
    <m/>
    <m/>
    <s v="en attente de réponse de la MDPH pour l'AAH / voir GPP avec Djamila"/>
  </r>
  <r>
    <s v="Madame"/>
    <s v="MAHAMADOU"/>
    <s v="Haoua"/>
    <n v="47"/>
    <s v="Aucun diplôme"/>
    <s v="Amberieu "/>
    <d v="2025-06-12T00:00:00"/>
    <d v="2025-09-24T00:00:00"/>
    <n v="45938"/>
    <d v="2026-04-06T00:00:00"/>
    <m/>
    <s v="LANGUE"/>
    <s v="ISOLEE"/>
    <s v="SANTE"/>
    <m/>
    <m/>
    <m/>
    <m/>
    <m/>
    <m/>
    <m/>
    <n v="1"/>
    <m/>
    <m/>
    <m/>
    <m/>
    <m/>
    <m/>
    <m/>
    <m/>
    <m/>
    <m/>
    <m/>
    <m/>
    <m/>
    <m/>
    <s v="Orientée vers cours de français G0 ON - née du Nigère (traumas importants)"/>
  </r>
  <r>
    <s v="Madame"/>
    <s v="MAHESHE NKUBONAGE"/>
    <s v="Nicole"/>
    <n v="45"/>
    <s v="DEUG, BTS, DUT, DEUST"/>
    <s v="Amberieu "/>
    <d v="2025-06-03T00:00:00"/>
    <d v="2025-09-02T00:00:00"/>
    <d v="2025-09-02T00:00:00"/>
    <d v="2026-03-01T00:00:00"/>
    <m/>
    <s v="MOBILITE"/>
    <s v="SANTE"/>
    <m/>
    <n v="7"/>
    <m/>
    <m/>
    <m/>
    <m/>
    <m/>
    <m/>
    <n v="1"/>
    <m/>
    <m/>
    <m/>
    <m/>
    <m/>
    <m/>
    <m/>
    <m/>
    <m/>
    <m/>
    <m/>
    <m/>
    <m/>
    <m/>
    <s v="Candidate beaucoup - manque de confiance en soi"/>
  </r>
  <r>
    <s v="Monsieur"/>
    <s v="MIGUEL"/>
    <s v="Herve"/>
    <n v="45"/>
    <s v="Aucun diplôme"/>
    <s v="Amberieu "/>
    <d v="2025-05-21T00:00:00"/>
    <d v="2025-08-04T00:00:00"/>
    <d v="2025-08-04T00:00:00"/>
    <d v="2026-01-31T00:00:00"/>
    <m/>
    <s v="MOBILITE "/>
    <s v="SANTE"/>
    <s v="HEBERGEMENT"/>
    <n v="1"/>
    <m/>
    <m/>
    <m/>
    <m/>
    <m/>
    <m/>
    <m/>
    <m/>
    <m/>
    <m/>
    <m/>
    <m/>
    <m/>
    <m/>
    <m/>
    <m/>
    <m/>
    <m/>
    <m/>
    <m/>
    <m/>
    <s v="voir LOGGINS - CACES a renouveler faire une immersion"/>
  </r>
  <r>
    <s v="Madame"/>
    <s v="MOHAMAD"/>
    <s v="Shirin"/>
    <n v="46"/>
    <s v="Aucun diplôme"/>
    <s v="Amberieu "/>
    <d v="2025-06-18T00:00:00"/>
    <d v="2025-08-14T00:00:00"/>
    <d v="2025-08-14T00:00:00"/>
    <d v="2026-02-10T00:00:00"/>
    <m/>
    <s v="MOBILITE"/>
    <s v="SANTE"/>
    <s v="LANGUE"/>
    <m/>
    <m/>
    <m/>
    <m/>
    <m/>
    <m/>
    <m/>
    <n v="1"/>
    <m/>
    <m/>
    <m/>
    <m/>
    <m/>
    <m/>
    <m/>
    <m/>
    <m/>
    <m/>
    <m/>
    <m/>
    <m/>
    <m/>
    <s v="GO ON, proposition fle/logistique FT2026 : a refusé"/>
  </r>
  <r>
    <s v="Monsieur"/>
    <s v="MOTA"/>
    <s v="Jean Michel"/>
    <n v="45"/>
    <m/>
    <s v="Lagnieu"/>
    <d v="2025-06-24T00:00:00"/>
    <d v="2025-08-25T00:00:00"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s v="Passé en CLI le 12/12/25 - sanctionné à 80% - pas de contact  repris"/>
  </r>
  <r>
    <s v="Monsieur"/>
    <s v="PIEDBOIS"/>
    <s v="Youri"/>
    <n v="54"/>
    <s v="Baccalauréat"/>
    <s v="Lagnieu"/>
    <d v="2025-06-18T00:00:00"/>
    <d v="2025-09-08T00:00:00"/>
    <d v="2025-09-08T00:00:00"/>
    <d v="2026-03-07T00:00:00"/>
    <m/>
    <s v="Hebergement"/>
    <s v="santé"/>
    <m/>
    <n v="3"/>
    <m/>
    <m/>
    <m/>
    <m/>
    <m/>
    <m/>
    <n v="1"/>
    <m/>
    <m/>
    <m/>
    <m/>
    <m/>
    <m/>
    <m/>
    <m/>
    <m/>
    <m/>
    <m/>
    <m/>
    <m/>
    <m/>
    <s v="Mr était SDF. Il reprend sa vie en main. Contrat appui entreprise 2 OE proposées refusées"/>
  </r>
  <r>
    <s v="Monsieur"/>
    <s v="POTENZIANI"/>
    <s v="Nicolas"/>
    <n v="26"/>
    <s v="Aucun diplôme"/>
    <s v="Amberieu "/>
    <d v="2025-06-04T00:00:00"/>
    <d v="2025-08-18T00:00:00"/>
    <n v="45924"/>
    <d v="2026-03-23T00:00:00"/>
    <m/>
    <s v="mobilité"/>
    <s v="peu d'expérience pro"/>
    <m/>
    <m/>
    <m/>
    <m/>
    <m/>
    <m/>
    <m/>
    <m/>
    <m/>
    <m/>
    <m/>
    <m/>
    <m/>
    <m/>
    <m/>
    <m/>
    <m/>
    <m/>
    <m/>
    <m/>
    <m/>
    <m/>
    <m/>
    <s v="a réussi son code;conduite en cours - cv à sandrine suder à transmettre"/>
  </r>
  <r>
    <s v="Monsieur"/>
    <s v="PUVILLAN"/>
    <s v="Cédric"/>
    <n v="48"/>
    <s v="DEUG, BTS, DUT, DEUST"/>
    <s v="Amberieu "/>
    <d v="2025-04-30T00:00:00"/>
    <d v="2025-07-28T00:00:00"/>
    <n v="45866"/>
    <d v="2026-01-24T00:00:00"/>
    <m/>
    <s v="multiple projet"/>
    <s v="santé"/>
    <m/>
    <n v="1"/>
    <m/>
    <m/>
    <m/>
    <m/>
    <m/>
    <m/>
    <n v="1"/>
    <m/>
    <m/>
    <m/>
    <m/>
    <m/>
    <m/>
    <m/>
    <m/>
    <m/>
    <m/>
    <m/>
    <m/>
    <m/>
    <m/>
    <s v="en interim jusqu'en décembre 2025 - cariste - formation caces 1 b35 ACTUAL - plus de nouvelle"/>
  </r>
  <r>
    <s v="Madame"/>
    <s v="RAMDANI"/>
    <s v="Ikram"/>
    <n v="43"/>
    <s v="BAC"/>
    <s v="Lagnieu"/>
    <d v="2025-06-04T00:00:00"/>
    <d v="2025-09-01T00:00:00"/>
    <d v="2025-09-01T00:00:00"/>
    <d v="2026-02-28T00:00:00"/>
    <m/>
    <s v="MAMAN SOLO"/>
    <s v="santé"/>
    <m/>
    <m/>
    <m/>
    <m/>
    <m/>
    <m/>
    <m/>
    <m/>
    <m/>
    <m/>
    <m/>
    <m/>
    <m/>
    <m/>
    <m/>
    <m/>
    <m/>
    <m/>
    <m/>
    <m/>
    <m/>
    <m/>
    <m/>
    <s v="demarche assistante maternelle ? Pmsmp à faire / aide à domicile / atsem"/>
  </r>
  <r>
    <s v="Madame"/>
    <s v="RAMOS"/>
    <s v="Audrey"/>
    <n v="36"/>
    <s v="CAP, BEP"/>
    <s v="Amberieu "/>
    <d v="2025-06-19T00:00:00"/>
    <d v="2025-09-02T00:00:00"/>
    <d v="2025-09-02T00:00:00"/>
    <d v="2026-03-01T00:00:00"/>
    <m/>
    <s v="séparation difficile"/>
    <s v="maman solo"/>
    <m/>
    <n v="3"/>
    <m/>
    <m/>
    <m/>
    <m/>
    <m/>
    <m/>
    <n v="1"/>
    <m/>
    <m/>
    <m/>
    <m/>
    <m/>
    <m/>
    <m/>
    <m/>
    <m/>
    <m/>
    <m/>
    <m/>
    <m/>
    <m/>
    <s v="a CAP petite enfance - Chercher un autre projet professionnel"/>
  </r>
  <r>
    <s v="Madame"/>
    <s v="RONGIER"/>
    <s v="Marine"/>
    <n v="39"/>
    <s v="BP"/>
    <s v="Amberieu "/>
    <d v="2025-06-03T00:00:00"/>
    <d v="2025-08-27T00:00:00"/>
    <d v="2025-08-27T00:00:00"/>
    <d v="2026-02-23T00:00:00"/>
    <m/>
    <s v="SANTE"/>
    <s v="maman solo"/>
    <m/>
    <m/>
    <m/>
    <m/>
    <m/>
    <m/>
    <m/>
    <m/>
    <n v="1"/>
    <m/>
    <m/>
    <m/>
    <m/>
    <m/>
    <m/>
    <m/>
    <m/>
    <m/>
    <m/>
    <m/>
    <m/>
    <m/>
    <m/>
    <s v="CM OK mais plus de nouvelle  - promesse embauche au 1er janv 26 a verifier positionner un RDV sinon remob"/>
  </r>
  <r>
    <s v="Madame"/>
    <s v="ROUSSEL"/>
    <s v="Joanna"/>
    <n v="32"/>
    <s v="BAC PRO"/>
    <s v="Amberieu "/>
    <d v="2025-06-02T00:00:00"/>
    <d v="2025-07-29T00:00:00"/>
    <d v="2025-08-29T00:00:00"/>
    <d v="2026-02-25T00:00:00"/>
    <m/>
    <s v="SANTE "/>
    <s v="MOBILITE"/>
    <s v="enfant en bas âge"/>
    <n v="3"/>
    <m/>
    <m/>
    <m/>
    <m/>
    <m/>
    <m/>
    <n v="1"/>
    <m/>
    <m/>
    <m/>
    <m/>
    <m/>
    <m/>
    <m/>
    <m/>
    <m/>
    <m/>
    <m/>
    <m/>
    <m/>
    <m/>
    <s v="Beaucoup d'abs exc enfant malade, bus… / diplôme ds aide a domicile"/>
  </r>
  <r>
    <s v="Monsieur"/>
    <s v="SANTANA"/>
    <s v="Alexis"/>
    <n v="33"/>
    <s v="BAC PRO"/>
    <s v="Amberieu "/>
    <d v="2025-06-13T00:00:00"/>
    <d v="2025-09-08T00:00:00"/>
    <d v="2025-12-22T00:00:00"/>
    <d v="2026-06-20T00:00:00"/>
    <m/>
    <s v="santé"/>
    <m/>
    <m/>
    <m/>
    <m/>
    <m/>
    <m/>
    <m/>
    <m/>
    <m/>
    <m/>
    <m/>
    <m/>
    <m/>
    <m/>
    <m/>
    <m/>
    <m/>
    <m/>
    <m/>
    <m/>
    <m/>
    <m/>
    <m/>
    <m/>
    <s v="Missions intérim en décembre poursuite en janvier - reclamer tous les contrats et refixer un rdv"/>
  </r>
  <r>
    <s v="Madame"/>
    <s v="SCHEID"/>
    <s v="Marie"/>
    <n v="35"/>
    <s v="primaire"/>
    <s v="Amberieu "/>
    <d v="2025-06-24T00:00:00"/>
    <d v="2025-09-01T00:00:00"/>
    <d v="2025-09-01T00:00:00"/>
    <d v="2026-02-28T00:00:00"/>
    <m/>
    <s v="Peu d'expérience"/>
    <s v="enfant en difficulté"/>
    <m/>
    <n v="2"/>
    <m/>
    <m/>
    <m/>
    <m/>
    <m/>
    <m/>
    <m/>
    <m/>
    <m/>
    <m/>
    <m/>
    <m/>
    <m/>
    <m/>
    <m/>
    <m/>
    <m/>
    <m/>
    <m/>
    <m/>
    <m/>
    <s v="Mme a fait un CV, gens du voyage "/>
  </r>
  <r>
    <s v="Monsieur"/>
    <s v="SEYE"/>
    <s v="Mohamed"/>
    <n v="37"/>
    <s v="BAC+3"/>
    <s v="Amberieu "/>
    <d v="2025-07-29T00:00:00"/>
    <d v="2025-08-20T00:00:00"/>
    <n v="45905"/>
    <d v="2026-03-04T00:00:00"/>
    <m/>
    <s v="MOBILITE"/>
    <s v="papa solo"/>
    <m/>
    <n v="4"/>
    <n v="1"/>
    <m/>
    <m/>
    <m/>
    <m/>
    <m/>
    <n v="1"/>
    <m/>
    <m/>
    <m/>
    <m/>
    <m/>
    <m/>
    <m/>
    <m/>
    <m/>
    <m/>
    <m/>
    <m/>
    <m/>
    <m/>
    <s v="/ travaille en interim depuis décembre "/>
  </r>
  <r>
    <s v="Madame"/>
    <s v="SOUADIA"/>
    <s v="Sandrine"/>
    <n v="43"/>
    <m/>
    <s v="Lagnieu"/>
    <d v="2025-04-30T00:00:00"/>
    <d v="2025-09-08T00:00:00"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s v="Assistante familiale mais pas d'enfant à l heure actuelle  jamais vue à convoquer d urgence"/>
  </r>
  <r>
    <s v="Madame"/>
    <s v="TAHIRI"/>
    <s v="Marsela"/>
    <n v="33"/>
    <s v="Aucun diplôme"/>
    <s v="Amberieu "/>
    <d v="2025-06-26T00:00:00"/>
    <d v="2025-07-29T00:00:00"/>
    <d v="2025-08-28T00:00:00"/>
    <d v="2026-02-24T00:00:00"/>
    <m/>
    <s v="MOBILITE"/>
    <s v="LANGUE"/>
    <s v="SANTE"/>
    <n v="5"/>
    <m/>
    <m/>
    <m/>
    <m/>
    <m/>
    <m/>
    <n v="1"/>
    <m/>
    <m/>
    <m/>
    <m/>
    <m/>
    <m/>
    <m/>
    <m/>
    <m/>
    <m/>
    <m/>
    <m/>
    <m/>
    <m/>
    <s v="vue par une assistance sociale BILAN DE PARCOURS REO SOCIALE"/>
  </r>
  <r>
    <s v="Monsieur"/>
    <s v="TALASH"/>
    <s v="Mohamad"/>
    <n v="30"/>
    <m/>
    <s v="Amberieu "/>
    <d v="2025-05-22T00:00:00"/>
    <d v="2025-08-07T00:00:00"/>
    <s v="SDP"/>
    <e v="#VALUE!"/>
    <m/>
    <m/>
    <m/>
    <m/>
    <m/>
    <m/>
    <m/>
    <m/>
    <m/>
    <m/>
    <m/>
    <m/>
    <m/>
    <m/>
    <m/>
    <m/>
    <m/>
    <m/>
    <m/>
    <m/>
    <m/>
    <m/>
    <m/>
    <m/>
    <m/>
    <m/>
    <s v="SITUATION EN ATTENTE D'ETRE DEBLOQUEE FT - PRENDRE L ACCOMPANGNEMENT EN COURS"/>
  </r>
  <r>
    <s v="Madame"/>
    <s v="THEVENON-DANIERE"/>
    <s v="Géraldine"/>
    <n v="44"/>
    <s v="BEP"/>
    <s v="Amberieu "/>
    <d v="2025-04-11T00:00:00"/>
    <d v="2025-09-10T00:00:00"/>
    <d v="2025-09-10T00:00:00"/>
    <d v="2026-03-09T00:00:00"/>
    <m/>
    <s v="pb lié au logement"/>
    <s v="maman solo"/>
    <s v="séparation difficile"/>
    <m/>
    <m/>
    <m/>
    <m/>
    <m/>
    <m/>
    <m/>
    <m/>
    <m/>
    <m/>
    <m/>
    <m/>
    <m/>
    <m/>
    <m/>
    <m/>
    <m/>
    <m/>
    <m/>
    <m/>
    <m/>
    <m/>
    <s v="reprise VD .Aime la vente mais contraintes familiales / immersion ok / aide à domicile"/>
  </r>
  <r>
    <s v="Madame"/>
    <s v="THOMASSON"/>
    <s v="Amélie"/>
    <n v="47"/>
    <m/>
    <s v="Amberieu "/>
    <d v="2025-07-29T00:00:00"/>
    <d v="2025-08-20T00:00:00"/>
    <n v="45920"/>
    <d v="2026-03-19T00:00:00"/>
    <m/>
    <s v="MOBILITE"/>
    <s v="SANTE"/>
    <m/>
    <m/>
    <m/>
    <m/>
    <m/>
    <m/>
    <m/>
    <m/>
    <m/>
    <m/>
    <m/>
    <m/>
    <m/>
    <m/>
    <m/>
    <m/>
    <m/>
    <m/>
    <m/>
    <m/>
    <m/>
    <m/>
    <m/>
    <s v="Souvent malade proposer acco agent de santé - fripone ?"/>
  </r>
  <r>
    <s v="Madame"/>
    <s v="TOURE"/>
    <s v="Marie Agnes"/>
    <n v="43"/>
    <s v="BAC"/>
    <s v="Amberieu "/>
    <d v="2025-06-13T00:00:00"/>
    <d v="2025-09-10T00:00:00"/>
    <d v="2025-09-10T00:00:00"/>
    <d v="2026-03-09T00:00:00"/>
    <m/>
    <s v="MAMAN SOLO"/>
    <s v="garde d'enfant"/>
    <s v="Pas de véhicule"/>
    <m/>
    <m/>
    <m/>
    <m/>
    <m/>
    <m/>
    <m/>
    <m/>
    <m/>
    <m/>
    <m/>
    <m/>
    <m/>
    <m/>
    <m/>
    <m/>
    <m/>
    <m/>
    <m/>
    <m/>
    <m/>
    <m/>
    <s v="intéressée formation SAMA"/>
  </r>
  <r>
    <s v="Madame"/>
    <s v="TRONQUART"/>
    <s v="Marie-Christine"/>
    <n v="51"/>
    <s v="CAP, BEP"/>
    <s v="Amberieu "/>
    <d v="2025-06-13T00:00:00"/>
    <d v="2025-08-20T00:00:00"/>
    <n v="45903"/>
    <d v="2026-03-02T00:00:00"/>
    <m/>
    <s v="MOBILITE"/>
    <s v="Pas de médecin"/>
    <m/>
    <n v="4"/>
    <m/>
    <m/>
    <m/>
    <m/>
    <m/>
    <m/>
    <n v="1"/>
    <m/>
    <m/>
    <m/>
    <m/>
    <m/>
    <m/>
    <m/>
    <m/>
    <m/>
    <m/>
    <m/>
    <m/>
    <m/>
    <m/>
    <s v="a déjà travaillé en structure d'insertion - "/>
  </r>
  <r>
    <s v="Madame"/>
    <s v="TUNCAY"/>
    <s v="Esira"/>
    <n v="28"/>
    <s v="Aucun diplôme"/>
    <s v="Amberieu "/>
    <d v="2025-06-05T00:00:00"/>
    <d v="2025-07-28T00:00:00"/>
    <d v="2025-09-05T00:00:00"/>
    <d v="2026-03-04T00:00:00"/>
    <m/>
    <s v="enfant en situation de handicap"/>
    <s v="En coursd de divorce"/>
    <m/>
    <m/>
    <m/>
    <m/>
    <m/>
    <m/>
    <m/>
    <m/>
    <m/>
    <m/>
    <m/>
    <m/>
    <m/>
    <m/>
    <m/>
    <m/>
    <m/>
    <m/>
    <m/>
    <m/>
    <m/>
    <m/>
    <m/>
    <s v="fils qui n'a pas de place en IME / vue sur Mex / revoir son dossier MDPH pour son fils pour pch"/>
  </r>
  <r>
    <s v="Madame"/>
    <s v="VOGELSGSANG"/>
    <s v="Emilie"/>
    <n v="38"/>
    <s v="Aucun diplôme"/>
    <s v="Amberieu "/>
    <d v="2025-06-13T00:00:00"/>
    <d v="2025-08-13T00:00:00"/>
    <d v="2025-08-13T00:00:00"/>
    <d v="2026-02-09T00:00:00"/>
    <m/>
    <s v="SANTE"/>
    <s v="MOBILITE"/>
    <s v="aucune exp pro"/>
    <m/>
    <m/>
    <m/>
    <m/>
    <m/>
    <m/>
    <m/>
    <n v="1"/>
    <m/>
    <m/>
    <m/>
    <m/>
    <m/>
    <m/>
    <m/>
    <m/>
    <m/>
    <m/>
    <m/>
    <m/>
    <m/>
    <m/>
    <s v="dossier handicap pour son fils / a des atèles aux 2 mains + bequilles - suivi psy"/>
  </r>
  <r>
    <s v="Madame"/>
    <s v="YOUNES"/>
    <s v="Sarah"/>
    <n v="33"/>
    <s v="BAC"/>
    <s v="Amberieu "/>
    <d v="2025-06-05T00:00:00"/>
    <d v="2025-07-29T00:00:00"/>
    <d v="2025-07-29T00:00:00"/>
    <d v="2026-01-25T00:00:00"/>
    <m/>
    <s v="ENFANTS"/>
    <s v="Aide à parent malade"/>
    <m/>
    <m/>
    <m/>
    <m/>
    <m/>
    <m/>
    <m/>
    <m/>
    <m/>
    <m/>
    <m/>
    <m/>
    <m/>
    <m/>
    <m/>
    <m/>
    <m/>
    <m/>
    <m/>
    <m/>
    <m/>
    <m/>
    <m/>
    <s v=" Aide à domicile / ash : aidant familila pour sa maman"/>
  </r>
  <r>
    <s v="Monsieur"/>
    <s v="ZABLOT"/>
    <s v="Arthur"/>
    <n v="30"/>
    <s v="BAC"/>
    <s v="Amberieu "/>
    <d v="2025-04-29T00:00:00"/>
    <d v="2005-09-08T00:00:00"/>
    <d v="2025-09-08T00:00:00"/>
    <d v="2026-03-07T00:00:00"/>
    <m/>
    <s v="RQTH"/>
    <m/>
    <m/>
    <n v="8"/>
    <n v="1"/>
    <m/>
    <m/>
    <m/>
    <m/>
    <m/>
    <n v="1"/>
    <m/>
    <m/>
    <m/>
    <m/>
    <m/>
    <m/>
    <m/>
    <m/>
    <m/>
    <m/>
    <m/>
    <m/>
    <m/>
    <m/>
    <s v="cariste - "/>
  </r>
  <r>
    <s v="Madame"/>
    <s v="CHEKKI"/>
    <s v="Islam"/>
    <n v="33"/>
    <s v="master"/>
    <s v="Lagnieu"/>
    <d v="2025-08-21T00:00:00"/>
    <d v="2025-09-29T00:00:00"/>
    <d v="2025-09-29T00:00:00"/>
    <d v="2026-03-28T00:00:00"/>
    <m/>
    <s v="MAMAN SOLO"/>
    <m/>
    <m/>
    <m/>
    <m/>
    <m/>
    <m/>
    <m/>
    <m/>
    <m/>
    <n v="1"/>
    <m/>
    <m/>
    <m/>
    <m/>
    <m/>
    <m/>
    <m/>
    <m/>
    <m/>
    <m/>
    <m/>
    <m/>
    <m/>
    <m/>
    <s v="Autoentrepreneuse depuis 2021, a déjà eu un acco BGE - activité traductrice anglais + crs en ligne + missions informatique"/>
  </r>
  <r>
    <s v="Monsieur"/>
    <s v="LAMANCHE"/>
    <s v="Steve"/>
    <n v="33"/>
    <m/>
    <s v="Lagnieu"/>
    <d v="2025-08-13T00:00:00"/>
    <d v="2025-09-22T00:00:00"/>
    <d v="2025-09-22T00:00:00"/>
    <d v="2026-03-21T00:00:00"/>
    <m/>
    <s v="MOBILITE"/>
    <s v="Manque de confiance"/>
    <m/>
    <m/>
    <m/>
    <m/>
    <m/>
    <m/>
    <m/>
    <m/>
    <m/>
    <m/>
    <m/>
    <m/>
    <m/>
    <m/>
    <m/>
    <m/>
    <m/>
    <m/>
    <m/>
    <m/>
    <m/>
    <m/>
    <m/>
    <s v="CDD en décembre 2025 - actuellement en AM jusqu'en fevrier car AT - CDI à venir ?"/>
  </r>
  <r>
    <s v="Madame"/>
    <s v="SLIMANI"/>
    <s v="Lahouaria"/>
    <n v="53"/>
    <s v="BAC+3"/>
    <s v="Lagnieu"/>
    <d v="2025-08-21T00:00:00"/>
    <d v="2025-09-29T00:00:00"/>
    <n v="45929"/>
    <d v="2026-03-28T00:00:00"/>
    <m/>
    <s v="enfant autiste"/>
    <m/>
    <m/>
    <m/>
    <m/>
    <m/>
    <m/>
    <m/>
    <m/>
    <m/>
    <m/>
    <m/>
    <m/>
    <m/>
    <m/>
    <m/>
    <m/>
    <m/>
    <m/>
    <m/>
    <m/>
    <m/>
    <m/>
    <m/>
    <m/>
    <s v="En attente AEH:PCH à relancer"/>
  </r>
  <r>
    <s v="Monsieur"/>
    <s v="TACHDJIAN"/>
    <s v="Khatchik"/>
    <n v="41"/>
    <s v="Aucun diplôme"/>
    <s v="Lagnieu"/>
    <d v="2025-09-18T00:00:00"/>
    <d v="2025-10-13T00:00:00"/>
    <d v="2025-10-13T00:00:00"/>
    <d v="2026-04-11T00:00:00"/>
    <m/>
    <m/>
    <m/>
    <m/>
    <m/>
    <m/>
    <m/>
    <m/>
    <m/>
    <m/>
    <m/>
    <m/>
    <m/>
    <m/>
    <m/>
    <m/>
    <m/>
    <m/>
    <m/>
    <m/>
    <m/>
    <m/>
    <m/>
    <m/>
    <m/>
    <m/>
    <s v="pas de justif d'hospit - convocation le 18/11(mail) courrier pour le 02/12"/>
  </r>
  <r>
    <s v="Madame"/>
    <s v="MALIQI"/>
    <s v="Qendrese"/>
    <n v="26"/>
    <s v="Aucun diplôme"/>
    <s v="Ambérieu"/>
    <d v="2025-09-03T00:00:00"/>
    <d v="2025-09-23T00:00:00"/>
    <d v="2025-09-23T00:00:00"/>
    <d v="2026-03-22T00:00:00"/>
    <m/>
    <s v="MOBILITE "/>
    <s v="SANTE"/>
    <m/>
    <n v="2"/>
    <m/>
    <m/>
    <m/>
    <m/>
    <m/>
    <m/>
    <m/>
    <m/>
    <m/>
    <m/>
    <m/>
    <m/>
    <m/>
    <m/>
    <m/>
    <m/>
    <m/>
    <m/>
    <m/>
    <m/>
    <m/>
    <s v="a eu l'AAH ne l'a plu voir ENVOL .Agent de santé / Voir une formation "/>
  </r>
  <r>
    <s v="Madame"/>
    <s v="MUELLAEVA"/>
    <s v="Malvina"/>
    <n v="37"/>
    <s v="Aucun diplôme"/>
    <s v="Ambérieu"/>
    <d v="2025-09-04T00:00:00"/>
    <d v="2025-09-23T00:00:00"/>
    <n v="45923"/>
    <d v="2026-03-22T00:00:00"/>
    <m/>
    <s v="LANGUE"/>
    <s v="MOBILITE"/>
    <m/>
    <m/>
    <m/>
    <m/>
    <m/>
    <m/>
    <m/>
    <m/>
    <m/>
    <m/>
    <m/>
    <m/>
    <m/>
    <m/>
    <m/>
    <m/>
    <m/>
    <m/>
    <m/>
    <m/>
    <m/>
    <m/>
    <m/>
    <s v="suivie par  AGIR. Français Llagrange. Inscription GOON - pas un mot de francais"/>
  </r>
  <r>
    <s v="Monsieur"/>
    <s v="BALME"/>
    <s v="Xavier"/>
    <n v="62"/>
    <s v="BAC+2"/>
    <s v="Lagnieu"/>
    <d v="2025-09-16T00:00:00"/>
    <d v="2025-10-13T00:00:00"/>
    <n v="45943"/>
    <d v="2026-04-11T00:00:00"/>
    <m/>
    <s v="Aucun accèsb numérique"/>
    <s v="motivation"/>
    <m/>
    <m/>
    <m/>
    <m/>
    <m/>
    <m/>
    <m/>
    <m/>
    <n v="1"/>
    <m/>
    <m/>
    <m/>
    <m/>
    <m/>
    <m/>
    <m/>
    <m/>
    <m/>
    <m/>
    <m/>
    <m/>
    <m/>
    <m/>
    <s v="Mr n'a pas travaillé depuis 15 ans-Contact avec l'AS de secteur. Cours numérique RAS coupé tjrs en attente"/>
  </r>
  <r>
    <s v="Monsieur"/>
    <s v="MICHALET"/>
    <s v="Jean Louis"/>
    <n v="52"/>
    <s v="Aucun dipôme"/>
    <s v="Lagnieu"/>
    <d v="2025-10-06T00:00:00"/>
    <d v="2025-11-04T00:00:00"/>
    <d v="2025-11-04T00:00:00"/>
    <d v="2026-05-03T00:00:00"/>
    <m/>
    <s v="SANTETDA"/>
    <s v="aucune qualif"/>
    <s v="MOBILITE"/>
    <m/>
    <m/>
    <m/>
    <m/>
    <m/>
    <m/>
    <m/>
    <n v="1"/>
    <m/>
    <m/>
    <m/>
    <m/>
    <m/>
    <m/>
    <m/>
    <m/>
    <m/>
    <m/>
    <m/>
    <m/>
    <m/>
    <m/>
    <s v="Comportement particulier!"/>
  </r>
  <r>
    <s v="Madame"/>
    <s v="LOMBARD"/>
    <s v="Aurelia"/>
    <n v="43"/>
    <m/>
    <s v="Lagnieu"/>
    <d v="2025-10-09T00:00:00"/>
    <d v="2025-11-18T00:00:00"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s v="Aucun contact possible"/>
  </r>
  <r>
    <s v="Monsieur"/>
    <s v="TEKIN"/>
    <s v="Vural"/>
    <n v="44"/>
    <s v="CAP, BEP"/>
    <s v="Amberieu"/>
    <d v="2025-10-13T00:00:00"/>
    <d v="2025-10-29T00:00:00"/>
    <d v="2025-10-29T00:00:00"/>
    <d v="2026-04-27T00:00:00"/>
    <m/>
    <s v="SANTE"/>
    <s v="Faire le deuil de son entreprise"/>
    <m/>
    <m/>
    <m/>
    <m/>
    <m/>
    <m/>
    <m/>
    <m/>
    <n v="1"/>
    <m/>
    <m/>
    <m/>
    <m/>
    <m/>
    <m/>
    <m/>
    <m/>
    <m/>
    <m/>
    <m/>
    <m/>
    <m/>
    <m/>
    <s v="Le batiment (clause sociale, conduite d'engin…) / PMSSP BATIMENT AVEC CLAUSES SOCIALES"/>
  </r>
  <r>
    <s v="Monsieur"/>
    <s v="VANEENOO"/>
    <s v="Cedric"/>
    <n v="39"/>
    <s v="ucun diplôme"/>
    <s v="Amberieu"/>
    <d v="2025-10-10T00:00:00"/>
    <d v="2025-10-27T00:00:00"/>
    <d v="1899-12-31T00:00:00"/>
    <d v="1900-06-29T00:00:00"/>
    <m/>
    <m/>
    <m/>
    <m/>
    <m/>
    <m/>
    <m/>
    <m/>
    <m/>
    <m/>
    <m/>
    <m/>
    <m/>
    <m/>
    <m/>
    <m/>
    <m/>
    <m/>
    <m/>
    <m/>
    <m/>
    <m/>
    <m/>
    <m/>
    <m/>
    <m/>
    <s v="Mr VANEENOO est venu le 18/02/26"/>
  </r>
  <r>
    <s v="Monsieur"/>
    <s v="YOUSEF"/>
    <s v="Siraj"/>
    <n v="52"/>
    <s v="Ingénieur"/>
    <s v="Amberieu"/>
    <d v="2025-10-13T00:00:00"/>
    <d v="2025-10-29T00:00:00"/>
    <d v="2025-10-29T00:00:00"/>
    <d v="2026-04-27T00:00:00"/>
    <m/>
    <s v="SANTE"/>
    <s v="AGE"/>
    <m/>
    <m/>
    <m/>
    <m/>
    <m/>
    <m/>
    <m/>
    <m/>
    <m/>
    <m/>
    <m/>
    <m/>
    <m/>
    <m/>
    <m/>
    <m/>
    <m/>
    <m/>
    <m/>
    <m/>
    <m/>
    <m/>
    <m/>
    <s v=" en attente de loggins + clauses sociales/ aeu sa RQTH"/>
  </r>
  <r>
    <s v="Madame"/>
    <s v="OLRY"/>
    <s v="Florence"/>
    <n v="49"/>
    <s v="Aucun diplôme"/>
    <s v="Amberieu"/>
    <d v="2025-10-13T00:00:00"/>
    <d v="2025-11-03T00:00:00"/>
    <d v="2025-11-03T00:00:00"/>
    <d v="2026-05-02T00:00:00"/>
    <m/>
    <s v="Difficultés financières"/>
    <s v="enfant adulte handicapé"/>
    <s v="mobilité"/>
    <m/>
    <m/>
    <m/>
    <m/>
    <m/>
    <m/>
    <m/>
    <m/>
    <m/>
    <m/>
    <m/>
    <m/>
    <m/>
    <m/>
    <m/>
    <m/>
    <m/>
    <m/>
    <m/>
    <m/>
    <m/>
    <m/>
    <s v="Mme a toujours été à son compte - "/>
  </r>
  <r>
    <s v="Monsieur"/>
    <s v="ENNAOURA"/>
    <s v="Riyad"/>
    <n v="26"/>
    <s v="BAC+3"/>
    <s v="Amberieu"/>
    <d v="2025-10-15T00:00:00"/>
    <d v="2025-10-29T00:00:00"/>
    <d v="2025-10-29T00:00:00"/>
    <d v="2026-04-27T00:00:00"/>
    <m/>
    <s v="indu CAF"/>
    <m/>
    <m/>
    <m/>
    <m/>
    <m/>
    <m/>
    <m/>
    <m/>
    <m/>
    <m/>
    <m/>
    <m/>
    <m/>
    <m/>
    <m/>
    <m/>
    <m/>
    <m/>
    <m/>
    <m/>
    <m/>
    <m/>
    <m/>
    <m/>
    <s v="Interim facteur poursuite possible en décembre"/>
  </r>
  <r>
    <s v="Madame"/>
    <s v="TURPIN"/>
    <s v="Océane"/>
    <n v="32"/>
    <s v="BEP"/>
    <s v="Amberieu"/>
    <d v="2025-10-15T00:00:00"/>
    <d v="2025-10-29T00:00:00"/>
    <n v="45995"/>
    <d v="2026-06-02T00:00:00"/>
    <m/>
    <s v="enfant autiste"/>
    <s v="Menace"/>
    <s v="Changement de situation "/>
    <m/>
    <m/>
    <m/>
    <m/>
    <m/>
    <m/>
    <m/>
    <m/>
    <m/>
    <m/>
    <m/>
    <m/>
    <m/>
    <m/>
    <m/>
    <m/>
    <m/>
    <m/>
    <m/>
    <m/>
    <m/>
    <m/>
    <s v="Sortie des D et D"/>
  </r>
  <r>
    <s v="Madame"/>
    <s v="HAMDANY / SAGGAI"/>
    <s v="Sephora"/>
    <n v="27"/>
    <s v="BAC+2"/>
    <s v="Amberieu"/>
    <d v="2025-10-15T00:00:00"/>
    <d v="2025-11-05T00:00:00"/>
    <d v="2025-11-05T00:00:00"/>
    <d v="2026-05-04T00:00:00"/>
    <m/>
    <s v="enfant en bas âge"/>
    <m/>
    <m/>
    <m/>
    <m/>
    <m/>
    <m/>
    <m/>
    <m/>
    <m/>
    <m/>
    <m/>
    <m/>
    <m/>
    <m/>
    <m/>
    <m/>
    <m/>
    <m/>
    <m/>
    <m/>
    <m/>
    <m/>
    <m/>
    <m/>
    <s v="Souhaite déménager vers Lyon"/>
  </r>
  <r>
    <s v="Madame"/>
    <s v="CHERON"/>
    <s v="Carine"/>
    <n v="53"/>
    <s v="Sans diplôme"/>
    <s v="Ambérieu"/>
    <d v="2025-11-03T00:00:00"/>
    <d v="2025-11-26T00:00:00"/>
    <d v="2025-11-26T00:00:00"/>
    <d v="2026-05-25T00:00:00"/>
    <m/>
    <s v="SANTE"/>
    <s v="MOBILITE"/>
    <m/>
    <m/>
    <m/>
    <m/>
    <m/>
    <m/>
    <m/>
    <m/>
    <m/>
    <m/>
    <m/>
    <m/>
    <m/>
    <m/>
    <m/>
    <m/>
    <m/>
    <m/>
    <m/>
    <m/>
    <m/>
    <m/>
    <m/>
    <s v="travailler un projet pro - poser la question à Geraldine"/>
  </r>
  <r>
    <s v="Monsieur"/>
    <s v="BEN BRAHIM"/>
    <s v="Ridha"/>
    <n v="49"/>
    <s v="master"/>
    <s v="Lagnieu"/>
    <m/>
    <d v="2025-12-16T00:00:00"/>
    <d v="2025-12-16T00:00:00"/>
    <d v="2026-06-14T00:00:00"/>
    <m/>
    <s v="MOBILITE"/>
    <s v="dernier emploi ?"/>
    <m/>
    <m/>
    <m/>
    <m/>
    <m/>
    <m/>
    <m/>
    <m/>
    <m/>
    <m/>
    <m/>
    <m/>
    <m/>
    <m/>
    <m/>
    <m/>
    <m/>
    <m/>
    <m/>
    <m/>
    <m/>
    <m/>
    <m/>
    <s v="Mr semble être addict. A passé la moitié de sa vie en prison - en attente CM ?"/>
  </r>
  <r>
    <s v="Madame"/>
    <s v="MESSAI/RIBEIRO"/>
    <s v="Hadda"/>
    <n v="37"/>
    <s v="BAC"/>
    <s v="Lagnieu"/>
    <m/>
    <d v="2025-12-16T00:00:00"/>
    <s v="?"/>
    <e v="#VALUE!"/>
    <m/>
    <s v="Congé parental"/>
    <s v="Enfant de 18 mois"/>
    <m/>
    <m/>
    <m/>
    <m/>
    <m/>
    <m/>
    <m/>
    <m/>
    <m/>
    <m/>
    <m/>
    <m/>
    <m/>
    <m/>
    <m/>
    <m/>
    <m/>
    <m/>
    <m/>
    <m/>
    <m/>
    <m/>
    <m/>
    <s v="En attente de preuves congé parental… / RSA MAJORE"/>
  </r>
  <r>
    <s v="Madame"/>
    <s v="VEUGLE"/>
    <s v="Alison"/>
    <n v="26"/>
    <s v="CAP, BEP"/>
    <s v="Ambérieu"/>
    <m/>
    <d v="2025-12-03T00:00:00"/>
    <d v="2025-12-23T00:00:00"/>
    <d v="2026-06-21T00:00:00"/>
    <m/>
    <s v="LOGEMENT"/>
    <s v="Enfant en bas age"/>
    <m/>
    <m/>
    <m/>
    <m/>
    <m/>
    <m/>
    <m/>
    <m/>
    <n v="1"/>
    <m/>
    <m/>
    <m/>
    <m/>
    <m/>
    <m/>
    <m/>
    <m/>
    <m/>
    <m/>
    <m/>
    <m/>
    <m/>
    <m/>
    <s v="Recherche de solution de garde"/>
  </r>
  <r>
    <s v="Madame"/>
    <s v="BLIN"/>
    <s v="Françoise"/>
    <n v="63"/>
    <s v="Sans diplôme"/>
    <s v="Ambérieu"/>
    <m/>
    <d v="2025-12-03T00:00:00"/>
    <d v="2025-12-03T00:00:00"/>
    <d v="2026-06-01T00:00:00"/>
    <m/>
    <s v="AGE"/>
    <s v="MOBILITE"/>
    <m/>
    <m/>
    <m/>
    <m/>
    <m/>
    <m/>
    <m/>
    <m/>
    <n v="1"/>
    <m/>
    <m/>
    <m/>
    <m/>
    <m/>
    <m/>
    <m/>
    <m/>
    <m/>
    <m/>
    <m/>
    <m/>
    <m/>
    <m/>
    <s v="Dossier retraite envisagée"/>
  </r>
  <r>
    <s v="Monsieur"/>
    <s v="MARNY"/>
    <s v="Christopher"/>
    <n v="36"/>
    <s v="Sans diplôme"/>
    <s v="Ambérieu"/>
    <m/>
    <d v="2025-12-03T00:00:00"/>
    <d v="2025-12-03T00:00:00"/>
    <d v="2026-06-01T00:00:00"/>
    <m/>
    <s v="MOBILITE"/>
    <s v="SANTE"/>
    <s v="ENFANTS JEUNES"/>
    <m/>
    <m/>
    <m/>
    <m/>
    <m/>
    <m/>
    <m/>
    <m/>
    <m/>
    <m/>
    <m/>
    <m/>
    <m/>
    <m/>
    <m/>
    <m/>
    <m/>
    <m/>
    <m/>
    <m/>
    <m/>
    <m/>
    <m/>
  </r>
  <r>
    <s v="Madame"/>
    <s v="PIOLAT"/>
    <s v="Virginie"/>
    <n v="36"/>
    <s v="BAC"/>
    <s v="Ambérieu"/>
    <m/>
    <d v="2025-12-10T00:00:00"/>
    <n v="46001"/>
    <d v="2026-06-08T00:00:00"/>
    <m/>
    <s v="SANTE"/>
    <m/>
    <m/>
    <m/>
    <m/>
    <m/>
    <m/>
    <m/>
    <m/>
    <m/>
    <m/>
    <m/>
    <m/>
    <m/>
    <m/>
    <m/>
    <m/>
    <m/>
    <m/>
    <m/>
    <m/>
    <m/>
    <m/>
    <m/>
    <m/>
    <m/>
  </r>
  <r>
    <s v="Madame"/>
    <s v="GUILE"/>
    <s v="Rolande"/>
    <m/>
    <m/>
    <m/>
    <m/>
    <d v="2025-12-15T00:00:00"/>
    <m/>
    <d v="1900-06-28T00:00:00"/>
    <m/>
    <m/>
    <m/>
    <m/>
    <m/>
    <m/>
    <m/>
    <s v="reorientation"/>
    <s v="FT acc pro"/>
    <m/>
    <m/>
    <m/>
    <m/>
    <m/>
    <m/>
    <m/>
    <m/>
    <m/>
    <m/>
    <m/>
    <m/>
    <m/>
    <m/>
    <m/>
    <m/>
    <m/>
    <s v="Mme travaille sur Lyon en attente de son contrat(AGIR) CONTRAT PAS TRANSMIS"/>
  </r>
  <r>
    <s v="Monsieur"/>
    <s v="CHARLIER"/>
    <s v="William"/>
    <n v="49"/>
    <s v="CAP, BEP"/>
    <s v="Lagnieu"/>
    <m/>
    <d v="2025-12-16T00:00:00"/>
    <d v="2025-12-18T00:00:00"/>
    <d v="2026-06-16T00:00:00"/>
    <m/>
    <s v="SANTE"/>
    <s v="RECONVERSION"/>
    <m/>
    <m/>
    <m/>
    <m/>
    <m/>
    <m/>
    <m/>
    <m/>
    <m/>
    <m/>
    <m/>
    <m/>
    <m/>
    <m/>
    <m/>
    <m/>
    <m/>
    <m/>
    <m/>
    <m/>
    <m/>
    <m/>
    <m/>
    <s v="Mr est en attente d'une opération, en fonction des résultats MDPH"/>
  </r>
  <r>
    <s v="Monsieur"/>
    <s v="SOULIER "/>
    <s v="Pierre"/>
    <n v="32"/>
    <s v="BAC"/>
    <s v="Amberieu"/>
    <m/>
    <d v="2025-12-17T00:00:00"/>
    <d v="2025-12-17T00:00:00"/>
    <d v="2026-06-15T00:00:00"/>
    <m/>
    <m/>
    <m/>
    <m/>
    <m/>
    <m/>
    <m/>
    <m/>
    <m/>
    <m/>
    <m/>
    <m/>
    <m/>
    <m/>
    <m/>
    <m/>
    <m/>
    <m/>
    <m/>
    <m/>
    <m/>
    <m/>
    <m/>
    <m/>
    <m/>
    <m/>
    <s v="en formation DAEU souhaite etre pretre"/>
  </r>
  <r>
    <s v="Monsieur"/>
    <s v="HAMM"/>
    <s v="Alexandre"/>
    <n v="31"/>
    <s v="BAC+2"/>
    <s v="Amberieu"/>
    <m/>
    <d v="2025-12-17T00:00:00"/>
    <d v="2025-12-17T00:00:00"/>
    <d v="2026-06-15T00:00:00"/>
    <m/>
    <s v="MOBILITE"/>
    <m/>
    <m/>
    <m/>
    <m/>
    <m/>
    <m/>
    <m/>
    <m/>
    <m/>
    <n v="1"/>
    <m/>
    <m/>
    <m/>
    <m/>
    <m/>
    <m/>
    <m/>
    <m/>
    <m/>
    <m/>
    <m/>
    <m/>
    <m/>
    <m/>
    <s v="Poursuite du permis/envisage auto-entreprise"/>
  </r>
  <r>
    <s v="Monsieur"/>
    <s v="BOISMENU"/>
    <s v="David"/>
    <n v="52"/>
    <s v="BAC"/>
    <s v="Amberieu"/>
    <m/>
    <d v="2025-12-17T00:00:00"/>
    <d v="2025-12-17T00:00:00"/>
    <d v="2026-06-15T00:00:00"/>
    <m/>
    <s v="LOGEMENT"/>
    <s v="Surendettement"/>
    <s v="SANTE"/>
    <m/>
    <m/>
    <m/>
    <m/>
    <m/>
    <m/>
    <m/>
    <m/>
    <m/>
    <m/>
    <m/>
    <m/>
    <m/>
    <m/>
    <m/>
    <m/>
    <m/>
    <m/>
    <m/>
    <m/>
    <m/>
    <m/>
    <s v="En attente de soins dentaires urgent. Ensuite, achat de véhicule mais surendettement / parcours FT pour nucléaire"/>
  </r>
  <r>
    <s v="Madame"/>
    <s v="TOURNU"/>
    <s v="Marie-Claude"/>
    <n v="45"/>
    <s v="BAC"/>
    <s v="Amberieu"/>
    <m/>
    <d v="2025-12-22T00:00:00"/>
    <d v="2025-12-22T00:00:00"/>
    <d v="2026-06-20T00:00:00"/>
    <m/>
    <s v="MAMAN SOLO"/>
    <s v="enfant en situation de handicap"/>
    <m/>
    <m/>
    <m/>
    <m/>
    <m/>
    <m/>
    <m/>
    <m/>
    <m/>
    <m/>
    <m/>
    <m/>
    <m/>
    <m/>
    <m/>
    <m/>
    <m/>
    <m/>
    <m/>
    <m/>
    <m/>
    <m/>
    <m/>
    <s v="aide soignante"/>
  </r>
  <r>
    <s v="Madame"/>
    <s v="HIRAUX"/>
    <s v="Annabelle"/>
    <n v="33"/>
    <m/>
    <s v="Amberieu"/>
    <m/>
    <d v="2025-12-22T00:00:00"/>
    <m/>
    <d v="1900-06-28T00:00:00"/>
    <m/>
    <s v="enfant situation de handicap"/>
    <m/>
    <m/>
    <m/>
    <m/>
    <m/>
    <m/>
    <m/>
    <m/>
    <m/>
    <m/>
    <m/>
    <m/>
    <m/>
    <m/>
    <m/>
    <m/>
    <m/>
    <m/>
    <m/>
    <m/>
    <m/>
    <m/>
    <m/>
    <m/>
    <s v="Attente de doc AJPP DE catégorie 4"/>
  </r>
  <r>
    <s v="Madame"/>
    <s v="VULCAIN"/>
    <s v="Alexandrine"/>
    <n v="39"/>
    <s v="BAC"/>
    <s v="Amberieu"/>
    <m/>
    <d v="2025-12-22T00:00:00"/>
    <d v="2025-12-22T00:00:00"/>
    <d v="2026-06-20T00:00:00"/>
    <m/>
    <s v="Santé"/>
    <s v="Maman solo"/>
    <m/>
    <m/>
    <m/>
    <m/>
    <m/>
    <m/>
    <m/>
    <m/>
    <n v="1"/>
    <m/>
    <m/>
    <m/>
    <m/>
    <m/>
    <m/>
    <m/>
    <m/>
    <m/>
    <m/>
    <m/>
    <m/>
    <m/>
    <m/>
    <m/>
  </r>
  <r>
    <s v="Madame"/>
    <s v="JUPITER"/>
    <s v="Tanya"/>
    <n v="26"/>
    <s v="bacpro"/>
    <s v="Ambérieu"/>
    <m/>
    <d v="2025-12-22T00:00:00"/>
    <d v="2025-12-22T00:00:00"/>
    <d v="2026-06-20T00:00:00"/>
    <m/>
    <s v="problème psy"/>
    <s v="mobilité"/>
    <m/>
    <m/>
    <m/>
    <m/>
    <m/>
    <m/>
    <m/>
    <m/>
    <n v="1"/>
    <m/>
    <m/>
    <m/>
    <m/>
    <m/>
    <m/>
    <m/>
    <m/>
    <m/>
    <m/>
    <m/>
    <m/>
    <m/>
    <m/>
    <s v="4 ans de suivi Mission Locale… / suit agpp avec Djamila Zaied"/>
  </r>
  <r>
    <s v="Madame"/>
    <s v="GASHI"/>
    <s v="Ramize"/>
    <n v="41"/>
    <s v="BAC"/>
    <s v="Ambérieu"/>
    <m/>
    <d v="2025-12-09T00:00:00"/>
    <n v="46000"/>
    <d v="2026-06-07T00:00:00"/>
    <m/>
    <s v="français écrit"/>
    <s v="Maman solo"/>
    <m/>
    <m/>
    <m/>
    <m/>
    <m/>
    <m/>
    <m/>
    <m/>
    <n v="1"/>
    <m/>
    <m/>
    <m/>
    <m/>
    <m/>
    <m/>
    <m/>
    <m/>
    <m/>
    <m/>
    <m/>
    <m/>
    <m/>
    <m/>
    <m/>
  </r>
  <r>
    <s v="Madame"/>
    <s v="SAGGAI"/>
    <s v="Sephora"/>
    <n v="27"/>
    <s v="BTS"/>
    <s v="Ambérieu"/>
    <m/>
    <d v="2025-11-05T00:00:00"/>
    <d v="2025-11-06T00:00:00"/>
    <d v="2026-05-05T00:00:00"/>
    <m/>
    <s v="Enfant en bas age"/>
    <m/>
    <m/>
    <m/>
    <m/>
    <m/>
    <m/>
    <m/>
    <m/>
    <m/>
    <m/>
    <m/>
    <m/>
    <m/>
    <m/>
    <m/>
    <m/>
    <m/>
    <m/>
    <m/>
    <m/>
    <m/>
    <m/>
    <m/>
    <m/>
    <m/>
  </r>
  <r>
    <s v="Mme "/>
    <s v="KAHLAOUI"/>
    <s v="Samira"/>
    <n v="49"/>
    <s v="Aucun diplôme"/>
    <s v="Ambérieu"/>
    <m/>
    <d v="2025-12-01T00:00:00"/>
    <d v="2025-12-01T00:00:00"/>
    <d v="2026-05-30T00:00:00"/>
    <m/>
    <s v="LANGUE"/>
    <s v="PEU D'experience"/>
    <m/>
    <m/>
    <m/>
    <m/>
    <m/>
    <m/>
    <m/>
    <m/>
    <n v="1"/>
    <m/>
    <m/>
    <m/>
    <m/>
    <m/>
    <m/>
    <m/>
    <m/>
    <m/>
    <m/>
    <m/>
    <m/>
    <m/>
    <m/>
    <s v="GOON"/>
  </r>
  <r>
    <s v="Monsieur "/>
    <s v="VESPAZIANI"/>
    <s v="Vincent"/>
    <n v="31"/>
    <s v="BAC"/>
    <s v="Ambérieu"/>
    <m/>
    <d v="2025-11-26T00:00:00"/>
    <d v="2026-01-29T00:00:00"/>
    <d v="2026-07-28T00:00:00"/>
    <m/>
    <m/>
    <m/>
    <m/>
    <m/>
    <m/>
    <m/>
    <m/>
    <m/>
    <m/>
    <m/>
    <m/>
    <m/>
    <m/>
    <m/>
    <m/>
    <m/>
    <m/>
    <m/>
    <m/>
    <m/>
    <m/>
    <m/>
    <m/>
    <m/>
    <m/>
    <s v="Mr ne répond pas au mail/rdv fixé 29/01 entreprise bancale"/>
  </r>
  <r>
    <s v="Madame"/>
    <s v="LACOSSE"/>
    <s v="Alexandra"/>
    <n v="45"/>
    <s v="CAP, BEP"/>
    <s v="Amberieu "/>
    <d v="2025-06-24T00:00:00"/>
    <d v="2025-08-12T00:00:00"/>
    <d v="2025-08-12T00:00:00"/>
    <d v="2026-02-08T00:00:00"/>
    <m/>
    <s v="Repasser son permis"/>
    <s v="Pas de formation"/>
    <m/>
    <m/>
    <m/>
    <m/>
    <s v="Fin DD"/>
    <m/>
    <m/>
    <m/>
    <n v="1"/>
    <m/>
    <m/>
    <m/>
    <m/>
    <m/>
    <m/>
    <m/>
    <m/>
    <m/>
    <m/>
    <m/>
    <m/>
    <m/>
    <m/>
    <s v="A des difficultés à repasser son code. Bientôt non DD - plus de RSA - touche RSA"/>
  </r>
  <r>
    <s v="Madame"/>
    <s v="GRAMMATICO"/>
    <s v="Valérie"/>
    <n v="63"/>
    <s v="Aucun diplôme"/>
    <s v="Lagnieu"/>
    <m/>
    <d v="2026-02-03T00:00:00"/>
    <d v="2026-02-03T00:00:00"/>
    <d v="2026-08-02T00:00:00"/>
    <m/>
    <s v="SANTE"/>
    <m/>
    <m/>
    <m/>
    <m/>
    <m/>
    <s v="Réorientation"/>
    <s v="arrêt longue maladie"/>
    <m/>
    <m/>
    <m/>
    <m/>
    <m/>
    <m/>
    <m/>
    <m/>
    <m/>
    <m/>
    <m/>
    <m/>
    <m/>
    <m/>
    <m/>
    <m/>
    <m/>
    <m/>
  </r>
  <r>
    <s v="Monsieur"/>
    <s v="BASILE"/>
    <s v="Kévin"/>
    <m/>
    <m/>
    <s v="Ambérieu"/>
    <m/>
    <d v="2026-02-04T00:00:00"/>
    <d v="2026-02-04T00:00:00"/>
    <d v="2026-08-03T00:00:00"/>
    <m/>
    <s v="MOBILITE"/>
    <m/>
    <m/>
    <m/>
    <m/>
    <m/>
    <m/>
    <m/>
    <m/>
    <m/>
    <m/>
    <m/>
    <m/>
    <m/>
    <m/>
    <m/>
    <m/>
    <m/>
    <m/>
    <m/>
    <m/>
    <m/>
    <m/>
    <m/>
    <m/>
    <m/>
  </r>
  <r>
    <s v="Madame"/>
    <s v="BLONDEAU"/>
    <s v="Mandy"/>
    <n v="28"/>
    <m/>
    <s v="Ambérieu"/>
    <m/>
    <d v="2026-01-28T00:00:00"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s v="Madame "/>
    <s v="GUICHARD"/>
    <s v="Marie"/>
    <n v="61"/>
    <s v="Baccalauréat"/>
    <s v="Ambérieu"/>
    <d v="2026-01-16T00:00:00"/>
    <d v="2026-02-04T00:00:00"/>
    <d v="2026-02-10T00:00:00"/>
    <d v="2026-08-09T00:00:00"/>
    <m/>
    <s v="Financier"/>
    <m/>
    <m/>
    <m/>
    <m/>
    <m/>
    <m/>
    <m/>
    <m/>
    <m/>
    <m/>
    <m/>
    <m/>
    <m/>
    <m/>
    <m/>
    <m/>
    <m/>
    <m/>
    <m/>
    <m/>
    <m/>
    <m/>
    <m/>
    <m/>
    <m/>
  </r>
  <r>
    <s v="Monsieur"/>
    <s v="MANACH"/>
    <s v="Victor"/>
    <n v="30"/>
    <s v="Aucun diplôme"/>
    <s v="Ambérieu"/>
    <d v="2026-01-16T00:00:00"/>
    <d v="2026-02-04T00:00:00"/>
    <d v="2026-02-04T00:00:00"/>
    <d v="2026-08-03T00:00:00"/>
    <m/>
    <s v="LOGEMENT"/>
    <s v="MOBILITE"/>
    <m/>
    <m/>
    <m/>
    <m/>
    <m/>
    <m/>
    <m/>
    <m/>
    <m/>
    <m/>
    <m/>
    <m/>
    <m/>
    <m/>
    <m/>
    <m/>
    <m/>
    <m/>
    <m/>
    <m/>
    <m/>
    <m/>
    <m/>
    <m/>
  </r>
  <r>
    <s v="Monsieur "/>
    <s v="LEBEAU"/>
    <s v="Jonathan"/>
    <n v="35"/>
    <s v="Aucun diplôme"/>
    <s v="Amberieu"/>
    <d v="2026-01-15T00:00:00"/>
    <d v="2026-02-04T00:00:00"/>
    <d v="2026-02-04T00:00:00"/>
    <d v="2026-08-03T00:00:00"/>
    <m/>
    <s v="MOBILITE"/>
    <s v="SANTE"/>
    <m/>
    <m/>
    <m/>
    <m/>
    <m/>
    <m/>
    <m/>
    <m/>
    <m/>
    <m/>
    <m/>
    <m/>
    <m/>
    <m/>
    <m/>
    <m/>
    <m/>
    <m/>
    <m/>
    <m/>
    <m/>
    <m/>
    <m/>
    <m/>
  </r>
  <r>
    <s v="Monsieur"/>
    <s v="GOUVERNEUR"/>
    <s v="Nicolas"/>
    <m/>
    <s v="DEUG, BTS, DUT, DEUST"/>
    <s v="Lagnieu"/>
    <d v="2026-01-14T00:00:00"/>
    <d v="2026-01-27T00:00:00"/>
    <d v="2026-02-24T00:00:00"/>
    <d v="2026-08-23T00:00:00"/>
    <m/>
    <s v="MOBILITE"/>
    <m/>
    <m/>
    <m/>
    <m/>
    <m/>
    <m/>
    <m/>
    <m/>
    <m/>
    <m/>
    <m/>
    <m/>
    <m/>
    <m/>
    <m/>
    <m/>
    <m/>
    <m/>
    <m/>
    <m/>
    <m/>
    <m/>
    <m/>
    <m/>
    <m/>
  </r>
  <r>
    <s v="Madame "/>
    <s v="GYSSELS"/>
    <s v="Emeline"/>
    <n v="26"/>
    <m/>
    <s v="Ambérieu"/>
    <d v="2026-01-14T00:00:00"/>
    <d v="2026-01-26T00:00:00"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s v="Mme a un contrat intérim éventuellement jusqu'à mars."/>
  </r>
  <r>
    <s v="Madame "/>
    <s v="TAOUCHE"/>
    <s v="Malika"/>
    <n v="26"/>
    <m/>
    <s v="Ambérieu"/>
    <m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s v="Monsieur "/>
    <s v="THOLLOT"/>
    <s v="Florian"/>
    <n v="35"/>
    <s v="Aucun diplôme"/>
    <s v="Lagnieu"/>
    <d v="2026-01-15T00:00:00"/>
    <d v="2026-02-03T00:00:00"/>
    <n v="46056"/>
    <d v="2026-08-02T00:00:00"/>
    <m/>
    <s v="MOBILITE"/>
    <s v="ADDICTION"/>
    <m/>
    <m/>
    <m/>
    <m/>
    <m/>
    <m/>
    <m/>
    <m/>
    <m/>
    <m/>
    <m/>
    <m/>
    <m/>
    <m/>
    <m/>
    <m/>
    <m/>
    <m/>
    <m/>
    <m/>
    <m/>
    <m/>
    <m/>
    <m/>
  </r>
  <r>
    <s v="Madame "/>
    <s v="MORALES "/>
    <s v="Georgie"/>
    <n v="40"/>
    <s v="Baccalauréat"/>
    <s v="Ambérieu"/>
    <d v="2026-01-20T00:00:00"/>
    <d v="2026-02-04T00:00:00"/>
    <n v="46057"/>
    <d v="2026-08-03T00:00:00"/>
    <m/>
    <s v="SANTE "/>
    <s v="2 enfants AEH"/>
    <m/>
    <m/>
    <m/>
    <m/>
    <m/>
    <m/>
    <m/>
    <m/>
    <m/>
    <m/>
    <m/>
    <m/>
    <m/>
    <m/>
    <m/>
    <m/>
    <m/>
    <m/>
    <m/>
    <m/>
    <m/>
    <m/>
    <m/>
    <m/>
  </r>
  <r>
    <s v="Monsieur"/>
    <s v="RABELO RAMALHO"/>
    <s v="Luis"/>
    <n v="53"/>
    <s v="Aucun diplôme"/>
    <s v="Lagnieu"/>
    <d v="2026-01-29T00:00:00"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s v="Monsieur"/>
    <s v="LABARRIERE"/>
    <s v="Paul Emile"/>
    <n v="26"/>
    <s v="DEUG, BTS, DUT, DEUST"/>
    <s v="Lagnieu"/>
    <m/>
    <d v="2026-03-04T00:00:00"/>
    <d v="2026-03-04T00:00:00"/>
    <d v="2026-08-31T00:00:00"/>
    <m/>
    <s v="SANTE "/>
    <s v="MOBILITE"/>
    <m/>
    <m/>
    <m/>
    <m/>
    <m/>
    <m/>
    <m/>
    <m/>
    <m/>
    <m/>
    <m/>
    <m/>
    <m/>
    <m/>
    <m/>
    <m/>
    <m/>
    <m/>
    <m/>
    <m/>
    <m/>
    <m/>
    <m/>
    <m/>
  </r>
  <r>
    <s v="Monsieur"/>
    <s v="GUEPRATTE"/>
    <s v="Ronny"/>
    <n v="27"/>
    <m/>
    <s v="Ambérieu"/>
    <d v="2026-02-02T00:00:00"/>
    <d v="2026-02-23T00:00:00"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s v="Madame "/>
    <s v="GABORIT"/>
    <s v="Edwige"/>
    <n v="53"/>
    <m/>
    <s v="Ambérieu"/>
    <d v="2026-01-30T00:00:00"/>
    <d v="2026-02-18T00:00:00"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s v="Madame"/>
    <s v="KHAN"/>
    <s v="Tahira"/>
    <n v="46"/>
    <m/>
    <s v="Ambérieu"/>
    <d v="2026-02-02T00:00:00"/>
    <d v="2026-02-23T00:00:00"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s v="Madame"/>
    <s v="NDOJ"/>
    <s v="Dava"/>
    <n v="63"/>
    <s v="Aucun diplôme"/>
    <s v="Ambérieu"/>
    <d v="2026-02-02T00:00:00"/>
    <d v="2026-02-25T00:00:00"/>
    <n v="46078"/>
    <d v="2026-08-24T00:00:00"/>
    <m/>
    <s v="SANTE"/>
    <s v="MOBILITE"/>
    <m/>
    <m/>
    <m/>
    <m/>
    <m/>
    <m/>
    <m/>
    <m/>
    <m/>
    <m/>
    <m/>
    <m/>
    <m/>
    <m/>
    <m/>
    <m/>
    <m/>
    <m/>
    <m/>
    <m/>
    <m/>
    <m/>
    <m/>
    <m/>
  </r>
  <r>
    <s v="Madame"/>
    <s v="HAYRAPETYAN"/>
    <s v="Anush"/>
    <n v="38"/>
    <s v="Master, diplôme d'études approfondies, diplôme d'études supérieures spécialisées, diplôme d'ingénieur"/>
    <s v="Ambérieu"/>
    <s v="06//02/2026"/>
    <d v="2026-03-04T00:00:00"/>
    <d v="2026-03-04T00:00:00"/>
    <d v="2026-08-31T00:00:00"/>
    <m/>
    <s v="LANGUE"/>
    <s v="LOGEMENT"/>
    <s v="MOBILITE"/>
    <m/>
    <m/>
    <m/>
    <m/>
    <m/>
    <m/>
    <m/>
    <m/>
    <m/>
    <m/>
    <m/>
    <m/>
    <m/>
    <m/>
    <m/>
    <m/>
    <m/>
    <m/>
    <m/>
    <m/>
    <m/>
    <m/>
    <s v="Suit formation GOON (OFII), acco CADA, AGIR"/>
  </r>
  <r>
    <s v="Monsieur"/>
    <s v="EL HAOUTI "/>
    <s v="Jamel"/>
    <n v="41"/>
    <m/>
    <s v="Ambérieu"/>
    <d v="2026-02-09T00:00:00"/>
    <d v="2026-03-02T00:00:00"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s v="Monsieur"/>
    <s v="VANEENOO"/>
    <s v="Jérémy"/>
    <n v="33"/>
    <s v="Aucun diplôme"/>
    <s v="Ambérieu"/>
    <m/>
    <d v="2026-01-28T00:00:00"/>
    <n v="46050"/>
    <d v="2026-07-27T00:00:00"/>
    <m/>
    <s v="LOGEMENT"/>
    <s v="MOBILITE"/>
    <m/>
    <m/>
    <m/>
    <m/>
    <m/>
    <m/>
    <m/>
    <m/>
    <m/>
    <m/>
    <m/>
    <m/>
    <m/>
    <m/>
    <m/>
    <m/>
    <m/>
    <m/>
    <m/>
    <m/>
    <m/>
    <m/>
    <m/>
    <m/>
  </r>
  <r>
    <s v="Madame "/>
    <s v="GALLE"/>
    <s v="Aurélie"/>
    <n v="31"/>
    <m/>
    <s v="Lagnieu"/>
    <d v="2026-02-06T00:00:00"/>
    <d v="2026-02-17T00:00:00"/>
    <n v="46070"/>
    <d v="2026-08-16T00:00:00"/>
    <m/>
    <m/>
    <m/>
    <m/>
    <m/>
    <m/>
    <m/>
    <m/>
    <m/>
    <m/>
    <m/>
    <m/>
    <m/>
    <m/>
    <m/>
    <m/>
    <m/>
    <m/>
    <m/>
    <m/>
    <m/>
    <m/>
    <m/>
    <m/>
    <m/>
    <m/>
    <m/>
  </r>
  <r>
    <s v="Monsieur"/>
    <s v="AROUMOUGAM"/>
    <s v="Selvaperoumal"/>
    <n v="58"/>
    <m/>
    <s v="Lagnieu"/>
    <d v="2026-02-26T00:00:00"/>
    <d v="2026-03-24T00:00:00"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s v="Madame"/>
    <s v="GROSSEPIECE"/>
    <s v="Laetitia"/>
    <n v="28"/>
    <m/>
    <s v="Lagnieu"/>
    <d v="2026-03-26T00:00:00"/>
    <d v="2026-03-24T00:00:00"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s v="Madame "/>
    <s v="MESSAHEL"/>
    <s v="Malika"/>
    <n v="48"/>
    <m/>
    <s v="Lagnieu"/>
    <d v="2026-02-27T00:00:00"/>
    <d v="2026-03-24T00:00:00"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s v="Monsieur"/>
    <s v="CHTOPCZYK"/>
    <s v="Johan"/>
    <m/>
    <m/>
    <s v="Ambérieu"/>
    <m/>
    <d v="2026-03-18T00:00:00"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s v="Monsieur"/>
    <s v="CHAPUIS"/>
    <s v="Hervé"/>
    <m/>
    <m/>
    <s v="Ambérieu"/>
    <m/>
    <d v="2026-03-25T00:00:00"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s v="Monsieur "/>
    <s v="Mendes Vaz Amante"/>
    <s v="Kévin"/>
    <m/>
    <m/>
    <s v="Ambérieu"/>
    <m/>
    <d v="2026-03-25T00:00:00"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s v="Monsieur"/>
    <s v="SANTHONNAX"/>
    <s v="Alexandre"/>
    <n v="44"/>
    <m/>
    <s v="Lagnieu"/>
    <d v="2026-02-12T00:00:00"/>
    <d v="2026-03-03T00:00:00"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s v="sous sdp présent mais je n'ai pas reçu Mr car accompagné d'un chien 1 ou 2ème catégorie"/>
  </r>
  <r>
    <m/>
    <m/>
    <m/>
    <m/>
    <m/>
    <m/>
    <m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Monsieur"/>
    <s v="AL JOUMAA"/>
    <s v="Hamoud"/>
    <n v="41"/>
    <s v="Aucun diplôme"/>
    <s v="Amberieu "/>
    <d v="2025-04-18T00:00:00"/>
    <d v="2025-08-27T00:00:00"/>
    <m/>
    <d v="1900-06-28T00:00:00"/>
    <m/>
    <m/>
    <m/>
    <m/>
    <m/>
    <m/>
    <m/>
    <s v="Réorientation"/>
    <s v="FT acco glo"/>
    <m/>
    <m/>
    <m/>
    <m/>
    <m/>
    <m/>
    <m/>
    <m/>
    <m/>
    <m/>
    <m/>
    <m/>
    <m/>
    <m/>
    <m/>
    <m/>
    <m/>
    <s v="Mr AL JOUMAA est venu à son 1er RDV"/>
  </r>
  <r>
    <s v="Madame"/>
    <s v="DIVRECHY / COMBEAU"/>
    <s v="Noémie"/>
    <n v="29"/>
    <s v="Aucun diplôme"/>
    <s v="Amberieu "/>
    <d v="2025-06-20T00:00:00"/>
    <d v="2025-08-25T00:00:00"/>
    <m/>
    <d v="1900-06-28T00:00:00"/>
    <m/>
    <s v="Maman solo"/>
    <s v="4 enfants"/>
    <m/>
    <m/>
    <m/>
    <m/>
    <s v="Fin DD"/>
    <m/>
    <m/>
    <m/>
    <n v="1"/>
    <m/>
    <m/>
    <m/>
    <m/>
    <m/>
    <m/>
    <m/>
    <m/>
    <m/>
    <m/>
    <m/>
    <m/>
    <m/>
    <m/>
    <s v="REO BOURG ATTENION sous SDP Mme COMBEAU.Ne dépend plus du cds d'AMBERIEU mais BOURG"/>
  </r>
  <r>
    <s v="Madame"/>
    <s v="ELAMBERT"/>
    <s v="Adeline"/>
    <n v="30"/>
    <m/>
    <s v="Amberieu "/>
    <d v="2025-03-27T00:00:00"/>
    <d v="2025-07-31T00:00:00"/>
    <m/>
    <d v="1900-06-28T00:00:00"/>
    <m/>
    <m/>
    <m/>
    <n v="0"/>
    <m/>
    <m/>
    <m/>
    <s v="Réorientation"/>
    <s v="FT acc pro"/>
    <m/>
    <m/>
    <m/>
    <m/>
    <m/>
    <m/>
    <m/>
    <m/>
    <m/>
    <m/>
    <m/>
    <m/>
    <m/>
    <m/>
    <m/>
    <m/>
    <m/>
    <s v="Mme est venue suivie par FT parcours pro"/>
  </r>
  <r>
    <s v="Madame"/>
    <s v="ETEMI / ETEMOV"/>
    <s v="Irmizat"/>
    <n v="30"/>
    <m/>
    <s v="Amberieu "/>
    <d v="2025-06-03T00:00:00"/>
    <d v="2025-09-01T00:00:00"/>
    <m/>
    <d v="1900-06-28T00:00:00"/>
    <m/>
    <s v="maman solo"/>
    <s v="enfant problème de santé"/>
    <s v="enfant en bas âge"/>
    <m/>
    <m/>
    <m/>
    <s v="Fin DD"/>
    <m/>
    <m/>
    <m/>
    <m/>
    <m/>
    <m/>
    <m/>
    <m/>
    <m/>
    <m/>
    <m/>
    <m/>
    <m/>
    <m/>
    <m/>
    <m/>
    <m/>
    <m/>
    <s v="Logisti+AI99que+AJ103:AQ106"/>
  </r>
  <r>
    <s v="Madame"/>
    <s v="GORUR"/>
    <s v="Andréa"/>
    <n v="30"/>
    <s v="CAP, BEP"/>
    <s v="Lagnieu"/>
    <d v="2025-06-10T00:00:00"/>
    <d v="2025-08-25T00:00:00"/>
    <m/>
    <d v="1900-06-28T00:00:00"/>
    <m/>
    <m/>
    <m/>
    <m/>
    <m/>
    <m/>
    <m/>
    <s v="Réorientation"/>
    <s v="BGE"/>
    <m/>
    <m/>
    <m/>
    <m/>
    <m/>
    <m/>
    <m/>
    <m/>
    <m/>
    <m/>
    <m/>
    <m/>
    <m/>
    <m/>
    <m/>
    <m/>
    <m/>
    <m/>
  </r>
  <r>
    <s v="Madame"/>
    <s v="HOUMADI"/>
    <s v="Mayi"/>
    <n v="39"/>
    <s v="Aucun diplôme"/>
    <s v="Amberieu "/>
    <d v="2025-05-23T00:00:00"/>
    <d v="2025-09-01T00:00:00"/>
    <m/>
    <d v="1900-06-28T00:00:00"/>
    <m/>
    <m/>
    <m/>
    <m/>
    <m/>
    <m/>
    <m/>
    <s v="Déménagement"/>
    <m/>
    <m/>
    <m/>
    <m/>
    <m/>
    <m/>
    <m/>
    <m/>
    <m/>
    <m/>
    <m/>
    <m/>
    <m/>
    <m/>
    <m/>
    <m/>
    <m/>
    <m/>
    <m/>
  </r>
  <r>
    <s v="Madame"/>
    <s v="KANGABA-KOKESSE"/>
    <s v="Michelle"/>
    <n v="33"/>
    <m/>
    <s v="Amberieu "/>
    <d v="2025-06-20T00:00:00"/>
    <d v="2025-08-14T00:00:00"/>
    <m/>
    <d v="1900-06-28T00:00:00"/>
    <m/>
    <m/>
    <m/>
    <m/>
    <m/>
    <m/>
    <m/>
    <s v="Fin DD"/>
    <m/>
    <m/>
    <m/>
    <m/>
    <m/>
    <m/>
    <m/>
    <m/>
    <m/>
    <m/>
    <m/>
    <m/>
    <m/>
    <m/>
    <m/>
    <m/>
    <m/>
    <m/>
    <m/>
  </r>
  <r>
    <s v="Madame"/>
    <s v="KOKOT"/>
    <s v="Aude"/>
    <n v="36"/>
    <m/>
    <s v="Lagnieu"/>
    <d v="2025-06-11T00:00:00"/>
    <d v="2025-08-25T00:00:00"/>
    <m/>
    <d v="1900-06-28T00:00:00"/>
    <m/>
    <m/>
    <m/>
    <m/>
    <m/>
    <m/>
    <m/>
    <s v="Réorientation"/>
    <s v="BGE"/>
    <m/>
    <m/>
    <m/>
    <m/>
    <m/>
    <m/>
    <m/>
    <m/>
    <m/>
    <m/>
    <m/>
    <m/>
    <m/>
    <m/>
    <m/>
    <m/>
    <m/>
    <m/>
  </r>
  <r>
    <s v="Monsieur"/>
    <s v="KRELL"/>
    <s v="Olivier"/>
    <n v="38"/>
    <m/>
    <s v="Amberieu "/>
    <d v="2025-06-13T00:00:00"/>
    <m/>
    <m/>
    <d v="1900-06-28T00:00:00"/>
    <m/>
    <m/>
    <m/>
    <m/>
    <m/>
    <m/>
    <m/>
    <s v="Réorientation"/>
    <s v="Sociale AAH"/>
    <m/>
    <m/>
    <m/>
    <m/>
    <m/>
    <m/>
    <m/>
    <m/>
    <m/>
    <m/>
    <m/>
    <m/>
    <m/>
    <m/>
    <m/>
    <m/>
    <m/>
    <m/>
  </r>
  <r>
    <s v="Madame"/>
    <s v="KRIACH"/>
    <s v="Monia"/>
    <n v="46"/>
    <m/>
    <s v="Amberieu "/>
    <d v="2025-06-02T00:00:00"/>
    <d v="2025-08-12T00:00:00"/>
    <m/>
    <d v="1900-06-28T00:00:00"/>
    <m/>
    <m/>
    <m/>
    <m/>
    <m/>
    <m/>
    <m/>
    <s v="Déménagement"/>
    <m/>
    <m/>
    <m/>
    <m/>
    <m/>
    <m/>
    <m/>
    <m/>
    <m/>
    <m/>
    <m/>
    <m/>
    <m/>
    <m/>
    <m/>
    <m/>
    <m/>
    <m/>
    <m/>
  </r>
  <r>
    <s v="Madame"/>
    <s v="KULA"/>
    <s v="Gulsun"/>
    <n v="40"/>
    <m/>
    <s v="Amberieu "/>
    <d v="2025-04-11T00:00:00"/>
    <d v="2025-08-12T00:00:00"/>
    <m/>
    <d v="1900-06-28T00:00:00"/>
    <m/>
    <m/>
    <m/>
    <m/>
    <m/>
    <m/>
    <m/>
    <s v="Réorientation"/>
    <s v="FT acc pro"/>
    <m/>
    <m/>
    <m/>
    <m/>
    <m/>
    <m/>
    <m/>
    <m/>
    <m/>
    <m/>
    <m/>
    <m/>
    <m/>
    <m/>
    <m/>
    <m/>
    <m/>
    <s v="France T"/>
  </r>
  <r>
    <s v="Madame"/>
    <s v="LYONNET"/>
    <s v="Soulin"/>
    <n v="44"/>
    <m/>
    <s v="Amberieu "/>
    <d v="2025-04-30T00:00:00"/>
    <d v="2025-08-20T00:00:00"/>
    <m/>
    <d v="1900-06-28T00:00:00"/>
    <m/>
    <m/>
    <m/>
    <m/>
    <m/>
    <m/>
    <m/>
    <s v="Réorientation"/>
    <s v="BGE"/>
    <m/>
    <m/>
    <n v="1"/>
    <m/>
    <m/>
    <m/>
    <m/>
    <m/>
    <m/>
    <m/>
    <m/>
    <m/>
    <m/>
    <m/>
    <m/>
    <m/>
    <m/>
    <m/>
  </r>
  <r>
    <s v="Monsieur"/>
    <s v="MACON"/>
    <s v="Julien"/>
    <n v="34"/>
    <m/>
    <s v="Lagnieu"/>
    <d v="2025-06-16T00:00:00"/>
    <d v="2025-08-25T00:00:00"/>
    <m/>
    <d v="1900-06-28T00:00:00"/>
    <m/>
    <m/>
    <m/>
    <m/>
    <m/>
    <m/>
    <m/>
    <s v="Réorientation"/>
    <s v="FT acc pro"/>
    <s v="FT SIAE"/>
    <m/>
    <m/>
    <m/>
    <m/>
    <m/>
    <m/>
    <m/>
    <m/>
    <m/>
    <m/>
    <m/>
    <m/>
    <m/>
    <m/>
    <m/>
    <m/>
    <m/>
  </r>
  <r>
    <s v="Madame"/>
    <s v="MARBACH"/>
    <s v="Anais"/>
    <n v="24"/>
    <m/>
    <s v="Amberieu "/>
    <d v="2025-06-16T00:00:00"/>
    <d v="2025-08-25T00:00:00"/>
    <m/>
    <d v="1900-06-28T00:00:00"/>
    <m/>
    <m/>
    <m/>
    <m/>
    <m/>
    <m/>
    <m/>
    <s v="Déménagement"/>
    <m/>
    <m/>
    <m/>
    <m/>
    <m/>
    <m/>
    <m/>
    <m/>
    <m/>
    <m/>
    <m/>
    <m/>
    <m/>
    <m/>
    <m/>
    <m/>
    <m/>
    <m/>
    <s v="Déménagement autre département"/>
  </r>
  <r>
    <s v="Madame"/>
    <s v="MARTINEAU"/>
    <s v="Sandrine"/>
    <n v="56"/>
    <m/>
    <s v="Lagnieu"/>
    <d v="2025-06-13T00:00:00"/>
    <d v="2025-08-25T00:00:00"/>
    <m/>
    <d v="1900-06-28T00:00:00"/>
    <m/>
    <m/>
    <m/>
    <m/>
    <m/>
    <m/>
    <m/>
    <s v="Réorientation"/>
    <s v="FT acc pro"/>
    <s v="FT SIAE"/>
    <m/>
    <m/>
    <m/>
    <m/>
    <m/>
    <m/>
    <m/>
    <m/>
    <m/>
    <m/>
    <m/>
    <m/>
    <m/>
    <m/>
    <m/>
    <m/>
    <m/>
  </r>
  <r>
    <s v="Madame"/>
    <s v="MONIER"/>
    <s v="Lauren"/>
    <n v="30"/>
    <m/>
    <s v="Lagnieu"/>
    <d v="2025-06-11T00:00:00"/>
    <d v="2025-08-25T00:00:00"/>
    <m/>
    <d v="1900-06-28T00:00:00"/>
    <m/>
    <m/>
    <m/>
    <m/>
    <m/>
    <m/>
    <m/>
    <s v="Réorientation"/>
    <s v="BGE"/>
    <m/>
    <m/>
    <m/>
    <m/>
    <m/>
    <m/>
    <m/>
    <m/>
    <m/>
    <m/>
    <m/>
    <m/>
    <m/>
    <m/>
    <m/>
    <m/>
    <m/>
    <m/>
  </r>
  <r>
    <s v="Madame"/>
    <s v="MOSTEFAOUI"/>
    <s v="Zaira"/>
    <n v="35"/>
    <m/>
    <s v="Lagnieu"/>
    <d v="2025-06-13T00:00:00"/>
    <d v="2025-08-25T00:00:00"/>
    <m/>
    <d v="1900-06-28T00:00:00"/>
    <m/>
    <m/>
    <m/>
    <m/>
    <m/>
    <m/>
    <m/>
    <s v="Réorientation"/>
    <s v="Arret mal longue durée"/>
    <m/>
    <m/>
    <m/>
    <m/>
    <m/>
    <m/>
    <m/>
    <m/>
    <m/>
    <m/>
    <m/>
    <m/>
    <m/>
    <m/>
    <m/>
    <m/>
    <m/>
    <m/>
  </r>
  <r>
    <s v="Monsieur"/>
    <s v="MOUSSAOUI"/>
    <s v="Stéphane"/>
    <n v="42"/>
    <m/>
    <s v="Lagnieu"/>
    <d v="2025-06-17T00:00:00"/>
    <d v="2025-09-01T00:00:00"/>
    <m/>
    <d v="1900-06-28T00:00:00"/>
    <m/>
    <m/>
    <m/>
    <m/>
    <m/>
    <m/>
    <m/>
    <s v="Réorientation"/>
    <s v="Arret mal longue durée"/>
    <m/>
    <m/>
    <m/>
    <m/>
    <m/>
    <m/>
    <m/>
    <m/>
    <m/>
    <m/>
    <m/>
    <m/>
    <m/>
    <m/>
    <m/>
    <m/>
    <m/>
    <m/>
  </r>
  <r>
    <s v="Madame"/>
    <s v="MUSSARD-PARASKIOVA"/>
    <s v="Marjorie"/>
    <n v="34"/>
    <m/>
    <s v="Lagnieu"/>
    <d v="2025-06-18T00:00:00"/>
    <d v="2025-09-01T00:00:00"/>
    <m/>
    <d v="1900-06-28T00:00:00"/>
    <m/>
    <m/>
    <m/>
    <m/>
    <m/>
    <m/>
    <m/>
    <s v="Réorientation"/>
    <s v="FT acc pro"/>
    <m/>
    <m/>
    <m/>
    <m/>
    <m/>
    <m/>
    <m/>
    <m/>
    <m/>
    <m/>
    <m/>
    <m/>
    <m/>
    <m/>
    <m/>
    <m/>
    <m/>
    <s v="CDDde remplacement prolongé"/>
  </r>
  <r>
    <s v="Madame"/>
    <s v="PONTANIER"/>
    <s v="Laura"/>
    <n v="36"/>
    <s v="Baccalauréat"/>
    <s v="Amberieu "/>
    <d v="2025-06-12T00:00:00"/>
    <d v="2025-09-01T00:00:00"/>
    <m/>
    <d v="1900-06-28T00:00:00"/>
    <m/>
    <s v="SANTE "/>
    <s v="environnement familial"/>
    <s v="Pas de véhicule"/>
    <m/>
    <m/>
    <m/>
    <s v="Réorientation"/>
    <s v="Sociale AAH"/>
    <m/>
    <m/>
    <n v="1"/>
    <m/>
    <m/>
    <m/>
    <m/>
    <m/>
    <m/>
    <m/>
    <m/>
    <m/>
    <m/>
    <m/>
    <m/>
    <m/>
    <m/>
    <m/>
  </r>
  <r>
    <s v="Monsieur"/>
    <s v="RIVET"/>
    <s v="Leo"/>
    <n v="28"/>
    <m/>
    <s v="Amberieu "/>
    <d v="2025-04-11T00:00:00"/>
    <d v="2025-09-10T00:00:00"/>
    <m/>
    <d v="1900-06-28T00:00:00"/>
    <m/>
    <m/>
    <m/>
    <m/>
    <m/>
    <m/>
    <m/>
    <s v="Fin DD"/>
    <m/>
    <m/>
    <m/>
    <m/>
    <m/>
    <m/>
    <m/>
    <m/>
    <m/>
    <m/>
    <m/>
    <m/>
    <m/>
    <m/>
    <m/>
    <m/>
    <m/>
    <m/>
    <s v="A eu plusieurs missions intérim. RDV le 15/10"/>
  </r>
  <r>
    <s v="Madame"/>
    <s v="ROUGER"/>
    <s v="Emilie"/>
    <n v="28"/>
    <m/>
    <s v="Amberieu "/>
    <d v="2025-04-30T00:00:00"/>
    <d v="2025-09-08T00:00:00"/>
    <m/>
    <d v="1900-06-28T00:00:00"/>
    <m/>
    <m/>
    <m/>
    <m/>
    <m/>
    <m/>
    <m/>
    <s v="Renonciation RSA"/>
    <m/>
    <m/>
    <m/>
    <m/>
    <m/>
    <m/>
    <m/>
    <m/>
    <m/>
    <m/>
    <m/>
    <m/>
    <m/>
    <m/>
    <m/>
    <m/>
    <m/>
    <m/>
    <m/>
  </r>
  <r>
    <s v="Madame"/>
    <s v="SECCI"/>
    <s v="Oceane"/>
    <n v="31"/>
    <m/>
    <s v="Amberieu "/>
    <d v="2025-06-10T00:00:00"/>
    <d v="2025-09-08T00:00:00"/>
    <m/>
    <d v="1900-06-28T00:00:00"/>
    <m/>
    <m/>
    <m/>
    <m/>
    <m/>
    <m/>
    <m/>
    <s v="Réorientation"/>
    <s v="FT acc pro"/>
    <m/>
    <m/>
    <m/>
    <m/>
    <m/>
    <m/>
    <m/>
    <m/>
    <m/>
    <m/>
    <m/>
    <m/>
    <m/>
    <m/>
    <m/>
    <m/>
    <m/>
    <s v="SIAE renouvellement L rénoverie"/>
  </r>
  <r>
    <s v="Madame"/>
    <s v="SELEM"/>
    <s v="Fathia"/>
    <n v="33"/>
    <m/>
    <s v="Lagnieu"/>
    <d v="2025-05-09T00:00:00"/>
    <d v="2025-09-08T00:00:00"/>
    <m/>
    <d v="1900-06-28T00:00:00"/>
    <m/>
    <m/>
    <m/>
    <m/>
    <m/>
    <m/>
    <m/>
    <s v="Réorientation"/>
    <s v="Sociale maternité"/>
    <m/>
    <m/>
    <m/>
    <m/>
    <m/>
    <m/>
    <m/>
    <m/>
    <m/>
    <m/>
    <m/>
    <m/>
    <m/>
    <m/>
    <m/>
    <m/>
    <m/>
    <m/>
  </r>
  <r>
    <s v="Madame"/>
    <s v="SERROUKH"/>
    <s v="Fatima"/>
    <n v="50"/>
    <m/>
    <s v="Lagnieu"/>
    <d v="2025-06-17T00:00:00"/>
    <d v="2025-09-01T00:00:00"/>
    <m/>
    <d v="1900-06-28T00:00:00"/>
    <m/>
    <m/>
    <m/>
    <m/>
    <m/>
    <m/>
    <m/>
    <s v="Réorientation"/>
    <s v="Arret mal longue durée"/>
    <m/>
    <m/>
    <m/>
    <m/>
    <m/>
    <m/>
    <m/>
    <m/>
    <m/>
    <m/>
    <m/>
    <m/>
    <m/>
    <m/>
    <m/>
    <m/>
    <m/>
    <m/>
  </r>
  <r>
    <s v="Madame"/>
    <s v="SERVIOLES"/>
    <s v="Vanessa"/>
    <n v="34"/>
    <m/>
    <s v="Lagnieu"/>
    <d v="2025-05-09T00:00:00"/>
    <d v="2025-09-08T00:00:00"/>
    <m/>
    <d v="1900-06-28T00:00:00"/>
    <m/>
    <m/>
    <m/>
    <m/>
    <m/>
    <m/>
    <m/>
    <s v="autre"/>
    <m/>
    <m/>
    <m/>
    <m/>
    <m/>
    <m/>
    <m/>
    <m/>
    <m/>
    <m/>
    <m/>
    <m/>
    <m/>
    <m/>
    <m/>
    <m/>
    <m/>
    <m/>
    <s v="Reprise de son emploi en CDI après congé parental"/>
  </r>
  <r>
    <s v="Madame"/>
    <s v="TROTOT"/>
    <s v="Estelle"/>
    <n v="28"/>
    <m/>
    <s v="Lagnieu"/>
    <d v="2025-06-13T00:00:00"/>
    <d v="2025-09-22T00:00:00"/>
    <m/>
    <d v="1900-06-28T00:00:00"/>
    <m/>
    <s v="SANTE"/>
    <m/>
    <m/>
    <m/>
    <m/>
    <m/>
    <s v="Réorientation"/>
    <s v="Social freins+"/>
    <m/>
    <m/>
    <m/>
    <m/>
    <m/>
    <m/>
    <m/>
    <m/>
    <m/>
    <m/>
    <m/>
    <m/>
    <m/>
    <m/>
    <m/>
    <m/>
    <m/>
    <s v="Mme a une réo sociale : certificat médical de son médecin."/>
  </r>
  <r>
    <s v="Monsieur"/>
    <s v="VERNE"/>
    <s v="Jean-Michel"/>
    <n v="32"/>
    <m/>
    <s v="Amberieu "/>
    <d v="2025-06-13T00:00:00"/>
    <d v="2005-09-08T00:00:00"/>
    <m/>
    <d v="1900-06-28T00:00:00"/>
    <m/>
    <m/>
    <m/>
    <m/>
    <m/>
    <m/>
    <m/>
    <s v="Réorientation"/>
    <s v="Sociale AAH"/>
    <m/>
    <m/>
    <m/>
    <m/>
    <m/>
    <m/>
    <m/>
    <m/>
    <m/>
    <m/>
    <m/>
    <m/>
    <m/>
    <m/>
    <m/>
    <m/>
    <m/>
    <m/>
  </r>
  <r>
    <s v="Monsieur"/>
    <s v="VIN"/>
    <s v="Romain"/>
    <n v="36"/>
    <m/>
    <s v="Amberieu "/>
    <d v="2025-04-01T00:00:00"/>
    <d v="2005-09-08T00:00:00"/>
    <m/>
    <d v="1900-06-28T00:00:00"/>
    <m/>
    <m/>
    <m/>
    <m/>
    <m/>
    <m/>
    <m/>
    <s v="Réorientation"/>
    <s v="FT acco glo"/>
    <s v="France Travail"/>
    <m/>
    <m/>
    <m/>
    <m/>
    <m/>
    <m/>
    <m/>
    <m/>
    <m/>
    <m/>
    <m/>
    <m/>
    <m/>
    <m/>
    <m/>
    <m/>
    <m/>
  </r>
  <r>
    <s v="Madame"/>
    <s v="MOAMMIN"/>
    <s v="Nadia"/>
    <n v="49"/>
    <m/>
    <s v="Amberieu en Bugey"/>
    <d v="2025-08-11T00:00:00"/>
    <d v="2025-09-16T00:00:00"/>
    <m/>
    <d v="1900-06-28T00:00:00"/>
    <m/>
    <m/>
    <m/>
    <m/>
    <m/>
    <m/>
    <m/>
    <s v="Fin DD"/>
    <m/>
    <m/>
    <m/>
    <m/>
    <m/>
    <m/>
    <m/>
    <m/>
    <m/>
    <m/>
    <m/>
    <m/>
    <m/>
    <m/>
    <m/>
    <m/>
    <m/>
    <m/>
    <m/>
  </r>
  <r>
    <s v="Madame"/>
    <s v="SCHEID"/>
    <s v="Mélanie"/>
    <n v="62"/>
    <s v="pas de diplôme"/>
    <s v="Amberieu en Bugey"/>
    <d v="2025-08-12T00:00:00"/>
    <d v="2025-09-15T00:00:00"/>
    <m/>
    <d v="1900-06-28T00:00:00"/>
    <m/>
    <m/>
    <m/>
    <m/>
    <m/>
    <m/>
    <m/>
    <s v="Réorientation"/>
    <s v="Sociale retraite"/>
    <m/>
    <m/>
    <m/>
    <m/>
    <m/>
    <m/>
    <m/>
    <m/>
    <m/>
    <m/>
    <m/>
    <m/>
    <m/>
    <m/>
    <m/>
    <m/>
    <m/>
    <s v="J'ai le récépissé de demande de demande de retraite dossier bloqué"/>
  </r>
  <r>
    <s v="Madame"/>
    <s v="VENCESLAU FERNANDES"/>
    <s v="Rute"/>
    <n v="33"/>
    <m/>
    <s v="Amberieu en Bugey"/>
    <d v="2025-08-12T00:00:00"/>
    <d v="2025-09-15T00:00:00"/>
    <m/>
    <d v="1900-06-28T00:00:00"/>
    <m/>
    <m/>
    <m/>
    <m/>
    <m/>
    <m/>
    <m/>
    <s v="Déménagement"/>
    <m/>
    <m/>
    <m/>
    <m/>
    <m/>
    <m/>
    <m/>
    <m/>
    <m/>
    <m/>
    <m/>
    <m/>
    <m/>
    <m/>
    <m/>
    <m/>
    <m/>
    <m/>
    <s v="Mme est venue au rdv et a déménagé dans une autre région."/>
  </r>
  <r>
    <s v="Monsieur"/>
    <s v="DE  STEFANO"/>
    <s v="Loïc"/>
    <n v="30"/>
    <s v="BAC"/>
    <s v="Ambérieu"/>
    <d v="2025-09-25T00:00:00"/>
    <d v="2025-10-03T00:00:00"/>
    <m/>
    <d v="1900-06-28T00:00:00"/>
    <m/>
    <s v="soutien de sa compagne"/>
    <m/>
    <m/>
    <m/>
    <m/>
    <m/>
    <s v="Renonciation RSA"/>
    <m/>
    <m/>
    <m/>
    <m/>
    <m/>
    <m/>
    <m/>
    <m/>
    <m/>
    <m/>
    <m/>
    <m/>
    <m/>
    <m/>
    <m/>
    <m/>
    <m/>
    <m/>
    <m/>
  </r>
  <r>
    <s v="Madame"/>
    <s v="MALLET"/>
    <s v="Emmanuelle"/>
    <n v="35"/>
    <s v="CAP, BEP"/>
    <s v="Lagnieu"/>
    <d v="2025-07-03T00:00:00"/>
    <d v="2025-08-25T00:00:00"/>
    <m/>
    <d v="1900-06-28T00:00:00"/>
    <m/>
    <s v="LOGEMENT"/>
    <s v="MOBILITE "/>
    <m/>
    <m/>
    <m/>
    <m/>
    <s v="Déménagement"/>
    <m/>
    <m/>
    <m/>
    <n v="1"/>
    <m/>
    <m/>
    <m/>
    <m/>
    <m/>
    <m/>
    <m/>
    <m/>
    <m/>
    <m/>
    <m/>
    <m/>
    <m/>
    <m/>
    <s v="Déménagement CHRS Péronnas"/>
  </r>
  <r>
    <s v="Monsieur"/>
    <s v="AL AWAD"/>
    <s v="Yasser"/>
    <n v="41"/>
    <s v="Aucun diplôme"/>
    <s v="Amberieu "/>
    <d v="2025-05-13T00:00:00"/>
    <d v="2025-08-04T00:00:00"/>
    <d v="2025-08-04T00:00:00"/>
    <d v="2026-01-31T00:00:00"/>
    <m/>
    <s v="LANGUE"/>
    <m/>
    <m/>
    <m/>
    <m/>
    <m/>
    <s v="Positive"/>
    <s v="BGE"/>
    <m/>
    <m/>
    <n v="1"/>
    <m/>
    <m/>
    <m/>
    <m/>
    <m/>
    <m/>
    <m/>
    <m/>
    <m/>
    <m/>
    <m/>
    <m/>
    <m/>
    <m/>
    <s v="Toujours à GOON . Autoentreprise démarre janvier 26"/>
  </r>
  <r>
    <s v="Madame"/>
    <s v="BARBEREUX"/>
    <s v="Sabrina"/>
    <n v="29"/>
    <s v="CAP, BEP"/>
    <s v="Amberieu "/>
    <d v="2025-06-12T00:00:00"/>
    <d v="2025-09-05T00:00:00"/>
    <d v="2025-09-05T00:00:00"/>
    <d v="2026-03-04T00:00:00"/>
    <m/>
    <s v="LOGEMENT"/>
    <s v="MAMAN SOLO"/>
    <s v="Surendettement"/>
    <m/>
    <m/>
    <m/>
    <s v="Déménagement"/>
    <m/>
    <m/>
    <m/>
    <n v="1"/>
    <m/>
    <m/>
    <m/>
    <m/>
    <m/>
    <m/>
    <m/>
    <m/>
    <m/>
    <m/>
    <m/>
    <m/>
    <m/>
    <m/>
    <s v="Déménagement à Chalamon. Reprise VALHORIZON"/>
  </r>
  <r>
    <s v="Madame"/>
    <s v="AKYUEREK"/>
    <s v="MELEK"/>
    <n v="53"/>
    <s v="Aucun diplôme"/>
    <s v="Lagnieu"/>
    <d v="2025-06-27T00:00:00"/>
    <d v="2025-08-18T00:00:00"/>
    <d v="2025-09-23T00:00:00"/>
    <d v="2026-03-22T00:00:00"/>
    <m/>
    <s v="SANTE"/>
    <s v="MOBILITE "/>
    <m/>
    <m/>
    <m/>
    <m/>
    <s v="autre"/>
    <s v="Arret mal longue durée"/>
    <m/>
    <m/>
    <n v="1"/>
    <m/>
    <m/>
    <m/>
    <m/>
    <m/>
    <m/>
    <m/>
    <m/>
    <m/>
    <m/>
    <m/>
    <m/>
    <m/>
    <m/>
    <s v="Certificat médical contre-indication à l'emploi. En attente MDPH"/>
  </r>
  <r>
    <s v="Monsieur "/>
    <s v="CHEKKI"/>
    <s v="Radouane"/>
    <n v="36"/>
    <s v="DEUG, BTS, DUT, DEUST"/>
    <s v="Lagnieu"/>
    <d v="2025-08-21T00:00:00"/>
    <d v="2025-09-29T00:00:00"/>
    <d v="2025-09-29T00:00:00"/>
    <d v="2026-03-28T00:00:00"/>
    <m/>
    <s v="SANTE"/>
    <m/>
    <m/>
    <m/>
    <m/>
    <m/>
    <s v="Positive"/>
    <m/>
    <s v="Formation certifiante ou qualifiante"/>
    <m/>
    <n v="1"/>
    <m/>
    <m/>
    <m/>
    <m/>
    <m/>
    <m/>
    <m/>
    <m/>
    <m/>
    <m/>
    <m/>
    <m/>
    <m/>
    <m/>
    <s v="Parcours nuclèaire "/>
  </r>
  <r>
    <s v="Monsieur"/>
    <s v="BOITIER"/>
    <s v="Anthony"/>
    <n v="33"/>
    <s v="Aucun diplôme"/>
    <s v="Lagnieu"/>
    <d v="2025-06-13T00:00:00"/>
    <d v="2025-08-25T00:00:00"/>
    <m/>
    <d v="1900-06-28T00:00:00"/>
    <m/>
    <m/>
    <m/>
    <m/>
    <m/>
    <m/>
    <m/>
    <m/>
    <m/>
    <m/>
    <m/>
    <m/>
    <m/>
    <m/>
    <m/>
    <m/>
    <m/>
    <m/>
    <m/>
    <m/>
    <m/>
    <m/>
    <m/>
    <m/>
    <m/>
    <m/>
    <m/>
  </r>
  <r>
    <s v="Monsieur"/>
    <s v="BORDIER"/>
    <s v="Rémi"/>
    <n v="34"/>
    <s v="CAP, BEP"/>
    <s v="Lagnieu"/>
    <d v="2025-06-25T00:00:00"/>
    <d v="2005-09-08T00:00:00"/>
    <d v="2025-09-24T00:00:00"/>
    <d v="2026-03-23T00:00:00"/>
    <m/>
    <s v="SANTE "/>
    <s v="MOBILITE"/>
    <m/>
    <m/>
    <m/>
    <m/>
    <s v="Réorientation"/>
    <s v="Arret mal longue durée"/>
    <m/>
    <m/>
    <n v="1"/>
    <m/>
    <m/>
    <m/>
    <m/>
    <m/>
    <m/>
    <m/>
    <m/>
    <m/>
    <m/>
    <m/>
    <m/>
    <m/>
    <m/>
    <s v="CM fourni /en cure dès le 9 décembre"/>
  </r>
  <r>
    <s v="Monsieur"/>
    <s v="MAANANI"/>
    <s v="Fouad"/>
    <n v="58"/>
    <s v="Baccalauréat"/>
    <s v="Lagnieu"/>
    <d v="2025-07-30T00:00:00"/>
    <d v="2025-09-22T00:00:00"/>
    <d v="2025-09-08T00:00:00"/>
    <d v="2026-03-07T00:00:00"/>
    <m/>
    <s v="Pas de véhicule"/>
    <s v="SANTE"/>
    <m/>
    <m/>
    <m/>
    <m/>
    <s v="Positive"/>
    <s v="BGE"/>
    <m/>
    <m/>
    <m/>
    <m/>
    <m/>
    <m/>
    <m/>
    <m/>
    <m/>
    <m/>
    <m/>
    <m/>
    <m/>
    <m/>
    <m/>
    <m/>
    <m/>
    <s v="menuisier / missions à faire et voir clauses sociales"/>
  </r>
  <r>
    <s v="Madame"/>
    <s v="MALIQI"/>
    <s v="Mirsade"/>
    <n v="44"/>
    <s v="Aucun diplôme"/>
    <s v="Amberieu "/>
    <d v="2025-06-24T00:00:00"/>
    <d v="2025-08-25T00:00:00"/>
    <d v="2025-10-13T00:00:00"/>
    <d v="2026-04-11T00:00:00"/>
    <m/>
    <s v="santé"/>
    <s v="âge"/>
    <m/>
    <m/>
    <m/>
    <m/>
    <s v="Réorientation"/>
    <s v="Arret mal longue durée"/>
    <m/>
    <m/>
    <m/>
    <m/>
    <m/>
    <m/>
    <m/>
    <m/>
    <m/>
    <m/>
    <m/>
    <m/>
    <m/>
    <m/>
    <m/>
    <m/>
    <m/>
    <s v="CM "/>
  </r>
  <r>
    <s v="Monsieur"/>
    <s v="MOLINA GAY"/>
    <s v="Romuald"/>
    <n v="46"/>
    <s v="Aucun diplôme"/>
    <s v="Amberieu "/>
    <d v="2025-03-27T00:00:00"/>
    <m/>
    <d v="2025-08-25T00:00:00"/>
    <d v="2026-02-21T00:00:00"/>
    <m/>
    <s v="LANGUE "/>
    <s v="MOBILITE "/>
    <s v="SANTE"/>
    <m/>
    <m/>
    <m/>
    <s v="Réorientation"/>
    <s v="Social freins+"/>
    <m/>
    <m/>
    <m/>
    <m/>
    <m/>
    <m/>
    <m/>
    <m/>
    <m/>
    <m/>
    <m/>
    <m/>
    <m/>
    <m/>
    <m/>
    <m/>
    <m/>
    <s v="Pas de cours de langue. Préinscription GOON Pas contente"/>
  </r>
  <r>
    <s v="Madame"/>
    <s v="OUVRIER BUFFET"/>
    <s v="Marilou"/>
    <n v="27"/>
    <s v="CAP, BEP"/>
    <s v="Lagnieu"/>
    <d v="2025-06-11T00:00:00"/>
    <d v="2025-09-01T00:00:00"/>
    <m/>
    <d v="1900-06-28T00:00:00"/>
    <m/>
    <m/>
    <m/>
    <m/>
    <m/>
    <m/>
    <m/>
    <s v="Déménagement"/>
    <m/>
    <m/>
    <m/>
    <n v="1"/>
    <m/>
    <m/>
    <m/>
    <m/>
    <m/>
    <m/>
    <m/>
    <m/>
    <m/>
    <m/>
    <m/>
    <m/>
    <m/>
    <m/>
    <s v="st dans la Loire A l'emploi jusqu'en septembre. Impossible à joindre"/>
  </r>
  <r>
    <s v="Monsieur"/>
    <s v="PASQUIER"/>
    <s v="Yann"/>
    <n v="28"/>
    <s v="DEUG, BTS, DUT, DEUST"/>
    <s v="Lagnieu"/>
    <d v="2025-07-22T00:00:00"/>
    <d v="2025-09-08T00:00:00"/>
    <d v="2025-09-01T00:00:00"/>
    <d v="2026-02-28T00:00:00"/>
    <m/>
    <s v="SANTE"/>
    <s v="MOBILITE"/>
    <m/>
    <m/>
    <m/>
    <m/>
    <s v="Réorientation"/>
    <s v="Sociale AAH"/>
    <m/>
    <m/>
    <m/>
    <m/>
    <m/>
    <m/>
    <m/>
    <m/>
    <m/>
    <m/>
    <m/>
    <m/>
    <m/>
    <m/>
    <m/>
    <m/>
    <m/>
    <s v="certif medical suivi cmp reo social (agoraphobe)"/>
  </r>
  <r>
    <s v="Monsieur"/>
    <s v="RODI"/>
    <s v="Florian"/>
    <m/>
    <m/>
    <m/>
    <m/>
    <d v="2025-12-02T00:00:00"/>
    <d v="2025-09-08T00:00:00"/>
    <d v="2026-03-07T00:00:00"/>
    <m/>
    <s v="MOBILITE"/>
    <s v="SANTE"/>
    <m/>
    <m/>
    <m/>
    <m/>
    <s v="Renonciation RSA"/>
    <m/>
    <m/>
    <m/>
    <m/>
    <m/>
    <m/>
    <m/>
    <m/>
    <m/>
    <m/>
    <m/>
    <m/>
    <m/>
    <m/>
    <m/>
    <m/>
    <m/>
    <m/>
    <s v="contrat benevole 4 mois - voir agri 01"/>
  </r>
  <r>
    <s v="Madame"/>
    <s v="RUIVET"/>
    <s v="Corinne"/>
    <n v="59"/>
    <m/>
    <s v="Lagnieu"/>
    <d v="2025-07-29T00:00:00"/>
    <d v="2025-09-01T00:00:00"/>
    <m/>
    <d v="1900-06-28T00:00:00"/>
    <m/>
    <m/>
    <m/>
    <m/>
    <m/>
    <m/>
    <m/>
    <s v="Déménagement"/>
    <m/>
    <m/>
    <m/>
    <m/>
    <m/>
    <m/>
    <m/>
    <m/>
    <m/>
    <m/>
    <m/>
    <m/>
    <m/>
    <m/>
    <m/>
    <m/>
    <m/>
    <m/>
    <s v="Mr a déménagé depuis 2 mois dans l'Isère"/>
  </r>
  <r>
    <s v="Madame"/>
    <s v="THOMASSIN"/>
    <s v="Ashley"/>
    <n v="28"/>
    <s v="Aucun diplôme"/>
    <s v="Amberieu "/>
    <d v="2025-05-22T00:00:00"/>
    <d v="2025-07-30T00:00:00"/>
    <m/>
    <d v="1900-06-28T00:00:00"/>
    <m/>
    <s v="SANTE "/>
    <s v="MOBILITE"/>
    <m/>
    <m/>
    <m/>
    <m/>
    <s v="Réorientation"/>
    <s v="Social freins+"/>
    <m/>
    <m/>
    <n v="1"/>
    <m/>
    <m/>
    <m/>
    <m/>
    <m/>
    <m/>
    <m/>
    <m/>
    <m/>
    <m/>
    <m/>
    <m/>
    <m/>
    <m/>
    <s v="cf agent de santé: médecin en arrêt rdv en nov. Mme ne peut pas marcher seule! CM en attente"/>
  </r>
  <r>
    <s v="Madame"/>
    <s v="ISLAMI"/>
    <s v="Haxhere"/>
    <m/>
    <m/>
    <m/>
    <m/>
    <d v="2025-12-10T00:00:00"/>
    <d v="2025-07-30T00:00:00"/>
    <d v="2026-01-26T00:00:00"/>
    <m/>
    <s v="santé"/>
    <s v="maman solo"/>
    <m/>
    <m/>
    <m/>
    <m/>
    <s v="Réorientation"/>
    <s v="Arret mal longue durée"/>
    <m/>
    <m/>
    <m/>
    <m/>
    <m/>
    <m/>
    <m/>
    <m/>
    <m/>
    <m/>
    <m/>
    <m/>
    <m/>
    <m/>
    <m/>
    <m/>
    <m/>
    <s v="Problème de santé+, en attente de logement dans le 03"/>
  </r>
  <r>
    <s v="Monsieur"/>
    <s v="ZOGHLAMI"/>
    <s v="Ali"/>
    <n v="57"/>
    <s v="Ingénieur"/>
    <s v="Lagnieu"/>
    <d v="2025-07-30T00:00:00"/>
    <d v="2025-09-22T00:00:00"/>
    <m/>
    <d v="1900-06-28T00:00:00"/>
    <m/>
    <m/>
    <m/>
    <m/>
    <m/>
    <m/>
    <m/>
    <s v="Fin DD"/>
    <m/>
    <m/>
    <m/>
    <m/>
    <m/>
    <m/>
    <m/>
    <m/>
    <m/>
    <m/>
    <m/>
    <m/>
    <m/>
    <m/>
    <m/>
    <m/>
    <m/>
    <m/>
    <s v="A l'emploi"/>
  </r>
  <r>
    <s v="Madame "/>
    <s v="TIEPOHEO"/>
    <s v="Josy Nina"/>
    <m/>
    <s v="aucun diplômeAmbérieu"/>
    <m/>
    <m/>
    <m/>
    <d v="2025-09-29T00:00:00"/>
    <d v="2026-03-28T00:00:00"/>
    <m/>
    <m/>
    <m/>
    <m/>
    <m/>
    <m/>
    <m/>
    <s v="Fin DD"/>
    <m/>
    <m/>
    <m/>
    <m/>
    <m/>
    <m/>
    <m/>
    <m/>
    <m/>
    <m/>
    <m/>
    <m/>
    <m/>
    <m/>
    <m/>
    <m/>
    <m/>
    <m/>
    <s v="Mr ZOGHLAMI est en CDI depuis septembre, fin de période d'essai + "/>
  </r>
  <r>
    <s v="Madame"/>
    <s v="PERRON"/>
    <s v="Pauline"/>
    <n v="37"/>
    <s v="CAP, BEP"/>
    <s v="Lagnieu"/>
    <d v="2025-08-14T00:00:00"/>
    <d v="2025-09-29T00:00:00"/>
    <d v="2025-08-20T00:00:00"/>
    <d v="2026-02-16T00:00:00"/>
    <m/>
    <s v="SANTE"/>
    <m/>
    <m/>
    <m/>
    <m/>
    <m/>
    <s v="Réorientation"/>
    <s v="Arret mal longue durée"/>
    <m/>
    <m/>
    <n v="1"/>
    <m/>
    <m/>
    <m/>
    <m/>
    <m/>
    <m/>
    <m/>
    <m/>
    <m/>
    <m/>
    <m/>
    <m/>
    <m/>
    <m/>
    <m/>
  </r>
  <r>
    <s v="Madame"/>
    <s v="CASSINOTTI"/>
    <s v="Barbara"/>
    <n v="39"/>
    <m/>
    <s v="Lagnieu"/>
    <d v="2025-10-24T00:00:00"/>
    <d v="2025-11-18T00:00:00"/>
    <d v="2025-09-29T00:00:00"/>
    <d v="2026-03-28T00:00:00"/>
    <m/>
    <s v="Jeunes enfants"/>
    <m/>
    <m/>
    <m/>
    <m/>
    <m/>
    <s v="Fin DD"/>
    <m/>
    <m/>
    <m/>
    <m/>
    <m/>
    <m/>
    <m/>
    <m/>
    <m/>
    <m/>
    <m/>
    <m/>
    <m/>
    <m/>
    <m/>
    <m/>
    <m/>
    <m/>
    <s v="mme veut assister son conjoint qui a une entreprise"/>
  </r>
  <r>
    <s v="Monsieur"/>
    <s v="RUMIANO"/>
    <s v="Aurélien"/>
    <n v="37"/>
    <s v="BAC+2"/>
    <s v="Ambérieu"/>
    <m/>
    <d v="2026-01-19T00:00:00"/>
    <m/>
    <d v="1900-06-28T00:00:00"/>
    <m/>
    <m/>
    <m/>
    <m/>
    <m/>
    <m/>
    <m/>
    <s v="Fin DD"/>
    <m/>
    <m/>
    <m/>
    <m/>
    <m/>
    <m/>
    <m/>
    <m/>
    <m/>
    <m/>
    <m/>
    <m/>
    <m/>
    <m/>
    <m/>
    <m/>
    <m/>
    <m/>
    <s v="Mme a prévenue Polel de sa situation"/>
  </r>
  <r>
    <s v="Madame"/>
    <s v="GIROD "/>
    <s v="Gwennaelle"/>
    <n v="44"/>
    <m/>
    <s v="Amberieu en Bugey"/>
    <d v="2025-08-12T00:00:00"/>
    <d v="2025-09-15T00:00:00"/>
    <m/>
    <d v="1900-06-28T00:00:00"/>
    <m/>
    <s v="SANTE"/>
    <m/>
    <m/>
    <m/>
    <m/>
    <m/>
    <s v="Réorientation"/>
    <s v="BGE"/>
    <s v="Créa"/>
    <m/>
    <m/>
    <m/>
    <m/>
    <m/>
    <m/>
    <m/>
    <m/>
    <m/>
    <m/>
    <m/>
    <m/>
    <m/>
    <m/>
    <m/>
    <m/>
    <s v="réo BGE"/>
  </r>
  <r>
    <s v="Madame"/>
    <s v="REZAEIPOUR"/>
    <s v="Fatemeh"/>
    <n v="30"/>
    <m/>
    <s v="Amberieu en Bugey"/>
    <d v="2025-08-12T00:00:00"/>
    <d v="2025-09-16T00:00:00"/>
    <m/>
    <d v="1900-06-28T00:00:00"/>
    <m/>
    <m/>
    <m/>
    <m/>
    <m/>
    <m/>
    <m/>
    <s v="Réorientation"/>
    <s v="FT acc pro"/>
    <m/>
    <m/>
    <m/>
    <m/>
    <m/>
    <m/>
    <m/>
    <m/>
    <m/>
    <m/>
    <m/>
    <m/>
    <m/>
    <m/>
    <m/>
    <m/>
    <m/>
    <s v="Mme GIROD a un contrat de remplacement prolongé jusqu'au 07/11/25"/>
  </r>
  <r>
    <s v="Madame"/>
    <s v="VLERICK"/>
    <s v="Anne"/>
    <n v="55"/>
    <s v="pas de diplôme"/>
    <s v="Lagnieu"/>
    <d v="2025-08-06T00:00:00"/>
    <d v="2025-09-22T00:00:00"/>
    <d v="2025-12-01T00:00:00"/>
    <d v="2026-05-30T00:00:00"/>
    <m/>
    <s v="LANGUE"/>
    <s v="Maman solo"/>
    <m/>
    <m/>
    <m/>
    <m/>
    <s v="Réorientation"/>
    <s v="Arret mal longue durée"/>
    <m/>
    <m/>
    <n v="1"/>
    <m/>
    <m/>
    <m/>
    <m/>
    <m/>
    <m/>
    <m/>
    <m/>
    <m/>
    <m/>
    <m/>
    <m/>
    <m/>
    <m/>
    <s v="Arrêt jusqu'à novembre ENVOI COURRIER 01/12 - CM"/>
  </r>
  <r>
    <s v="Madame"/>
    <s v="BOYER"/>
    <s v="Ghislaine"/>
    <n v="56"/>
    <m/>
    <s v="Lagnieu"/>
    <d v="2025-09-16T00:00:00"/>
    <d v="2025-10-13T00:00:00"/>
    <d v="2025-09-22T00:00:00"/>
    <d v="2026-03-21T00:00:00"/>
    <m/>
    <s v="SANTE"/>
    <s v="Pas de qualif"/>
    <m/>
    <m/>
    <m/>
    <m/>
    <s v="Fin DD"/>
    <m/>
    <m/>
    <m/>
    <m/>
    <m/>
    <m/>
    <m/>
    <m/>
    <m/>
    <m/>
    <m/>
    <m/>
    <m/>
    <m/>
    <m/>
    <m/>
    <m/>
    <m/>
    <s v="Mme souhaite faire une formation agent d'accueil/immersion urgente"/>
  </r>
  <r>
    <s v="Monsieur"/>
    <s v="ARNAISE"/>
    <s v="Guillaume"/>
    <n v="27"/>
    <s v="BAC"/>
    <s v="Amberieu"/>
    <d v="2025-10-14T00:00:00"/>
    <d v="2025-10-29T00:00:00"/>
    <m/>
    <d v="1900-06-28T00:00:00"/>
    <m/>
    <m/>
    <m/>
    <m/>
    <m/>
    <m/>
    <m/>
    <s v="Réorientation"/>
    <s v="Social freins+"/>
    <m/>
    <m/>
    <m/>
    <m/>
    <m/>
    <m/>
    <m/>
    <m/>
    <m/>
    <m/>
    <m/>
    <m/>
    <m/>
    <m/>
    <m/>
    <m/>
    <m/>
    <m/>
  </r>
  <r>
    <s v="Madame"/>
    <s v="MONGERAND"/>
    <s v="Jhamalie"/>
    <n v="26"/>
    <s v="CAP, BEP"/>
    <s v="Amberrieu"/>
    <d v="2025-11-03T00:00:00"/>
    <d v="2025-11-25T00:00:00"/>
    <d v="2025-10-29T00:00:00"/>
    <d v="2026-04-27T00:00:00"/>
    <m/>
    <m/>
    <m/>
    <m/>
    <m/>
    <m/>
    <m/>
    <s v="Réorientation"/>
    <s v="Social freins+"/>
    <m/>
    <m/>
    <m/>
    <m/>
    <m/>
    <m/>
    <m/>
    <m/>
    <m/>
    <m/>
    <m/>
    <m/>
    <m/>
    <m/>
    <m/>
    <m/>
    <m/>
    <s v="Faire réo social CM médecin"/>
  </r>
  <r>
    <s v="Monsieur"/>
    <s v="SAIRAZADA"/>
    <s v="Zahibullah"/>
    <m/>
    <m/>
    <m/>
    <m/>
    <m/>
    <d v="2025-11-25T00:00:00"/>
    <d v="2026-05-24T00:00:00"/>
    <m/>
    <s v="MATERNITE"/>
    <m/>
    <m/>
    <m/>
    <m/>
    <m/>
    <s v="Réorientation"/>
    <s v="Sociale maternité"/>
    <m/>
    <m/>
    <m/>
    <m/>
    <m/>
    <m/>
    <m/>
    <m/>
    <m/>
    <m/>
    <m/>
    <m/>
    <m/>
    <m/>
    <m/>
    <m/>
    <m/>
    <s v="Réo à faire arrêt pas doc AMELI"/>
  </r>
  <r>
    <s v="Monsieur"/>
    <s v="BORRON"/>
    <s v="Loic"/>
    <n v="32"/>
    <s v="BAC"/>
    <s v="Lagnieu"/>
    <m/>
    <d v="2025-12-16T00:00:00"/>
    <m/>
    <d v="1900-06-28T00:00:00"/>
    <m/>
    <m/>
    <m/>
    <m/>
    <m/>
    <m/>
    <m/>
    <s v="Réorientation"/>
    <s v="FT acc pro"/>
    <m/>
    <m/>
    <m/>
    <m/>
    <m/>
    <m/>
    <m/>
    <m/>
    <m/>
    <m/>
    <m/>
    <m/>
    <m/>
    <m/>
    <m/>
    <m/>
    <m/>
    <s v="travaille Brigades natures"/>
  </r>
  <r>
    <s v="Monsieur"/>
    <s v="HUSSEIN"/>
    <s v="Abdu"/>
    <n v="30"/>
    <s v="BAC+3"/>
    <s v="Ambérieu"/>
    <d v="2025-11-03T00:00:00"/>
    <m/>
    <s v="NON"/>
    <e v="#VALUE!"/>
    <m/>
    <s v="LOGEMENT"/>
    <m/>
    <m/>
    <m/>
    <m/>
    <m/>
    <s v="reorientaion"/>
    <s v="FT acc pro"/>
    <s v="FT SIAE"/>
    <m/>
    <n v="1"/>
    <m/>
    <m/>
    <m/>
    <m/>
    <m/>
    <m/>
    <m/>
    <m/>
    <m/>
    <m/>
    <m/>
    <m/>
    <m/>
    <m/>
    <s v="SIAE BRIGADES NATURE"/>
  </r>
  <r>
    <s v="Madame"/>
    <s v="ETEMOV"/>
    <s v="Nevrija"/>
    <n v="32"/>
    <m/>
    <s v="Lagnieu"/>
    <d v="2025-06-11T00:00:00"/>
    <d v="2025-11-07T00:00:00"/>
    <d v="2025-08-28T00:00:00"/>
    <d v="2026-02-24T00:00:00"/>
    <m/>
    <m/>
    <m/>
    <m/>
    <m/>
    <m/>
    <m/>
    <s v="Positive"/>
    <s v="FT acc pro"/>
    <s v="FT SIAE"/>
    <m/>
    <m/>
    <m/>
    <m/>
    <m/>
    <m/>
    <m/>
    <m/>
    <m/>
    <m/>
    <m/>
    <m/>
    <m/>
    <m/>
    <m/>
    <m/>
    <s v="formation fle logistique pas fonctionné -démarre à la rénoverie / AGIR"/>
  </r>
  <r>
    <m/>
    <m/>
    <m/>
    <m/>
    <m/>
    <m/>
    <m/>
    <m/>
    <m/>
    <m/>
    <m/>
    <m/>
    <m/>
    <m/>
    <m/>
    <m/>
    <m/>
    <s v="Réorientation"/>
    <s v="FT acc pro"/>
    <s v="France Travail"/>
    <m/>
    <m/>
    <m/>
    <m/>
    <m/>
    <m/>
    <m/>
    <m/>
    <m/>
    <m/>
    <m/>
    <m/>
    <m/>
    <m/>
    <m/>
    <m/>
    <s v="A l'emploi chez CHECHOIX, a rappeler ! Poursuite du contrat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">
  <r>
    <x v="0"/>
    <m/>
    <m/>
    <m/>
    <m/>
    <m/>
    <m/>
    <m/>
    <m/>
    <m/>
    <m/>
    <m/>
    <m/>
    <m/>
    <s v="(chiffres à cumuler / mois"/>
    <s v="(chiffres à cumuler / mois"/>
    <m/>
    <x v="0"/>
    <x v="0"/>
    <x v="0"/>
    <m/>
    <m/>
    <m/>
    <m/>
    <m/>
    <m/>
    <m/>
    <m/>
    <m/>
    <m/>
    <m/>
    <m/>
    <m/>
    <m/>
    <m/>
    <m/>
  </r>
  <r>
    <x v="1"/>
    <s v="CHAOU"/>
    <s v="Bouchra"/>
    <n v="35"/>
    <s v="Aucun diplômeAmbéreu"/>
    <m/>
    <m/>
    <d v="2026-01-13T00:00:00"/>
    <d v="2026-01-13T00:00:00"/>
    <d v="2026-07-12T00:00:00"/>
    <m/>
    <s v="SANTE"/>
    <m/>
    <m/>
    <m/>
    <m/>
    <m/>
    <x v="0"/>
    <x v="0"/>
    <x v="0"/>
    <m/>
    <m/>
    <m/>
    <m/>
    <m/>
    <m/>
    <m/>
    <m/>
    <m/>
    <m/>
    <m/>
    <m/>
    <m/>
    <m/>
    <m/>
    <m/>
  </r>
  <r>
    <x v="2"/>
    <s v="KACZOROWSKI"/>
    <s v="Gary"/>
    <n v="40"/>
    <s v="CAP, BEP"/>
    <s v="Lagnieu"/>
    <m/>
    <d v="2026-01-06T00:00:00"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2"/>
    <s v="PILCH "/>
    <s v="Jean-Christophe"/>
    <n v="47"/>
    <s v="BAC PRO"/>
    <s v="Lagnieu"/>
    <m/>
    <d v="2026-01-06T00:00:00"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2"/>
    <s v="CLOYER"/>
    <s v="Jérémy"/>
    <n v="40"/>
    <s v="Aucun diplôme"/>
    <s v="Ambérieu"/>
    <m/>
    <d v="2026-01-14T00:00:00"/>
    <d v="2026-01-14T00:00:00"/>
    <d v="2026-07-13T00:00:00"/>
    <m/>
    <s v="SANTE"/>
    <s v="MOBILITE"/>
    <s v="LOGEMENT"/>
    <m/>
    <m/>
    <m/>
    <x v="0"/>
    <x v="0"/>
    <x v="0"/>
    <m/>
    <m/>
    <m/>
    <m/>
    <m/>
    <m/>
    <m/>
    <m/>
    <m/>
    <m/>
    <m/>
    <m/>
    <m/>
    <m/>
    <m/>
    <m/>
  </r>
  <r>
    <x v="2"/>
    <s v="YILMAZ"/>
    <s v="Mehmet"/>
    <n v="50"/>
    <s v="Aucun diplôme"/>
    <s v="Ambérieu"/>
    <m/>
    <d v="2026-01-22T00:00:00"/>
    <m/>
    <d v="1900-06-28T00:00:00"/>
    <m/>
    <s v="Repasser le permis"/>
    <m/>
    <m/>
    <m/>
    <m/>
    <m/>
    <x v="0"/>
    <x v="0"/>
    <x v="0"/>
    <m/>
    <m/>
    <m/>
    <m/>
    <m/>
    <m/>
    <m/>
    <m/>
    <m/>
    <m/>
    <m/>
    <m/>
    <m/>
    <m/>
    <m/>
    <m/>
  </r>
  <r>
    <x v="2"/>
    <s v="AL ALI"/>
    <s v="Abdallah"/>
    <n v="41"/>
    <s v="Aucun diplôme"/>
    <s v="Amberieu "/>
    <d v="2025-06-03T00:00:00"/>
    <d v="2025-08-04T00:00:00"/>
    <d v="2025-08-04T00:00:00"/>
    <d v="2026-01-31T00:00:00"/>
    <m/>
    <s v="LANGUE"/>
    <s v="SANTE"/>
    <m/>
    <m/>
    <m/>
    <m/>
    <x v="0"/>
    <x v="0"/>
    <x v="0"/>
    <m/>
    <n v="1"/>
    <m/>
    <m/>
    <m/>
    <m/>
    <m/>
    <m/>
    <m/>
    <m/>
    <m/>
    <m/>
    <m/>
    <m/>
    <m/>
    <m/>
  </r>
  <r>
    <x v="3"/>
    <s v="ANAYAT"/>
    <s v="Safreen"/>
    <n v="53"/>
    <s v="Aucun diplôme"/>
    <s v="Amberieu "/>
    <d v="2025-07-29T00:00:00"/>
    <d v="2025-09-10T00:00:00"/>
    <d v="2025-09-10T00:00:00"/>
    <d v="2026-03-09T00:00:00"/>
    <m/>
    <s v="LANGUE"/>
    <s v="SANTE "/>
    <s v="MOBILITE"/>
    <m/>
    <m/>
    <m/>
    <x v="0"/>
    <x v="0"/>
    <x v="0"/>
    <m/>
    <m/>
    <m/>
    <m/>
    <m/>
    <m/>
    <m/>
    <m/>
    <m/>
    <m/>
    <m/>
    <m/>
    <m/>
    <m/>
    <m/>
    <m/>
  </r>
  <r>
    <x v="3"/>
    <s v="ASLIMANI/LAAROUSSI"/>
    <s v="Nasera"/>
    <n v="40"/>
    <s v="CAP, BEP"/>
    <s v="Amberieu "/>
    <d v="2025-06-03T00:00:00"/>
    <s v="18/09/20025"/>
    <d v="2025-11-07T00:00:00"/>
    <d v="2026-05-06T00:00:00"/>
    <m/>
    <s v="MOBILITE"/>
    <s v="SANTE"/>
    <m/>
    <m/>
    <m/>
    <m/>
    <x v="0"/>
    <x v="0"/>
    <x v="0"/>
    <m/>
    <m/>
    <m/>
    <m/>
    <m/>
    <m/>
    <m/>
    <m/>
    <m/>
    <m/>
    <m/>
    <m/>
    <m/>
    <m/>
    <m/>
    <m/>
  </r>
  <r>
    <x v="3"/>
    <s v="BAJRAMOVA"/>
    <s v="Juksela"/>
    <n v="48"/>
    <s v="Aucun diplôme"/>
    <s v="Amberieu "/>
    <d v="2025-07-31T00:00:00"/>
    <d v="2025-09-11T00:00:00"/>
    <d v="2025-09-11T00:00:00"/>
    <d v="2026-03-10T00:00:00"/>
    <m/>
    <s v="LOGEMENT"/>
    <s v="SANTE"/>
    <s v="MOBILITE"/>
    <n v="4"/>
    <m/>
    <m/>
    <x v="0"/>
    <x v="0"/>
    <x v="0"/>
    <m/>
    <m/>
    <m/>
    <m/>
    <m/>
    <m/>
    <m/>
    <m/>
    <m/>
    <m/>
    <m/>
    <m/>
    <m/>
    <m/>
    <m/>
    <m/>
  </r>
  <r>
    <x v="3"/>
    <s v="BERNARDIN"/>
    <s v="Gaëlle"/>
    <n v="43"/>
    <s v="Aucun diplôme"/>
    <s v="Amberieu "/>
    <d v="2025-06-04T00:00:00"/>
    <d v="2025-08-12T00:00:00"/>
    <n v="45897"/>
    <d v="2026-02-24T00:00:00"/>
    <m/>
    <s v="MAMAN SOLO"/>
    <m/>
    <m/>
    <n v="3"/>
    <m/>
    <m/>
    <x v="0"/>
    <x v="0"/>
    <x v="0"/>
    <m/>
    <n v="1"/>
    <m/>
    <m/>
    <m/>
    <m/>
    <m/>
    <m/>
    <m/>
    <m/>
    <m/>
    <m/>
    <m/>
    <m/>
    <m/>
    <m/>
  </r>
  <r>
    <x v="3"/>
    <s v="BORKADI-KHALDI"/>
    <s v="Cindy"/>
    <n v="33"/>
    <s v="Aucun diplôme"/>
    <s v="Amberieu "/>
    <d v="2025-04-22T00:00:00"/>
    <d v="2025-09-01T00:00:00"/>
    <d v="2025-09-01T00:00:00"/>
    <d v="2026-02-28T00:00:00"/>
    <m/>
    <s v="MOBILITE"/>
    <s v="enfant en situation d'handicap"/>
    <s v="peu d'expérience professionnelle"/>
    <n v="2"/>
    <m/>
    <m/>
    <x v="0"/>
    <x v="0"/>
    <x v="0"/>
    <m/>
    <n v="1"/>
    <m/>
    <m/>
    <m/>
    <m/>
    <m/>
    <m/>
    <m/>
    <m/>
    <m/>
    <m/>
    <m/>
    <m/>
    <m/>
    <m/>
  </r>
  <r>
    <x v="2"/>
    <s v="CLAIRET"/>
    <s v="Patrice"/>
    <n v="43"/>
    <s v="Aucun diplôme"/>
    <s v="Amberieu "/>
    <d v="2025-06-12T00:00:00"/>
    <d v="2025-08-25T00:00:00"/>
    <d v="2025-09-09T00:00:00"/>
    <d v="2026-03-08T00:00:00"/>
    <m/>
    <s v="SANTE"/>
    <s v="MOBILITE"/>
    <m/>
    <m/>
    <m/>
    <m/>
    <x v="1"/>
    <x v="1"/>
    <x v="0"/>
    <m/>
    <n v="1"/>
    <m/>
    <m/>
    <m/>
    <m/>
    <m/>
    <m/>
    <m/>
    <m/>
    <m/>
    <m/>
    <m/>
    <m/>
    <m/>
    <m/>
  </r>
  <r>
    <x v="2"/>
    <s v="CREPALDI"/>
    <s v="David"/>
    <n v="41"/>
    <s v="BAC PRO"/>
    <s v="Lagnieu"/>
    <d v="2025-06-13T00:00:00"/>
    <d v="2025-08-04T00:00:00"/>
    <d v="2025-08-04T00:00:00"/>
    <d v="2026-01-31T00:00:00"/>
    <m/>
    <s v="SANTE"/>
    <m/>
    <m/>
    <n v="2"/>
    <n v="1"/>
    <m/>
    <x v="0"/>
    <x v="0"/>
    <x v="0"/>
    <m/>
    <n v="1"/>
    <m/>
    <m/>
    <m/>
    <m/>
    <m/>
    <m/>
    <m/>
    <m/>
    <m/>
    <m/>
    <m/>
    <m/>
    <m/>
    <m/>
  </r>
  <r>
    <x v="2"/>
    <s v="FARINA*** "/>
    <s v="Yann"/>
    <n v="42"/>
    <s v="Aucun diplôme"/>
    <s v="Amberieu "/>
    <d v="2025-06-06T00:00:00"/>
    <d v="2025-09-01T00:00:00"/>
    <d v="2025-10-15T00:00:00"/>
    <d v="2026-04-13T00:00:00"/>
    <m/>
    <s v="sans domicile"/>
    <s v="frais de déplacement"/>
    <m/>
    <n v="3"/>
    <m/>
    <m/>
    <x v="0"/>
    <x v="0"/>
    <x v="0"/>
    <m/>
    <n v="1"/>
    <m/>
    <m/>
    <m/>
    <m/>
    <m/>
    <m/>
    <m/>
    <m/>
    <m/>
    <m/>
    <m/>
    <m/>
    <m/>
    <m/>
  </r>
  <r>
    <x v="3"/>
    <s v="FERNANDES"/>
    <s v="Noemie"/>
    <n v="28"/>
    <s v="DEUG, BTS, DUT, DEUST"/>
    <s v="Amberieu "/>
    <d v="2025-06-06T00:00:00"/>
    <d v="2025-08-05T00:00:00"/>
    <d v="2025-08-05T00:00:00"/>
    <d v="2026-02-01T00:00:00"/>
    <m/>
    <s v="SANTE"/>
    <s v="Probl perso"/>
    <m/>
    <n v="2"/>
    <m/>
    <m/>
    <x v="0"/>
    <x v="0"/>
    <x v="0"/>
    <m/>
    <m/>
    <m/>
    <m/>
    <m/>
    <m/>
    <m/>
    <m/>
    <m/>
    <m/>
    <m/>
    <m/>
    <m/>
    <m/>
    <m/>
    <m/>
  </r>
  <r>
    <x v="3"/>
    <s v="FOFANA"/>
    <s v="Fanta"/>
    <n v="29"/>
    <s v="Aucun diplôme"/>
    <s v="Amberieu "/>
    <d v="2025-06-12T00:00:00"/>
    <d v="2025-07-30T00:00:00"/>
    <d v="2025-09-12T00:00:00"/>
    <d v="2026-03-11T00:00:00"/>
    <m/>
    <s v="ECRIT"/>
    <s v="santé"/>
    <m/>
    <m/>
    <m/>
    <m/>
    <x v="0"/>
    <x v="0"/>
    <x v="0"/>
    <m/>
    <n v="1"/>
    <m/>
    <m/>
    <m/>
    <m/>
    <m/>
    <m/>
    <m/>
    <m/>
    <m/>
    <m/>
    <m/>
    <m/>
    <m/>
    <m/>
  </r>
  <r>
    <x v="3"/>
    <s v="HAMOT"/>
    <s v="Whitney"/>
    <n v="28"/>
    <s v="DEUG, BTS, DUT, DEUST"/>
    <s v="Lagnieu"/>
    <d v="2025-06-27T00:00:00"/>
    <d v="2025-07-28T00:00:00"/>
    <n v="45873"/>
    <d v="2026-01-31T00:00:00"/>
    <m/>
    <s v="Enfant bas age"/>
    <m/>
    <m/>
    <n v="2"/>
    <m/>
    <m/>
    <x v="0"/>
    <x v="0"/>
    <x v="0"/>
    <m/>
    <n v="1"/>
    <m/>
    <m/>
    <m/>
    <m/>
    <m/>
    <m/>
    <m/>
    <m/>
    <m/>
    <m/>
    <m/>
    <m/>
    <m/>
    <m/>
  </r>
  <r>
    <x v="2"/>
    <s v="JUVENAL"/>
    <s v="Cédric"/>
    <n v="48"/>
    <s v="CAP, BEP"/>
    <s v="Lagnieu"/>
    <d v="2025-07-02T00:00:00"/>
    <d v="2025-09-01T00:00:00"/>
    <n v="45922"/>
    <d v="2026-03-21T00:00:00"/>
    <m/>
    <s v="SANTE"/>
    <m/>
    <m/>
    <n v="4"/>
    <m/>
    <m/>
    <x v="0"/>
    <x v="0"/>
    <x v="0"/>
    <m/>
    <m/>
    <m/>
    <m/>
    <m/>
    <m/>
    <m/>
    <m/>
    <m/>
    <m/>
    <m/>
    <m/>
    <m/>
    <m/>
    <m/>
    <m/>
  </r>
  <r>
    <x v="3"/>
    <s v="KHALO"/>
    <s v="Hanifa"/>
    <n v="40"/>
    <s v="Aucun diplôme"/>
    <s v="Amberieu "/>
    <d v="2025-06-19T00:00:00"/>
    <d v="2025-08-14T00:00:00"/>
    <n v="45912"/>
    <d v="2026-03-11T00:00:00"/>
    <m/>
    <s v="LANGUE"/>
    <s v="SANTE"/>
    <s v="MOBILITE"/>
    <m/>
    <m/>
    <m/>
    <x v="0"/>
    <x v="0"/>
    <x v="0"/>
    <m/>
    <n v="1"/>
    <m/>
    <m/>
    <m/>
    <m/>
    <m/>
    <m/>
    <m/>
    <m/>
    <m/>
    <m/>
    <m/>
    <m/>
    <m/>
    <m/>
  </r>
  <r>
    <x v="3"/>
    <s v="KOUASSI"/>
    <s v="Amoin Désirée Prudence"/>
    <n v="30"/>
    <s v="CAP, BEP"/>
    <s v="Amberieu "/>
    <d v="2025-07-02T00:00:00"/>
    <d v="2025-07-21T00:00:00"/>
    <d v="2025-07-21T00:00:00"/>
    <d v="2026-01-17T00:00:00"/>
    <m/>
    <s v="SANTE"/>
    <s v="VEHICULE"/>
    <m/>
    <n v="8"/>
    <m/>
    <m/>
    <x v="0"/>
    <x v="0"/>
    <x v="0"/>
    <m/>
    <n v="1"/>
    <m/>
    <m/>
    <m/>
    <m/>
    <m/>
    <m/>
    <m/>
    <m/>
    <m/>
    <m/>
    <m/>
    <m/>
    <m/>
    <m/>
  </r>
  <r>
    <x v="3"/>
    <s v="LAHURE"/>
    <s v="Belinda"/>
    <n v="47"/>
    <s v="Aucun diplôme"/>
    <s v="Amberieu "/>
    <d v="2025-06-24T00:00:00"/>
    <d v="2025-08-27T00:00:00"/>
    <n v="45896"/>
    <d v="2026-02-23T00:00:00"/>
    <m/>
    <s v="SANTE"/>
    <s v="Permis en cours"/>
    <m/>
    <n v="5"/>
    <m/>
    <m/>
    <x v="0"/>
    <x v="0"/>
    <x v="0"/>
    <m/>
    <n v="1"/>
    <m/>
    <m/>
    <m/>
    <m/>
    <m/>
    <m/>
    <m/>
    <m/>
    <m/>
    <m/>
    <m/>
    <m/>
    <m/>
    <m/>
  </r>
  <r>
    <x v="3"/>
    <s v="LYONNET"/>
    <s v="Sandrine"/>
    <n v="46"/>
    <s v="CAP, BEP"/>
    <s v="Amberieu "/>
    <d v="2025-06-13T00:00:00"/>
    <d v="2025-08-13T00:00:00"/>
    <d v="2025-08-13T00:00:00"/>
    <d v="2026-02-09T00:00:00"/>
    <m/>
    <s v="SANTE"/>
    <s v="pas de véhicule"/>
    <m/>
    <n v="3"/>
    <m/>
    <m/>
    <x v="0"/>
    <x v="0"/>
    <x v="0"/>
    <m/>
    <n v="1"/>
    <m/>
    <m/>
    <m/>
    <m/>
    <m/>
    <m/>
    <m/>
    <m/>
    <m/>
    <m/>
    <m/>
    <m/>
    <m/>
    <m/>
  </r>
  <r>
    <x v="3"/>
    <s v="MAHAMADOU"/>
    <s v="Haoua"/>
    <n v="47"/>
    <s v="Aucun diplôme"/>
    <s v="Amberieu "/>
    <d v="2025-06-12T00:00:00"/>
    <d v="2025-09-24T00:00:00"/>
    <n v="45938"/>
    <d v="2026-04-06T00:00:00"/>
    <m/>
    <s v="LANGUE"/>
    <s v="ISOLEE"/>
    <s v="SANTE"/>
    <m/>
    <m/>
    <m/>
    <x v="0"/>
    <x v="0"/>
    <x v="0"/>
    <m/>
    <n v="1"/>
    <m/>
    <m/>
    <m/>
    <m/>
    <m/>
    <m/>
    <m/>
    <m/>
    <m/>
    <m/>
    <m/>
    <m/>
    <m/>
    <m/>
  </r>
  <r>
    <x v="3"/>
    <s v="MAHESHE NKUBONAGE"/>
    <s v="Nicole"/>
    <n v="45"/>
    <s v="DEUG, BTS, DUT, DEUST"/>
    <s v="Amberieu "/>
    <d v="2025-06-03T00:00:00"/>
    <d v="2025-09-02T00:00:00"/>
    <d v="2025-09-02T00:00:00"/>
    <d v="2026-03-01T00:00:00"/>
    <m/>
    <s v="MOBILITE"/>
    <s v="SANTE"/>
    <m/>
    <n v="7"/>
    <m/>
    <m/>
    <x v="0"/>
    <x v="0"/>
    <x v="0"/>
    <m/>
    <n v="1"/>
    <m/>
    <m/>
    <m/>
    <m/>
    <m/>
    <m/>
    <m/>
    <m/>
    <m/>
    <m/>
    <m/>
    <m/>
    <m/>
    <m/>
  </r>
  <r>
    <x v="2"/>
    <s v="MIGUEL"/>
    <s v="Herve"/>
    <n v="45"/>
    <s v="Aucun diplôme"/>
    <s v="Amberieu "/>
    <d v="2025-05-21T00:00:00"/>
    <d v="2025-08-04T00:00:00"/>
    <d v="2025-08-04T00:00:00"/>
    <d v="2026-01-31T00:00:00"/>
    <m/>
    <s v="MOBILITE "/>
    <s v="SANTE"/>
    <s v="HEBERGEMENT"/>
    <n v="1"/>
    <m/>
    <m/>
    <x v="0"/>
    <x v="0"/>
    <x v="0"/>
    <m/>
    <m/>
    <m/>
    <m/>
    <m/>
    <m/>
    <m/>
    <m/>
    <m/>
    <m/>
    <m/>
    <m/>
    <m/>
    <m/>
    <m/>
    <m/>
  </r>
  <r>
    <x v="3"/>
    <s v="MOHAMAD"/>
    <s v="Shirin"/>
    <n v="46"/>
    <s v="Aucun diplôme"/>
    <s v="Amberieu "/>
    <d v="2025-06-18T00:00:00"/>
    <d v="2025-08-14T00:00:00"/>
    <d v="2025-08-14T00:00:00"/>
    <d v="2026-02-10T00:00:00"/>
    <m/>
    <s v="MOBILITE"/>
    <s v="SANTE"/>
    <s v="LANGUE"/>
    <m/>
    <m/>
    <m/>
    <x v="0"/>
    <x v="0"/>
    <x v="0"/>
    <m/>
    <n v="1"/>
    <m/>
    <m/>
    <m/>
    <m/>
    <m/>
    <m/>
    <m/>
    <m/>
    <m/>
    <m/>
    <m/>
    <m/>
    <m/>
    <m/>
  </r>
  <r>
    <x v="2"/>
    <s v="MOTA"/>
    <s v="Jean Michel"/>
    <n v="45"/>
    <m/>
    <s v="Lagnieu"/>
    <d v="2025-06-24T00:00:00"/>
    <d v="2025-08-25T00:00:00"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2"/>
    <s v="PIEDBOIS"/>
    <s v="Youri"/>
    <n v="54"/>
    <s v="Baccalauréat"/>
    <s v="Lagnieu"/>
    <d v="2025-06-18T00:00:00"/>
    <d v="2025-09-08T00:00:00"/>
    <d v="2025-09-08T00:00:00"/>
    <d v="2026-03-07T00:00:00"/>
    <m/>
    <s v="Hebergement"/>
    <s v="santé"/>
    <m/>
    <n v="3"/>
    <m/>
    <m/>
    <x v="0"/>
    <x v="0"/>
    <x v="0"/>
    <m/>
    <n v="1"/>
    <m/>
    <m/>
    <m/>
    <m/>
    <m/>
    <m/>
    <m/>
    <m/>
    <m/>
    <m/>
    <m/>
    <m/>
    <m/>
    <m/>
  </r>
  <r>
    <x v="2"/>
    <s v="POTENZIANI"/>
    <s v="Nicolas"/>
    <n v="26"/>
    <s v="Aucun diplôme"/>
    <s v="Amberieu "/>
    <d v="2025-06-04T00:00:00"/>
    <d v="2025-08-18T00:00:00"/>
    <n v="45924"/>
    <d v="2026-03-23T00:00:00"/>
    <m/>
    <s v="mobilité"/>
    <s v="peu d'expérience pro"/>
    <m/>
    <m/>
    <m/>
    <m/>
    <x v="0"/>
    <x v="0"/>
    <x v="0"/>
    <m/>
    <m/>
    <m/>
    <m/>
    <m/>
    <m/>
    <m/>
    <m/>
    <m/>
    <m/>
    <m/>
    <m/>
    <m/>
    <m/>
    <m/>
    <m/>
  </r>
  <r>
    <x v="2"/>
    <s v="PUVILLAN"/>
    <s v="Cédric"/>
    <n v="48"/>
    <s v="DEUG, BTS, DUT, DEUST"/>
    <s v="Amberieu "/>
    <d v="2025-04-30T00:00:00"/>
    <d v="2025-07-28T00:00:00"/>
    <n v="45866"/>
    <d v="2026-01-24T00:00:00"/>
    <m/>
    <s v="multiple projet"/>
    <s v="santé"/>
    <m/>
    <n v="1"/>
    <m/>
    <m/>
    <x v="0"/>
    <x v="0"/>
    <x v="0"/>
    <m/>
    <n v="1"/>
    <m/>
    <m/>
    <m/>
    <m/>
    <m/>
    <m/>
    <m/>
    <m/>
    <m/>
    <m/>
    <m/>
    <m/>
    <m/>
    <m/>
  </r>
  <r>
    <x v="3"/>
    <s v="RAMDANI"/>
    <s v="Ikram"/>
    <n v="43"/>
    <s v="BAC"/>
    <s v="Lagnieu"/>
    <d v="2025-06-04T00:00:00"/>
    <d v="2025-09-01T00:00:00"/>
    <d v="2025-09-01T00:00:00"/>
    <d v="2026-02-28T00:00:00"/>
    <m/>
    <s v="MAMAN SOLO"/>
    <s v="santé"/>
    <m/>
    <m/>
    <m/>
    <m/>
    <x v="0"/>
    <x v="0"/>
    <x v="0"/>
    <m/>
    <m/>
    <m/>
    <m/>
    <m/>
    <m/>
    <m/>
    <m/>
    <m/>
    <m/>
    <m/>
    <m/>
    <m/>
    <m/>
    <m/>
    <m/>
  </r>
  <r>
    <x v="3"/>
    <s v="RAMOS"/>
    <s v="Audrey"/>
    <n v="36"/>
    <s v="CAP, BEP"/>
    <s v="Amberieu "/>
    <d v="2025-06-19T00:00:00"/>
    <d v="2025-09-02T00:00:00"/>
    <d v="2025-09-02T00:00:00"/>
    <d v="2026-03-01T00:00:00"/>
    <m/>
    <s v="séparation difficile"/>
    <s v="maman solo"/>
    <m/>
    <n v="3"/>
    <m/>
    <m/>
    <x v="0"/>
    <x v="0"/>
    <x v="0"/>
    <m/>
    <n v="1"/>
    <m/>
    <m/>
    <m/>
    <m/>
    <m/>
    <m/>
    <m/>
    <m/>
    <m/>
    <m/>
    <m/>
    <m/>
    <m/>
    <m/>
  </r>
  <r>
    <x v="3"/>
    <s v="RONGIER"/>
    <s v="Marine"/>
    <n v="39"/>
    <s v="BP"/>
    <s v="Amberieu "/>
    <d v="2025-06-03T00:00:00"/>
    <d v="2025-08-27T00:00:00"/>
    <d v="2025-08-27T00:00:00"/>
    <d v="2026-02-23T00:00:00"/>
    <m/>
    <s v="SANTE"/>
    <s v="maman solo"/>
    <m/>
    <m/>
    <m/>
    <m/>
    <x v="0"/>
    <x v="0"/>
    <x v="0"/>
    <m/>
    <n v="1"/>
    <m/>
    <m/>
    <m/>
    <m/>
    <m/>
    <m/>
    <m/>
    <m/>
    <m/>
    <m/>
    <m/>
    <m/>
    <m/>
    <m/>
  </r>
  <r>
    <x v="3"/>
    <s v="ROUSSEL"/>
    <s v="Joanna"/>
    <n v="32"/>
    <s v="BAC PRO"/>
    <s v="Amberieu "/>
    <d v="2025-06-02T00:00:00"/>
    <d v="2025-07-29T00:00:00"/>
    <d v="2025-08-29T00:00:00"/>
    <d v="2026-02-25T00:00:00"/>
    <m/>
    <s v="SANTE "/>
    <s v="MOBILITE"/>
    <s v="enfant en bas âge"/>
    <n v="3"/>
    <m/>
    <m/>
    <x v="0"/>
    <x v="0"/>
    <x v="0"/>
    <m/>
    <n v="1"/>
    <m/>
    <m/>
    <m/>
    <m/>
    <m/>
    <m/>
    <m/>
    <m/>
    <m/>
    <m/>
    <m/>
    <m/>
    <m/>
    <m/>
  </r>
  <r>
    <x v="2"/>
    <s v="SANTANA"/>
    <s v="Alexis"/>
    <n v="33"/>
    <s v="BAC PRO"/>
    <s v="Amberieu "/>
    <d v="2025-06-13T00:00:00"/>
    <d v="2025-09-08T00:00:00"/>
    <d v="2025-12-22T00:00:00"/>
    <d v="2026-06-20T00:00:00"/>
    <m/>
    <s v="santé"/>
    <m/>
    <m/>
    <m/>
    <m/>
    <m/>
    <x v="0"/>
    <x v="0"/>
    <x v="0"/>
    <m/>
    <m/>
    <m/>
    <m/>
    <m/>
    <m/>
    <m/>
    <m/>
    <m/>
    <m/>
    <m/>
    <m/>
    <m/>
    <m/>
    <m/>
    <m/>
  </r>
  <r>
    <x v="3"/>
    <s v="SCHEID"/>
    <s v="Marie"/>
    <n v="35"/>
    <s v="primaire"/>
    <s v="Amberieu "/>
    <d v="2025-06-24T00:00:00"/>
    <d v="2025-09-01T00:00:00"/>
    <d v="2025-09-01T00:00:00"/>
    <d v="2026-02-28T00:00:00"/>
    <m/>
    <s v="Peu d'expérience"/>
    <s v="enfant en difficulté"/>
    <m/>
    <n v="2"/>
    <m/>
    <m/>
    <x v="0"/>
    <x v="0"/>
    <x v="0"/>
    <m/>
    <m/>
    <m/>
    <m/>
    <m/>
    <m/>
    <m/>
    <m/>
    <m/>
    <m/>
    <m/>
    <m/>
    <m/>
    <m/>
    <m/>
    <m/>
  </r>
  <r>
    <x v="2"/>
    <s v="SEYE"/>
    <s v="Mohamed"/>
    <n v="37"/>
    <s v="BAC+3"/>
    <s v="Amberieu "/>
    <d v="2025-07-29T00:00:00"/>
    <d v="2025-08-20T00:00:00"/>
    <n v="45905"/>
    <d v="2026-03-04T00:00:00"/>
    <m/>
    <s v="MOBILITE"/>
    <s v="papa solo"/>
    <m/>
    <n v="4"/>
    <n v="1"/>
    <m/>
    <x v="0"/>
    <x v="0"/>
    <x v="0"/>
    <m/>
    <n v="1"/>
    <m/>
    <m/>
    <m/>
    <m/>
    <m/>
    <m/>
    <m/>
    <m/>
    <m/>
    <m/>
    <m/>
    <m/>
    <m/>
    <m/>
  </r>
  <r>
    <x v="3"/>
    <s v="SOUADIA"/>
    <s v="Sandrine"/>
    <n v="43"/>
    <m/>
    <s v="Lagnieu"/>
    <d v="2025-04-30T00:00:00"/>
    <d v="2025-09-08T00:00:00"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3"/>
    <s v="TAHIRI"/>
    <s v="Marsela"/>
    <n v="33"/>
    <s v="Aucun diplôme"/>
    <s v="Amberieu "/>
    <d v="2025-06-26T00:00:00"/>
    <d v="2025-07-29T00:00:00"/>
    <d v="2025-08-28T00:00:00"/>
    <d v="2026-02-24T00:00:00"/>
    <m/>
    <s v="MOBILITE"/>
    <s v="LANGUE"/>
    <s v="SANTE"/>
    <n v="5"/>
    <m/>
    <m/>
    <x v="0"/>
    <x v="0"/>
    <x v="0"/>
    <m/>
    <n v="1"/>
    <m/>
    <m/>
    <m/>
    <m/>
    <m/>
    <m/>
    <m/>
    <m/>
    <m/>
    <m/>
    <m/>
    <m/>
    <m/>
    <m/>
  </r>
  <r>
    <x v="2"/>
    <s v="TALASH"/>
    <s v="Mohamad"/>
    <n v="30"/>
    <m/>
    <s v="Amberieu "/>
    <d v="2025-05-22T00:00:00"/>
    <d v="2025-08-07T00:00:00"/>
    <s v="SDP"/>
    <e v="#VALUE!"/>
    <m/>
    <m/>
    <m/>
    <m/>
    <m/>
    <m/>
    <m/>
    <x v="0"/>
    <x v="0"/>
    <x v="0"/>
    <m/>
    <m/>
    <m/>
    <m/>
    <m/>
    <m/>
    <m/>
    <m/>
    <m/>
    <m/>
    <m/>
    <m/>
    <m/>
    <m/>
    <m/>
    <m/>
  </r>
  <r>
    <x v="3"/>
    <s v="THEVENON-DANIERE"/>
    <s v="Géraldine"/>
    <n v="44"/>
    <s v="BEP"/>
    <s v="Amberieu "/>
    <d v="2025-04-11T00:00:00"/>
    <d v="2025-09-10T00:00:00"/>
    <d v="2025-09-10T00:00:00"/>
    <d v="2026-03-09T00:00:00"/>
    <m/>
    <s v="pb lié au logement"/>
    <s v="maman solo"/>
    <s v="séparation difficile"/>
    <m/>
    <m/>
    <m/>
    <x v="0"/>
    <x v="0"/>
    <x v="0"/>
    <m/>
    <m/>
    <m/>
    <m/>
    <m/>
    <m/>
    <m/>
    <m/>
    <m/>
    <m/>
    <m/>
    <m/>
    <m/>
    <m/>
    <m/>
    <m/>
  </r>
  <r>
    <x v="3"/>
    <s v="THOMASSON"/>
    <s v="Amélie"/>
    <n v="47"/>
    <m/>
    <s v="Amberieu "/>
    <d v="2025-07-29T00:00:00"/>
    <d v="2025-08-20T00:00:00"/>
    <n v="45920"/>
    <d v="2026-03-19T00:00:00"/>
    <m/>
    <s v="MOBILITE"/>
    <s v="SANTE"/>
    <m/>
    <m/>
    <m/>
    <m/>
    <x v="0"/>
    <x v="0"/>
    <x v="0"/>
    <m/>
    <m/>
    <m/>
    <m/>
    <m/>
    <m/>
    <m/>
    <m/>
    <m/>
    <m/>
    <m/>
    <m/>
    <m/>
    <m/>
    <m/>
    <m/>
  </r>
  <r>
    <x v="3"/>
    <s v="TOURE"/>
    <s v="Marie Agnes"/>
    <n v="43"/>
    <s v="BAC"/>
    <s v="Amberieu "/>
    <d v="2025-06-13T00:00:00"/>
    <d v="2025-09-10T00:00:00"/>
    <d v="2025-09-10T00:00:00"/>
    <d v="2026-03-09T00:00:00"/>
    <m/>
    <s v="MAMAN SOLO"/>
    <s v="garde d'enfant"/>
    <s v="Pas de véhicule"/>
    <m/>
    <m/>
    <m/>
    <x v="0"/>
    <x v="0"/>
    <x v="0"/>
    <m/>
    <m/>
    <m/>
    <m/>
    <m/>
    <m/>
    <m/>
    <m/>
    <m/>
    <m/>
    <m/>
    <m/>
    <m/>
    <m/>
    <m/>
    <m/>
  </r>
  <r>
    <x v="3"/>
    <s v="TRONQUART"/>
    <s v="Marie-Christine"/>
    <n v="51"/>
    <s v="CAP, BEP"/>
    <s v="Amberieu "/>
    <d v="2025-06-13T00:00:00"/>
    <d v="2025-08-20T00:00:00"/>
    <n v="45903"/>
    <d v="2026-03-02T00:00:00"/>
    <m/>
    <s v="MOBILITE"/>
    <s v="Pas de médecin"/>
    <m/>
    <n v="4"/>
    <m/>
    <m/>
    <x v="0"/>
    <x v="0"/>
    <x v="0"/>
    <m/>
    <n v="1"/>
    <m/>
    <m/>
    <m/>
    <m/>
    <m/>
    <m/>
    <m/>
    <m/>
    <m/>
    <m/>
    <m/>
    <m/>
    <m/>
    <m/>
  </r>
  <r>
    <x v="3"/>
    <s v="TUNCAY"/>
    <s v="Esira"/>
    <n v="28"/>
    <s v="Aucun diplôme"/>
    <s v="Amberieu "/>
    <d v="2025-06-05T00:00:00"/>
    <d v="2025-07-28T00:00:00"/>
    <d v="2025-09-05T00:00:00"/>
    <d v="2026-03-04T00:00:00"/>
    <m/>
    <s v="enfant en situation de handicap"/>
    <s v="En coursd de divorce"/>
    <m/>
    <m/>
    <m/>
    <m/>
    <x v="0"/>
    <x v="0"/>
    <x v="0"/>
    <m/>
    <m/>
    <m/>
    <m/>
    <m/>
    <m/>
    <m/>
    <m/>
    <m/>
    <m/>
    <m/>
    <m/>
    <m/>
    <m/>
    <m/>
    <m/>
  </r>
  <r>
    <x v="3"/>
    <s v="VOGELSGSANG"/>
    <s v="Emilie"/>
    <n v="38"/>
    <s v="Aucun diplôme"/>
    <s v="Amberieu "/>
    <d v="2025-06-13T00:00:00"/>
    <d v="2025-08-13T00:00:00"/>
    <d v="2025-08-13T00:00:00"/>
    <d v="2026-02-09T00:00:00"/>
    <m/>
    <s v="SANTE"/>
    <s v="MOBILITE"/>
    <s v="aucune exp pro"/>
    <m/>
    <m/>
    <m/>
    <x v="0"/>
    <x v="0"/>
    <x v="0"/>
    <m/>
    <n v="1"/>
    <m/>
    <m/>
    <m/>
    <m/>
    <m/>
    <m/>
    <m/>
    <m/>
    <m/>
    <m/>
    <m/>
    <m/>
    <m/>
    <m/>
  </r>
  <r>
    <x v="3"/>
    <s v="YOUNES"/>
    <s v="Sarah"/>
    <n v="33"/>
    <s v="BAC"/>
    <s v="Amberieu "/>
    <d v="2025-06-05T00:00:00"/>
    <d v="2025-07-29T00:00:00"/>
    <d v="2025-07-29T00:00:00"/>
    <d v="2026-01-25T00:00:00"/>
    <m/>
    <s v="ENFANTS"/>
    <s v="Aide à parent malade"/>
    <m/>
    <m/>
    <m/>
    <m/>
    <x v="0"/>
    <x v="0"/>
    <x v="0"/>
    <m/>
    <m/>
    <m/>
    <m/>
    <m/>
    <m/>
    <m/>
    <m/>
    <m/>
    <m/>
    <m/>
    <m/>
    <m/>
    <m/>
    <m/>
    <m/>
  </r>
  <r>
    <x v="2"/>
    <s v="ZABLOT"/>
    <s v="Arthur"/>
    <n v="30"/>
    <s v="BAC"/>
    <s v="Amberieu "/>
    <d v="2025-04-29T00:00:00"/>
    <d v="2005-09-08T00:00:00"/>
    <d v="2025-09-08T00:00:00"/>
    <d v="2026-03-07T00:00:00"/>
    <m/>
    <s v="RQTH"/>
    <m/>
    <m/>
    <n v="8"/>
    <n v="1"/>
    <m/>
    <x v="0"/>
    <x v="0"/>
    <x v="0"/>
    <m/>
    <n v="1"/>
    <m/>
    <m/>
    <m/>
    <m/>
    <m/>
    <m/>
    <m/>
    <m/>
    <m/>
    <m/>
    <m/>
    <m/>
    <m/>
    <m/>
  </r>
  <r>
    <x v="3"/>
    <s v="CHEKKI"/>
    <s v="Islam"/>
    <n v="33"/>
    <s v="master"/>
    <s v="Lagnieu"/>
    <d v="2025-08-21T00:00:00"/>
    <d v="2025-09-29T00:00:00"/>
    <d v="2025-09-29T00:00:00"/>
    <d v="2026-03-28T00:00:00"/>
    <m/>
    <s v="MAMAN SOLO"/>
    <m/>
    <m/>
    <m/>
    <m/>
    <m/>
    <x v="0"/>
    <x v="0"/>
    <x v="0"/>
    <m/>
    <n v="1"/>
    <m/>
    <m/>
    <m/>
    <m/>
    <m/>
    <m/>
    <m/>
    <m/>
    <m/>
    <m/>
    <m/>
    <m/>
    <m/>
    <m/>
  </r>
  <r>
    <x v="2"/>
    <s v="LAMANCHE"/>
    <s v="Steve"/>
    <n v="33"/>
    <m/>
    <s v="Lagnieu"/>
    <d v="2025-08-13T00:00:00"/>
    <d v="2025-09-22T00:00:00"/>
    <d v="2025-09-22T00:00:00"/>
    <d v="2026-03-21T00:00:00"/>
    <m/>
    <s v="MOBILITE"/>
    <s v="Manque de confiance"/>
    <m/>
    <m/>
    <m/>
    <m/>
    <x v="0"/>
    <x v="0"/>
    <x v="0"/>
    <m/>
    <m/>
    <m/>
    <m/>
    <m/>
    <m/>
    <m/>
    <m/>
    <m/>
    <m/>
    <m/>
    <m/>
    <m/>
    <m/>
    <m/>
    <m/>
  </r>
  <r>
    <x v="3"/>
    <s v="SLIMANI"/>
    <s v="Lahouaria"/>
    <n v="53"/>
    <s v="BAC+3"/>
    <s v="Lagnieu"/>
    <d v="2025-08-21T00:00:00"/>
    <d v="2025-09-29T00:00:00"/>
    <n v="45929"/>
    <d v="2026-03-28T00:00:00"/>
    <m/>
    <s v="enfant autiste"/>
    <m/>
    <m/>
    <m/>
    <m/>
    <m/>
    <x v="0"/>
    <x v="0"/>
    <x v="0"/>
    <m/>
    <m/>
    <m/>
    <m/>
    <m/>
    <m/>
    <m/>
    <m/>
    <m/>
    <m/>
    <m/>
    <m/>
    <m/>
    <m/>
    <m/>
    <m/>
  </r>
  <r>
    <x v="2"/>
    <s v="TACHDJIAN"/>
    <s v="Khatchik"/>
    <n v="41"/>
    <s v="Aucun diplôme"/>
    <s v="Lagnieu"/>
    <d v="2025-09-18T00:00:00"/>
    <d v="2025-10-13T00:00:00"/>
    <d v="2025-10-13T00:00:00"/>
    <d v="2026-04-11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3"/>
    <s v="MALIQI"/>
    <s v="Qendrese"/>
    <n v="26"/>
    <s v="Aucun diplôme"/>
    <s v="Ambérieu"/>
    <d v="2025-09-03T00:00:00"/>
    <d v="2025-09-23T00:00:00"/>
    <d v="2025-09-23T00:00:00"/>
    <d v="2026-03-22T00:00:00"/>
    <m/>
    <s v="MOBILITE "/>
    <s v="SANTE"/>
    <m/>
    <n v="2"/>
    <m/>
    <m/>
    <x v="0"/>
    <x v="0"/>
    <x v="0"/>
    <m/>
    <m/>
    <m/>
    <m/>
    <m/>
    <m/>
    <m/>
    <m/>
    <m/>
    <m/>
    <m/>
    <m/>
    <m/>
    <m/>
    <m/>
    <m/>
  </r>
  <r>
    <x v="3"/>
    <s v="MUELLAEVA"/>
    <s v="Malvina"/>
    <n v="37"/>
    <s v="Aucun diplôme"/>
    <s v="Ambérieu"/>
    <d v="2025-09-04T00:00:00"/>
    <d v="2025-09-23T00:00:00"/>
    <n v="45923"/>
    <d v="2026-03-22T00:00:00"/>
    <m/>
    <s v="LANGUE"/>
    <s v="MOBILITE"/>
    <m/>
    <m/>
    <m/>
    <m/>
    <x v="0"/>
    <x v="0"/>
    <x v="0"/>
    <m/>
    <m/>
    <m/>
    <m/>
    <m/>
    <m/>
    <m/>
    <m/>
    <m/>
    <m/>
    <m/>
    <m/>
    <m/>
    <m/>
    <m/>
    <m/>
  </r>
  <r>
    <x v="2"/>
    <s v="BALME"/>
    <s v="Xavier"/>
    <n v="62"/>
    <s v="BAC+2"/>
    <s v="Lagnieu"/>
    <d v="2025-09-16T00:00:00"/>
    <d v="2025-10-13T00:00:00"/>
    <n v="45943"/>
    <d v="2026-04-11T00:00:00"/>
    <m/>
    <s v="Aucun accèsb numérique"/>
    <s v="motivation"/>
    <m/>
    <m/>
    <m/>
    <m/>
    <x v="0"/>
    <x v="0"/>
    <x v="0"/>
    <m/>
    <n v="1"/>
    <m/>
    <m/>
    <m/>
    <m/>
    <m/>
    <m/>
    <m/>
    <m/>
    <m/>
    <m/>
    <m/>
    <m/>
    <m/>
    <m/>
  </r>
  <r>
    <x v="2"/>
    <s v="MICHALET"/>
    <s v="Jean Louis"/>
    <n v="52"/>
    <s v="Aucun dipôme"/>
    <s v="Lagnieu"/>
    <d v="2025-10-06T00:00:00"/>
    <d v="2025-11-04T00:00:00"/>
    <d v="2025-11-04T00:00:00"/>
    <d v="2026-05-03T00:00:00"/>
    <m/>
    <s v="SANTETDA"/>
    <s v="aucune qualif"/>
    <s v="MOBILITE"/>
    <m/>
    <m/>
    <m/>
    <x v="0"/>
    <x v="0"/>
    <x v="0"/>
    <m/>
    <n v="1"/>
    <m/>
    <m/>
    <m/>
    <m/>
    <m/>
    <m/>
    <m/>
    <m/>
    <m/>
    <m/>
    <m/>
    <m/>
    <m/>
    <m/>
  </r>
  <r>
    <x v="3"/>
    <s v="LOMBARD"/>
    <s v="Aurelia"/>
    <n v="43"/>
    <m/>
    <s v="Lagnieu"/>
    <d v="2025-10-09T00:00:00"/>
    <d v="2025-11-18T00:00:00"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2"/>
    <s v="TEKIN"/>
    <s v="Vural"/>
    <n v="44"/>
    <s v="CAP, BEP"/>
    <s v="Amberieu"/>
    <d v="2025-10-13T00:00:00"/>
    <d v="2025-10-29T00:00:00"/>
    <d v="2025-10-29T00:00:00"/>
    <d v="2026-04-27T00:00:00"/>
    <m/>
    <s v="SANTE"/>
    <s v="Faire le deuil de son entreprise"/>
    <m/>
    <m/>
    <m/>
    <m/>
    <x v="0"/>
    <x v="0"/>
    <x v="0"/>
    <m/>
    <n v="1"/>
    <m/>
    <m/>
    <m/>
    <m/>
    <m/>
    <m/>
    <m/>
    <m/>
    <m/>
    <m/>
    <m/>
    <m/>
    <m/>
    <m/>
  </r>
  <r>
    <x v="2"/>
    <s v="VANEENOO"/>
    <s v="Cedric"/>
    <n v="39"/>
    <s v="ucun diplôme"/>
    <s v="Amberieu"/>
    <d v="2025-10-10T00:00:00"/>
    <d v="2025-10-27T00:00:00"/>
    <d v="1899-12-31T00:00:00"/>
    <d v="1900-06-29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2"/>
    <s v="YOUSEF"/>
    <s v="Siraj"/>
    <n v="52"/>
    <s v="Ingénieur"/>
    <s v="Amberieu"/>
    <d v="2025-10-13T00:00:00"/>
    <d v="2025-10-29T00:00:00"/>
    <d v="2025-10-29T00:00:00"/>
    <d v="2026-04-27T00:00:00"/>
    <m/>
    <s v="SANTE"/>
    <s v="AGE"/>
    <m/>
    <m/>
    <m/>
    <m/>
    <x v="0"/>
    <x v="0"/>
    <x v="0"/>
    <m/>
    <m/>
    <m/>
    <m/>
    <m/>
    <m/>
    <m/>
    <m/>
    <m/>
    <m/>
    <m/>
    <m/>
    <m/>
    <m/>
    <m/>
    <m/>
  </r>
  <r>
    <x v="3"/>
    <s v="OLRY"/>
    <s v="Florence"/>
    <n v="49"/>
    <s v="Aucun diplôme"/>
    <s v="Amberieu"/>
    <d v="2025-10-13T00:00:00"/>
    <d v="2025-11-03T00:00:00"/>
    <d v="2025-11-03T00:00:00"/>
    <d v="2026-05-02T00:00:00"/>
    <m/>
    <s v="Difficultés financières"/>
    <s v="enfant adulte handicapé"/>
    <s v="mobilité"/>
    <m/>
    <m/>
    <m/>
    <x v="0"/>
    <x v="0"/>
    <x v="0"/>
    <m/>
    <m/>
    <m/>
    <m/>
    <m/>
    <m/>
    <m/>
    <m/>
    <m/>
    <m/>
    <m/>
    <m/>
    <m/>
    <m/>
    <m/>
    <m/>
  </r>
  <r>
    <x v="2"/>
    <s v="ENNAOURA"/>
    <s v="Riyad"/>
    <n v="26"/>
    <s v="BAC+3"/>
    <s v="Amberieu"/>
    <d v="2025-10-15T00:00:00"/>
    <d v="2025-10-29T00:00:00"/>
    <d v="2025-10-29T00:00:00"/>
    <d v="2026-04-27T00:00:00"/>
    <m/>
    <s v="indu CAF"/>
    <m/>
    <m/>
    <m/>
    <m/>
    <m/>
    <x v="0"/>
    <x v="0"/>
    <x v="0"/>
    <m/>
    <m/>
    <m/>
    <m/>
    <m/>
    <m/>
    <m/>
    <m/>
    <m/>
    <m/>
    <m/>
    <m/>
    <m/>
    <m/>
    <m/>
    <m/>
  </r>
  <r>
    <x v="3"/>
    <s v="TURPIN"/>
    <s v="Océane"/>
    <n v="32"/>
    <s v="BEP"/>
    <s v="Amberieu"/>
    <d v="2025-10-15T00:00:00"/>
    <d v="2025-10-29T00:00:00"/>
    <n v="45995"/>
    <d v="2026-06-02T00:00:00"/>
    <m/>
    <s v="enfant autiste"/>
    <s v="Menace"/>
    <s v="Changement de situation "/>
    <m/>
    <m/>
    <m/>
    <x v="0"/>
    <x v="0"/>
    <x v="0"/>
    <m/>
    <m/>
    <m/>
    <m/>
    <m/>
    <m/>
    <m/>
    <m/>
    <m/>
    <m/>
    <m/>
    <m/>
    <m/>
    <m/>
    <m/>
    <m/>
  </r>
  <r>
    <x v="3"/>
    <s v="HAMDANY / SAGGAI"/>
    <s v="Sephora"/>
    <n v="27"/>
    <s v="BAC+2"/>
    <s v="Amberieu"/>
    <d v="2025-10-15T00:00:00"/>
    <d v="2025-11-05T00:00:00"/>
    <d v="2025-11-05T00:00:00"/>
    <d v="2026-05-04T00:00:00"/>
    <m/>
    <s v="enfant en bas âge"/>
    <m/>
    <m/>
    <m/>
    <m/>
    <m/>
    <x v="0"/>
    <x v="0"/>
    <x v="0"/>
    <m/>
    <m/>
    <m/>
    <m/>
    <m/>
    <m/>
    <m/>
    <m/>
    <m/>
    <m/>
    <m/>
    <m/>
    <m/>
    <m/>
    <m/>
    <m/>
  </r>
  <r>
    <x v="3"/>
    <s v="CHERON"/>
    <s v="Carine"/>
    <n v="53"/>
    <s v="Sans diplôme"/>
    <s v="Ambérieu"/>
    <d v="2025-11-03T00:00:00"/>
    <d v="2025-11-26T00:00:00"/>
    <d v="2025-11-26T00:00:00"/>
    <d v="2026-05-25T00:00:00"/>
    <m/>
    <s v="SANTE"/>
    <s v="MOBILITE"/>
    <m/>
    <m/>
    <m/>
    <m/>
    <x v="0"/>
    <x v="0"/>
    <x v="0"/>
    <m/>
    <m/>
    <m/>
    <m/>
    <m/>
    <m/>
    <m/>
    <m/>
    <m/>
    <m/>
    <m/>
    <m/>
    <m/>
    <m/>
    <m/>
    <m/>
  </r>
  <r>
    <x v="2"/>
    <s v="BEN BRAHIM"/>
    <s v="Ridha"/>
    <n v="49"/>
    <s v="master"/>
    <s v="Lagnieu"/>
    <m/>
    <d v="2025-12-16T00:00:00"/>
    <d v="2025-12-16T00:00:00"/>
    <d v="2026-06-14T00:00:00"/>
    <m/>
    <s v="MOBILITE"/>
    <s v="dernier emploi ?"/>
    <m/>
    <m/>
    <m/>
    <m/>
    <x v="0"/>
    <x v="0"/>
    <x v="0"/>
    <m/>
    <m/>
    <m/>
    <m/>
    <m/>
    <m/>
    <m/>
    <m/>
    <m/>
    <m/>
    <m/>
    <m/>
    <m/>
    <m/>
    <m/>
    <m/>
  </r>
  <r>
    <x v="3"/>
    <s v="MESSAI/RIBEIRO"/>
    <s v="Hadda"/>
    <n v="37"/>
    <s v="BAC"/>
    <s v="Lagnieu"/>
    <m/>
    <d v="2025-12-16T00:00:00"/>
    <s v="?"/>
    <e v="#VALUE!"/>
    <m/>
    <s v="Congé parental"/>
    <s v="Enfant de 18 mois"/>
    <m/>
    <m/>
    <m/>
    <m/>
    <x v="0"/>
    <x v="0"/>
    <x v="0"/>
    <m/>
    <m/>
    <m/>
    <m/>
    <m/>
    <m/>
    <m/>
    <m/>
    <m/>
    <m/>
    <m/>
    <m/>
    <m/>
    <m/>
    <m/>
    <m/>
  </r>
  <r>
    <x v="3"/>
    <s v="VEUGLE"/>
    <s v="Alison"/>
    <n v="26"/>
    <s v="CAP, BEP"/>
    <s v="Ambérieu"/>
    <m/>
    <d v="2025-12-03T00:00:00"/>
    <d v="2025-12-23T00:00:00"/>
    <d v="2026-06-21T00:00:00"/>
    <m/>
    <s v="LOGEMENT"/>
    <s v="Enfant en bas age"/>
    <m/>
    <m/>
    <m/>
    <m/>
    <x v="0"/>
    <x v="0"/>
    <x v="0"/>
    <m/>
    <n v="1"/>
    <m/>
    <m/>
    <m/>
    <m/>
    <m/>
    <m/>
    <m/>
    <m/>
    <m/>
    <m/>
    <m/>
    <m/>
    <m/>
    <m/>
  </r>
  <r>
    <x v="3"/>
    <s v="BLIN"/>
    <s v="Françoise"/>
    <n v="63"/>
    <s v="Sans diplôme"/>
    <s v="Ambérieu"/>
    <m/>
    <d v="2025-12-03T00:00:00"/>
    <d v="2025-12-03T00:00:00"/>
    <d v="2026-06-01T00:00:00"/>
    <m/>
    <s v="AGE"/>
    <s v="MOBILITE"/>
    <m/>
    <m/>
    <m/>
    <m/>
    <x v="0"/>
    <x v="0"/>
    <x v="0"/>
    <m/>
    <n v="1"/>
    <m/>
    <m/>
    <m/>
    <m/>
    <m/>
    <m/>
    <m/>
    <m/>
    <m/>
    <m/>
    <m/>
    <m/>
    <m/>
    <m/>
  </r>
  <r>
    <x v="2"/>
    <s v="MARNY"/>
    <s v="Christopher"/>
    <n v="36"/>
    <s v="Sans diplôme"/>
    <s v="Ambérieu"/>
    <m/>
    <d v="2025-12-03T00:00:00"/>
    <d v="2025-12-03T00:00:00"/>
    <d v="2026-06-01T00:00:00"/>
    <m/>
    <s v="MOBILITE"/>
    <s v="SANTE"/>
    <s v="ENFANTS JEUNES"/>
    <m/>
    <m/>
    <m/>
    <x v="0"/>
    <x v="0"/>
    <x v="0"/>
    <m/>
    <m/>
    <m/>
    <m/>
    <m/>
    <m/>
    <m/>
    <m/>
    <m/>
    <m/>
    <m/>
    <m/>
    <m/>
    <m/>
    <m/>
    <m/>
  </r>
  <r>
    <x v="3"/>
    <s v="PIOLAT"/>
    <s v="Virginie"/>
    <n v="36"/>
    <s v="BAC"/>
    <s v="Ambérieu"/>
    <m/>
    <d v="2025-12-10T00:00:00"/>
    <n v="46001"/>
    <d v="2026-06-08T00:00:00"/>
    <m/>
    <s v="SANTE"/>
    <m/>
    <m/>
    <m/>
    <m/>
    <m/>
    <x v="0"/>
    <x v="0"/>
    <x v="0"/>
    <m/>
    <m/>
    <m/>
    <m/>
    <m/>
    <m/>
    <m/>
    <m/>
    <m/>
    <m/>
    <m/>
    <m/>
    <m/>
    <m/>
    <m/>
    <m/>
  </r>
  <r>
    <x v="3"/>
    <s v="GUILE"/>
    <s v="Rolande"/>
    <m/>
    <m/>
    <m/>
    <m/>
    <d v="2025-12-15T00:00:00"/>
    <m/>
    <d v="1900-06-28T00:00:00"/>
    <m/>
    <m/>
    <m/>
    <m/>
    <m/>
    <m/>
    <m/>
    <x v="2"/>
    <x v="2"/>
    <x v="0"/>
    <m/>
    <m/>
    <m/>
    <m/>
    <m/>
    <m/>
    <m/>
    <m/>
    <m/>
    <m/>
    <m/>
    <m/>
    <m/>
    <m/>
    <m/>
    <m/>
  </r>
  <r>
    <x v="2"/>
    <s v="CHARLIER"/>
    <s v="William"/>
    <n v="49"/>
    <s v="CAP, BEP"/>
    <s v="Lagnieu"/>
    <m/>
    <d v="2025-12-16T00:00:00"/>
    <d v="2025-12-18T00:00:00"/>
    <d v="2026-06-16T00:00:00"/>
    <m/>
    <s v="SANTE"/>
    <s v="RECONVERSION"/>
    <m/>
    <m/>
    <m/>
    <m/>
    <x v="0"/>
    <x v="0"/>
    <x v="0"/>
    <m/>
    <m/>
    <m/>
    <m/>
    <m/>
    <m/>
    <m/>
    <m/>
    <m/>
    <m/>
    <m/>
    <m/>
    <m/>
    <m/>
    <m/>
    <m/>
  </r>
  <r>
    <x v="2"/>
    <s v="SOULIER "/>
    <s v="Pierre"/>
    <n v="32"/>
    <s v="BAC"/>
    <s v="Amberieu"/>
    <m/>
    <d v="2025-12-17T00:00:00"/>
    <d v="2025-12-17T00:00:00"/>
    <d v="2026-06-15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2"/>
    <s v="HAMM"/>
    <s v="Alexandre"/>
    <n v="31"/>
    <s v="BAC+2"/>
    <s v="Amberieu"/>
    <m/>
    <d v="2025-12-17T00:00:00"/>
    <d v="2025-12-17T00:00:00"/>
    <d v="2026-06-15T00:00:00"/>
    <m/>
    <s v="MOBILITE"/>
    <m/>
    <m/>
    <m/>
    <m/>
    <m/>
    <x v="0"/>
    <x v="0"/>
    <x v="0"/>
    <m/>
    <n v="1"/>
    <m/>
    <m/>
    <m/>
    <m/>
    <m/>
    <m/>
    <m/>
    <m/>
    <m/>
    <m/>
    <m/>
    <m/>
    <m/>
    <m/>
  </r>
  <r>
    <x v="2"/>
    <s v="BOISMENU"/>
    <s v="David"/>
    <n v="52"/>
    <s v="BAC"/>
    <s v="Amberieu"/>
    <m/>
    <d v="2025-12-17T00:00:00"/>
    <d v="2025-12-17T00:00:00"/>
    <d v="2026-06-15T00:00:00"/>
    <m/>
    <s v="LOGEMENT"/>
    <s v="Surendettement"/>
    <s v="SANTE"/>
    <m/>
    <m/>
    <m/>
    <x v="0"/>
    <x v="0"/>
    <x v="0"/>
    <m/>
    <m/>
    <m/>
    <m/>
    <m/>
    <m/>
    <m/>
    <m/>
    <m/>
    <m/>
    <m/>
    <m/>
    <m/>
    <m/>
    <m/>
    <m/>
  </r>
  <r>
    <x v="3"/>
    <s v="TOURNU"/>
    <s v="Marie-Claude"/>
    <n v="45"/>
    <s v="BAC"/>
    <s v="Amberieu"/>
    <m/>
    <d v="2025-12-22T00:00:00"/>
    <d v="2025-12-22T00:00:00"/>
    <d v="2026-06-20T00:00:00"/>
    <m/>
    <s v="MAMAN SOLO"/>
    <s v="enfant en situation de handicap"/>
    <m/>
    <m/>
    <m/>
    <m/>
    <x v="0"/>
    <x v="0"/>
    <x v="0"/>
    <m/>
    <m/>
    <m/>
    <m/>
    <m/>
    <m/>
    <m/>
    <m/>
    <m/>
    <m/>
    <m/>
    <m/>
    <m/>
    <m/>
    <m/>
    <m/>
  </r>
  <r>
    <x v="3"/>
    <s v="HIRAUX"/>
    <s v="Annabelle"/>
    <n v="33"/>
    <m/>
    <s v="Amberieu"/>
    <m/>
    <d v="2025-12-22T00:00:00"/>
    <m/>
    <d v="1900-06-28T00:00:00"/>
    <m/>
    <s v="enfant situation de handicap"/>
    <m/>
    <m/>
    <m/>
    <m/>
    <m/>
    <x v="0"/>
    <x v="0"/>
    <x v="0"/>
    <m/>
    <m/>
    <m/>
    <m/>
    <m/>
    <m/>
    <m/>
    <m/>
    <m/>
    <m/>
    <m/>
    <m/>
    <m/>
    <m/>
    <m/>
    <m/>
  </r>
  <r>
    <x v="3"/>
    <s v="VULCAIN"/>
    <s v="Alexandrine"/>
    <n v="39"/>
    <s v="BAC"/>
    <s v="Amberieu"/>
    <m/>
    <d v="2025-12-22T00:00:00"/>
    <d v="2025-12-22T00:00:00"/>
    <d v="2026-06-20T00:00:00"/>
    <m/>
    <s v="Santé"/>
    <s v="Maman solo"/>
    <m/>
    <m/>
    <m/>
    <m/>
    <x v="0"/>
    <x v="0"/>
    <x v="0"/>
    <m/>
    <n v="1"/>
    <m/>
    <m/>
    <m/>
    <m/>
    <m/>
    <m/>
    <m/>
    <m/>
    <m/>
    <m/>
    <m/>
    <m/>
    <m/>
    <m/>
  </r>
  <r>
    <x v="3"/>
    <s v="JUPITER"/>
    <s v="Tanya"/>
    <n v="26"/>
    <s v="bacpro"/>
    <s v="Ambérieu"/>
    <m/>
    <d v="2025-12-22T00:00:00"/>
    <d v="2025-12-22T00:00:00"/>
    <d v="2026-06-20T00:00:00"/>
    <m/>
    <s v="problème psy"/>
    <s v="mobilité"/>
    <m/>
    <m/>
    <m/>
    <m/>
    <x v="0"/>
    <x v="0"/>
    <x v="0"/>
    <m/>
    <n v="1"/>
    <m/>
    <m/>
    <m/>
    <m/>
    <m/>
    <m/>
    <m/>
    <m/>
    <m/>
    <m/>
    <m/>
    <m/>
    <m/>
    <m/>
  </r>
  <r>
    <x v="3"/>
    <s v="GASHI"/>
    <s v="Ramize"/>
    <n v="41"/>
    <s v="BAC"/>
    <s v="Ambérieu"/>
    <m/>
    <d v="2025-12-09T00:00:00"/>
    <n v="46000"/>
    <d v="2026-06-07T00:00:00"/>
    <m/>
    <s v="français écrit"/>
    <s v="Maman solo"/>
    <m/>
    <m/>
    <m/>
    <m/>
    <x v="0"/>
    <x v="0"/>
    <x v="0"/>
    <m/>
    <n v="1"/>
    <m/>
    <m/>
    <m/>
    <m/>
    <m/>
    <m/>
    <m/>
    <m/>
    <m/>
    <m/>
    <m/>
    <m/>
    <m/>
    <m/>
  </r>
  <r>
    <x v="3"/>
    <s v="SAGGAI"/>
    <s v="Sephora"/>
    <n v="27"/>
    <s v="BTS"/>
    <s v="Ambérieu"/>
    <m/>
    <d v="2025-11-05T00:00:00"/>
    <d v="2025-11-06T00:00:00"/>
    <d v="2026-05-05T00:00:00"/>
    <m/>
    <s v="Enfant en bas age"/>
    <m/>
    <m/>
    <m/>
    <m/>
    <m/>
    <x v="0"/>
    <x v="0"/>
    <x v="0"/>
    <m/>
    <m/>
    <m/>
    <m/>
    <m/>
    <m/>
    <m/>
    <m/>
    <m/>
    <m/>
    <m/>
    <m/>
    <m/>
    <m/>
    <m/>
    <m/>
  </r>
  <r>
    <x v="4"/>
    <s v="KAHLAOUI"/>
    <s v="Samira"/>
    <n v="49"/>
    <s v="Aucun diplôme"/>
    <s v="Ambérieu"/>
    <m/>
    <d v="2025-12-01T00:00:00"/>
    <d v="2025-12-01T00:00:00"/>
    <d v="2026-05-30T00:00:00"/>
    <m/>
    <s v="LANGUE"/>
    <s v="PEU D'experience"/>
    <m/>
    <m/>
    <m/>
    <m/>
    <x v="0"/>
    <x v="0"/>
    <x v="0"/>
    <m/>
    <n v="1"/>
    <m/>
    <m/>
    <m/>
    <m/>
    <m/>
    <m/>
    <m/>
    <m/>
    <m/>
    <m/>
    <m/>
    <m/>
    <m/>
    <m/>
  </r>
  <r>
    <x v="5"/>
    <s v="VESPAZIANI"/>
    <s v="Vincent"/>
    <n v="31"/>
    <s v="BAC"/>
    <s v="Ambérieu"/>
    <m/>
    <d v="2025-11-26T00:00:00"/>
    <d v="2026-01-29T00:00:00"/>
    <d v="2026-07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3"/>
    <s v="LACOSSE"/>
    <s v="Alexandra"/>
    <n v="45"/>
    <s v="CAP, BEP"/>
    <s v="Amberieu "/>
    <d v="2025-06-24T00:00:00"/>
    <d v="2025-08-12T00:00:00"/>
    <d v="2025-08-12T00:00:00"/>
    <d v="2026-02-08T00:00:00"/>
    <m/>
    <s v="Repasser son permis"/>
    <s v="Pas de formation"/>
    <m/>
    <m/>
    <m/>
    <m/>
    <x v="3"/>
    <x v="0"/>
    <x v="0"/>
    <m/>
    <n v="1"/>
    <m/>
    <m/>
    <m/>
    <m/>
    <m/>
    <m/>
    <m/>
    <m/>
    <m/>
    <m/>
    <m/>
    <m/>
    <m/>
    <m/>
  </r>
  <r>
    <x v="3"/>
    <s v="GRAMMATICO"/>
    <s v="Valérie"/>
    <n v="63"/>
    <s v="Aucun diplôme"/>
    <s v="Lagnieu"/>
    <m/>
    <d v="2026-02-03T00:00:00"/>
    <d v="2026-02-03T00:00:00"/>
    <d v="2026-08-02T00:00:00"/>
    <m/>
    <s v="SANTE"/>
    <m/>
    <m/>
    <m/>
    <m/>
    <m/>
    <x v="4"/>
    <x v="3"/>
    <x v="0"/>
    <m/>
    <m/>
    <m/>
    <m/>
    <m/>
    <m/>
    <m/>
    <m/>
    <m/>
    <m/>
    <m/>
    <m/>
    <m/>
    <m/>
    <m/>
    <m/>
  </r>
  <r>
    <x v="2"/>
    <s v="BASILE"/>
    <s v="Kévin"/>
    <m/>
    <m/>
    <s v="Ambérieu"/>
    <m/>
    <d v="2026-02-04T00:00:00"/>
    <d v="2026-02-04T00:00:00"/>
    <d v="2026-08-03T00:00:00"/>
    <m/>
    <s v="MOBILITE"/>
    <m/>
    <m/>
    <m/>
    <m/>
    <m/>
    <x v="0"/>
    <x v="0"/>
    <x v="0"/>
    <m/>
    <m/>
    <m/>
    <m/>
    <m/>
    <m/>
    <m/>
    <m/>
    <m/>
    <m/>
    <m/>
    <m/>
    <m/>
    <m/>
    <m/>
    <m/>
  </r>
  <r>
    <x v="3"/>
    <s v="BLONDEAU"/>
    <s v="Mandy"/>
    <n v="28"/>
    <m/>
    <s v="Ambérieu"/>
    <m/>
    <d v="2026-01-28T00:00:00"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1"/>
    <s v="GUICHARD"/>
    <s v="Marie"/>
    <n v="61"/>
    <s v="Baccalauréat"/>
    <s v="Ambérieu"/>
    <d v="2026-01-16T00:00:00"/>
    <d v="2026-02-04T00:00:00"/>
    <d v="2026-02-10T00:00:00"/>
    <d v="2026-08-09T00:00:00"/>
    <m/>
    <s v="Financier"/>
    <m/>
    <m/>
    <m/>
    <m/>
    <m/>
    <x v="0"/>
    <x v="0"/>
    <x v="0"/>
    <m/>
    <m/>
    <m/>
    <m/>
    <m/>
    <m/>
    <m/>
    <m/>
    <m/>
    <m/>
    <m/>
    <m/>
    <m/>
    <m/>
    <m/>
    <m/>
  </r>
  <r>
    <x v="2"/>
    <s v="MANACH"/>
    <s v="Victor"/>
    <n v="30"/>
    <s v="Aucun diplôme"/>
    <s v="Ambérieu"/>
    <d v="2026-01-16T00:00:00"/>
    <d v="2026-02-04T00:00:00"/>
    <d v="2026-02-04T00:00:00"/>
    <d v="2026-08-03T00:00:00"/>
    <m/>
    <s v="LOGEMENT"/>
    <s v="MOBILITE"/>
    <m/>
    <m/>
    <m/>
    <m/>
    <x v="0"/>
    <x v="0"/>
    <x v="0"/>
    <m/>
    <m/>
    <m/>
    <m/>
    <m/>
    <m/>
    <m/>
    <m/>
    <m/>
    <m/>
    <m/>
    <m/>
    <m/>
    <m/>
    <m/>
    <m/>
  </r>
  <r>
    <x v="5"/>
    <s v="LEBEAU"/>
    <s v="Jonathan"/>
    <n v="35"/>
    <s v="Aucun diplôme"/>
    <s v="Amberieu"/>
    <d v="2026-01-15T00:00:00"/>
    <d v="2026-02-04T00:00:00"/>
    <d v="2026-02-04T00:00:00"/>
    <d v="2026-08-03T00:00:00"/>
    <m/>
    <s v="MOBILITE"/>
    <s v="SANTE"/>
    <m/>
    <m/>
    <m/>
    <m/>
    <x v="0"/>
    <x v="0"/>
    <x v="0"/>
    <m/>
    <m/>
    <m/>
    <m/>
    <m/>
    <m/>
    <m/>
    <m/>
    <m/>
    <m/>
    <m/>
    <m/>
    <m/>
    <m/>
    <m/>
    <m/>
  </r>
  <r>
    <x v="2"/>
    <s v="GOUVERNEUR"/>
    <s v="Nicolas"/>
    <m/>
    <s v="DEUG, BTS, DUT, DEUST"/>
    <s v="Lagnieu"/>
    <d v="2026-01-14T00:00:00"/>
    <d v="2026-01-27T00:00:00"/>
    <d v="2026-02-24T00:00:00"/>
    <d v="2026-08-23T00:00:00"/>
    <m/>
    <s v="MOBILITE"/>
    <m/>
    <m/>
    <m/>
    <m/>
    <m/>
    <x v="0"/>
    <x v="0"/>
    <x v="0"/>
    <m/>
    <m/>
    <m/>
    <m/>
    <m/>
    <m/>
    <m/>
    <m/>
    <m/>
    <m/>
    <m/>
    <m/>
    <m/>
    <m/>
    <m/>
    <m/>
  </r>
  <r>
    <x v="1"/>
    <s v="GYSSELS"/>
    <s v="Emeline"/>
    <n v="26"/>
    <m/>
    <s v="Ambérieu"/>
    <d v="2026-01-14T00:00:00"/>
    <d v="2026-01-26T00:00:00"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1"/>
    <s v="TAOUCHE"/>
    <s v="Malika"/>
    <n v="26"/>
    <m/>
    <s v="Ambérieu"/>
    <m/>
    <m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5"/>
    <s v="THOLLOT"/>
    <s v="Florian"/>
    <n v="35"/>
    <s v="Aucun diplôme"/>
    <s v="Lagnieu"/>
    <d v="2026-01-15T00:00:00"/>
    <d v="2026-02-03T00:00:00"/>
    <n v="46056"/>
    <d v="2026-08-02T00:00:00"/>
    <m/>
    <s v="MOBILITE"/>
    <s v="ADDICTION"/>
    <m/>
    <m/>
    <m/>
    <m/>
    <x v="0"/>
    <x v="0"/>
    <x v="0"/>
    <m/>
    <m/>
    <m/>
    <m/>
    <m/>
    <m/>
    <m/>
    <m/>
    <m/>
    <m/>
    <m/>
    <m/>
    <m/>
    <m/>
    <m/>
    <m/>
  </r>
  <r>
    <x v="1"/>
    <s v="MORALES "/>
    <s v="Georgie"/>
    <n v="40"/>
    <s v="Baccalauréat"/>
    <s v="Ambérieu"/>
    <d v="2026-01-20T00:00:00"/>
    <d v="2026-02-04T00:00:00"/>
    <n v="46057"/>
    <d v="2026-08-03T00:00:00"/>
    <m/>
    <s v="SANTE "/>
    <s v="2 enfants AEH"/>
    <m/>
    <m/>
    <m/>
    <m/>
    <x v="0"/>
    <x v="0"/>
    <x v="0"/>
    <m/>
    <m/>
    <m/>
    <m/>
    <m/>
    <m/>
    <m/>
    <m/>
    <m/>
    <m/>
    <m/>
    <m/>
    <m/>
    <m/>
    <m/>
    <m/>
  </r>
  <r>
    <x v="2"/>
    <s v="RABELO RAMALHO"/>
    <s v="Luis"/>
    <n v="53"/>
    <s v="Aucun diplôme"/>
    <s v="Lagnieu"/>
    <d v="2026-01-29T00:00:00"/>
    <m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2"/>
    <s v="LABARRIERE"/>
    <s v="Paul Emile"/>
    <n v="26"/>
    <s v="DEUG, BTS, DUT, DEUST"/>
    <s v="Lagnieu"/>
    <m/>
    <d v="2026-03-04T00:00:00"/>
    <d v="2026-03-04T00:00:00"/>
    <d v="2026-08-31T00:00:00"/>
    <m/>
    <s v="SANTE "/>
    <s v="MOBILITE"/>
    <m/>
    <m/>
    <m/>
    <m/>
    <x v="0"/>
    <x v="0"/>
    <x v="0"/>
    <m/>
    <m/>
    <m/>
    <m/>
    <m/>
    <m/>
    <m/>
    <m/>
    <m/>
    <m/>
    <m/>
    <m/>
    <m/>
    <m/>
    <m/>
    <m/>
  </r>
  <r>
    <x v="2"/>
    <s v="GUEPRATTE"/>
    <s v="Ronny"/>
    <n v="27"/>
    <m/>
    <s v="Ambérieu"/>
    <d v="2026-02-02T00:00:00"/>
    <d v="2026-02-23T00:00:00"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1"/>
    <s v="GABORIT"/>
    <s v="Edwige"/>
    <n v="53"/>
    <m/>
    <s v="Ambérieu"/>
    <d v="2026-01-30T00:00:00"/>
    <d v="2026-02-18T00:00:00"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3"/>
    <s v="KHAN"/>
    <s v="Tahira"/>
    <n v="46"/>
    <m/>
    <s v="Ambérieu"/>
    <d v="2026-02-02T00:00:00"/>
    <d v="2026-02-23T00:00:00"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3"/>
    <s v="NDOJ"/>
    <s v="Dava"/>
    <n v="63"/>
    <s v="Aucun diplôme"/>
    <s v="Ambérieu"/>
    <d v="2026-02-02T00:00:00"/>
    <d v="2026-02-25T00:00:00"/>
    <n v="46078"/>
    <d v="2026-08-24T00:00:00"/>
    <m/>
    <s v="SANTE"/>
    <s v="MOBILITE"/>
    <m/>
    <m/>
    <m/>
    <m/>
    <x v="0"/>
    <x v="0"/>
    <x v="0"/>
    <m/>
    <m/>
    <m/>
    <m/>
    <m/>
    <m/>
    <m/>
    <m/>
    <m/>
    <m/>
    <m/>
    <m/>
    <m/>
    <m/>
    <m/>
    <m/>
  </r>
  <r>
    <x v="3"/>
    <s v="HAYRAPETYAN"/>
    <s v="Anush"/>
    <n v="38"/>
    <s v="Master, diplôme d'études approfondies, diplôme d'études supérieures spécialisées, diplôme d'ingénieur"/>
    <s v="Ambérieu"/>
    <s v="06//02/2026"/>
    <d v="2026-03-04T00:00:00"/>
    <d v="2026-03-04T00:00:00"/>
    <d v="2026-08-31T00:00:00"/>
    <m/>
    <s v="LANGUE"/>
    <s v="LOGEMENT"/>
    <s v="MOBILITE"/>
    <m/>
    <m/>
    <m/>
    <x v="0"/>
    <x v="0"/>
    <x v="0"/>
    <m/>
    <m/>
    <m/>
    <m/>
    <m/>
    <m/>
    <m/>
    <m/>
    <m/>
    <m/>
    <m/>
    <m/>
    <m/>
    <m/>
    <m/>
    <m/>
  </r>
  <r>
    <x v="2"/>
    <s v="EL HAOUTI "/>
    <s v="Jamel"/>
    <n v="41"/>
    <m/>
    <s v="Ambérieu"/>
    <d v="2026-02-09T00:00:00"/>
    <d v="2026-03-02T00:00:00"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2"/>
    <s v="VANEENOO"/>
    <s v="Jérémy"/>
    <n v="33"/>
    <s v="Aucun diplôme"/>
    <s v="Ambérieu"/>
    <m/>
    <d v="2026-01-28T00:00:00"/>
    <n v="46050"/>
    <d v="2026-07-27T00:00:00"/>
    <m/>
    <s v="LOGEMENT"/>
    <s v="MOBILITE"/>
    <m/>
    <m/>
    <m/>
    <m/>
    <x v="0"/>
    <x v="0"/>
    <x v="0"/>
    <m/>
    <m/>
    <m/>
    <m/>
    <m/>
    <m/>
    <m/>
    <m/>
    <m/>
    <m/>
    <m/>
    <m/>
    <m/>
    <m/>
    <m/>
    <m/>
  </r>
  <r>
    <x v="1"/>
    <s v="GALLE"/>
    <s v="Aurélie"/>
    <n v="31"/>
    <m/>
    <s v="Lagnieu"/>
    <d v="2026-02-06T00:00:00"/>
    <d v="2026-02-17T00:00:00"/>
    <n v="46070"/>
    <d v="2026-08-16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2"/>
    <s v="AROUMOUGAM"/>
    <s v="Selvaperoumal"/>
    <n v="58"/>
    <m/>
    <s v="Lagnieu"/>
    <d v="2026-02-26T00:00:00"/>
    <d v="2026-03-24T00:00:00"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3"/>
    <s v="GROSSEPIECE"/>
    <s v="Laetitia"/>
    <n v="28"/>
    <m/>
    <s v="Lagnieu"/>
    <d v="2026-03-26T00:00:00"/>
    <d v="2026-03-24T00:00:00"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1"/>
    <s v="MESSAHEL"/>
    <s v="Malika"/>
    <n v="48"/>
    <m/>
    <s v="Lagnieu"/>
    <d v="2026-02-27T00:00:00"/>
    <d v="2026-03-24T00:00:00"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2"/>
    <s v="CHTOPCZYK"/>
    <s v="Johan"/>
    <m/>
    <m/>
    <s v="Ambérieu"/>
    <m/>
    <d v="2026-03-18T00:00:00"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2"/>
    <s v="CHAPUIS"/>
    <s v="Hervé"/>
    <m/>
    <m/>
    <s v="Ambérieu"/>
    <m/>
    <d v="2026-03-25T00:00:00"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5"/>
    <s v="Mendes Vaz Amante"/>
    <s v="Kévin"/>
    <m/>
    <m/>
    <s v="Ambérieu"/>
    <m/>
    <d v="2026-03-25T00:00:00"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2"/>
    <s v="SANTHONNAX"/>
    <s v="Alexandre"/>
    <n v="44"/>
    <m/>
    <s v="Lagnieu"/>
    <d v="2026-02-12T00:00:00"/>
    <d v="2026-03-03T00:00:00"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  <r>
    <x v="0"/>
    <m/>
    <m/>
    <m/>
    <m/>
    <m/>
    <m/>
    <m/>
    <m/>
    <d v="1900-06-28T00:00:00"/>
    <m/>
    <m/>
    <m/>
    <m/>
    <m/>
    <m/>
    <m/>
    <x v="0"/>
    <x v="0"/>
    <x v="0"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CHAOU"/>
    <s v="Bouchr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KACZOROWSKI"/>
    <s v="Gary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PILCH "/>
    <s v="Jean-Christophe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CLOYER"/>
    <s v="Jérémy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YILMAZ"/>
    <s v="Mehmet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AL ALI"/>
    <s v="Abdallah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ASLIMANI/LAAROUSSI"/>
    <s v="Naser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ASLIMANI/LAAROUSSI"/>
    <s v="Naser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AJRAMOVA"/>
    <s v="Juksel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ERNARDIN"/>
    <s v="Gaëlle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ORKADI-KHALDI"/>
    <s v="Cindy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CLAIRET"/>
    <s v="Patrice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CREPALDI"/>
    <s v="David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FARINA"/>
    <s v="Yann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FERNANDES"/>
    <s v="Noemi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FOFANA"/>
    <s v="Fanta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HAMOT"/>
    <s v="Whitney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JUVENAL"/>
    <s v="Cédric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KHALO"/>
    <s v="Hanifa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KOUASSI"/>
    <s v="Amoin Désirée Prudenc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LAHURE"/>
    <s v="Belind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LYONNET"/>
    <s v="Sandrin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AHAMADOU"/>
    <s v="Haoua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AHESHE NKUBONAGE"/>
    <s v="Nicol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IGUEL"/>
    <s v="Herv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OHAMAD"/>
    <s v="Shirin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OTA"/>
    <s v="Jean Michel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PIEDBOIS"/>
    <s v="Youri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POTENZIANI"/>
    <s v="Nicolas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PUVILLAN"/>
    <s v="Cédric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RAMDANI"/>
    <s v="Ikram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RAMOS"/>
    <s v="Audrey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RONGIER"/>
    <s v="Marin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ROUSSEL"/>
    <s v="Joann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SANTANA"/>
    <s v="Alexis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SCHEID"/>
    <s v="Mari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SEYE"/>
    <s v="Mohamed"/>
    <s v="1 exc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SOUADIA"/>
    <s v="Sandrine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TAHIRI"/>
    <s v="Marsela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TALASH"/>
    <s v="Mohamad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THEVENON-DANIERE"/>
    <s v="Géraldin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THOMASSON"/>
    <s v="Améli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TOURE"/>
    <s v="Marie Agnes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TRONQUART"/>
    <s v="Marie-Christine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TUNCAY"/>
    <s v="Esira"/>
    <s v="1 exc"/>
    <m/>
    <m/>
    <m/>
    <m/>
    <m/>
    <n v="1"/>
    <n v="1"/>
    <m/>
    <m/>
    <m/>
    <m/>
    <m/>
    <m/>
    <m/>
    <m/>
    <m/>
    <d v="1900-01-14T00:00:00"/>
    <m/>
    <m/>
    <d v="1900-02-18T00:00:00"/>
    <m/>
    <m/>
    <m/>
    <m/>
    <m/>
    <d v="1900-02-03T00:00:00"/>
    <m/>
  </r>
  <r>
    <s v="VOGELSGSANG"/>
    <s v="Emili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YOUNES"/>
    <s v="Sarah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ZABLOT"/>
    <s v="Arthur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CHEKKI"/>
    <s v="Islam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LAMANCHE"/>
    <s v="Stev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SLIMANI"/>
    <s v="Lahouari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TACHDJIAN"/>
    <s v="Khatchik"/>
    <m/>
    <m/>
    <m/>
    <m/>
    <m/>
    <m/>
    <m/>
    <m/>
    <m/>
    <m/>
    <m/>
    <m/>
    <m/>
    <m/>
    <n v="1"/>
    <d v="2026-04-04T00:00:00"/>
    <d v="2026-04-16T00:00:00"/>
    <d v="2026-05-01T00:00:00"/>
    <n v="0"/>
    <n v="1"/>
    <d v="2026-06-05T00:00:00"/>
    <m/>
    <m/>
    <m/>
    <m/>
    <m/>
    <d v="1900-02-03T00:00:00"/>
    <m/>
  </r>
  <r>
    <s v="MALIQI"/>
    <s v="Qendres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ULLAEVA"/>
    <s v="Malvin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ALME"/>
    <s v="Xavier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ICHALET"/>
    <s v="Jean Louis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LOMBARD"/>
    <s v="Aurelia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TEKIN"/>
    <s v="Vural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VANEENOO"/>
    <s v="Cedric"/>
    <n v="1"/>
    <n v="1"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YOUSEF"/>
    <s v="Siraj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OLRY"/>
    <s v="Florenc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ENNAOURA"/>
    <s v="Riyad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TURPIN"/>
    <s v="Océane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HAMDANY / SAGGAI"/>
    <s v="Sephor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CHERON"/>
    <s v="Carin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EN BRAHIM"/>
    <s v="Ridh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ESSAI/RIBEIRO"/>
    <s v="Hadd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VEUGLE"/>
    <s v="Alison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LIN"/>
    <s v="François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ARNY"/>
    <s v="Christopher"/>
    <m/>
    <m/>
    <m/>
    <m/>
    <m/>
    <m/>
    <m/>
    <n v="1"/>
    <m/>
    <m/>
    <m/>
    <m/>
    <m/>
    <m/>
    <m/>
    <m/>
    <m/>
    <d v="1900-01-14T00:00:00"/>
    <m/>
    <m/>
    <d v="1900-02-18T00:00:00"/>
    <m/>
    <m/>
    <m/>
    <m/>
    <m/>
    <d v="1900-02-03T00:00:00"/>
    <m/>
  </r>
  <r>
    <s v="PIOLAT"/>
    <s v="Virgini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GUILE"/>
    <s v="Roland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CHARLIER"/>
    <s v="William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SOULIER "/>
    <s v="Pierr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HAMM"/>
    <s v="Alexandr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OISMENU"/>
    <s v="David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TOURNU"/>
    <s v="Marie-Claude"/>
    <m/>
    <m/>
    <m/>
    <m/>
    <m/>
    <m/>
    <n v="1"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HIRAUX"/>
    <s v="Annabell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VULCAIN"/>
    <s v="Alexandrin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JUPITER"/>
    <s v="Tany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GASHI"/>
    <s v="Ramiz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e v="#REF!"/>
    <e v="#REF!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KAHLAOUI"/>
    <s v="Samira"/>
    <m/>
    <m/>
    <m/>
    <m/>
    <m/>
    <m/>
    <m/>
    <n v="1"/>
    <m/>
    <m/>
    <m/>
    <m/>
    <m/>
    <m/>
    <m/>
    <m/>
    <m/>
    <d v="1900-01-14T00:00:00"/>
    <m/>
    <m/>
    <d v="1900-02-18T00:00:00"/>
    <m/>
    <m/>
    <m/>
    <m/>
    <m/>
    <d v="1900-02-03T00:00:00"/>
    <m/>
  </r>
  <r>
    <s v="VESPAZIANI"/>
    <s v="Vincent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LACOSSE"/>
    <s v="Alexandr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GRAMMATICO"/>
    <s v="Valéri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ASILE"/>
    <s v="Kévin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BLONDEAU"/>
    <s v="Mandy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GUICHARD"/>
    <s v="Marie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ANACH"/>
    <s v="Victor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LEBEAU"/>
    <s v="Jonathan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GOUVERNEUR"/>
    <s v="Nicolas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GYSSELS"/>
    <s v="Emelin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TAOUCHE"/>
    <s v="Malik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THOLLOT"/>
    <s v="Florian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ORALES "/>
    <s v="Georgi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REBELO RAMALHO"/>
    <s v="Luis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LABARRIERE"/>
    <s v="Paul Emil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GUEPRATTE"/>
    <s v="Ronny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GABORIT"/>
    <s v="Edwige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KHAN"/>
    <s v="Tahira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NDOJ"/>
    <s v="Dav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HAYRAPETYAN"/>
    <s v="Anush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VANEENOO"/>
    <s v="Jérémy"/>
    <n v="1"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GALLE"/>
    <s v="Aurélie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AROUMOUGAM"/>
    <s v="Selvaperoumal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GROSSEPIECE"/>
    <s v="Laetiti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  <r>
    <s v="MESSAHEL"/>
    <s v="Malika"/>
    <m/>
    <m/>
    <m/>
    <m/>
    <m/>
    <m/>
    <m/>
    <m/>
    <m/>
    <m/>
    <m/>
    <m/>
    <m/>
    <m/>
    <m/>
    <m/>
    <m/>
    <d v="1900-01-14T00:00:00"/>
    <m/>
    <m/>
    <d v="1900-02-18T00:00:00"/>
    <m/>
    <m/>
    <m/>
    <m/>
    <m/>
    <d v="1900-02-03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leau croisé dynamique2" cacheId="0" dataOnRows="1" applyNumberFormats="0" applyBorderFormats="0" applyFontFormats="0" applyPatternFormats="0" applyAlignmentFormats="0" applyWidthHeightFormats="1" dataCaption="Bilan de parcours + démarches " updatedVersion="6" minRefreshableVersion="3" useAutoFormatting="1" itemPrintTitles="1" createdVersion="6" indent="0" outline="1" outlineData="1" multipleFieldFilters="0">
  <location ref="E3:F17" firstHeaderRow="1" firstDataRow="1" firstDataCol="1"/>
  <pivotFields count="19"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</pivotFields>
  <rowFields count="1">
    <field x="-2"/>
  </rowFields>
  <row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rowItems>
  <colItems count="1">
    <i/>
  </colItems>
  <dataFields count="14">
    <dataField name="Somme de 1er mois" fld="2" baseField="0" baseItem="0"/>
    <dataField name="Somme de 2e mois" fld="3" baseField="0" baseItem="0"/>
    <dataField name="Somme de 3e mois" fld="4" baseField="0" baseItem="0"/>
    <dataField name="Somme de 4e mois" fld="5" baseField="0" baseItem="0"/>
    <dataField name="Somme de 5e mois" fld="6" baseField="0" baseItem="0"/>
    <dataField name="Somme de 6e mois" fld="7" baseField="0" baseItem="0"/>
    <dataField name="Nombre de demande" fld="8" subtotal="count" baseField="0" baseItem="0"/>
    <dataField name="Somme de Renouvellement" fld="10" baseField="0" baseItem="0"/>
    <dataField name="Somme de 8e mois" fld="11" baseField="0" baseItem="0"/>
    <dataField name="Somme de 9e mois" fld="12" baseField="0" baseItem="0"/>
    <dataField name="Somme de 10e mois" fld="13" baseField="0" baseItem="0"/>
    <dataField name="Somme de 11e mois" fld="14" baseField="0" baseItem="0"/>
    <dataField name="Somme de 12e mois" fld="15" baseField="0" baseItem="0"/>
    <dataField name="Somme de Préco Réo" fld="18" baseField="0" baseItem="55617369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eau croisé dynamique1" cacheId="3" dataOnRows="1" applyNumberFormats="0" applyBorderFormats="0" applyFontFormats="0" applyPatternFormats="0" applyAlignmentFormats="0" applyWidthHeightFormats="1" dataCaption="Sanction et Absence " updatedVersion="6" minRefreshableVersion="3" useAutoFormatting="1" itemPrintTitles="1" createdVersion="6" indent="0" outline="1" outlineData="1" multipleFieldFilters="0">
  <location ref="A3:B19" firstHeaderRow="1" firstDataRow="1" firstDataCol="1"/>
  <pivotFields count="30"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dataField="1" showAll="0"/>
    <pivotField showAll="0"/>
    <pivotField numFmtId="14" showAll="0"/>
    <pivotField showAll="0"/>
  </pivotFields>
  <rowFields count="1">
    <field x="-2"/>
  </rowFields>
  <row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rowItems>
  <colItems count="1">
    <i/>
  </colItems>
  <dataFields count="16">
    <dataField name="Nombre de 1ER RDV" fld="2" subtotal="count" baseField="0" baseItem="0"/>
    <dataField name="Somme de 2EME" fld="3" baseField="0" baseItem="0"/>
    <dataField name="Nombre de 1er mois" fld="4" subtotal="count" baseField="0" baseItem="0"/>
    <dataField name="Nombre de 2e mois" fld="5" subtotal="count" baseField="0" baseItem="0"/>
    <dataField name="Somme de 3e mois" fld="6" baseField="0" baseItem="0"/>
    <dataField name="Somme de 4e mois" fld="7" baseField="0" baseItem="0"/>
    <dataField name="Somme de 5e mois" fld="8" baseField="0" baseItem="0"/>
    <dataField name="Nombre de 6e mois" fld="9" subtotal="count" baseField="0" baseItem="0"/>
    <dataField name="Nombre de 7e mois" fld="10" subtotal="count" baseField="0" baseItem="0"/>
    <dataField name="Nombre de 8e mois" fld="11" subtotal="count" baseField="0" baseItem="0"/>
    <dataField name="Nombre de 9e mois" fld="12" subtotal="count" baseField="0" baseItem="0"/>
    <dataField name="Nombre de 10e mois" fld="13" subtotal="count" baseField="0" baseItem="0"/>
    <dataField name="Nombre de 11e mois" fld="14" subtotal="count" baseField="0" baseItem="0"/>
    <dataField name="Nombre de 12e mois" fld="15" subtotal="count" baseField="0" baseItem="0"/>
    <dataField name="Somme de date demande étude de situation (Mail CDS)" fld="26" baseField="0" baseItem="0"/>
    <dataField name="Somme de Dde etude de situation.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5000000}" name="Tableau croisé dynamique6" cacheId="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rowHeaderCaption="SORTIES POSITIVES">
  <location ref="A31:B33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m="1" x="2"/>
        <item m="1" x="1"/>
        <item m="1" x="3"/>
        <item m="1" x="4"/>
        <item m="1"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2">
    <i>
      <x v="5"/>
    </i>
    <i t="grand">
      <x/>
    </i>
  </rowItems>
  <colItems count="1">
    <i/>
  </colItems>
  <dataFields count="1">
    <dataField name="Nombre de types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4000000}" name="Tableau croisé dynamique5" cacheId="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rowHeaderCaption="SORTIES">
  <location ref="E21:G32" firstHeaderRow="0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0">
        <item x="1"/>
        <item m="1" x="8"/>
        <item x="3"/>
        <item m="1" x="7"/>
        <item m="1" x="5"/>
        <item x="4"/>
        <item x="0"/>
        <item m="1" x="6"/>
        <item x="2"/>
        <item t="default"/>
      </items>
    </pivotField>
    <pivotField axis="axisRow" dataField="1" showAll="0">
      <items count="9">
        <item x="1"/>
        <item m="1" x="4"/>
        <item x="2"/>
        <item m="1" x="5"/>
        <item m="1" x="7"/>
        <item m="1" x="6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7"/>
    <field x="18"/>
  </rowFields>
  <rowItems count="11">
    <i>
      <x/>
    </i>
    <i r="1">
      <x/>
    </i>
    <i>
      <x v="2"/>
    </i>
    <i r="1">
      <x v="6"/>
    </i>
    <i>
      <x v="5"/>
    </i>
    <i r="1">
      <x v="7"/>
    </i>
    <i>
      <x v="6"/>
    </i>
    <i r="1">
      <x v="6"/>
    </i>
    <i>
      <x v="8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Motif de sortie" fld="17" subtotal="count" baseField="0" baseItem="0"/>
    <dataField name="Nombre de MOTIF de la REO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Tableau croisé dynamique4" cacheId="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rowHeaderCaption="SEXE">
  <location ref="C21:D28" firstHeaderRow="1" firstDataRow="1" firstDataCol="1"/>
  <pivotFields count="36">
    <pivotField axis="axisRow" dataField="1" showAll="0">
      <items count="7">
        <item x="3"/>
        <item x="2"/>
        <item x="0"/>
        <item x="1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ombre de H/F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Tableau croisé dynamique3" cacheId="1" dataOnRows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21:B28" firstHeaderRow="1" firstDataRow="1" firstDataCol="1"/>
  <pivotFields count="37"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Items count="1">
    <i/>
  </colItems>
  <dataFields count="7">
    <dataField name="Moyenne de âge" fld="3" subtotal="average" baseField="0" baseItem="556173691"/>
    <dataField name="Nombre de C.E SIGNE" fld="8" subtotal="count" baseField="0" baseItem="0"/>
    <dataField name="Nombre de BILAN PARCOURS (7eme mois)" fld="10" subtotal="count" baseField="0" baseItem="0"/>
    <dataField name="Somme de PMSMP (1 = oui)" fld="16" baseField="0" baseItem="0"/>
    <dataField name="Nombre de H/F" fld="0" subtotal="count" baseField="0" baseItem="0"/>
    <dataField name="Nombre de Saisie FSE" fld="21" subtotal="count" baseField="0" baseItem="0"/>
    <dataField name="Nombre de AIDE FINANCIERE " fld="2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AB109" totalsRowShown="0">
  <autoFilter ref="A1:AB109" xr:uid="{00000000-0009-0000-0100-000001000000}"/>
  <tableColumns count="28">
    <tableColumn id="1" xr3:uid="{00000000-0010-0000-0000-000001000000}" name="Nom"/>
    <tableColumn id="2" xr3:uid="{00000000-0010-0000-0000-000002000000}" name="Prénom"/>
    <tableColumn id="3" xr3:uid="{00000000-0010-0000-0000-000003000000}" name="1er mois"/>
    <tableColumn id="4" xr3:uid="{00000000-0010-0000-0000-000004000000}" name="2e mois"/>
    <tableColumn id="5" xr3:uid="{00000000-0010-0000-0000-000005000000}" name="3e mois"/>
    <tableColumn id="6" xr3:uid="{00000000-0010-0000-0000-000006000000}" name="4e mois"/>
    <tableColumn id="7" xr3:uid="{00000000-0010-0000-0000-000007000000}" name="5e mois"/>
    <tableColumn id="8" xr3:uid="{00000000-0010-0000-0000-000008000000}" name="6e mois"/>
    <tableColumn id="9" xr3:uid="{00000000-0010-0000-0000-000009000000}" name="7e mois"/>
    <tableColumn id="10" xr3:uid="{00000000-0010-0000-0000-00000A000000}" name="8e mois"/>
    <tableColumn id="11" xr3:uid="{00000000-0010-0000-0000-00000B000000}" name="9e mois"/>
    <tableColumn id="12" xr3:uid="{00000000-0010-0000-0000-00000C000000}" name="10e mois"/>
    <tableColumn id="13" xr3:uid="{00000000-0010-0000-0000-00000D000000}" name="11e mois"/>
    <tableColumn id="14" xr3:uid="{00000000-0010-0000-0000-00000E000000}" name="12e mois"/>
    <tableColumn id="15" xr3:uid="{00000000-0010-0000-0000-00000F000000}" name="Dde etude de situation."/>
    <tableColumn id="16" xr3:uid="{00000000-0010-0000-0000-000010000000}" name="date de la demande "/>
    <tableColumn id="17" xr3:uid="{00000000-0010-0000-0000-000011000000}" name="Date courrier CDS (voir extraction transmise)"/>
    <tableColumn id="18" xr3:uid="{00000000-0010-0000-0000-000012000000}" name="Délai 15 jours pour contact" dataDxfId="2"/>
    <tableColumn id="19" xr3:uid="{00000000-0010-0000-0000-000013000000}" name="Contact BRSA - 15 jours  "/>
    <tableColumn id="20" xr3:uid="{00000000-0010-0000-0000-000014000000}" name="Mail INFO CDS  "/>
    <tableColumn id="21" xr3:uid="{00000000-0010-0000-0000-000015000000}" name="Délai de 35 jours pour reprendre contact" dataDxfId="1"/>
    <tableColumn id="22" xr3:uid="{00000000-0010-0000-0000-000016000000}" name="le BRSA s'est manifesté ? "/>
    <tableColumn id="23" xr3:uid="{00000000-0010-0000-0000-000017000000}" name="Mail d'info au CDS manifestation ou non dans les 35 jours  "/>
    <tableColumn id="24" xr3:uid="{00000000-0010-0000-0000-000018000000}" name="Date CLI si le BRSA ne s'est pas manifesté au bout des 35 jours "/>
    <tableColumn id="25" xr3:uid="{00000000-0010-0000-0000-000019000000}" name="date demande étude de situation (Mail CDS)"/>
    <tableColumn id="26" xr3:uid="{00000000-0010-0000-0000-00001A000000}" name="DATE courrier CDS"/>
    <tableColumn id="27" xr3:uid="{00000000-0010-0000-0000-00001B000000}" name="35j pour reprendre contact date butoire " dataDxfId="0"/>
    <tableColumn id="28" xr3:uid="{00000000-0010-0000-0000-00001C000000}" name="DATE CL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AN178"/>
  <sheetViews>
    <sheetView tabSelected="1" topLeftCell="A4" zoomScale="90" zoomScaleNormal="90" workbookViewId="0">
      <pane xSplit="8" ySplit="8" topLeftCell="I160" activePane="bottomRight" state="frozen"/>
      <selection activeCell="A4" sqref="A4"/>
      <selection pane="topRight" activeCell="J4" sqref="J4"/>
      <selection pane="bottomLeft" activeCell="A9" sqref="A9"/>
      <selection pane="bottomRight" activeCell="A169" sqref="A169:XFD169"/>
    </sheetView>
  </sheetViews>
  <sheetFormatPr baseColWidth="10" defaultColWidth="11.44140625" defaultRowHeight="15.6"/>
  <cols>
    <col min="1" max="1" width="5.109375" style="127" customWidth="1"/>
    <col min="2" max="2" width="10.33203125" style="181" customWidth="1"/>
    <col min="3" max="3" width="16.21875" style="182" customWidth="1"/>
    <col min="4" max="4" width="13.109375" style="182" bestFit="1" customWidth="1"/>
    <col min="5" max="5" width="6.33203125" style="183" customWidth="1"/>
    <col min="6" max="6" width="9.5546875" style="184" bestFit="1" customWidth="1"/>
    <col min="7" max="7" width="9" style="156" customWidth="1"/>
    <col min="8" max="9" width="13.6640625" style="83" customWidth="1"/>
    <col min="10" max="10" width="13.44140625" style="297" customWidth="1"/>
    <col min="11" max="11" width="13.109375" style="298" customWidth="1"/>
    <col min="12" max="12" width="17.6640625" style="187" bestFit="1" customWidth="1"/>
    <col min="13" max="13" width="11.109375" style="186" customWidth="1"/>
    <col min="14" max="14" width="10.88671875" style="186" customWidth="1"/>
    <col min="15" max="15" width="10.33203125" style="186" customWidth="1"/>
    <col min="16" max="16" width="16.109375" style="186" customWidth="1"/>
    <col min="17" max="17" width="17.5546875" style="186" customWidth="1"/>
    <col min="18" max="18" width="8.6640625" style="183" customWidth="1"/>
    <col min="19" max="19" width="12.109375" style="54" customWidth="1"/>
    <col min="20" max="20" width="7.6640625" style="181" customWidth="1"/>
    <col min="21" max="21" width="18.5546875" style="181" customWidth="1"/>
    <col min="22" max="22" width="13.6640625" style="187" customWidth="1"/>
    <col min="23" max="23" width="13.6640625" style="340" customWidth="1"/>
    <col min="24" max="26" width="9.88671875" style="188" customWidth="1"/>
    <col min="27" max="27" width="9.88671875" style="188" bestFit="1" customWidth="1"/>
    <col min="28" max="28" width="9.33203125" style="181" customWidth="1"/>
    <col min="29" max="29" width="6.33203125" style="181" bestFit="1" customWidth="1"/>
    <col min="30" max="30" width="7.6640625" style="181" bestFit="1" customWidth="1"/>
    <col min="31" max="31" width="6.6640625" style="181" bestFit="1" customWidth="1"/>
    <col min="32" max="32" width="10" style="181" bestFit="1" customWidth="1"/>
    <col min="33" max="33" width="6.33203125" style="181" bestFit="1" customWidth="1"/>
    <col min="34" max="34" width="6.6640625" style="181" bestFit="1" customWidth="1"/>
    <col min="35" max="35" width="12.44140625" style="181" bestFit="1" customWidth="1"/>
    <col min="36" max="36" width="9.6640625" style="181" bestFit="1" customWidth="1"/>
    <col min="37" max="37" width="9" style="181" bestFit="1" customWidth="1"/>
    <col min="38" max="38" width="104.5546875" style="188" bestFit="1" customWidth="1"/>
    <col min="39" max="16384" width="11.44140625" style="181"/>
  </cols>
  <sheetData>
    <row r="1" spans="1:40" ht="16.2" thickBot="1">
      <c r="G1" s="185"/>
    </row>
    <row r="2" spans="1:40" ht="18">
      <c r="A2" s="544" t="s">
        <v>62</v>
      </c>
      <c r="B2" s="545"/>
      <c r="C2" s="545"/>
      <c r="D2" s="545"/>
      <c r="E2" s="545"/>
      <c r="F2" s="545"/>
      <c r="G2" s="545"/>
      <c r="H2" s="546"/>
      <c r="I2" s="150"/>
      <c r="J2" s="386" t="s">
        <v>541</v>
      </c>
      <c r="K2" s="153"/>
      <c r="L2" s="153"/>
      <c r="M2" s="154"/>
      <c r="N2" s="154"/>
      <c r="O2" s="154"/>
      <c r="P2" s="155"/>
      <c r="Q2" s="89"/>
      <c r="R2" s="89"/>
      <c r="S2" s="50"/>
      <c r="T2" s="50"/>
      <c r="U2" s="50"/>
      <c r="V2" s="51"/>
      <c r="W2" s="341"/>
    </row>
    <row r="3" spans="1:40" ht="18">
      <c r="A3" s="547" t="s">
        <v>612</v>
      </c>
      <c r="B3" s="548"/>
      <c r="C3" s="548"/>
      <c r="D3" s="548"/>
      <c r="E3" s="548"/>
      <c r="F3" s="548"/>
      <c r="G3" s="548"/>
      <c r="H3" s="549"/>
      <c r="I3" s="151"/>
      <c r="J3" s="550" t="s">
        <v>520</v>
      </c>
      <c r="K3" s="551"/>
      <c r="L3" s="551"/>
      <c r="M3" s="551"/>
      <c r="N3" s="551"/>
      <c r="O3" s="551"/>
      <c r="P3" s="552"/>
      <c r="Q3" s="90"/>
      <c r="R3" s="90"/>
      <c r="V3" s="52"/>
      <c r="W3" s="342"/>
    </row>
    <row r="4" spans="1:40" s="444" customFormat="1" ht="18.600000000000001" thickBot="1">
      <c r="A4" s="443"/>
      <c r="C4" s="445"/>
      <c r="D4" s="445"/>
      <c r="E4" s="446"/>
      <c r="F4" s="447"/>
      <c r="G4" s="448"/>
      <c r="H4" s="449"/>
      <c r="I4" s="449"/>
      <c r="J4" s="450"/>
      <c r="K4" s="451"/>
      <c r="L4" s="451"/>
      <c r="M4" s="452"/>
      <c r="N4" s="51"/>
      <c r="O4" s="450"/>
      <c r="P4" s="450"/>
      <c r="Q4" s="450"/>
      <c r="R4" s="450"/>
      <c r="S4" s="450"/>
      <c r="T4" s="446"/>
      <c r="U4" s="453"/>
      <c r="X4" s="451"/>
      <c r="Y4" s="451"/>
      <c r="Z4" s="454"/>
      <c r="AA4" s="454"/>
      <c r="AB4" s="454"/>
      <c r="AC4" s="454"/>
      <c r="AN4" s="454"/>
    </row>
    <row r="5" spans="1:40" s="444" customFormat="1" ht="18">
      <c r="A5" s="559" t="s">
        <v>62</v>
      </c>
      <c r="B5" s="560"/>
      <c r="C5" s="560"/>
      <c r="D5" s="560"/>
      <c r="E5" s="560"/>
      <c r="F5" s="560"/>
      <c r="G5" s="560"/>
      <c r="H5" s="561"/>
      <c r="I5" s="150"/>
      <c r="J5" s="455" t="s">
        <v>541</v>
      </c>
      <c r="K5" s="153"/>
      <c r="L5" s="153"/>
      <c r="M5" s="452"/>
      <c r="N5" s="52"/>
      <c r="O5" s="154"/>
      <c r="P5" s="154"/>
      <c r="Q5" s="154"/>
      <c r="R5" s="155"/>
      <c r="S5" s="89"/>
      <c r="T5" s="89"/>
      <c r="U5" s="50"/>
      <c r="V5" s="50"/>
      <c r="W5" s="50"/>
      <c r="X5" s="51"/>
      <c r="Y5" s="51"/>
      <c r="Z5" s="454"/>
      <c r="AA5" s="454"/>
      <c r="AB5" s="454"/>
      <c r="AC5" s="454"/>
      <c r="AN5" s="454"/>
    </row>
    <row r="6" spans="1:40" s="444" customFormat="1" ht="18">
      <c r="A6" s="562" t="s">
        <v>1282</v>
      </c>
      <c r="B6" s="563"/>
      <c r="C6" s="563"/>
      <c r="D6" s="563"/>
      <c r="E6" s="563"/>
      <c r="F6" s="563"/>
      <c r="G6" s="563"/>
      <c r="H6" s="564"/>
      <c r="I6" s="151"/>
      <c r="J6" s="550" t="s">
        <v>520</v>
      </c>
      <c r="K6" s="551"/>
      <c r="L6" s="551"/>
      <c r="M6" s="551"/>
      <c r="N6" s="551"/>
      <c r="O6" s="551"/>
      <c r="P6" s="551"/>
      <c r="Q6" s="551"/>
      <c r="R6" s="552"/>
      <c r="S6" s="90"/>
      <c r="T6" s="90"/>
      <c r="U6" s="453"/>
      <c r="X6" s="52"/>
      <c r="Y6" s="52"/>
      <c r="Z6" s="454"/>
      <c r="AA6" s="454"/>
      <c r="AB6" s="454"/>
      <c r="AC6" s="454"/>
      <c r="AN6" s="454"/>
    </row>
    <row r="7" spans="1:40" ht="18.600000000000001" thickBot="1">
      <c r="A7" s="556" t="s">
        <v>432</v>
      </c>
      <c r="B7" s="557"/>
      <c r="C7" s="557"/>
      <c r="D7" s="557"/>
      <c r="E7" s="557"/>
      <c r="F7" s="557"/>
      <c r="G7" s="557"/>
      <c r="H7" s="558"/>
      <c r="I7" s="152"/>
      <c r="J7" s="553" t="s">
        <v>521</v>
      </c>
      <c r="K7" s="554"/>
      <c r="L7" s="554"/>
      <c r="M7" s="554"/>
      <c r="N7" s="554"/>
      <c r="O7" s="554"/>
      <c r="P7" s="555"/>
      <c r="Q7" s="49"/>
      <c r="T7" s="571"/>
      <c r="U7" s="571"/>
      <c r="V7" s="53"/>
      <c r="W7" s="343"/>
    </row>
    <row r="8" spans="1:40" ht="56.7" customHeight="1" thickBot="1">
      <c r="A8" s="189" t="s">
        <v>1269</v>
      </c>
      <c r="B8" s="55"/>
      <c r="C8" s="56"/>
      <c r="D8" s="56"/>
      <c r="E8" s="57"/>
      <c r="F8" s="58"/>
      <c r="G8" s="49"/>
      <c r="H8" s="537" t="s">
        <v>1439</v>
      </c>
      <c r="I8" s="537">
        <f>+SUM(A12:A310)</f>
        <v>115</v>
      </c>
      <c r="J8" s="49"/>
      <c r="K8" s="53"/>
      <c r="L8" s="53"/>
      <c r="M8" s="49"/>
      <c r="N8" s="49"/>
      <c r="O8" s="49"/>
      <c r="P8" s="49"/>
      <c r="Q8" s="49"/>
      <c r="R8" s="91"/>
      <c r="S8" s="575" t="s">
        <v>529</v>
      </c>
      <c r="T8" s="575"/>
      <c r="U8" s="575"/>
      <c r="V8" s="575"/>
      <c r="W8" s="344"/>
      <c r="X8" s="593" t="s">
        <v>615</v>
      </c>
      <c r="Y8" s="593"/>
      <c r="Z8" s="593"/>
      <c r="AA8" s="593"/>
      <c r="AB8" s="593"/>
      <c r="AC8" s="593"/>
      <c r="AD8" s="593"/>
      <c r="AE8" s="593"/>
      <c r="AF8" s="593"/>
      <c r="AG8" s="593"/>
      <c r="AH8" s="593"/>
      <c r="AI8" s="593"/>
      <c r="AJ8" s="593"/>
      <c r="AK8" s="593"/>
    </row>
    <row r="9" spans="1:40" ht="31.2">
      <c r="A9" s="48"/>
      <c r="B9" s="59"/>
      <c r="C9" s="49"/>
      <c r="D9" s="49"/>
      <c r="E9" s="60"/>
      <c r="F9" s="61"/>
      <c r="G9" s="49"/>
      <c r="J9" s="583" t="s">
        <v>361</v>
      </c>
      <c r="K9" s="584"/>
      <c r="L9" s="53"/>
      <c r="M9" s="568" t="s">
        <v>33</v>
      </c>
      <c r="N9" s="569"/>
      <c r="O9" s="570"/>
      <c r="P9" s="49"/>
      <c r="Q9" s="49"/>
      <c r="R9" s="59"/>
      <c r="U9" s="190" t="s">
        <v>500</v>
      </c>
      <c r="V9" s="53"/>
      <c r="W9" s="343"/>
      <c r="AM9" s="191"/>
      <c r="AN9" s="191"/>
    </row>
    <row r="10" spans="1:40" ht="72" customHeight="1">
      <c r="A10" s="589"/>
      <c r="B10" s="565" t="s">
        <v>1</v>
      </c>
      <c r="C10" s="567" t="s">
        <v>263</v>
      </c>
      <c r="D10" s="567" t="s">
        <v>264</v>
      </c>
      <c r="E10" s="578" t="s">
        <v>0</v>
      </c>
      <c r="F10" s="579" t="s">
        <v>2</v>
      </c>
      <c r="G10" s="580" t="s">
        <v>31</v>
      </c>
      <c r="H10" s="581" t="s">
        <v>32</v>
      </c>
      <c r="I10" s="582" t="s">
        <v>262</v>
      </c>
      <c r="J10" s="585" t="s">
        <v>522</v>
      </c>
      <c r="K10" s="585" t="s">
        <v>523</v>
      </c>
      <c r="L10" s="587" t="s">
        <v>524</v>
      </c>
      <c r="M10" s="586">
        <v>1</v>
      </c>
      <c r="N10" s="586">
        <v>2</v>
      </c>
      <c r="O10" s="586" t="s">
        <v>56</v>
      </c>
      <c r="P10" s="591" t="s">
        <v>379</v>
      </c>
      <c r="Q10" s="591" t="s">
        <v>380</v>
      </c>
      <c r="R10" s="572" t="s">
        <v>528</v>
      </c>
      <c r="S10" s="576" t="s">
        <v>3</v>
      </c>
      <c r="T10" s="577" t="s">
        <v>534</v>
      </c>
      <c r="U10" s="577" t="s">
        <v>48</v>
      </c>
      <c r="V10" s="595" t="s">
        <v>590</v>
      </c>
      <c r="W10" s="596" t="s">
        <v>604</v>
      </c>
      <c r="X10" s="573" t="s">
        <v>1136</v>
      </c>
      <c r="Y10" s="594" t="s">
        <v>517</v>
      </c>
      <c r="Z10" s="594" t="s">
        <v>518</v>
      </c>
      <c r="AA10" s="594" t="s">
        <v>476</v>
      </c>
      <c r="AB10" s="573" t="s">
        <v>519</v>
      </c>
      <c r="AC10" s="574" t="s">
        <v>469</v>
      </c>
      <c r="AD10" s="574" t="s">
        <v>470</v>
      </c>
      <c r="AE10" s="574" t="s">
        <v>471</v>
      </c>
      <c r="AF10" s="574" t="s">
        <v>472</v>
      </c>
      <c r="AG10" s="574" t="s">
        <v>473</v>
      </c>
      <c r="AH10" s="574" t="s">
        <v>474</v>
      </c>
      <c r="AI10" s="574" t="s">
        <v>475</v>
      </c>
      <c r="AJ10" s="574" t="s">
        <v>503</v>
      </c>
      <c r="AK10" s="574" t="s">
        <v>536</v>
      </c>
      <c r="AL10" s="566" t="s">
        <v>339</v>
      </c>
      <c r="AM10" s="191"/>
      <c r="AN10" s="191"/>
    </row>
    <row r="11" spans="1:40" s="193" customFormat="1" ht="24" customHeight="1">
      <c r="A11" s="590"/>
      <c r="B11" s="565"/>
      <c r="C11" s="567"/>
      <c r="D11" s="567"/>
      <c r="E11" s="578"/>
      <c r="F11" s="579"/>
      <c r="G11" s="580"/>
      <c r="H11" s="581"/>
      <c r="I11" s="582"/>
      <c r="J11" s="585"/>
      <c r="K11" s="585"/>
      <c r="L11" s="588"/>
      <c r="M11" s="586"/>
      <c r="N11" s="586"/>
      <c r="O11" s="586"/>
      <c r="P11" s="592"/>
      <c r="Q11" s="592"/>
      <c r="R11" s="572"/>
      <c r="S11" s="576"/>
      <c r="T11" s="577"/>
      <c r="U11" s="577"/>
      <c r="V11" s="595"/>
      <c r="W11" s="596"/>
      <c r="X11" s="573"/>
      <c r="Y11" s="594"/>
      <c r="Z11" s="594"/>
      <c r="AA11" s="594"/>
      <c r="AB11" s="573"/>
      <c r="AC11" s="574"/>
      <c r="AD11" s="574"/>
      <c r="AE11" s="574"/>
      <c r="AF11" s="574"/>
      <c r="AG11" s="574"/>
      <c r="AH11" s="574"/>
      <c r="AI11" s="574"/>
      <c r="AJ11" s="574"/>
      <c r="AK11" s="574"/>
      <c r="AL11" s="566" t="s">
        <v>58</v>
      </c>
      <c r="AM11" s="192"/>
    </row>
    <row r="12" spans="1:40" s="127" customFormat="1" ht="18.45" customHeight="1">
      <c r="A12" s="394">
        <v>1</v>
      </c>
      <c r="B12" s="174" t="s">
        <v>617</v>
      </c>
      <c r="C12" s="174" t="s">
        <v>618</v>
      </c>
      <c r="D12" s="174" t="s">
        <v>619</v>
      </c>
      <c r="E12" s="194">
        <v>35</v>
      </c>
      <c r="F12" s="195" t="s">
        <v>620</v>
      </c>
      <c r="G12" s="156"/>
      <c r="H12" s="299">
        <v>46006</v>
      </c>
      <c r="I12" s="196">
        <v>46035</v>
      </c>
      <c r="J12" s="300">
        <v>46035</v>
      </c>
      <c r="K12" s="300">
        <f t="shared" ref="K12:K43" si="0">+J12+180</f>
        <v>46215</v>
      </c>
      <c r="L12" s="197" t="s">
        <v>478</v>
      </c>
      <c r="M12" s="198" t="s">
        <v>968</v>
      </c>
      <c r="N12" s="198"/>
      <c r="O12" s="198"/>
      <c r="P12" s="199"/>
      <c r="Q12" s="199"/>
      <c r="R12" s="199"/>
      <c r="S12" s="200"/>
      <c r="T12" s="201"/>
      <c r="U12" s="202"/>
      <c r="V12" s="197"/>
      <c r="W12" s="345" t="s">
        <v>1370</v>
      </c>
      <c r="X12" s="203"/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  <c r="AK12" s="203"/>
      <c r="AL12" s="203"/>
    </row>
    <row r="13" spans="1:40" s="380" customFormat="1" ht="17.55" customHeight="1">
      <c r="A13" s="483">
        <v>1</v>
      </c>
      <c r="B13" s="484" t="s">
        <v>621</v>
      </c>
      <c r="C13" s="484" t="s">
        <v>622</v>
      </c>
      <c r="D13" s="484" t="s">
        <v>623</v>
      </c>
      <c r="E13" s="485">
        <v>40</v>
      </c>
      <c r="F13" s="486" t="s">
        <v>8</v>
      </c>
      <c r="G13" s="487" t="s">
        <v>76</v>
      </c>
      <c r="H13" s="488">
        <v>46007</v>
      </c>
      <c r="I13" s="513">
        <v>46028</v>
      </c>
      <c r="J13" s="514">
        <v>46048</v>
      </c>
      <c r="K13" s="350">
        <f t="shared" si="0"/>
        <v>46228</v>
      </c>
      <c r="L13" s="351"/>
      <c r="M13" s="497" t="s">
        <v>974</v>
      </c>
      <c r="N13" s="497"/>
      <c r="O13" s="497"/>
      <c r="P13" s="491"/>
      <c r="Q13" s="491"/>
      <c r="R13" s="491"/>
      <c r="S13" s="375"/>
      <c r="T13" s="376"/>
      <c r="U13" s="377"/>
      <c r="V13" s="378"/>
      <c r="W13" s="379" t="s">
        <v>1372</v>
      </c>
      <c r="X13" s="354"/>
      <c r="Y13" s="354"/>
      <c r="Z13" s="354"/>
      <c r="AA13" s="354"/>
      <c r="AB13" s="354"/>
      <c r="AC13" s="354"/>
      <c r="AD13" s="354"/>
      <c r="AE13" s="354"/>
      <c r="AF13" s="354"/>
      <c r="AG13" s="354"/>
      <c r="AH13" s="354"/>
      <c r="AI13" s="354"/>
      <c r="AJ13" s="354"/>
      <c r="AK13" s="354"/>
      <c r="AL13" s="354"/>
    </row>
    <row r="14" spans="1:40" s="411" customFormat="1" ht="27" customHeight="1">
      <c r="A14" s="412">
        <v>0</v>
      </c>
      <c r="B14" s="396" t="s">
        <v>621</v>
      </c>
      <c r="C14" s="396" t="s">
        <v>624</v>
      </c>
      <c r="D14" s="396" t="s">
        <v>625</v>
      </c>
      <c r="E14" s="397">
        <v>47</v>
      </c>
      <c r="F14" s="398" t="s">
        <v>626</v>
      </c>
      <c r="G14" s="399" t="s">
        <v>76</v>
      </c>
      <c r="H14" s="413">
        <v>46009</v>
      </c>
      <c r="I14" s="414">
        <v>46028</v>
      </c>
      <c r="J14" s="408">
        <v>46056</v>
      </c>
      <c r="K14" s="402">
        <f t="shared" si="0"/>
        <v>46236</v>
      </c>
      <c r="L14" s="402"/>
      <c r="M14" s="403" t="s">
        <v>965</v>
      </c>
      <c r="N14" s="403" t="s">
        <v>974</v>
      </c>
      <c r="O14" s="403"/>
      <c r="P14" s="404"/>
      <c r="Q14" s="404"/>
      <c r="R14" s="404"/>
      <c r="S14" s="405"/>
      <c r="T14" s="406"/>
      <c r="U14" s="407"/>
      <c r="V14" s="408"/>
      <c r="W14" s="409">
        <v>1</v>
      </c>
      <c r="X14" s="410"/>
      <c r="Y14" s="410"/>
      <c r="Z14" s="410"/>
      <c r="AA14" s="410"/>
      <c r="AB14" s="410"/>
      <c r="AC14" s="410"/>
      <c r="AD14" s="410"/>
      <c r="AE14" s="410"/>
      <c r="AF14" s="410">
        <v>1</v>
      </c>
      <c r="AG14" s="410"/>
      <c r="AH14" s="410"/>
      <c r="AI14" s="410"/>
      <c r="AJ14" s="410"/>
      <c r="AK14" s="410"/>
      <c r="AL14" s="410" t="s">
        <v>1157</v>
      </c>
    </row>
    <row r="15" spans="1:40" s="127" customFormat="1" ht="25.2" customHeight="1">
      <c r="A15" s="172">
        <v>1</v>
      </c>
      <c r="B15" s="174" t="s">
        <v>621</v>
      </c>
      <c r="C15" s="174" t="s">
        <v>627</v>
      </c>
      <c r="D15" s="174" t="s">
        <v>628</v>
      </c>
      <c r="E15" s="194">
        <v>40</v>
      </c>
      <c r="F15" s="195" t="s">
        <v>29</v>
      </c>
      <c r="G15" s="156" t="s">
        <v>629</v>
      </c>
      <c r="H15" s="299">
        <v>46008</v>
      </c>
      <c r="I15" s="196">
        <v>46036</v>
      </c>
      <c r="J15" s="387">
        <v>46036</v>
      </c>
      <c r="K15" s="300">
        <f t="shared" si="0"/>
        <v>46216</v>
      </c>
      <c r="L15" s="197" t="s">
        <v>478</v>
      </c>
      <c r="M15" s="121" t="s">
        <v>968</v>
      </c>
      <c r="N15" s="121" t="s">
        <v>974</v>
      </c>
      <c r="O15" s="121" t="s">
        <v>970</v>
      </c>
      <c r="P15" s="64"/>
      <c r="Q15" s="64"/>
      <c r="R15" s="64"/>
      <c r="S15" s="200"/>
      <c r="T15" s="201"/>
      <c r="U15" s="125"/>
      <c r="V15" s="124"/>
      <c r="W15" s="345" t="s">
        <v>1375</v>
      </c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 t="s">
        <v>1158</v>
      </c>
    </row>
    <row r="16" spans="1:40" s="127" customFormat="1" ht="19.95" customHeight="1">
      <c r="A16" s="172">
        <v>1</v>
      </c>
      <c r="B16" s="174" t="s">
        <v>621</v>
      </c>
      <c r="C16" s="174" t="s">
        <v>267</v>
      </c>
      <c r="D16" s="174" t="s">
        <v>630</v>
      </c>
      <c r="E16" s="194">
        <v>50</v>
      </c>
      <c r="F16" s="195" t="s">
        <v>29</v>
      </c>
      <c r="G16" s="156" t="s">
        <v>629</v>
      </c>
      <c r="H16" s="299">
        <v>45995</v>
      </c>
      <c r="I16" s="196">
        <v>46044</v>
      </c>
      <c r="J16" s="387">
        <v>46043</v>
      </c>
      <c r="K16" s="300">
        <f t="shared" si="0"/>
        <v>46223</v>
      </c>
      <c r="L16" s="197"/>
      <c r="M16" s="121" t="s">
        <v>981</v>
      </c>
      <c r="N16" s="121"/>
      <c r="O16" s="121"/>
      <c r="P16" s="64"/>
      <c r="Q16" s="64" t="s">
        <v>1276</v>
      </c>
      <c r="R16" s="64"/>
      <c r="S16" s="200"/>
      <c r="T16" s="201"/>
      <c r="U16" s="125"/>
      <c r="V16" s="124"/>
      <c r="W16" s="345">
        <v>1</v>
      </c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 t="s">
        <v>1145</v>
      </c>
    </row>
    <row r="17" spans="1:38" s="127" customFormat="1" ht="22.5" customHeight="1">
      <c r="A17" s="381">
        <v>0</v>
      </c>
      <c r="B17" s="174" t="s">
        <v>621</v>
      </c>
      <c r="C17" s="174" t="s">
        <v>631</v>
      </c>
      <c r="D17" s="174" t="s">
        <v>632</v>
      </c>
      <c r="E17" s="194">
        <v>41</v>
      </c>
      <c r="F17" s="195" t="s">
        <v>29</v>
      </c>
      <c r="G17" s="156" t="s">
        <v>629</v>
      </c>
      <c r="H17" s="299">
        <v>45811</v>
      </c>
      <c r="I17" s="301">
        <v>45873</v>
      </c>
      <c r="J17" s="302">
        <v>45873</v>
      </c>
      <c r="K17" s="300">
        <f t="shared" si="0"/>
        <v>46053</v>
      </c>
      <c r="L17" s="197"/>
      <c r="M17" s="63" t="s">
        <v>971</v>
      </c>
      <c r="N17" s="63" t="s">
        <v>968</v>
      </c>
      <c r="O17" s="63"/>
      <c r="P17" s="64"/>
      <c r="Q17" s="64"/>
      <c r="R17" s="204"/>
      <c r="S17" s="200"/>
      <c r="T17" s="201"/>
      <c r="U17" s="125"/>
      <c r="V17" s="124"/>
      <c r="W17" s="345" t="s">
        <v>1302</v>
      </c>
      <c r="X17" s="126"/>
      <c r="Y17" s="126"/>
      <c r="Z17" s="126"/>
      <c r="AA17" s="126"/>
      <c r="AB17" s="126"/>
      <c r="AC17" s="126">
        <v>1</v>
      </c>
      <c r="AD17" s="126"/>
      <c r="AE17" s="126"/>
      <c r="AF17" s="126"/>
      <c r="AG17" s="126"/>
      <c r="AH17" s="126"/>
      <c r="AI17" s="126"/>
      <c r="AJ17" s="126"/>
      <c r="AK17" s="126"/>
      <c r="AL17" s="126" t="s">
        <v>1159</v>
      </c>
    </row>
    <row r="18" spans="1:38" s="127" customFormat="1" ht="18" customHeight="1">
      <c r="A18" s="172">
        <v>1</v>
      </c>
      <c r="B18" s="174" t="s">
        <v>634</v>
      </c>
      <c r="C18" s="174" t="s">
        <v>637</v>
      </c>
      <c r="D18" s="174" t="s">
        <v>638</v>
      </c>
      <c r="E18" s="194">
        <v>40</v>
      </c>
      <c r="F18" s="195" t="s">
        <v>8</v>
      </c>
      <c r="G18" s="156" t="s">
        <v>629</v>
      </c>
      <c r="H18" s="299">
        <v>45929</v>
      </c>
      <c r="I18" s="303" t="s">
        <v>639</v>
      </c>
      <c r="J18" s="302">
        <v>45968</v>
      </c>
      <c r="K18" s="300">
        <f t="shared" si="0"/>
        <v>46148</v>
      </c>
      <c r="L18" s="197"/>
      <c r="M18" s="63" t="s">
        <v>974</v>
      </c>
      <c r="N18" s="63" t="s">
        <v>968</v>
      </c>
      <c r="O18" s="63"/>
      <c r="P18" s="64"/>
      <c r="Q18" s="64"/>
      <c r="R18" s="204"/>
      <c r="S18" s="200"/>
      <c r="T18" s="201"/>
      <c r="U18" s="125"/>
      <c r="V18" s="124"/>
      <c r="W18" s="345" t="s">
        <v>1377</v>
      </c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 t="s">
        <v>1046</v>
      </c>
    </row>
    <row r="19" spans="1:38" s="127" customFormat="1" ht="18" customHeight="1">
      <c r="A19" s="172">
        <v>1</v>
      </c>
      <c r="B19" s="174" t="s">
        <v>634</v>
      </c>
      <c r="C19" s="174" t="s">
        <v>640</v>
      </c>
      <c r="D19" s="174" t="s">
        <v>641</v>
      </c>
      <c r="E19" s="194">
        <v>48</v>
      </c>
      <c r="F19" s="195" t="s">
        <v>29</v>
      </c>
      <c r="G19" s="156" t="s">
        <v>629</v>
      </c>
      <c r="H19" s="299">
        <v>45869</v>
      </c>
      <c r="I19" s="301">
        <v>45911</v>
      </c>
      <c r="J19" s="302">
        <v>45911</v>
      </c>
      <c r="K19" s="300">
        <f t="shared" si="0"/>
        <v>46091</v>
      </c>
      <c r="L19" s="197"/>
      <c r="M19" s="63" t="s">
        <v>970</v>
      </c>
      <c r="N19" s="63" t="s">
        <v>968</v>
      </c>
      <c r="O19" s="63" t="s">
        <v>974</v>
      </c>
      <c r="P19" s="63">
        <v>4</v>
      </c>
      <c r="Q19" s="63"/>
      <c r="R19" s="204"/>
      <c r="S19" s="200"/>
      <c r="T19" s="201"/>
      <c r="U19" s="125"/>
      <c r="V19" s="124"/>
      <c r="W19" s="345" t="s">
        <v>1368</v>
      </c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 t="s">
        <v>1047</v>
      </c>
    </row>
    <row r="20" spans="1:38" s="127" customFormat="1" ht="18" customHeight="1">
      <c r="A20" s="158">
        <v>1</v>
      </c>
      <c r="B20" s="206" t="s">
        <v>634</v>
      </c>
      <c r="C20" s="206" t="s">
        <v>642</v>
      </c>
      <c r="D20" s="206" t="s">
        <v>643</v>
      </c>
      <c r="E20" s="207">
        <v>43</v>
      </c>
      <c r="F20" s="208" t="s">
        <v>29</v>
      </c>
      <c r="G20" s="156" t="s">
        <v>629</v>
      </c>
      <c r="H20" s="304">
        <v>45812</v>
      </c>
      <c r="I20" s="305">
        <v>45881</v>
      </c>
      <c r="J20" s="302">
        <v>45897</v>
      </c>
      <c r="K20" s="300">
        <f t="shared" si="0"/>
        <v>46077</v>
      </c>
      <c r="L20" s="197" t="s">
        <v>478</v>
      </c>
      <c r="M20" s="64" t="s">
        <v>972</v>
      </c>
      <c r="N20" s="64"/>
      <c r="O20" s="63"/>
      <c r="P20" s="63">
        <v>3</v>
      </c>
      <c r="Q20" s="63"/>
      <c r="R20" s="204"/>
      <c r="S20" s="200"/>
      <c r="T20" s="201"/>
      <c r="U20" s="125"/>
      <c r="V20" s="124"/>
      <c r="W20" s="345" t="s">
        <v>1310</v>
      </c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 t="s">
        <v>1169</v>
      </c>
    </row>
    <row r="21" spans="1:38" s="127" customFormat="1" ht="27" customHeight="1">
      <c r="A21" s="381">
        <v>0</v>
      </c>
      <c r="B21" s="174" t="s">
        <v>634</v>
      </c>
      <c r="C21" s="174" t="s">
        <v>644</v>
      </c>
      <c r="D21" s="174" t="s">
        <v>645</v>
      </c>
      <c r="E21" s="194">
        <v>33</v>
      </c>
      <c r="F21" s="195" t="s">
        <v>646</v>
      </c>
      <c r="G21" s="156" t="s">
        <v>629</v>
      </c>
      <c r="H21" s="299">
        <v>45769</v>
      </c>
      <c r="I21" s="301">
        <v>46260</v>
      </c>
      <c r="J21" s="388">
        <v>45895</v>
      </c>
      <c r="K21" s="300">
        <f t="shared" si="0"/>
        <v>46075</v>
      </c>
      <c r="L21" s="197"/>
      <c r="M21" s="64" t="s">
        <v>974</v>
      </c>
      <c r="N21" s="64" t="s">
        <v>982</v>
      </c>
      <c r="O21" s="63" t="s">
        <v>983</v>
      </c>
      <c r="P21" s="64">
        <v>2</v>
      </c>
      <c r="Q21" s="64"/>
      <c r="R21" s="204"/>
      <c r="S21" s="200" t="s">
        <v>39</v>
      </c>
      <c r="T21" s="201" t="s">
        <v>53</v>
      </c>
      <c r="U21" s="125"/>
      <c r="V21" s="124"/>
      <c r="W21" s="345" t="s">
        <v>1320</v>
      </c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>
        <v>1</v>
      </c>
      <c r="AJ21" s="126"/>
      <c r="AK21" s="126"/>
      <c r="AL21" s="126" t="s">
        <v>1141</v>
      </c>
    </row>
    <row r="22" spans="1:38" s="127" customFormat="1" ht="21.45" customHeight="1">
      <c r="A22" s="381">
        <v>0</v>
      </c>
      <c r="B22" s="174" t="s">
        <v>621</v>
      </c>
      <c r="C22" s="174" t="s">
        <v>647</v>
      </c>
      <c r="D22" s="174" t="s">
        <v>648</v>
      </c>
      <c r="E22" s="194">
        <v>43</v>
      </c>
      <c r="F22" s="195" t="s">
        <v>29</v>
      </c>
      <c r="G22" s="156" t="s">
        <v>629</v>
      </c>
      <c r="H22" s="299">
        <v>45820</v>
      </c>
      <c r="I22" s="301">
        <v>45894</v>
      </c>
      <c r="J22" s="302">
        <v>45909</v>
      </c>
      <c r="K22" s="300">
        <f t="shared" si="0"/>
        <v>46089</v>
      </c>
      <c r="L22" s="197"/>
      <c r="M22" s="63" t="s">
        <v>968</v>
      </c>
      <c r="N22" s="63" t="s">
        <v>974</v>
      </c>
      <c r="O22" s="63"/>
      <c r="P22" s="64"/>
      <c r="Q22" s="64"/>
      <c r="R22" s="204"/>
      <c r="S22" s="200" t="s">
        <v>39</v>
      </c>
      <c r="T22" s="201" t="s">
        <v>57</v>
      </c>
      <c r="U22" s="125"/>
      <c r="V22" s="124"/>
      <c r="W22" s="345" t="s">
        <v>1290</v>
      </c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 t="s">
        <v>1048</v>
      </c>
    </row>
    <row r="23" spans="1:38" s="127" customFormat="1" ht="25.5" customHeight="1">
      <c r="A23" s="381">
        <v>0</v>
      </c>
      <c r="B23" s="174" t="s">
        <v>621</v>
      </c>
      <c r="C23" s="174" t="s">
        <v>649</v>
      </c>
      <c r="D23" s="174" t="s">
        <v>650</v>
      </c>
      <c r="E23" s="194">
        <v>41</v>
      </c>
      <c r="F23" s="195" t="s">
        <v>626</v>
      </c>
      <c r="G23" s="174" t="s">
        <v>76</v>
      </c>
      <c r="H23" s="299">
        <v>45821</v>
      </c>
      <c r="I23" s="301">
        <v>45873</v>
      </c>
      <c r="J23" s="302">
        <v>45873</v>
      </c>
      <c r="K23" s="300">
        <f t="shared" si="0"/>
        <v>46053</v>
      </c>
      <c r="L23" s="197"/>
      <c r="M23" s="63" t="s">
        <v>968</v>
      </c>
      <c r="N23" s="63"/>
      <c r="O23" s="63"/>
      <c r="P23" s="64">
        <v>2</v>
      </c>
      <c r="Q23" s="64">
        <v>1</v>
      </c>
      <c r="R23" s="204"/>
      <c r="S23" s="200" t="s">
        <v>39</v>
      </c>
      <c r="T23" s="201" t="s">
        <v>57</v>
      </c>
      <c r="U23" s="125"/>
      <c r="V23" s="124"/>
      <c r="W23" s="345" t="s">
        <v>1296</v>
      </c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 t="s">
        <v>1144</v>
      </c>
    </row>
    <row r="24" spans="1:38" s="127" customFormat="1" ht="18" customHeight="1">
      <c r="A24" s="381">
        <v>0</v>
      </c>
      <c r="B24" s="174" t="s">
        <v>621</v>
      </c>
      <c r="C24" s="174" t="s">
        <v>1142</v>
      </c>
      <c r="D24" s="174" t="s">
        <v>651</v>
      </c>
      <c r="E24" s="194">
        <v>42</v>
      </c>
      <c r="F24" s="195" t="s">
        <v>29</v>
      </c>
      <c r="G24" s="156" t="s">
        <v>629</v>
      </c>
      <c r="H24" s="299">
        <v>45814</v>
      </c>
      <c r="I24" s="301">
        <v>45901</v>
      </c>
      <c r="J24" s="302">
        <v>45945</v>
      </c>
      <c r="K24" s="300">
        <f t="shared" si="0"/>
        <v>46125</v>
      </c>
      <c r="L24" s="197"/>
      <c r="M24" s="63" t="s">
        <v>984</v>
      </c>
      <c r="N24" s="63" t="s">
        <v>985</v>
      </c>
      <c r="O24" s="63"/>
      <c r="P24" s="63">
        <v>3</v>
      </c>
      <c r="Q24" s="63"/>
      <c r="R24" s="204"/>
      <c r="S24" s="200" t="s">
        <v>39</v>
      </c>
      <c r="T24" s="201" t="s">
        <v>53</v>
      </c>
      <c r="U24" s="125"/>
      <c r="V24" s="124"/>
      <c r="W24" s="345" t="s">
        <v>1305</v>
      </c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 t="s">
        <v>1143</v>
      </c>
    </row>
    <row r="25" spans="1:38" s="221" customFormat="1" ht="19.5" customHeight="1">
      <c r="A25" s="210">
        <v>1</v>
      </c>
      <c r="B25" s="211" t="s">
        <v>634</v>
      </c>
      <c r="C25" s="211" t="s">
        <v>652</v>
      </c>
      <c r="D25" s="211" t="s">
        <v>653</v>
      </c>
      <c r="E25" s="212">
        <v>28</v>
      </c>
      <c r="F25" s="213" t="s">
        <v>14</v>
      </c>
      <c r="G25" s="511" t="s">
        <v>633</v>
      </c>
      <c r="H25" s="308">
        <v>45814</v>
      </c>
      <c r="I25" s="309">
        <v>45874</v>
      </c>
      <c r="J25" s="512">
        <v>45874</v>
      </c>
      <c r="K25" s="310">
        <f t="shared" si="0"/>
        <v>46054</v>
      </c>
      <c r="L25" s="214" t="s">
        <v>478</v>
      </c>
      <c r="M25" s="170" t="s">
        <v>968</v>
      </c>
      <c r="N25" s="170" t="s">
        <v>986</v>
      </c>
      <c r="O25" s="170"/>
      <c r="P25" s="170">
        <v>2</v>
      </c>
      <c r="Q25" s="170"/>
      <c r="R25" s="215"/>
      <c r="S25" s="216"/>
      <c r="T25" s="217"/>
      <c r="U25" s="218"/>
      <c r="V25" s="219"/>
      <c r="W25" s="346" t="s">
        <v>1371</v>
      </c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 t="s">
        <v>1049</v>
      </c>
    </row>
    <row r="26" spans="1:38" s="127" customFormat="1" ht="18" customHeight="1">
      <c r="A26" s="381">
        <v>1</v>
      </c>
      <c r="B26" s="174" t="s">
        <v>634</v>
      </c>
      <c r="C26" s="174" t="s">
        <v>654</v>
      </c>
      <c r="D26" s="174" t="s">
        <v>655</v>
      </c>
      <c r="E26" s="194">
        <v>29</v>
      </c>
      <c r="F26" s="195" t="s">
        <v>646</v>
      </c>
      <c r="G26" s="156" t="s">
        <v>629</v>
      </c>
      <c r="H26" s="299">
        <v>45820</v>
      </c>
      <c r="I26" s="301">
        <v>45868</v>
      </c>
      <c r="J26" s="302">
        <v>45912</v>
      </c>
      <c r="K26" s="300">
        <f t="shared" si="0"/>
        <v>46092</v>
      </c>
      <c r="L26" s="197"/>
      <c r="M26" s="63" t="s">
        <v>987</v>
      </c>
      <c r="N26" s="63" t="s">
        <v>976</v>
      </c>
      <c r="O26" s="63"/>
      <c r="P26" s="63"/>
      <c r="Q26" s="63"/>
      <c r="R26" s="199"/>
      <c r="S26" s="200"/>
      <c r="T26" s="201"/>
      <c r="U26" s="125"/>
      <c r="V26" s="124"/>
      <c r="W26" s="345" t="s">
        <v>1298</v>
      </c>
      <c r="X26" s="126"/>
      <c r="Y26" s="126"/>
      <c r="Z26" s="126"/>
      <c r="AA26" s="126"/>
      <c r="AB26" s="126"/>
      <c r="AC26" s="126">
        <v>1</v>
      </c>
      <c r="AD26" s="126"/>
      <c r="AE26" s="126"/>
      <c r="AF26" s="126"/>
      <c r="AG26" s="126"/>
      <c r="AH26" s="126"/>
      <c r="AI26" s="126"/>
      <c r="AJ26" s="126"/>
      <c r="AK26" s="126"/>
      <c r="AL26" s="126" t="s">
        <v>1163</v>
      </c>
    </row>
    <row r="27" spans="1:38" s="127" customFormat="1" ht="18" customHeight="1">
      <c r="A27" s="381">
        <v>0</v>
      </c>
      <c r="B27" s="174" t="s">
        <v>634</v>
      </c>
      <c r="C27" s="174" t="s">
        <v>656</v>
      </c>
      <c r="D27" s="174" t="s">
        <v>657</v>
      </c>
      <c r="E27" s="194">
        <v>28</v>
      </c>
      <c r="F27" s="195" t="s">
        <v>14</v>
      </c>
      <c r="G27" s="156" t="s">
        <v>76</v>
      </c>
      <c r="H27" s="299">
        <v>45835</v>
      </c>
      <c r="I27" s="306">
        <v>45866</v>
      </c>
      <c r="J27" s="302">
        <v>45873</v>
      </c>
      <c r="K27" s="300">
        <f t="shared" si="0"/>
        <v>46053</v>
      </c>
      <c r="L27" s="197"/>
      <c r="M27" s="63" t="s">
        <v>988</v>
      </c>
      <c r="N27" s="63"/>
      <c r="O27" s="63"/>
      <c r="P27" s="64">
        <v>2</v>
      </c>
      <c r="Q27" s="64"/>
      <c r="R27" s="204"/>
      <c r="S27" s="200" t="s">
        <v>39</v>
      </c>
      <c r="T27" s="201" t="s">
        <v>53</v>
      </c>
      <c r="U27" s="125"/>
      <c r="V27" s="124"/>
      <c r="W27" s="345" t="s">
        <v>1293</v>
      </c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 t="s">
        <v>1050</v>
      </c>
    </row>
    <row r="28" spans="1:38" s="127" customFormat="1" ht="18" customHeight="1">
      <c r="A28" s="158">
        <v>1</v>
      </c>
      <c r="B28" s="206" t="s">
        <v>621</v>
      </c>
      <c r="C28" s="174" t="s">
        <v>658</v>
      </c>
      <c r="D28" s="206" t="s">
        <v>659</v>
      </c>
      <c r="E28" s="207">
        <v>48</v>
      </c>
      <c r="F28" s="208" t="s">
        <v>8</v>
      </c>
      <c r="G28" s="206" t="s">
        <v>76</v>
      </c>
      <c r="H28" s="304">
        <v>45840</v>
      </c>
      <c r="I28" s="307">
        <v>45901</v>
      </c>
      <c r="J28" s="302">
        <v>45922</v>
      </c>
      <c r="K28" s="300">
        <f t="shared" si="0"/>
        <v>46102</v>
      </c>
      <c r="L28" s="197"/>
      <c r="M28" s="63" t="s">
        <v>968</v>
      </c>
      <c r="N28" s="63"/>
      <c r="O28" s="63"/>
      <c r="P28" s="63">
        <v>4</v>
      </c>
      <c r="Q28" s="63"/>
      <c r="R28" s="204"/>
      <c r="S28" s="200"/>
      <c r="T28" s="201"/>
      <c r="U28" s="125"/>
      <c r="V28" s="124"/>
      <c r="W28" s="345" t="s">
        <v>1376</v>
      </c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 t="s">
        <v>1051</v>
      </c>
    </row>
    <row r="29" spans="1:38" s="380" customFormat="1" ht="18" customHeight="1">
      <c r="A29" s="483">
        <v>1</v>
      </c>
      <c r="B29" s="484" t="s">
        <v>634</v>
      </c>
      <c r="C29" s="484" t="s">
        <v>1343</v>
      </c>
      <c r="D29" s="484" t="s">
        <v>660</v>
      </c>
      <c r="E29" s="485">
        <v>40</v>
      </c>
      <c r="F29" s="486" t="s">
        <v>29</v>
      </c>
      <c r="G29" s="487" t="s">
        <v>629</v>
      </c>
      <c r="H29" s="488">
        <v>45827</v>
      </c>
      <c r="I29" s="492">
        <v>45883</v>
      </c>
      <c r="J29" s="490">
        <v>45912</v>
      </c>
      <c r="K29" s="350">
        <f t="shared" si="0"/>
        <v>46092</v>
      </c>
      <c r="L29" s="351" t="s">
        <v>478</v>
      </c>
      <c r="M29" s="352" t="s">
        <v>971</v>
      </c>
      <c r="N29" s="352" t="s">
        <v>968</v>
      </c>
      <c r="O29" s="352" t="s">
        <v>974</v>
      </c>
      <c r="P29" s="352"/>
      <c r="Q29" s="352"/>
      <c r="R29" s="374"/>
      <c r="S29" s="375"/>
      <c r="T29" s="376"/>
      <c r="U29" s="377"/>
      <c r="V29" s="378"/>
      <c r="W29" s="379" t="s">
        <v>1289</v>
      </c>
      <c r="X29" s="354"/>
      <c r="Y29" s="354"/>
      <c r="Z29" s="354"/>
      <c r="AA29" s="354"/>
      <c r="AB29" s="354"/>
      <c r="AC29" s="354"/>
      <c r="AD29" s="354"/>
      <c r="AE29" s="354"/>
      <c r="AF29" s="354"/>
      <c r="AG29" s="354"/>
      <c r="AH29" s="354"/>
      <c r="AI29" s="354"/>
      <c r="AJ29" s="354"/>
      <c r="AK29" s="354" t="s">
        <v>1164</v>
      </c>
      <c r="AL29" s="354" t="s">
        <v>1052</v>
      </c>
    </row>
    <row r="30" spans="1:38" s="411" customFormat="1" ht="26.4">
      <c r="A30" s="395">
        <v>0</v>
      </c>
      <c r="B30" s="396" t="s">
        <v>634</v>
      </c>
      <c r="C30" s="396" t="s">
        <v>661</v>
      </c>
      <c r="D30" s="415" t="s">
        <v>662</v>
      </c>
      <c r="E30" s="397">
        <v>30</v>
      </c>
      <c r="F30" s="398" t="s">
        <v>8</v>
      </c>
      <c r="G30" s="399" t="s">
        <v>633</v>
      </c>
      <c r="H30" s="400">
        <v>45840</v>
      </c>
      <c r="I30" s="416">
        <v>45859</v>
      </c>
      <c r="J30" s="417">
        <v>45859</v>
      </c>
      <c r="K30" s="401">
        <f t="shared" si="0"/>
        <v>46039</v>
      </c>
      <c r="L30" s="402" t="s">
        <v>478</v>
      </c>
      <c r="M30" s="404" t="s">
        <v>968</v>
      </c>
      <c r="N30" s="418" t="s">
        <v>989</v>
      </c>
      <c r="O30" s="418"/>
      <c r="P30" s="404">
        <v>8</v>
      </c>
      <c r="Q30" s="404"/>
      <c r="R30" s="419"/>
      <c r="S30" s="420" t="s">
        <v>41</v>
      </c>
      <c r="T30" s="421" t="s">
        <v>54</v>
      </c>
      <c r="U30" s="422" t="s">
        <v>535</v>
      </c>
      <c r="V30" s="408"/>
      <c r="W30" s="409" t="s">
        <v>1318</v>
      </c>
      <c r="X30" s="410"/>
      <c r="Y30" s="410"/>
      <c r="Z30" s="410"/>
      <c r="AA30" s="410"/>
      <c r="AB30" s="410"/>
      <c r="AC30" s="410"/>
      <c r="AD30" s="410"/>
      <c r="AE30" s="410"/>
      <c r="AF30" s="410"/>
      <c r="AG30" s="410"/>
      <c r="AH30" s="410"/>
      <c r="AI30" s="410"/>
      <c r="AJ30" s="410"/>
      <c r="AK30" s="410"/>
      <c r="AL30" s="410" t="s">
        <v>1146</v>
      </c>
    </row>
    <row r="31" spans="1:38" s="127" customFormat="1" ht="18" customHeight="1">
      <c r="A31" s="172">
        <v>1</v>
      </c>
      <c r="B31" s="174" t="s">
        <v>634</v>
      </c>
      <c r="C31" s="174" t="s">
        <v>663</v>
      </c>
      <c r="D31" s="174" t="s">
        <v>664</v>
      </c>
      <c r="E31" s="194">
        <v>47</v>
      </c>
      <c r="F31" s="195" t="s">
        <v>29</v>
      </c>
      <c r="G31" s="156" t="s">
        <v>629</v>
      </c>
      <c r="H31" s="299">
        <v>45832</v>
      </c>
      <c r="I31" s="301">
        <v>45896</v>
      </c>
      <c r="J31" s="302">
        <v>45896</v>
      </c>
      <c r="K31" s="300">
        <f t="shared" si="0"/>
        <v>46076</v>
      </c>
      <c r="L31" s="402" t="s">
        <v>478</v>
      </c>
      <c r="M31" s="63" t="s">
        <v>968</v>
      </c>
      <c r="N31" s="63" t="s">
        <v>990</v>
      </c>
      <c r="O31" s="63"/>
      <c r="P31" s="63">
        <v>5</v>
      </c>
      <c r="Q31" s="63"/>
      <c r="R31" s="204"/>
      <c r="S31" s="200"/>
      <c r="T31" s="201"/>
      <c r="U31" s="125"/>
      <c r="V31" s="124"/>
      <c r="W31" s="345" t="s">
        <v>1327</v>
      </c>
      <c r="X31" s="126"/>
      <c r="Y31" s="126"/>
      <c r="Z31" s="126"/>
      <c r="AA31" s="126"/>
      <c r="AB31" s="126"/>
      <c r="AC31" s="126"/>
      <c r="AD31" s="126"/>
      <c r="AE31" s="126"/>
      <c r="AF31" s="126">
        <v>1</v>
      </c>
      <c r="AG31" s="126"/>
      <c r="AH31" s="126"/>
      <c r="AI31" s="126"/>
      <c r="AJ31" s="126"/>
      <c r="AK31" s="126"/>
      <c r="AL31" s="126" t="s">
        <v>1147</v>
      </c>
    </row>
    <row r="32" spans="1:38" s="127" customFormat="1" ht="26.4">
      <c r="A32" s="172">
        <v>1</v>
      </c>
      <c r="B32" s="174" t="s">
        <v>634</v>
      </c>
      <c r="C32" s="174" t="s">
        <v>665</v>
      </c>
      <c r="D32" s="174" t="s">
        <v>413</v>
      </c>
      <c r="E32" s="194">
        <v>46</v>
      </c>
      <c r="F32" s="195" t="s">
        <v>8</v>
      </c>
      <c r="G32" s="156" t="s">
        <v>629</v>
      </c>
      <c r="H32" s="299">
        <v>45821</v>
      </c>
      <c r="I32" s="301">
        <v>45882</v>
      </c>
      <c r="J32" s="302">
        <v>45882</v>
      </c>
      <c r="K32" s="300">
        <f t="shared" si="0"/>
        <v>46062</v>
      </c>
      <c r="L32" s="402" t="s">
        <v>478</v>
      </c>
      <c r="M32" s="63" t="s">
        <v>968</v>
      </c>
      <c r="N32" s="63" t="s">
        <v>967</v>
      </c>
      <c r="O32" s="63"/>
      <c r="P32" s="64">
        <v>3</v>
      </c>
      <c r="Q32" s="64"/>
      <c r="R32" s="204"/>
      <c r="S32" s="200"/>
      <c r="T32" s="201"/>
      <c r="U32" s="125"/>
      <c r="V32" s="124"/>
      <c r="W32" s="345" t="s">
        <v>1300</v>
      </c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 t="s">
        <v>1053</v>
      </c>
    </row>
    <row r="33" spans="1:38" s="127" customFormat="1" ht="18" customHeight="1">
      <c r="A33" s="172">
        <v>1</v>
      </c>
      <c r="B33" s="174" t="s">
        <v>634</v>
      </c>
      <c r="C33" s="174" t="s">
        <v>666</v>
      </c>
      <c r="D33" s="174" t="s">
        <v>667</v>
      </c>
      <c r="E33" s="194">
        <v>47</v>
      </c>
      <c r="F33" s="209" t="s">
        <v>29</v>
      </c>
      <c r="G33" s="156" t="s">
        <v>629</v>
      </c>
      <c r="H33" s="299">
        <v>45820</v>
      </c>
      <c r="I33" s="301">
        <v>45924</v>
      </c>
      <c r="J33" s="302">
        <v>45938</v>
      </c>
      <c r="K33" s="300">
        <f t="shared" si="0"/>
        <v>46118</v>
      </c>
      <c r="L33" s="197"/>
      <c r="M33" s="63" t="s">
        <v>971</v>
      </c>
      <c r="N33" s="63" t="s">
        <v>991</v>
      </c>
      <c r="O33" s="63" t="s">
        <v>968</v>
      </c>
      <c r="P33" s="64"/>
      <c r="Q33" s="64"/>
      <c r="R33" s="204"/>
      <c r="S33" s="200"/>
      <c r="T33" s="201"/>
      <c r="U33" s="125"/>
      <c r="V33" s="124"/>
      <c r="W33" s="345" t="s">
        <v>1299</v>
      </c>
      <c r="X33" s="126"/>
      <c r="Y33" s="126"/>
      <c r="Z33" s="126"/>
      <c r="AA33" s="126"/>
      <c r="AB33" s="126"/>
      <c r="AC33" s="126">
        <v>1</v>
      </c>
      <c r="AD33" s="126"/>
      <c r="AE33" s="126"/>
      <c r="AF33" s="126"/>
      <c r="AG33" s="126"/>
      <c r="AH33" s="126"/>
      <c r="AI33" s="126"/>
      <c r="AJ33" s="126"/>
      <c r="AK33" s="126"/>
      <c r="AL33" s="126" t="s">
        <v>1168</v>
      </c>
    </row>
    <row r="34" spans="1:38" s="127" customFormat="1" ht="27.6" customHeight="1">
      <c r="A34" s="381">
        <v>0</v>
      </c>
      <c r="B34" s="174" t="s">
        <v>634</v>
      </c>
      <c r="C34" s="174" t="s">
        <v>668</v>
      </c>
      <c r="D34" s="174" t="s">
        <v>669</v>
      </c>
      <c r="E34" s="194">
        <v>45</v>
      </c>
      <c r="F34" s="195" t="s">
        <v>14</v>
      </c>
      <c r="G34" s="156" t="s">
        <v>629</v>
      </c>
      <c r="H34" s="299">
        <v>45811</v>
      </c>
      <c r="I34" s="301">
        <v>45902</v>
      </c>
      <c r="J34" s="388">
        <v>45902</v>
      </c>
      <c r="K34" s="300">
        <f t="shared" si="0"/>
        <v>46082</v>
      </c>
      <c r="L34" s="197"/>
      <c r="M34" s="63" t="s">
        <v>974</v>
      </c>
      <c r="N34" s="63" t="s">
        <v>968</v>
      </c>
      <c r="O34" s="63"/>
      <c r="P34" s="64">
        <v>7</v>
      </c>
      <c r="Q34" s="64"/>
      <c r="R34" s="204"/>
      <c r="S34" s="200" t="s">
        <v>39</v>
      </c>
      <c r="T34" s="201" t="s">
        <v>54</v>
      </c>
      <c r="U34" s="125"/>
      <c r="V34" s="124">
        <v>46108</v>
      </c>
      <c r="W34" s="345" t="s">
        <v>1328</v>
      </c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 t="s">
        <v>1054</v>
      </c>
    </row>
    <row r="35" spans="1:38" s="127" customFormat="1" ht="18" customHeight="1">
      <c r="A35" s="381">
        <v>1</v>
      </c>
      <c r="B35" s="174" t="s">
        <v>621</v>
      </c>
      <c r="C35" s="174" t="s">
        <v>670</v>
      </c>
      <c r="D35" s="174" t="s">
        <v>671</v>
      </c>
      <c r="E35" s="194">
        <v>45</v>
      </c>
      <c r="F35" s="195" t="s">
        <v>29</v>
      </c>
      <c r="G35" s="156" t="s">
        <v>629</v>
      </c>
      <c r="H35" s="299">
        <v>45798</v>
      </c>
      <c r="I35" s="301">
        <v>45873</v>
      </c>
      <c r="J35" s="302">
        <v>45873</v>
      </c>
      <c r="K35" s="300">
        <f t="shared" si="0"/>
        <v>46053</v>
      </c>
      <c r="L35" s="197"/>
      <c r="M35" s="63" t="s">
        <v>470</v>
      </c>
      <c r="N35" s="63" t="s">
        <v>968</v>
      </c>
      <c r="O35" s="63" t="s">
        <v>992</v>
      </c>
      <c r="P35" s="64">
        <v>1</v>
      </c>
      <c r="Q35" s="64"/>
      <c r="R35" s="199"/>
      <c r="S35" s="200"/>
      <c r="T35" s="201"/>
      <c r="U35" s="125"/>
      <c r="V35" s="124"/>
      <c r="W35" s="345"/>
      <c r="X35" s="126"/>
      <c r="Y35" s="126"/>
      <c r="Z35" s="126"/>
      <c r="AA35" s="126"/>
      <c r="AB35" s="126"/>
      <c r="AC35" s="126"/>
      <c r="AD35" s="126"/>
      <c r="AE35" s="126"/>
      <c r="AF35" s="126">
        <v>1</v>
      </c>
      <c r="AG35" s="126"/>
      <c r="AH35" s="126"/>
      <c r="AI35" s="126"/>
      <c r="AJ35" s="126"/>
      <c r="AK35" s="126"/>
      <c r="AL35" s="126" t="s">
        <v>1055</v>
      </c>
    </row>
    <row r="36" spans="1:38" s="127" customFormat="1" ht="18" customHeight="1">
      <c r="A36" s="172">
        <v>0</v>
      </c>
      <c r="B36" s="174" t="s">
        <v>634</v>
      </c>
      <c r="C36" s="174" t="s">
        <v>672</v>
      </c>
      <c r="D36" s="174" t="s">
        <v>673</v>
      </c>
      <c r="E36" s="194">
        <v>46</v>
      </c>
      <c r="F36" s="195" t="s">
        <v>29</v>
      </c>
      <c r="G36" s="156" t="s">
        <v>629</v>
      </c>
      <c r="H36" s="299">
        <v>45826</v>
      </c>
      <c r="I36" s="301">
        <v>45883</v>
      </c>
      <c r="J36" s="302">
        <v>45883</v>
      </c>
      <c r="K36" s="300">
        <f t="shared" si="0"/>
        <v>46063</v>
      </c>
      <c r="L36" s="197" t="s">
        <v>478</v>
      </c>
      <c r="M36" s="63" t="s">
        <v>974</v>
      </c>
      <c r="N36" s="63" t="s">
        <v>968</v>
      </c>
      <c r="O36" s="63" t="s">
        <v>971</v>
      </c>
      <c r="P36" s="64"/>
      <c r="Q36" s="64"/>
      <c r="R36" s="204"/>
      <c r="S36" s="200" t="s">
        <v>39</v>
      </c>
      <c r="T36" s="201" t="s">
        <v>54</v>
      </c>
      <c r="U36" s="125"/>
      <c r="V36" s="124">
        <v>46248</v>
      </c>
      <c r="W36" s="345" t="s">
        <v>1295</v>
      </c>
      <c r="X36" s="126"/>
      <c r="Y36" s="126"/>
      <c r="Z36" s="126"/>
      <c r="AA36" s="126"/>
      <c r="AB36" s="126"/>
      <c r="AC36" s="126">
        <v>1</v>
      </c>
      <c r="AD36" s="126">
        <v>1</v>
      </c>
      <c r="AE36" s="126"/>
      <c r="AF36" s="126"/>
      <c r="AG36" s="126"/>
      <c r="AH36" s="126"/>
      <c r="AI36" s="126"/>
      <c r="AJ36" s="126"/>
      <c r="AK36" s="126"/>
      <c r="AL36" s="126" t="s">
        <v>1056</v>
      </c>
    </row>
    <row r="37" spans="1:38" s="221" customFormat="1" ht="18" customHeight="1">
      <c r="A37" s="210">
        <v>0</v>
      </c>
      <c r="B37" s="211" t="s">
        <v>621</v>
      </c>
      <c r="C37" s="211" t="s">
        <v>674</v>
      </c>
      <c r="D37" s="211" t="s">
        <v>675</v>
      </c>
      <c r="E37" s="212">
        <v>45</v>
      </c>
      <c r="F37" s="213"/>
      <c r="G37" s="211" t="s">
        <v>76</v>
      </c>
      <c r="H37" s="308">
        <v>45828</v>
      </c>
      <c r="I37" s="309">
        <v>45894</v>
      </c>
      <c r="J37" s="390"/>
      <c r="K37" s="310">
        <f t="shared" si="0"/>
        <v>180</v>
      </c>
      <c r="L37" s="214"/>
      <c r="M37" s="170"/>
      <c r="N37" s="170"/>
      <c r="O37" s="170"/>
      <c r="P37" s="171"/>
      <c r="Q37" s="171"/>
      <c r="R37" s="215"/>
      <c r="S37" s="216"/>
      <c r="T37" s="217"/>
      <c r="U37" s="218"/>
      <c r="V37" s="219"/>
      <c r="W37" s="346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 t="s">
        <v>1057</v>
      </c>
    </row>
    <row r="38" spans="1:38" s="380" customFormat="1" ht="26.4">
      <c r="A38" s="483">
        <v>1</v>
      </c>
      <c r="B38" s="484" t="s">
        <v>621</v>
      </c>
      <c r="C38" s="484" t="s">
        <v>676</v>
      </c>
      <c r="D38" s="484" t="s">
        <v>677</v>
      </c>
      <c r="E38" s="485">
        <v>54</v>
      </c>
      <c r="F38" s="486" t="s">
        <v>11</v>
      </c>
      <c r="G38" s="487" t="s">
        <v>76</v>
      </c>
      <c r="H38" s="488">
        <v>45821</v>
      </c>
      <c r="I38" s="489">
        <v>45908</v>
      </c>
      <c r="J38" s="490">
        <v>45908</v>
      </c>
      <c r="K38" s="350">
        <f t="shared" si="0"/>
        <v>46088</v>
      </c>
      <c r="L38" s="351" t="s">
        <v>478</v>
      </c>
      <c r="M38" s="352" t="s">
        <v>993</v>
      </c>
      <c r="N38" s="352" t="s">
        <v>976</v>
      </c>
      <c r="O38" s="352"/>
      <c r="P38" s="491">
        <v>3</v>
      </c>
      <c r="Q38" s="491"/>
      <c r="R38" s="374"/>
      <c r="S38" s="375"/>
      <c r="T38" s="376"/>
      <c r="U38" s="377"/>
      <c r="V38" s="378"/>
      <c r="W38" s="379" t="s">
        <v>1337</v>
      </c>
      <c r="X38" s="354"/>
      <c r="Y38" s="354"/>
      <c r="Z38" s="354"/>
      <c r="AA38" s="354"/>
      <c r="AB38" s="354"/>
      <c r="AC38" s="354"/>
      <c r="AD38" s="354"/>
      <c r="AE38" s="354"/>
      <c r="AF38" s="354"/>
      <c r="AG38" s="354"/>
      <c r="AH38" s="354"/>
      <c r="AI38" s="354"/>
      <c r="AJ38" s="354"/>
      <c r="AK38" s="354"/>
      <c r="AL38" s="354" t="s">
        <v>1058</v>
      </c>
    </row>
    <row r="39" spans="1:38" s="127" customFormat="1" ht="18" customHeight="1">
      <c r="A39" s="158">
        <v>1</v>
      </c>
      <c r="B39" s="382" t="s">
        <v>621</v>
      </c>
      <c r="C39" s="382" t="s">
        <v>678</v>
      </c>
      <c r="D39" s="382" t="s">
        <v>679</v>
      </c>
      <c r="E39" s="383">
        <v>26</v>
      </c>
      <c r="F39" s="208" t="s">
        <v>646</v>
      </c>
      <c r="G39" s="156" t="s">
        <v>629</v>
      </c>
      <c r="H39" s="299">
        <v>45812</v>
      </c>
      <c r="I39" s="301">
        <v>45887</v>
      </c>
      <c r="J39" s="302">
        <v>45890</v>
      </c>
      <c r="K39" s="300">
        <f t="shared" si="0"/>
        <v>46070</v>
      </c>
      <c r="L39" s="197"/>
      <c r="M39" s="63" t="s">
        <v>60</v>
      </c>
      <c r="N39" s="63" t="s">
        <v>994</v>
      </c>
      <c r="O39" s="63"/>
      <c r="P39" s="64"/>
      <c r="Q39" s="64"/>
      <c r="R39" s="204"/>
      <c r="S39" s="200"/>
      <c r="T39" s="201"/>
      <c r="U39" s="125"/>
      <c r="V39" s="124"/>
      <c r="W39" s="345" t="s">
        <v>1384</v>
      </c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 t="s">
        <v>1156</v>
      </c>
    </row>
    <row r="40" spans="1:38" s="232" customFormat="1" ht="18" customHeight="1">
      <c r="A40" s="222">
        <v>1</v>
      </c>
      <c r="B40" s="157" t="s">
        <v>621</v>
      </c>
      <c r="C40" s="157" t="s">
        <v>680</v>
      </c>
      <c r="D40" s="157" t="s">
        <v>659</v>
      </c>
      <c r="E40" s="223">
        <v>48</v>
      </c>
      <c r="F40" s="224" t="s">
        <v>14</v>
      </c>
      <c r="G40" s="157" t="s">
        <v>633</v>
      </c>
      <c r="H40" s="311">
        <v>45777</v>
      </c>
      <c r="I40" s="312">
        <v>45866</v>
      </c>
      <c r="J40" s="312">
        <v>45866</v>
      </c>
      <c r="K40" s="313">
        <f t="shared" si="0"/>
        <v>46046</v>
      </c>
      <c r="L40" s="402" t="s">
        <v>478</v>
      </c>
      <c r="M40" s="167" t="s">
        <v>995</v>
      </c>
      <c r="N40" s="167" t="s">
        <v>976</v>
      </c>
      <c r="O40" s="167"/>
      <c r="P40" s="168">
        <v>1</v>
      </c>
      <c r="Q40" s="168"/>
      <c r="R40" s="227"/>
      <c r="S40" s="228"/>
      <c r="T40" s="229"/>
      <c r="U40" s="225"/>
      <c r="V40" s="230"/>
      <c r="W40" s="345" t="s">
        <v>1315</v>
      </c>
      <c r="X40" s="231"/>
      <c r="Y40" s="231"/>
      <c r="Z40" s="231"/>
      <c r="AA40" s="231"/>
      <c r="AB40" s="231"/>
      <c r="AC40" s="231"/>
      <c r="AD40" s="231"/>
      <c r="AE40" s="231"/>
      <c r="AF40" s="231"/>
      <c r="AG40" s="231"/>
      <c r="AH40" s="231"/>
      <c r="AI40" s="231"/>
      <c r="AJ40" s="231"/>
      <c r="AK40" s="231"/>
      <c r="AL40" s="231" t="s">
        <v>1059</v>
      </c>
    </row>
    <row r="41" spans="1:38" s="127" customFormat="1" ht="26.4">
      <c r="A41" s="172">
        <v>0</v>
      </c>
      <c r="B41" s="174" t="s">
        <v>634</v>
      </c>
      <c r="C41" s="174" t="s">
        <v>681</v>
      </c>
      <c r="D41" s="174" t="s">
        <v>682</v>
      </c>
      <c r="E41" s="194">
        <v>43</v>
      </c>
      <c r="F41" s="195" t="s">
        <v>683</v>
      </c>
      <c r="G41" s="156" t="s">
        <v>76</v>
      </c>
      <c r="H41" s="385">
        <v>45812</v>
      </c>
      <c r="I41" s="301">
        <v>45901</v>
      </c>
      <c r="J41" s="302">
        <v>45901</v>
      </c>
      <c r="K41" s="300">
        <f t="shared" si="0"/>
        <v>46081</v>
      </c>
      <c r="L41" s="363" t="s">
        <v>478</v>
      </c>
      <c r="M41" s="63" t="s">
        <v>962</v>
      </c>
      <c r="N41" s="63" t="s">
        <v>976</v>
      </c>
      <c r="O41" s="63"/>
      <c r="P41" s="64"/>
      <c r="Q41" s="64"/>
      <c r="R41" s="204">
        <v>1</v>
      </c>
      <c r="S41" s="200" t="s">
        <v>39</v>
      </c>
      <c r="T41" s="201" t="s">
        <v>55</v>
      </c>
      <c r="U41" s="125"/>
      <c r="V41" s="124">
        <v>46266</v>
      </c>
      <c r="W41" s="345" t="s">
        <v>1317</v>
      </c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 t="s">
        <v>1060</v>
      </c>
    </row>
    <row r="42" spans="1:38" s="127" customFormat="1" ht="18" customHeight="1">
      <c r="A42" s="172">
        <v>1</v>
      </c>
      <c r="B42" s="174" t="s">
        <v>634</v>
      </c>
      <c r="C42" s="174" t="s">
        <v>684</v>
      </c>
      <c r="D42" s="174" t="s">
        <v>685</v>
      </c>
      <c r="E42" s="194">
        <v>36</v>
      </c>
      <c r="F42" s="195" t="s">
        <v>8</v>
      </c>
      <c r="G42" s="156" t="s">
        <v>629</v>
      </c>
      <c r="H42" s="299">
        <v>45827</v>
      </c>
      <c r="I42" s="301">
        <v>45902</v>
      </c>
      <c r="J42" s="302">
        <v>45912</v>
      </c>
      <c r="K42" s="300">
        <f t="shared" si="0"/>
        <v>46092</v>
      </c>
      <c r="L42" s="402" t="s">
        <v>478</v>
      </c>
      <c r="M42" s="63" t="s">
        <v>996</v>
      </c>
      <c r="N42" s="64" t="s">
        <v>962</v>
      </c>
      <c r="O42" s="64"/>
      <c r="P42" s="64">
        <v>3</v>
      </c>
      <c r="Q42" s="64"/>
      <c r="R42" s="204"/>
      <c r="S42" s="200"/>
      <c r="T42" s="201"/>
      <c r="U42" s="125"/>
      <c r="V42" s="124"/>
      <c r="W42" s="345" t="s">
        <v>1294</v>
      </c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 t="s">
        <v>1061</v>
      </c>
    </row>
    <row r="43" spans="1:38" s="127" customFormat="1" ht="13.2">
      <c r="A43" s="381">
        <v>1</v>
      </c>
      <c r="B43" s="174" t="s">
        <v>634</v>
      </c>
      <c r="C43" s="174" t="s">
        <v>686</v>
      </c>
      <c r="D43" s="174" t="s">
        <v>687</v>
      </c>
      <c r="E43" s="194">
        <v>39</v>
      </c>
      <c r="F43" s="195" t="s">
        <v>688</v>
      </c>
      <c r="G43" s="156" t="s">
        <v>629</v>
      </c>
      <c r="H43" s="299">
        <v>45811</v>
      </c>
      <c r="I43" s="301">
        <v>45896</v>
      </c>
      <c r="J43" s="302">
        <v>45896</v>
      </c>
      <c r="K43" s="300">
        <f t="shared" si="0"/>
        <v>46076</v>
      </c>
      <c r="L43" s="197"/>
      <c r="M43" s="63" t="s">
        <v>968</v>
      </c>
      <c r="N43" s="64" t="s">
        <v>962</v>
      </c>
      <c r="O43" s="64"/>
      <c r="P43" s="64"/>
      <c r="Q43" s="64"/>
      <c r="R43" s="199"/>
      <c r="S43" s="200"/>
      <c r="T43" s="201"/>
      <c r="U43" s="125"/>
      <c r="V43" s="124"/>
      <c r="W43" s="345" t="s">
        <v>1316</v>
      </c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 t="s">
        <v>1173</v>
      </c>
    </row>
    <row r="44" spans="1:38" s="127" customFormat="1" ht="18" customHeight="1">
      <c r="A44" s="381">
        <v>1</v>
      </c>
      <c r="B44" s="174" t="s">
        <v>634</v>
      </c>
      <c r="C44" s="174" t="s">
        <v>689</v>
      </c>
      <c r="D44" s="174" t="s">
        <v>690</v>
      </c>
      <c r="E44" s="194">
        <v>32</v>
      </c>
      <c r="F44" s="195" t="s">
        <v>626</v>
      </c>
      <c r="G44" s="156" t="s">
        <v>629</v>
      </c>
      <c r="H44" s="299">
        <v>45810</v>
      </c>
      <c r="I44" s="301">
        <v>45867</v>
      </c>
      <c r="J44" s="302">
        <v>45898</v>
      </c>
      <c r="K44" s="300">
        <f t="shared" ref="K44:K75" si="1">+J44+180</f>
        <v>46078</v>
      </c>
      <c r="L44" s="197"/>
      <c r="M44" s="63" t="s">
        <v>965</v>
      </c>
      <c r="N44" s="63" t="s">
        <v>974</v>
      </c>
      <c r="O44" s="63" t="s">
        <v>964</v>
      </c>
      <c r="P44" s="64">
        <v>3</v>
      </c>
      <c r="Q44" s="64"/>
      <c r="R44" s="204"/>
      <c r="S44" s="200"/>
      <c r="T44" s="201"/>
      <c r="U44" s="125"/>
      <c r="V44" s="124"/>
      <c r="W44" s="345" t="s">
        <v>1303</v>
      </c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 t="s">
        <v>1174</v>
      </c>
    </row>
    <row r="45" spans="1:38" s="232" customFormat="1" ht="13.2">
      <c r="A45" s="222">
        <v>0</v>
      </c>
      <c r="B45" s="157" t="s">
        <v>621</v>
      </c>
      <c r="C45" s="157" t="s">
        <v>691</v>
      </c>
      <c r="D45" s="157" t="s">
        <v>692</v>
      </c>
      <c r="E45" s="223">
        <v>33</v>
      </c>
      <c r="F45" s="224" t="s">
        <v>693</v>
      </c>
      <c r="G45" s="157" t="s">
        <v>633</v>
      </c>
      <c r="H45" s="311">
        <v>45821</v>
      </c>
      <c r="I45" s="312">
        <v>45908</v>
      </c>
      <c r="J45" s="389">
        <v>46013</v>
      </c>
      <c r="K45" s="313">
        <f t="shared" si="1"/>
        <v>46193</v>
      </c>
      <c r="L45" s="226"/>
      <c r="M45" s="167" t="s">
        <v>976</v>
      </c>
      <c r="N45" s="167"/>
      <c r="O45" s="167"/>
      <c r="P45" s="168"/>
      <c r="Q45" s="168"/>
      <c r="R45" s="227"/>
      <c r="S45" s="228"/>
      <c r="T45" s="229"/>
      <c r="U45" s="225"/>
      <c r="V45" s="230"/>
      <c r="W45" s="347"/>
      <c r="X45" s="231"/>
      <c r="Y45" s="231"/>
      <c r="Z45" s="231"/>
      <c r="AA45" s="231"/>
      <c r="AB45" s="231"/>
      <c r="AC45" s="231"/>
      <c r="AD45" s="231"/>
      <c r="AE45" s="231"/>
      <c r="AF45" s="231"/>
      <c r="AG45" s="231"/>
      <c r="AH45" s="231"/>
      <c r="AI45" s="231"/>
      <c r="AJ45" s="231"/>
      <c r="AK45" s="231"/>
      <c r="AL45" s="231" t="s">
        <v>1062</v>
      </c>
    </row>
    <row r="46" spans="1:38" s="127" customFormat="1" ht="21" customHeight="1">
      <c r="A46" s="172">
        <v>1</v>
      </c>
      <c r="B46" s="174" t="s">
        <v>634</v>
      </c>
      <c r="C46" s="174" t="s">
        <v>694</v>
      </c>
      <c r="D46" s="174" t="s">
        <v>360</v>
      </c>
      <c r="E46" s="194">
        <v>35</v>
      </c>
      <c r="F46" s="195" t="s">
        <v>695</v>
      </c>
      <c r="G46" s="156" t="s">
        <v>629</v>
      </c>
      <c r="H46" s="299">
        <v>45832</v>
      </c>
      <c r="I46" s="314">
        <v>45888</v>
      </c>
      <c r="J46" s="302">
        <v>45888</v>
      </c>
      <c r="K46" s="300">
        <f t="shared" si="1"/>
        <v>46068</v>
      </c>
      <c r="L46" s="197"/>
      <c r="M46" s="63" t="s">
        <v>997</v>
      </c>
      <c r="N46" s="63" t="s">
        <v>998</v>
      </c>
      <c r="O46" s="63"/>
      <c r="P46" s="64">
        <v>2</v>
      </c>
      <c r="Q46" s="64"/>
      <c r="R46" s="204"/>
      <c r="S46" s="200"/>
      <c r="T46" s="201"/>
      <c r="U46" s="125"/>
      <c r="V46" s="124"/>
      <c r="W46" s="509" t="s">
        <v>1422</v>
      </c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 t="s">
        <v>1063</v>
      </c>
    </row>
    <row r="47" spans="1:38" s="232" customFormat="1" ht="18" customHeight="1">
      <c r="A47" s="222">
        <v>1</v>
      </c>
      <c r="B47" s="157" t="s">
        <v>621</v>
      </c>
      <c r="C47" s="157" t="s">
        <v>696</v>
      </c>
      <c r="D47" s="157" t="s">
        <v>427</v>
      </c>
      <c r="E47" s="223">
        <v>37</v>
      </c>
      <c r="F47" s="224" t="s">
        <v>697</v>
      </c>
      <c r="G47" s="157" t="s">
        <v>633</v>
      </c>
      <c r="H47" s="311">
        <v>45867</v>
      </c>
      <c r="I47" s="480">
        <v>45889</v>
      </c>
      <c r="J47" s="480">
        <v>45904</v>
      </c>
      <c r="K47" s="313">
        <f t="shared" si="1"/>
        <v>46084</v>
      </c>
      <c r="L47" s="226"/>
      <c r="M47" s="167" t="s">
        <v>974</v>
      </c>
      <c r="N47" s="167" t="s">
        <v>999</v>
      </c>
      <c r="O47" s="167"/>
      <c r="P47" s="168">
        <v>4</v>
      </c>
      <c r="Q47" s="168">
        <v>1</v>
      </c>
      <c r="R47" s="227"/>
      <c r="S47" s="228"/>
      <c r="T47" s="229"/>
      <c r="U47" s="225"/>
      <c r="V47" s="230"/>
      <c r="W47" s="345" t="s">
        <v>1301</v>
      </c>
      <c r="X47" s="231"/>
      <c r="Y47" s="231"/>
      <c r="Z47" s="231"/>
      <c r="AA47" s="231">
        <v>1</v>
      </c>
      <c r="AB47" s="231"/>
      <c r="AC47" s="231"/>
      <c r="AD47" s="231"/>
      <c r="AE47" s="231"/>
      <c r="AF47" s="231"/>
      <c r="AG47" s="231"/>
      <c r="AH47" s="231"/>
      <c r="AI47" s="231"/>
      <c r="AJ47" s="231"/>
      <c r="AK47" s="231"/>
      <c r="AL47" s="231" t="s">
        <v>1064</v>
      </c>
    </row>
    <row r="48" spans="1:38" s="127" customFormat="1" ht="19.5" customHeight="1">
      <c r="A48" s="172">
        <v>0</v>
      </c>
      <c r="B48" s="174" t="s">
        <v>634</v>
      </c>
      <c r="C48" s="233" t="s">
        <v>698</v>
      </c>
      <c r="D48" s="174" t="s">
        <v>413</v>
      </c>
      <c r="E48" s="194">
        <v>43</v>
      </c>
      <c r="F48" s="195"/>
      <c r="G48" s="156" t="s">
        <v>76</v>
      </c>
      <c r="H48" s="299">
        <v>45776</v>
      </c>
      <c r="I48" s="301">
        <v>45908</v>
      </c>
      <c r="J48" s="302"/>
      <c r="K48" s="300">
        <f t="shared" si="1"/>
        <v>180</v>
      </c>
      <c r="L48" s="197"/>
      <c r="M48" s="63"/>
      <c r="N48" s="64"/>
      <c r="O48" s="64"/>
      <c r="P48" s="64"/>
      <c r="Q48" s="64"/>
      <c r="R48" s="204"/>
      <c r="S48" s="200"/>
      <c r="T48" s="201"/>
      <c r="U48" s="125"/>
      <c r="V48" s="124"/>
      <c r="W48" s="345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 t="s">
        <v>1065</v>
      </c>
    </row>
    <row r="49" spans="1:38" s="127" customFormat="1" ht="13.2">
      <c r="A49" s="172">
        <v>1</v>
      </c>
      <c r="B49" s="174" t="s">
        <v>634</v>
      </c>
      <c r="C49" s="174" t="s">
        <v>699</v>
      </c>
      <c r="D49" s="174" t="s">
        <v>700</v>
      </c>
      <c r="E49" s="194">
        <v>33</v>
      </c>
      <c r="F49" s="195" t="s">
        <v>646</v>
      </c>
      <c r="G49" s="156" t="s">
        <v>629</v>
      </c>
      <c r="H49" s="299">
        <v>45834</v>
      </c>
      <c r="I49" s="301">
        <v>45867</v>
      </c>
      <c r="J49" s="302">
        <v>45897</v>
      </c>
      <c r="K49" s="300">
        <f t="shared" si="1"/>
        <v>46077</v>
      </c>
      <c r="L49" s="197"/>
      <c r="M49" s="64" t="s">
        <v>974</v>
      </c>
      <c r="N49" s="64" t="s">
        <v>971</v>
      </c>
      <c r="O49" s="64" t="s">
        <v>968</v>
      </c>
      <c r="P49" s="64">
        <v>0</v>
      </c>
      <c r="Q49" s="64"/>
      <c r="R49" s="204"/>
      <c r="S49" s="200"/>
      <c r="T49" s="201"/>
      <c r="U49" s="125"/>
      <c r="V49" s="124"/>
      <c r="W49" s="345" t="s">
        <v>1297</v>
      </c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 t="s">
        <v>1066</v>
      </c>
    </row>
    <row r="50" spans="1:38" s="127" customFormat="1" ht="21" customHeight="1">
      <c r="A50" s="381">
        <v>0</v>
      </c>
      <c r="B50" s="174" t="s">
        <v>621</v>
      </c>
      <c r="C50" s="233" t="s">
        <v>701</v>
      </c>
      <c r="D50" s="174" t="s">
        <v>702</v>
      </c>
      <c r="E50" s="194">
        <v>30</v>
      </c>
      <c r="F50" s="195"/>
      <c r="G50" s="156" t="s">
        <v>629</v>
      </c>
      <c r="H50" s="299">
        <v>45799</v>
      </c>
      <c r="I50" s="301">
        <v>45876</v>
      </c>
      <c r="J50" s="302" t="s">
        <v>959</v>
      </c>
      <c r="K50" s="300" t="e">
        <f t="shared" si="1"/>
        <v>#VALUE!</v>
      </c>
      <c r="L50" s="197"/>
      <c r="M50" s="64"/>
      <c r="N50" s="64"/>
      <c r="O50" s="64"/>
      <c r="P50" s="64"/>
      <c r="Q50" s="64"/>
      <c r="R50" s="204"/>
      <c r="S50" s="200"/>
      <c r="T50" s="201"/>
      <c r="U50" s="125"/>
      <c r="V50" s="124"/>
      <c r="W50" s="345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 t="s">
        <v>1175</v>
      </c>
    </row>
    <row r="51" spans="1:38" s="127" customFormat="1" ht="26.4">
      <c r="A51" s="381">
        <v>1</v>
      </c>
      <c r="B51" s="174" t="s">
        <v>634</v>
      </c>
      <c r="C51" s="174" t="s">
        <v>703</v>
      </c>
      <c r="D51" s="174" t="s">
        <v>704</v>
      </c>
      <c r="E51" s="194">
        <v>44</v>
      </c>
      <c r="F51" s="195" t="s">
        <v>705</v>
      </c>
      <c r="G51" s="156" t="s">
        <v>629</v>
      </c>
      <c r="H51" s="299">
        <v>45758</v>
      </c>
      <c r="I51" s="301">
        <v>45910</v>
      </c>
      <c r="J51" s="302">
        <v>45910</v>
      </c>
      <c r="K51" s="300">
        <f t="shared" si="1"/>
        <v>46090</v>
      </c>
      <c r="L51" s="197"/>
      <c r="M51" s="64" t="s">
        <v>1000</v>
      </c>
      <c r="N51" s="64" t="s">
        <v>962</v>
      </c>
      <c r="O51" s="64" t="s">
        <v>996</v>
      </c>
      <c r="P51" s="64"/>
      <c r="Q51" s="64"/>
      <c r="R51" s="204">
        <v>1</v>
      </c>
      <c r="S51" s="200"/>
      <c r="T51" s="201"/>
      <c r="U51" s="125"/>
      <c r="V51" s="124"/>
      <c r="W51" s="345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 t="s">
        <v>1067</v>
      </c>
    </row>
    <row r="52" spans="1:38" s="127" customFormat="1" ht="18" customHeight="1">
      <c r="A52" s="172">
        <v>1</v>
      </c>
      <c r="B52" s="174" t="s">
        <v>634</v>
      </c>
      <c r="C52" s="174" t="s">
        <v>706</v>
      </c>
      <c r="D52" s="174" t="s">
        <v>707</v>
      </c>
      <c r="E52" s="194">
        <v>47</v>
      </c>
      <c r="F52" s="195"/>
      <c r="G52" s="156" t="s">
        <v>629</v>
      </c>
      <c r="H52" s="299">
        <v>45867</v>
      </c>
      <c r="I52" s="299">
        <v>45889</v>
      </c>
      <c r="J52" s="299">
        <v>45929</v>
      </c>
      <c r="K52" s="300">
        <f t="shared" si="1"/>
        <v>46109</v>
      </c>
      <c r="L52" s="197" t="s">
        <v>478</v>
      </c>
      <c r="M52" s="64" t="s">
        <v>974</v>
      </c>
      <c r="N52" s="64" t="s">
        <v>968</v>
      </c>
      <c r="O52" s="64"/>
      <c r="P52" s="64"/>
      <c r="Q52" s="64"/>
      <c r="R52" s="204"/>
      <c r="S52" s="200"/>
      <c r="T52" s="201"/>
      <c r="U52" s="125"/>
      <c r="V52" s="124"/>
      <c r="W52" s="345" t="s">
        <v>1385</v>
      </c>
      <c r="X52" s="126"/>
      <c r="Y52" s="126"/>
      <c r="Z52" s="126"/>
      <c r="AA52" s="126"/>
      <c r="AB52" s="126"/>
      <c r="AC52" s="126"/>
      <c r="AD52" s="126"/>
      <c r="AE52" s="126"/>
      <c r="AF52" s="126">
        <v>1</v>
      </c>
      <c r="AG52" s="126"/>
      <c r="AH52" s="126"/>
      <c r="AI52" s="126"/>
      <c r="AJ52" s="126"/>
      <c r="AK52" s="126"/>
      <c r="AL52" s="126" t="s">
        <v>1068</v>
      </c>
    </row>
    <row r="53" spans="1:38" s="380" customFormat="1" ht="26.4">
      <c r="A53" s="483">
        <v>0</v>
      </c>
      <c r="B53" s="484" t="s">
        <v>634</v>
      </c>
      <c r="C53" s="484" t="s">
        <v>708</v>
      </c>
      <c r="D53" s="484" t="s">
        <v>709</v>
      </c>
      <c r="E53" s="485">
        <v>43</v>
      </c>
      <c r="F53" s="486" t="s">
        <v>710</v>
      </c>
      <c r="G53" s="487" t="s">
        <v>629</v>
      </c>
      <c r="H53" s="488">
        <v>45821</v>
      </c>
      <c r="I53" s="489">
        <v>45910</v>
      </c>
      <c r="J53" s="490">
        <v>45910</v>
      </c>
      <c r="K53" s="350">
        <f t="shared" si="1"/>
        <v>46090</v>
      </c>
      <c r="L53" s="351"/>
      <c r="M53" s="491" t="s">
        <v>962</v>
      </c>
      <c r="N53" s="491" t="s">
        <v>1001</v>
      </c>
      <c r="O53" s="491" t="s">
        <v>975</v>
      </c>
      <c r="P53" s="491"/>
      <c r="Q53" s="491"/>
      <c r="R53" s="374"/>
      <c r="S53" s="375" t="s">
        <v>43</v>
      </c>
      <c r="T53" s="376"/>
      <c r="U53" s="377"/>
      <c r="V53" s="378">
        <v>46235</v>
      </c>
      <c r="W53" s="379" t="s">
        <v>1386</v>
      </c>
      <c r="X53" s="354"/>
      <c r="Y53" s="354"/>
      <c r="Z53" s="354"/>
      <c r="AA53" s="354"/>
      <c r="AB53" s="354"/>
      <c r="AC53" s="354"/>
      <c r="AD53" s="354"/>
      <c r="AE53" s="354"/>
      <c r="AF53" s="354"/>
      <c r="AG53" s="354"/>
      <c r="AH53" s="354"/>
      <c r="AI53" s="354"/>
      <c r="AJ53" s="354"/>
      <c r="AK53" s="354"/>
      <c r="AL53" s="354" t="s">
        <v>1069</v>
      </c>
    </row>
    <row r="54" spans="1:38" s="127" customFormat="1" ht="18" customHeight="1">
      <c r="A54" s="172">
        <v>1</v>
      </c>
      <c r="B54" s="174" t="s">
        <v>634</v>
      </c>
      <c r="C54" s="174" t="s">
        <v>711</v>
      </c>
      <c r="D54" s="174" t="s">
        <v>712</v>
      </c>
      <c r="E54" s="194">
        <v>51</v>
      </c>
      <c r="F54" s="195" t="s">
        <v>8</v>
      </c>
      <c r="G54" s="156" t="s">
        <v>629</v>
      </c>
      <c r="H54" s="299">
        <v>45821</v>
      </c>
      <c r="I54" s="315">
        <v>45889</v>
      </c>
      <c r="J54" s="315">
        <v>45903</v>
      </c>
      <c r="K54" s="300">
        <f t="shared" si="1"/>
        <v>46083</v>
      </c>
      <c r="L54" s="197"/>
      <c r="M54" s="64" t="s">
        <v>974</v>
      </c>
      <c r="N54" s="64" t="s">
        <v>1002</v>
      </c>
      <c r="O54" s="64"/>
      <c r="P54" s="64">
        <v>4</v>
      </c>
      <c r="Q54" s="64"/>
      <c r="R54" s="204"/>
      <c r="S54" s="200"/>
      <c r="T54" s="201"/>
      <c r="U54" s="125"/>
      <c r="V54" s="124"/>
      <c r="W54" s="345" t="s">
        <v>1307</v>
      </c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 t="s">
        <v>1070</v>
      </c>
    </row>
    <row r="55" spans="1:38" s="380" customFormat="1" ht="18" customHeight="1">
      <c r="A55" s="483">
        <v>0</v>
      </c>
      <c r="B55" s="484" t="s">
        <v>634</v>
      </c>
      <c r="C55" s="484" t="s">
        <v>713</v>
      </c>
      <c r="D55" s="484" t="s">
        <v>714</v>
      </c>
      <c r="E55" s="485">
        <v>28</v>
      </c>
      <c r="F55" s="486" t="s">
        <v>646</v>
      </c>
      <c r="G55" s="487" t="s">
        <v>629</v>
      </c>
      <c r="H55" s="488">
        <v>45813</v>
      </c>
      <c r="I55" s="489">
        <v>45866</v>
      </c>
      <c r="J55" s="490">
        <v>45905</v>
      </c>
      <c r="K55" s="350">
        <f t="shared" si="1"/>
        <v>46085</v>
      </c>
      <c r="L55" s="351"/>
      <c r="M55" s="352" t="s">
        <v>1003</v>
      </c>
      <c r="N55" s="352" t="s">
        <v>1004</v>
      </c>
      <c r="O55" s="352"/>
      <c r="P55" s="352"/>
      <c r="Q55" s="352"/>
      <c r="R55" s="374"/>
      <c r="S55" s="375"/>
      <c r="T55" s="376"/>
      <c r="U55" s="377"/>
      <c r="V55" s="378"/>
      <c r="W55" s="379" t="s">
        <v>1367</v>
      </c>
      <c r="X55" s="354"/>
      <c r="Y55" s="354"/>
      <c r="Z55" s="354"/>
      <c r="AA55" s="354"/>
      <c r="AB55" s="354"/>
      <c r="AC55" s="354"/>
      <c r="AD55" s="354"/>
      <c r="AE55" s="354"/>
      <c r="AF55" s="354"/>
      <c r="AG55" s="354"/>
      <c r="AH55" s="354"/>
      <c r="AI55" s="354"/>
      <c r="AJ55" s="354"/>
      <c r="AK55" s="354"/>
      <c r="AL55" s="354" t="s">
        <v>1071</v>
      </c>
    </row>
    <row r="56" spans="1:38" s="127" customFormat="1" ht="26.4">
      <c r="A56" s="381">
        <v>1</v>
      </c>
      <c r="B56" s="174" t="s">
        <v>634</v>
      </c>
      <c r="C56" s="174" t="s">
        <v>715</v>
      </c>
      <c r="D56" s="174" t="s">
        <v>716</v>
      </c>
      <c r="E56" s="194">
        <v>38</v>
      </c>
      <c r="F56" s="195" t="s">
        <v>646</v>
      </c>
      <c r="G56" s="156" t="s">
        <v>629</v>
      </c>
      <c r="H56" s="299">
        <v>45821</v>
      </c>
      <c r="I56" s="301">
        <v>45882</v>
      </c>
      <c r="J56" s="302">
        <v>45882</v>
      </c>
      <c r="K56" s="300">
        <f t="shared" si="1"/>
        <v>46062</v>
      </c>
      <c r="L56" s="197" t="s">
        <v>478</v>
      </c>
      <c r="M56" s="63" t="s">
        <v>968</v>
      </c>
      <c r="N56" s="63" t="s">
        <v>974</v>
      </c>
      <c r="O56" s="63" t="s">
        <v>1005</v>
      </c>
      <c r="P56" s="63"/>
      <c r="Q56" s="63"/>
      <c r="R56" s="204"/>
      <c r="S56" s="200"/>
      <c r="T56" s="201"/>
      <c r="U56" s="125"/>
      <c r="V56" s="124"/>
      <c r="W56" s="345" t="s">
        <v>1309</v>
      </c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 t="s">
        <v>1176</v>
      </c>
    </row>
    <row r="57" spans="1:38" s="127" customFormat="1" ht="39.6">
      <c r="A57" s="172">
        <v>1</v>
      </c>
      <c r="B57" s="174" t="s">
        <v>634</v>
      </c>
      <c r="C57" s="174" t="s">
        <v>717</v>
      </c>
      <c r="D57" s="174" t="s">
        <v>718</v>
      </c>
      <c r="E57" s="194">
        <v>33</v>
      </c>
      <c r="F57" s="195" t="s">
        <v>683</v>
      </c>
      <c r="G57" s="156" t="s">
        <v>629</v>
      </c>
      <c r="H57" s="299">
        <v>45813</v>
      </c>
      <c r="I57" s="301">
        <v>45867</v>
      </c>
      <c r="J57" s="302">
        <v>45867</v>
      </c>
      <c r="K57" s="300">
        <f t="shared" si="1"/>
        <v>46047</v>
      </c>
      <c r="L57" s="402" t="s">
        <v>478</v>
      </c>
      <c r="M57" s="63" t="s">
        <v>1006</v>
      </c>
      <c r="N57" s="63" t="s">
        <v>1007</v>
      </c>
      <c r="O57" s="63"/>
      <c r="P57" s="63"/>
      <c r="Q57" s="63"/>
      <c r="R57" s="204"/>
      <c r="S57" s="200"/>
      <c r="T57" s="201"/>
      <c r="U57" s="125"/>
      <c r="V57" s="124"/>
      <c r="W57" s="345" t="s">
        <v>1352</v>
      </c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 t="s">
        <v>1072</v>
      </c>
    </row>
    <row r="58" spans="1:38" s="127" customFormat="1" ht="16.95" customHeight="1">
      <c r="A58" s="172">
        <v>1</v>
      </c>
      <c r="B58" s="174" t="s">
        <v>621</v>
      </c>
      <c r="C58" s="174" t="s">
        <v>719</v>
      </c>
      <c r="D58" s="174" t="s">
        <v>318</v>
      </c>
      <c r="E58" s="194">
        <v>30</v>
      </c>
      <c r="F58" s="195" t="s">
        <v>683</v>
      </c>
      <c r="G58" s="156" t="s">
        <v>629</v>
      </c>
      <c r="H58" s="299">
        <v>45776</v>
      </c>
      <c r="I58" s="301">
        <v>45875</v>
      </c>
      <c r="J58" s="302">
        <v>45875</v>
      </c>
      <c r="K58" s="300">
        <f t="shared" si="1"/>
        <v>46055</v>
      </c>
      <c r="L58" s="402" t="s">
        <v>478</v>
      </c>
      <c r="M58" s="63" t="s">
        <v>1008</v>
      </c>
      <c r="N58" s="63"/>
      <c r="O58" s="63"/>
      <c r="P58" s="63">
        <v>8</v>
      </c>
      <c r="Q58" s="63">
        <v>1</v>
      </c>
      <c r="R58" s="204"/>
      <c r="S58" s="200"/>
      <c r="T58" s="201"/>
      <c r="U58" s="125"/>
      <c r="V58" s="124"/>
      <c r="W58" s="345" t="s">
        <v>1321</v>
      </c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 t="s">
        <v>1073</v>
      </c>
    </row>
    <row r="59" spans="1:38" s="232" customFormat="1" ht="26.4">
      <c r="A59" s="222">
        <v>0</v>
      </c>
      <c r="B59" s="493" t="s">
        <v>634</v>
      </c>
      <c r="C59" s="493" t="s">
        <v>720</v>
      </c>
      <c r="D59" s="493" t="s">
        <v>721</v>
      </c>
      <c r="E59" s="494">
        <v>33</v>
      </c>
      <c r="F59" s="224" t="s">
        <v>722</v>
      </c>
      <c r="G59" s="157" t="s">
        <v>76</v>
      </c>
      <c r="H59" s="495">
        <v>45876</v>
      </c>
      <c r="I59" s="496">
        <v>45929</v>
      </c>
      <c r="J59" s="389">
        <v>45929</v>
      </c>
      <c r="K59" s="313">
        <f t="shared" si="1"/>
        <v>46109</v>
      </c>
      <c r="L59" s="226"/>
      <c r="M59" s="167" t="s">
        <v>962</v>
      </c>
      <c r="N59" s="167"/>
      <c r="O59" s="167"/>
      <c r="P59" s="167"/>
      <c r="Q59" s="167"/>
      <c r="R59" s="227"/>
      <c r="S59" s="228" t="s">
        <v>39</v>
      </c>
      <c r="T59" s="229" t="s">
        <v>54</v>
      </c>
      <c r="U59" s="225" t="s">
        <v>44</v>
      </c>
      <c r="V59" s="230"/>
      <c r="W59" s="347" t="s">
        <v>1336</v>
      </c>
      <c r="X59" s="231"/>
      <c r="Y59" s="231"/>
      <c r="Z59" s="231"/>
      <c r="AA59" s="231"/>
      <c r="AB59" s="231"/>
      <c r="AC59" s="231"/>
      <c r="AD59" s="231"/>
      <c r="AE59" s="231"/>
      <c r="AF59" s="231"/>
      <c r="AG59" s="231"/>
      <c r="AH59" s="231"/>
      <c r="AI59" s="231"/>
      <c r="AJ59" s="231"/>
      <c r="AK59" s="231"/>
      <c r="AL59" s="231" t="s">
        <v>1074</v>
      </c>
    </row>
    <row r="60" spans="1:38" s="127" customFormat="1" ht="26.4">
      <c r="A60" s="172">
        <v>1</v>
      </c>
      <c r="B60" s="174" t="s">
        <v>621</v>
      </c>
      <c r="C60" s="174" t="s">
        <v>723</v>
      </c>
      <c r="D60" s="174" t="s">
        <v>724</v>
      </c>
      <c r="E60" s="194">
        <v>33</v>
      </c>
      <c r="F60" s="195" t="s">
        <v>683</v>
      </c>
      <c r="G60" s="156" t="s">
        <v>76</v>
      </c>
      <c r="H60" s="299">
        <v>45882</v>
      </c>
      <c r="I60" s="299">
        <v>45922</v>
      </c>
      <c r="J60" s="388">
        <v>45922</v>
      </c>
      <c r="K60" s="300">
        <f t="shared" si="1"/>
        <v>46102</v>
      </c>
      <c r="L60" s="402" t="s">
        <v>478</v>
      </c>
      <c r="M60" s="63" t="s">
        <v>974</v>
      </c>
      <c r="N60" s="63" t="s">
        <v>1009</v>
      </c>
      <c r="O60" s="63"/>
      <c r="P60" s="63"/>
      <c r="Q60" s="63"/>
      <c r="R60" s="204"/>
      <c r="S60" s="200"/>
      <c r="T60" s="201"/>
      <c r="U60" s="125"/>
      <c r="V60" s="124"/>
      <c r="W60" s="345" t="s">
        <v>1378</v>
      </c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 t="s">
        <v>1167</v>
      </c>
    </row>
    <row r="61" spans="1:38" s="127" customFormat="1" ht="26.4">
      <c r="A61" s="381">
        <v>0</v>
      </c>
      <c r="B61" s="206" t="s">
        <v>634</v>
      </c>
      <c r="C61" s="206" t="s">
        <v>725</v>
      </c>
      <c r="D61" s="206" t="s">
        <v>726</v>
      </c>
      <c r="E61" s="207">
        <v>53</v>
      </c>
      <c r="F61" s="208" t="s">
        <v>697</v>
      </c>
      <c r="G61" s="206" t="s">
        <v>76</v>
      </c>
      <c r="H61" s="304">
        <v>45890</v>
      </c>
      <c r="I61" s="481">
        <v>45929</v>
      </c>
      <c r="J61" s="302">
        <v>45930</v>
      </c>
      <c r="K61" s="300">
        <f t="shared" si="1"/>
        <v>46110</v>
      </c>
      <c r="L61" s="197"/>
      <c r="M61" s="63" t="s">
        <v>1010</v>
      </c>
      <c r="N61" s="63"/>
      <c r="O61" s="63"/>
      <c r="P61" s="63"/>
      <c r="Q61" s="63"/>
      <c r="R61" s="204"/>
      <c r="S61" s="200"/>
      <c r="T61" s="201"/>
      <c r="U61" s="125"/>
      <c r="V61" s="124"/>
      <c r="W61" s="345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 t="s">
        <v>1075</v>
      </c>
    </row>
    <row r="62" spans="1:38" s="127" customFormat="1" ht="17.55" customHeight="1">
      <c r="A62" s="172">
        <v>1</v>
      </c>
      <c r="B62" s="174" t="s">
        <v>634</v>
      </c>
      <c r="C62" s="174" t="s">
        <v>729</v>
      </c>
      <c r="D62" s="174" t="s">
        <v>730</v>
      </c>
      <c r="E62" s="194">
        <v>26</v>
      </c>
      <c r="F62" s="195" t="s">
        <v>29</v>
      </c>
      <c r="G62" s="156" t="s">
        <v>629</v>
      </c>
      <c r="H62" s="299">
        <v>45903</v>
      </c>
      <c r="I62" s="301">
        <v>45923</v>
      </c>
      <c r="J62" s="302">
        <v>45923</v>
      </c>
      <c r="K62" s="300">
        <f t="shared" si="1"/>
        <v>46103</v>
      </c>
      <c r="L62" s="402" t="s">
        <v>478</v>
      </c>
      <c r="M62" s="63" t="s">
        <v>470</v>
      </c>
      <c r="N62" s="63" t="s">
        <v>968</v>
      </c>
      <c r="O62" s="63"/>
      <c r="P62" s="63">
        <v>2</v>
      </c>
      <c r="Q62" s="63"/>
      <c r="R62" s="204"/>
      <c r="S62" s="200"/>
      <c r="T62" s="201"/>
      <c r="U62" s="125"/>
      <c r="V62" s="124"/>
      <c r="W62" s="349" t="s">
        <v>1380</v>
      </c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 t="s">
        <v>1076</v>
      </c>
    </row>
    <row r="63" spans="1:38" s="127" customFormat="1" ht="18" customHeight="1">
      <c r="A63" s="172">
        <v>1</v>
      </c>
      <c r="B63" s="174" t="s">
        <v>634</v>
      </c>
      <c r="C63" s="174" t="s">
        <v>1264</v>
      </c>
      <c r="D63" s="174" t="s">
        <v>731</v>
      </c>
      <c r="E63" s="194">
        <v>37</v>
      </c>
      <c r="F63" s="195" t="s">
        <v>646</v>
      </c>
      <c r="G63" s="156" t="s">
        <v>629</v>
      </c>
      <c r="H63" s="299">
        <v>45904</v>
      </c>
      <c r="I63" s="299">
        <v>45923</v>
      </c>
      <c r="J63" s="299">
        <v>45923</v>
      </c>
      <c r="K63" s="310">
        <f t="shared" si="1"/>
        <v>46103</v>
      </c>
      <c r="L63" s="214" t="s">
        <v>478</v>
      </c>
      <c r="M63" s="63" t="s">
        <v>971</v>
      </c>
      <c r="N63" s="63" t="s">
        <v>974</v>
      </c>
      <c r="O63" s="63"/>
      <c r="P63" s="63"/>
      <c r="Q63" s="63"/>
      <c r="R63" s="204"/>
      <c r="S63" s="200"/>
      <c r="T63" s="201"/>
      <c r="U63" s="125"/>
      <c r="V63" s="124"/>
      <c r="W63" s="345" t="s">
        <v>1381</v>
      </c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 t="s">
        <v>1077</v>
      </c>
    </row>
    <row r="64" spans="1:38" s="127" customFormat="1" ht="18" customHeight="1">
      <c r="A64" s="172">
        <v>1</v>
      </c>
      <c r="B64" s="174" t="s">
        <v>621</v>
      </c>
      <c r="C64" s="174" t="s">
        <v>735</v>
      </c>
      <c r="D64" s="174" t="s">
        <v>736</v>
      </c>
      <c r="E64" s="194">
        <v>52</v>
      </c>
      <c r="F64" s="195" t="s">
        <v>737</v>
      </c>
      <c r="G64" s="156" t="s">
        <v>76</v>
      </c>
      <c r="H64" s="299">
        <v>45866</v>
      </c>
      <c r="I64" s="301">
        <v>45965</v>
      </c>
      <c r="J64" s="302">
        <v>45965</v>
      </c>
      <c r="K64" s="300">
        <f t="shared" si="1"/>
        <v>46145</v>
      </c>
      <c r="L64" s="402" t="s">
        <v>478</v>
      </c>
      <c r="M64" s="63" t="s">
        <v>1013</v>
      </c>
      <c r="N64" s="63" t="s">
        <v>1014</v>
      </c>
      <c r="O64" s="63" t="s">
        <v>974</v>
      </c>
      <c r="P64" s="63"/>
      <c r="Q64" s="63"/>
      <c r="R64" s="204"/>
      <c r="S64" s="200"/>
      <c r="T64" s="201"/>
      <c r="U64" s="125"/>
      <c r="V64" s="124"/>
      <c r="W64" s="345" t="s">
        <v>1314</v>
      </c>
      <c r="X64" s="126"/>
      <c r="Y64" s="126"/>
      <c r="Z64" s="126"/>
      <c r="AA64" s="126"/>
      <c r="AB64" s="126"/>
      <c r="AC64" s="126"/>
      <c r="AD64" s="126"/>
      <c r="AE64" s="126"/>
      <c r="AF64" s="126">
        <v>1</v>
      </c>
      <c r="AG64" s="126"/>
      <c r="AH64" s="126"/>
      <c r="AI64" s="126"/>
      <c r="AJ64" s="126">
        <v>1</v>
      </c>
      <c r="AK64" s="126"/>
      <c r="AL64" s="126" t="s">
        <v>1078</v>
      </c>
    </row>
    <row r="65" spans="1:38" s="221" customFormat="1" ht="18" customHeight="1">
      <c r="A65" s="210">
        <v>0</v>
      </c>
      <c r="B65" s="515" t="s">
        <v>634</v>
      </c>
      <c r="C65" s="515" t="s">
        <v>738</v>
      </c>
      <c r="D65" s="515" t="s">
        <v>739</v>
      </c>
      <c r="E65" s="516">
        <v>43</v>
      </c>
      <c r="F65" s="213"/>
      <c r="G65" s="511" t="s">
        <v>76</v>
      </c>
      <c r="H65" s="517">
        <v>45939</v>
      </c>
      <c r="I65" s="517">
        <v>45979</v>
      </c>
      <c r="J65" s="390"/>
      <c r="K65" s="310">
        <f t="shared" si="1"/>
        <v>180</v>
      </c>
      <c r="L65" s="214"/>
      <c r="M65" s="170"/>
      <c r="N65" s="170"/>
      <c r="O65" s="170"/>
      <c r="P65" s="170"/>
      <c r="Q65" s="170"/>
      <c r="R65" s="215"/>
      <c r="S65" s="216" t="s">
        <v>43</v>
      </c>
      <c r="T65" s="217"/>
      <c r="U65" s="218"/>
      <c r="V65" s="219"/>
      <c r="W65" s="346"/>
      <c r="X65" s="220"/>
      <c r="Y65" s="220"/>
      <c r="Z65" s="220"/>
      <c r="AA65" s="220"/>
      <c r="AB65" s="220"/>
      <c r="AC65" s="220"/>
      <c r="AD65" s="220"/>
      <c r="AE65" s="220"/>
      <c r="AF65" s="220"/>
      <c r="AG65" s="220"/>
      <c r="AH65" s="220"/>
      <c r="AI65" s="220"/>
      <c r="AJ65" s="220"/>
      <c r="AK65" s="220"/>
      <c r="AL65" s="220" t="s">
        <v>1179</v>
      </c>
    </row>
    <row r="66" spans="1:38" s="127" customFormat="1" ht="18" customHeight="1">
      <c r="A66" s="381">
        <v>1</v>
      </c>
      <c r="B66" s="159" t="s">
        <v>621</v>
      </c>
      <c r="C66" s="159" t="s">
        <v>740</v>
      </c>
      <c r="D66" s="159" t="s">
        <v>741</v>
      </c>
      <c r="E66" s="173">
        <v>44</v>
      </c>
      <c r="F66" s="161" t="s">
        <v>8</v>
      </c>
      <c r="G66" s="156" t="s">
        <v>629</v>
      </c>
      <c r="H66" s="318">
        <v>45943</v>
      </c>
      <c r="I66" s="318">
        <v>45959</v>
      </c>
      <c r="J66" s="302">
        <v>45959</v>
      </c>
      <c r="K66" s="300">
        <f t="shared" si="1"/>
        <v>46139</v>
      </c>
      <c r="L66" s="197"/>
      <c r="M66" s="63" t="s">
        <v>968</v>
      </c>
      <c r="N66" s="63" t="s">
        <v>1015</v>
      </c>
      <c r="O66" s="63"/>
      <c r="P66" s="63"/>
      <c r="Q66" s="63"/>
      <c r="R66" s="204"/>
      <c r="S66" s="200"/>
      <c r="T66" s="201"/>
      <c r="U66" s="125"/>
      <c r="V66" s="124"/>
      <c r="W66" s="345" t="s">
        <v>1333</v>
      </c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>
        <v>1</v>
      </c>
      <c r="AK66" s="126"/>
      <c r="AL66" s="126" t="s">
        <v>1180</v>
      </c>
    </row>
    <row r="67" spans="1:38" s="232" customFormat="1" ht="18" customHeight="1">
      <c r="A67" s="222">
        <v>0</v>
      </c>
      <c r="B67" s="355" t="s">
        <v>621</v>
      </c>
      <c r="C67" s="355" t="s">
        <v>742</v>
      </c>
      <c r="D67" s="355" t="s">
        <v>743</v>
      </c>
      <c r="E67" s="356">
        <v>39</v>
      </c>
      <c r="F67" s="241" t="s">
        <v>744</v>
      </c>
      <c r="G67" s="242" t="s">
        <v>75</v>
      </c>
      <c r="H67" s="357">
        <v>45940</v>
      </c>
      <c r="I67" s="357">
        <v>45957</v>
      </c>
      <c r="J67" s="389">
        <v>1</v>
      </c>
      <c r="K67" s="313">
        <f t="shared" si="1"/>
        <v>181</v>
      </c>
      <c r="L67" s="226"/>
      <c r="M67" s="167"/>
      <c r="N67" s="167"/>
      <c r="O67" s="167"/>
      <c r="P67" s="167"/>
      <c r="Q67" s="167"/>
      <c r="R67" s="227"/>
      <c r="S67" s="228" t="s">
        <v>41</v>
      </c>
      <c r="T67" s="229" t="s">
        <v>54</v>
      </c>
      <c r="U67" s="225" t="s">
        <v>47</v>
      </c>
      <c r="V67" s="230">
        <v>46223</v>
      </c>
      <c r="W67" s="347"/>
      <c r="X67" s="231"/>
      <c r="Y67" s="231"/>
      <c r="Z67" s="231"/>
      <c r="AA67" s="231"/>
      <c r="AB67" s="231"/>
      <c r="AC67" s="231"/>
      <c r="AD67" s="231"/>
      <c r="AE67" s="231"/>
      <c r="AF67" s="231"/>
      <c r="AG67" s="231"/>
      <c r="AH67" s="231"/>
      <c r="AI67" s="231"/>
      <c r="AJ67" s="231"/>
      <c r="AK67" s="231"/>
      <c r="AL67" s="231" t="s">
        <v>1285</v>
      </c>
    </row>
    <row r="68" spans="1:38" s="127" customFormat="1" ht="13.2">
      <c r="A68" s="172">
        <v>1</v>
      </c>
      <c r="B68" s="159" t="s">
        <v>621</v>
      </c>
      <c r="C68" s="159" t="s">
        <v>745</v>
      </c>
      <c r="D68" s="159" t="s">
        <v>746</v>
      </c>
      <c r="E68" s="173">
        <v>52</v>
      </c>
      <c r="F68" s="161" t="s">
        <v>747</v>
      </c>
      <c r="G68" s="156" t="s">
        <v>629</v>
      </c>
      <c r="H68" s="318">
        <v>45943</v>
      </c>
      <c r="I68" s="318">
        <v>45959</v>
      </c>
      <c r="J68" s="302">
        <v>45959</v>
      </c>
      <c r="K68" s="300">
        <f t="shared" si="1"/>
        <v>46139</v>
      </c>
      <c r="L68" s="197"/>
      <c r="M68" s="63" t="s">
        <v>968</v>
      </c>
      <c r="N68" s="63" t="s">
        <v>1016</v>
      </c>
      <c r="O68" s="63"/>
      <c r="P68" s="63"/>
      <c r="Q68" s="63"/>
      <c r="R68" s="204"/>
      <c r="S68" s="200"/>
      <c r="T68" s="201"/>
      <c r="U68" s="125"/>
      <c r="V68" s="124"/>
      <c r="W68" s="345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 t="s">
        <v>1079</v>
      </c>
    </row>
    <row r="69" spans="1:38" s="127" customFormat="1" ht="18" customHeight="1">
      <c r="A69" s="172">
        <v>1</v>
      </c>
      <c r="B69" s="159" t="s">
        <v>634</v>
      </c>
      <c r="C69" s="159" t="s">
        <v>748</v>
      </c>
      <c r="D69" s="159" t="s">
        <v>749</v>
      </c>
      <c r="E69" s="173">
        <v>49</v>
      </c>
      <c r="F69" s="161" t="s">
        <v>29</v>
      </c>
      <c r="G69" s="156" t="s">
        <v>629</v>
      </c>
      <c r="H69" s="318">
        <v>45943</v>
      </c>
      <c r="I69" s="318">
        <v>45964</v>
      </c>
      <c r="J69" s="302">
        <v>45973</v>
      </c>
      <c r="K69" s="300">
        <f t="shared" si="1"/>
        <v>46153</v>
      </c>
      <c r="L69" s="197"/>
      <c r="M69" s="63" t="s">
        <v>1017</v>
      </c>
      <c r="N69" s="63" t="s">
        <v>1018</v>
      </c>
      <c r="O69" s="63" t="s">
        <v>60</v>
      </c>
      <c r="P69" s="63"/>
      <c r="Q69" s="63"/>
      <c r="R69" s="204"/>
      <c r="S69" s="200"/>
      <c r="T69" s="201"/>
      <c r="U69" s="125"/>
      <c r="V69" s="124"/>
      <c r="W69" s="345" t="s">
        <v>1382</v>
      </c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 t="s">
        <v>1080</v>
      </c>
    </row>
    <row r="70" spans="1:38" s="372" customFormat="1" ht="18" customHeight="1">
      <c r="A70" s="158">
        <v>0</v>
      </c>
      <c r="B70" s="243" t="s">
        <v>634</v>
      </c>
      <c r="C70" s="243" t="s">
        <v>752</v>
      </c>
      <c r="D70" s="243" t="s">
        <v>753</v>
      </c>
      <c r="E70" s="359">
        <v>32</v>
      </c>
      <c r="F70" s="360" t="s">
        <v>705</v>
      </c>
      <c r="G70" s="432" t="s">
        <v>75</v>
      </c>
      <c r="H70" s="433">
        <v>45945</v>
      </c>
      <c r="I70" s="433">
        <v>45959</v>
      </c>
      <c r="J70" s="391">
        <v>45995</v>
      </c>
      <c r="K70" s="362">
        <f t="shared" si="1"/>
        <v>46175</v>
      </c>
      <c r="L70" s="363"/>
      <c r="M70" s="364" t="s">
        <v>1020</v>
      </c>
      <c r="N70" s="364" t="s">
        <v>1021</v>
      </c>
      <c r="O70" s="364" t="s">
        <v>1022</v>
      </c>
      <c r="P70" s="364"/>
      <c r="Q70" s="364"/>
      <c r="R70" s="365"/>
      <c r="S70" s="366"/>
      <c r="T70" s="367"/>
      <c r="U70" s="368"/>
      <c r="V70" s="369"/>
      <c r="W70" s="370" t="s">
        <v>1388</v>
      </c>
      <c r="X70" s="371"/>
      <c r="Y70" s="371"/>
      <c r="Z70" s="371"/>
      <c r="AA70" s="371"/>
      <c r="AB70" s="371"/>
      <c r="AC70" s="371"/>
      <c r="AD70" s="371"/>
      <c r="AE70" s="371"/>
      <c r="AF70" s="371"/>
      <c r="AG70" s="371"/>
      <c r="AH70" s="371"/>
      <c r="AI70" s="371"/>
      <c r="AJ70" s="371"/>
      <c r="AK70" s="371"/>
      <c r="AL70" s="371" t="s">
        <v>1082</v>
      </c>
    </row>
    <row r="71" spans="1:38" s="127" customFormat="1" ht="18" customHeight="1">
      <c r="A71" s="172">
        <v>1</v>
      </c>
      <c r="B71" s="159" t="s">
        <v>634</v>
      </c>
      <c r="C71" s="159" t="s">
        <v>756</v>
      </c>
      <c r="D71" s="159" t="s">
        <v>757</v>
      </c>
      <c r="E71" s="173">
        <v>53</v>
      </c>
      <c r="F71" s="161" t="s">
        <v>758</v>
      </c>
      <c r="G71" s="156" t="s">
        <v>629</v>
      </c>
      <c r="H71" s="318">
        <v>45964</v>
      </c>
      <c r="I71" s="318">
        <v>45987</v>
      </c>
      <c r="J71" s="302">
        <v>45987</v>
      </c>
      <c r="K71" s="434">
        <f t="shared" si="1"/>
        <v>46167</v>
      </c>
      <c r="L71" s="214" t="s">
        <v>478</v>
      </c>
      <c r="M71" s="63" t="s">
        <v>968</v>
      </c>
      <c r="N71" s="63" t="s">
        <v>974</v>
      </c>
      <c r="O71" s="63"/>
      <c r="P71" s="63"/>
      <c r="Q71" s="63"/>
      <c r="R71" s="204"/>
      <c r="S71" s="200"/>
      <c r="T71" s="201"/>
      <c r="U71" s="125"/>
      <c r="V71" s="124"/>
      <c r="W71" s="345" t="s">
        <v>1374</v>
      </c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 t="s">
        <v>1148</v>
      </c>
    </row>
    <row r="72" spans="1:38" s="127" customFormat="1" ht="18" customHeight="1">
      <c r="A72" s="381">
        <v>1</v>
      </c>
      <c r="B72" s="159" t="s">
        <v>621</v>
      </c>
      <c r="C72" s="159" t="s">
        <v>759</v>
      </c>
      <c r="D72" s="159" t="s">
        <v>760</v>
      </c>
      <c r="E72" s="173">
        <v>49</v>
      </c>
      <c r="F72" s="161" t="s">
        <v>722</v>
      </c>
      <c r="G72" s="162" t="s">
        <v>76</v>
      </c>
      <c r="H72" s="318"/>
      <c r="I72" s="318">
        <v>46007</v>
      </c>
      <c r="J72" s="302">
        <v>46007</v>
      </c>
      <c r="K72" s="300">
        <f t="shared" si="1"/>
        <v>46187</v>
      </c>
      <c r="L72" s="197"/>
      <c r="M72" s="63" t="s">
        <v>974</v>
      </c>
      <c r="N72" s="63" t="s">
        <v>1023</v>
      </c>
      <c r="O72" s="63"/>
      <c r="P72" s="63"/>
      <c r="Q72" s="63"/>
      <c r="R72" s="204"/>
      <c r="S72" s="200"/>
      <c r="T72" s="201"/>
      <c r="U72" s="125"/>
      <c r="V72" s="124"/>
      <c r="W72" s="345">
        <v>1</v>
      </c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 t="s">
        <v>1268</v>
      </c>
    </row>
    <row r="73" spans="1:38" s="127" customFormat="1" ht="18" customHeight="1">
      <c r="A73" s="381">
        <v>0</v>
      </c>
      <c r="B73" s="159" t="s">
        <v>634</v>
      </c>
      <c r="C73" s="159" t="s">
        <v>761</v>
      </c>
      <c r="D73" s="159" t="s">
        <v>762</v>
      </c>
      <c r="E73" s="173">
        <v>37</v>
      </c>
      <c r="F73" s="161" t="s">
        <v>683</v>
      </c>
      <c r="G73" s="162" t="s">
        <v>76</v>
      </c>
      <c r="H73" s="318"/>
      <c r="I73" s="318">
        <v>46007</v>
      </c>
      <c r="J73" s="302">
        <v>46007</v>
      </c>
      <c r="K73" s="300">
        <f t="shared" si="1"/>
        <v>46187</v>
      </c>
      <c r="L73" s="197"/>
      <c r="M73" s="63" t="s">
        <v>1024</v>
      </c>
      <c r="N73" s="63" t="s">
        <v>1025</v>
      </c>
      <c r="O73" s="63"/>
      <c r="P73" s="63"/>
      <c r="Q73" s="63"/>
      <c r="R73" s="204"/>
      <c r="S73" s="200"/>
      <c r="T73" s="201"/>
      <c r="U73" s="125"/>
      <c r="V73" s="124"/>
      <c r="W73" s="345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 t="s">
        <v>1084</v>
      </c>
    </row>
    <row r="74" spans="1:38" s="127" customFormat="1" ht="18" customHeight="1">
      <c r="A74" s="172">
        <v>1</v>
      </c>
      <c r="B74" s="243" t="s">
        <v>634</v>
      </c>
      <c r="C74" s="243" t="s">
        <v>763</v>
      </c>
      <c r="D74" s="243" t="s">
        <v>764</v>
      </c>
      <c r="E74" s="160">
        <v>26</v>
      </c>
      <c r="F74" s="161" t="s">
        <v>8</v>
      </c>
      <c r="G74" s="156" t="s">
        <v>629</v>
      </c>
      <c r="H74" s="318">
        <v>45975</v>
      </c>
      <c r="I74" s="318">
        <v>45994</v>
      </c>
      <c r="J74" s="302">
        <v>46014</v>
      </c>
      <c r="K74" s="300">
        <f t="shared" si="1"/>
        <v>46194</v>
      </c>
      <c r="L74" s="197"/>
      <c r="M74" s="63" t="s">
        <v>970</v>
      </c>
      <c r="N74" s="63" t="s">
        <v>1026</v>
      </c>
      <c r="O74" s="63"/>
      <c r="P74" s="63"/>
      <c r="Q74" s="63"/>
      <c r="R74" s="199"/>
      <c r="S74" s="200"/>
      <c r="T74" s="201"/>
      <c r="U74" s="125"/>
      <c r="V74" s="124"/>
      <c r="W74" s="345" t="s">
        <v>1330</v>
      </c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 t="s">
        <v>1085</v>
      </c>
    </row>
    <row r="75" spans="1:38" s="127" customFormat="1" ht="18" customHeight="1">
      <c r="A75" s="172">
        <v>0</v>
      </c>
      <c r="B75" s="243" t="s">
        <v>634</v>
      </c>
      <c r="C75" s="243" t="s">
        <v>765</v>
      </c>
      <c r="D75" s="243" t="s">
        <v>766</v>
      </c>
      <c r="E75" s="160">
        <v>63</v>
      </c>
      <c r="F75" s="161" t="s">
        <v>758</v>
      </c>
      <c r="G75" s="156" t="s">
        <v>629</v>
      </c>
      <c r="H75" s="318">
        <v>45966</v>
      </c>
      <c r="I75" s="318">
        <v>45994</v>
      </c>
      <c r="J75" s="302">
        <v>45994</v>
      </c>
      <c r="K75" s="300">
        <f t="shared" si="1"/>
        <v>46174</v>
      </c>
      <c r="L75" s="197"/>
      <c r="M75" s="63" t="s">
        <v>1016</v>
      </c>
      <c r="N75" s="63" t="s">
        <v>974</v>
      </c>
      <c r="O75" s="63"/>
      <c r="P75" s="63"/>
      <c r="Q75" s="63"/>
      <c r="R75" s="204"/>
      <c r="S75" s="200"/>
      <c r="T75" s="201"/>
      <c r="U75" s="125"/>
      <c r="V75" s="124"/>
      <c r="W75" s="345" t="s">
        <v>1326</v>
      </c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 t="s">
        <v>1165</v>
      </c>
    </row>
    <row r="76" spans="1:38" s="127" customFormat="1" ht="18" customHeight="1">
      <c r="A76" s="172">
        <v>1</v>
      </c>
      <c r="B76" s="244" t="s">
        <v>621</v>
      </c>
      <c r="C76" s="244" t="s">
        <v>767</v>
      </c>
      <c r="D76" s="244" t="s">
        <v>768</v>
      </c>
      <c r="E76" s="245">
        <v>36</v>
      </c>
      <c r="F76" s="195" t="s">
        <v>758</v>
      </c>
      <c r="G76" s="156" t="s">
        <v>629</v>
      </c>
      <c r="H76" s="317">
        <v>45965</v>
      </c>
      <c r="I76" s="317">
        <v>45994</v>
      </c>
      <c r="J76" s="302">
        <v>45994</v>
      </c>
      <c r="K76" s="300">
        <f t="shared" ref="K76:K107" si="2">+J76+180</f>
        <v>46174</v>
      </c>
      <c r="L76" s="197"/>
      <c r="M76" s="63" t="s">
        <v>974</v>
      </c>
      <c r="N76" s="63" t="s">
        <v>968</v>
      </c>
      <c r="O76" s="63" t="s">
        <v>1027</v>
      </c>
      <c r="P76" s="63"/>
      <c r="Q76" s="63"/>
      <c r="R76" s="204"/>
      <c r="S76" s="200"/>
      <c r="T76" s="201"/>
      <c r="U76" s="125"/>
      <c r="V76" s="124"/>
      <c r="W76" s="345" t="s">
        <v>1373</v>
      </c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</row>
    <row r="77" spans="1:38" s="411" customFormat="1" ht="18" customHeight="1">
      <c r="A77" s="395">
        <v>0</v>
      </c>
      <c r="B77" s="435" t="s">
        <v>634</v>
      </c>
      <c r="C77" s="435" t="s">
        <v>769</v>
      </c>
      <c r="D77" s="435" t="s">
        <v>317</v>
      </c>
      <c r="E77" s="436">
        <v>36</v>
      </c>
      <c r="F77" s="398" t="s">
        <v>683</v>
      </c>
      <c r="G77" s="399" t="s">
        <v>629</v>
      </c>
      <c r="H77" s="437">
        <v>45909</v>
      </c>
      <c r="I77" s="437">
        <v>46001</v>
      </c>
      <c r="J77" s="431">
        <v>45940</v>
      </c>
      <c r="K77" s="401">
        <f t="shared" si="2"/>
        <v>46120</v>
      </c>
      <c r="L77" s="214" t="s">
        <v>478</v>
      </c>
      <c r="M77" s="418" t="s">
        <v>968</v>
      </c>
      <c r="N77" s="418"/>
      <c r="O77" s="418"/>
      <c r="P77" s="418"/>
      <c r="Q77" s="418"/>
      <c r="R77" s="419"/>
      <c r="S77" s="405"/>
      <c r="T77" s="406"/>
      <c r="U77" s="407"/>
      <c r="V77" s="408"/>
      <c r="W77" s="409" t="s">
        <v>1383</v>
      </c>
      <c r="X77" s="410"/>
      <c r="Y77" s="410"/>
      <c r="Z77" s="410"/>
      <c r="AA77" s="410"/>
      <c r="AB77" s="410"/>
      <c r="AC77" s="410"/>
      <c r="AD77" s="410"/>
      <c r="AE77" s="410"/>
      <c r="AF77" s="410"/>
      <c r="AG77" s="410"/>
      <c r="AH77" s="410"/>
      <c r="AI77" s="410"/>
      <c r="AJ77" s="410"/>
      <c r="AK77" s="410"/>
      <c r="AL77" s="410"/>
    </row>
    <row r="78" spans="1:38" s="127" customFormat="1" ht="18" customHeight="1">
      <c r="A78" s="172">
        <v>1</v>
      </c>
      <c r="B78" s="243" t="s">
        <v>621</v>
      </c>
      <c r="C78" s="243" t="s">
        <v>772</v>
      </c>
      <c r="D78" s="243" t="s">
        <v>773</v>
      </c>
      <c r="E78" s="160">
        <v>49</v>
      </c>
      <c r="F78" s="161" t="s">
        <v>8</v>
      </c>
      <c r="G78" s="162" t="s">
        <v>774</v>
      </c>
      <c r="H78" s="318">
        <v>45980</v>
      </c>
      <c r="I78" s="318">
        <v>46007</v>
      </c>
      <c r="J78" s="302">
        <v>46009</v>
      </c>
      <c r="K78" s="300">
        <f t="shared" si="2"/>
        <v>46189</v>
      </c>
      <c r="L78" s="197"/>
      <c r="M78" s="63" t="s">
        <v>968</v>
      </c>
      <c r="N78" s="63" t="s">
        <v>1028</v>
      </c>
      <c r="O78" s="63"/>
      <c r="P78" s="63"/>
      <c r="Q78" s="63"/>
      <c r="R78" s="204"/>
      <c r="S78" s="200"/>
      <c r="T78" s="201"/>
      <c r="U78" s="125"/>
      <c r="V78" s="124"/>
      <c r="W78" s="345" t="s">
        <v>1365</v>
      </c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 t="s">
        <v>1087</v>
      </c>
    </row>
    <row r="79" spans="1:38" s="127" customFormat="1" ht="18" customHeight="1">
      <c r="A79" s="172">
        <v>1</v>
      </c>
      <c r="B79" s="243" t="s">
        <v>621</v>
      </c>
      <c r="C79" s="243" t="s">
        <v>777</v>
      </c>
      <c r="D79" s="243" t="s">
        <v>778</v>
      </c>
      <c r="E79" s="160">
        <v>31</v>
      </c>
      <c r="F79" s="250" t="s">
        <v>734</v>
      </c>
      <c r="G79" s="156" t="s">
        <v>629</v>
      </c>
      <c r="H79" s="318">
        <v>45985</v>
      </c>
      <c r="I79" s="318">
        <v>46008</v>
      </c>
      <c r="J79" s="302">
        <v>46008</v>
      </c>
      <c r="K79" s="300">
        <f t="shared" si="2"/>
        <v>46188</v>
      </c>
      <c r="L79" s="197"/>
      <c r="M79" s="63" t="s">
        <v>974</v>
      </c>
      <c r="N79" s="63"/>
      <c r="O79" s="63"/>
      <c r="P79" s="63"/>
      <c r="Q79" s="63"/>
      <c r="R79" s="204"/>
      <c r="S79" s="200"/>
      <c r="T79" s="201"/>
      <c r="U79" s="125"/>
      <c r="V79" s="124"/>
      <c r="W79" s="345" t="s">
        <v>1329</v>
      </c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 t="s">
        <v>1088</v>
      </c>
    </row>
    <row r="80" spans="1:38" s="127" customFormat="1" ht="18" customHeight="1">
      <c r="A80" s="172">
        <v>1</v>
      </c>
      <c r="B80" s="244" t="s">
        <v>621</v>
      </c>
      <c r="C80" s="244" t="s">
        <v>779</v>
      </c>
      <c r="D80" s="244" t="s">
        <v>650</v>
      </c>
      <c r="E80" s="245">
        <v>52</v>
      </c>
      <c r="F80" s="250" t="s">
        <v>683</v>
      </c>
      <c r="G80" s="156" t="s">
        <v>629</v>
      </c>
      <c r="H80" s="317">
        <v>45986</v>
      </c>
      <c r="I80" s="317">
        <v>46008</v>
      </c>
      <c r="J80" s="302">
        <v>46008</v>
      </c>
      <c r="K80" s="300">
        <f t="shared" si="2"/>
        <v>46188</v>
      </c>
      <c r="L80" s="197"/>
      <c r="M80" s="63" t="s">
        <v>970</v>
      </c>
      <c r="N80" s="63" t="s">
        <v>973</v>
      </c>
      <c r="O80" s="63" t="s">
        <v>968</v>
      </c>
      <c r="P80" s="63"/>
      <c r="Q80" s="63"/>
      <c r="R80" s="204"/>
      <c r="S80" s="200"/>
      <c r="T80" s="201"/>
      <c r="U80" s="125"/>
      <c r="V80" s="124"/>
      <c r="W80" s="345" t="s">
        <v>1369</v>
      </c>
      <c r="X80" s="126"/>
      <c r="Y80" s="126"/>
      <c r="Z80" s="126"/>
      <c r="AA80" s="126"/>
      <c r="AB80" s="126"/>
      <c r="AC80" s="126"/>
      <c r="AD80" s="126">
        <v>1</v>
      </c>
      <c r="AE80" s="126"/>
      <c r="AF80" s="126"/>
      <c r="AG80" s="126"/>
      <c r="AH80" s="126"/>
      <c r="AI80" s="126"/>
      <c r="AJ80" s="126"/>
      <c r="AK80" s="126"/>
      <c r="AL80" s="126" t="s">
        <v>1162</v>
      </c>
    </row>
    <row r="81" spans="1:38" s="127" customFormat="1" ht="18" customHeight="1">
      <c r="A81" s="172">
        <v>1</v>
      </c>
      <c r="B81" s="244" t="s">
        <v>634</v>
      </c>
      <c r="C81" s="244" t="s">
        <v>780</v>
      </c>
      <c r="D81" s="244" t="s">
        <v>781</v>
      </c>
      <c r="E81" s="245">
        <v>45</v>
      </c>
      <c r="F81" s="250" t="s">
        <v>683</v>
      </c>
      <c r="G81" s="156" t="s">
        <v>629</v>
      </c>
      <c r="H81" s="317" t="s">
        <v>1265</v>
      </c>
      <c r="I81" s="317">
        <v>46013</v>
      </c>
      <c r="J81" s="302">
        <v>46013</v>
      </c>
      <c r="K81" s="300">
        <f t="shared" si="2"/>
        <v>46193</v>
      </c>
      <c r="L81" s="197"/>
      <c r="M81" s="63" t="s">
        <v>960</v>
      </c>
      <c r="N81" s="63" t="s">
        <v>1003</v>
      </c>
      <c r="O81" s="63"/>
      <c r="P81" s="63"/>
      <c r="Q81" s="63"/>
      <c r="R81" s="204"/>
      <c r="S81" s="200"/>
      <c r="T81" s="201"/>
      <c r="U81" s="125"/>
      <c r="V81" s="124"/>
      <c r="W81" s="345" t="s">
        <v>1387</v>
      </c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 t="s">
        <v>1089</v>
      </c>
    </row>
    <row r="82" spans="1:38" s="127" customFormat="1" ht="18" customHeight="1">
      <c r="A82" s="172">
        <v>1</v>
      </c>
      <c r="B82" s="243" t="s">
        <v>634</v>
      </c>
      <c r="C82" s="243" t="s">
        <v>784</v>
      </c>
      <c r="D82" s="243" t="s">
        <v>785</v>
      </c>
      <c r="E82" s="160">
        <v>39</v>
      </c>
      <c r="F82" s="161" t="s">
        <v>710</v>
      </c>
      <c r="G82" s="156" t="s">
        <v>629</v>
      </c>
      <c r="H82" s="318">
        <v>45985</v>
      </c>
      <c r="I82" s="318">
        <v>46013</v>
      </c>
      <c r="J82" s="302">
        <v>46013</v>
      </c>
      <c r="K82" s="300">
        <f t="shared" si="2"/>
        <v>46193</v>
      </c>
      <c r="L82" s="197"/>
      <c r="M82" s="63" t="s">
        <v>1030</v>
      </c>
      <c r="N82" s="63" t="s">
        <v>960</v>
      </c>
      <c r="O82" s="63"/>
      <c r="P82" s="63"/>
      <c r="Q82" s="63"/>
      <c r="R82" s="204"/>
      <c r="S82" s="200"/>
      <c r="T82" s="201"/>
      <c r="U82" s="125"/>
      <c r="V82" s="124"/>
      <c r="W82" s="345" t="s">
        <v>1331</v>
      </c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</row>
    <row r="83" spans="1:38" s="127" customFormat="1" ht="18" customHeight="1">
      <c r="A83" s="172">
        <v>1</v>
      </c>
      <c r="B83" s="243" t="s">
        <v>634</v>
      </c>
      <c r="C83" s="243" t="s">
        <v>786</v>
      </c>
      <c r="D83" s="243" t="s">
        <v>787</v>
      </c>
      <c r="E83" s="160">
        <v>26</v>
      </c>
      <c r="F83" s="161" t="s">
        <v>788</v>
      </c>
      <c r="G83" s="156" t="s">
        <v>629</v>
      </c>
      <c r="H83" s="318">
        <v>45985</v>
      </c>
      <c r="I83" s="318">
        <v>46013</v>
      </c>
      <c r="J83" s="302">
        <v>46013</v>
      </c>
      <c r="K83" s="300">
        <f t="shared" si="2"/>
        <v>46193</v>
      </c>
      <c r="L83" s="197"/>
      <c r="M83" s="63" t="s">
        <v>1031</v>
      </c>
      <c r="N83" s="63" t="s">
        <v>60</v>
      </c>
      <c r="O83" s="63"/>
      <c r="P83" s="63"/>
      <c r="Q83" s="63"/>
      <c r="R83" s="204">
        <v>1</v>
      </c>
      <c r="S83" s="200"/>
      <c r="T83" s="201"/>
      <c r="U83" s="125"/>
      <c r="V83" s="124"/>
      <c r="W83" s="345" t="s">
        <v>1332</v>
      </c>
      <c r="X83" s="126"/>
      <c r="Y83" s="126"/>
      <c r="Z83" s="126">
        <v>1</v>
      </c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 t="s">
        <v>1091</v>
      </c>
    </row>
    <row r="84" spans="1:38" s="127" customFormat="1" ht="18" customHeight="1">
      <c r="A84" s="172">
        <v>1</v>
      </c>
      <c r="B84" s="251" t="s">
        <v>634</v>
      </c>
      <c r="C84" s="251" t="s">
        <v>789</v>
      </c>
      <c r="D84" s="251" t="s">
        <v>790</v>
      </c>
      <c r="E84" s="160">
        <v>41</v>
      </c>
      <c r="F84" s="161" t="s">
        <v>683</v>
      </c>
      <c r="G84" s="156" t="s">
        <v>629</v>
      </c>
      <c r="H84" s="318">
        <v>46347</v>
      </c>
      <c r="I84" s="318">
        <v>46000</v>
      </c>
      <c r="J84" s="302">
        <v>45999</v>
      </c>
      <c r="K84" s="300">
        <f t="shared" si="2"/>
        <v>46179</v>
      </c>
      <c r="L84" s="197"/>
      <c r="M84" s="63" t="s">
        <v>1032</v>
      </c>
      <c r="N84" s="63" t="s">
        <v>960</v>
      </c>
      <c r="O84" s="63"/>
      <c r="P84" s="63"/>
      <c r="Q84" s="63"/>
      <c r="R84" s="204"/>
      <c r="S84" s="200"/>
      <c r="T84" s="201"/>
      <c r="U84" s="125"/>
      <c r="V84" s="124"/>
      <c r="W84" s="345" t="s">
        <v>1308</v>
      </c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 t="s">
        <v>1170</v>
      </c>
    </row>
    <row r="85" spans="1:38" s="127" customFormat="1" ht="18" customHeight="1">
      <c r="A85" s="172">
        <v>1</v>
      </c>
      <c r="B85" s="244" t="s">
        <v>791</v>
      </c>
      <c r="C85" s="244" t="s">
        <v>792</v>
      </c>
      <c r="D85" s="244" t="s">
        <v>793</v>
      </c>
      <c r="E85" s="245">
        <v>49</v>
      </c>
      <c r="F85" s="195" t="s">
        <v>29</v>
      </c>
      <c r="G85" s="156" t="s">
        <v>629</v>
      </c>
      <c r="H85" s="317">
        <v>45975</v>
      </c>
      <c r="I85" s="317">
        <v>45992</v>
      </c>
      <c r="J85" s="302">
        <v>45992</v>
      </c>
      <c r="K85" s="300">
        <f t="shared" si="2"/>
        <v>46172</v>
      </c>
      <c r="L85" s="197"/>
      <c r="M85" s="63" t="s">
        <v>971</v>
      </c>
      <c r="N85" s="63" t="s">
        <v>1033</v>
      </c>
      <c r="O85" s="63"/>
      <c r="P85" s="63"/>
      <c r="Q85" s="63"/>
      <c r="R85" s="64"/>
      <c r="S85" s="200"/>
      <c r="T85" s="201"/>
      <c r="U85" s="125"/>
      <c r="V85" s="124"/>
      <c r="W85" s="345" t="s">
        <v>1319</v>
      </c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 t="s">
        <v>1092</v>
      </c>
    </row>
    <row r="86" spans="1:38" s="127" customFormat="1" ht="18" customHeight="1">
      <c r="A86" s="172">
        <v>1</v>
      </c>
      <c r="B86" s="252" t="s">
        <v>794</v>
      </c>
      <c r="C86" s="252" t="s">
        <v>795</v>
      </c>
      <c r="D86" s="252" t="s">
        <v>796</v>
      </c>
      <c r="E86" s="160">
        <v>31</v>
      </c>
      <c r="F86" s="161" t="s">
        <v>10</v>
      </c>
      <c r="G86" s="156" t="s">
        <v>629</v>
      </c>
      <c r="H86" s="318">
        <v>46339</v>
      </c>
      <c r="I86" s="318">
        <v>45987</v>
      </c>
      <c r="J86" s="302">
        <v>46051</v>
      </c>
      <c r="K86" s="300">
        <f t="shared" si="2"/>
        <v>46231</v>
      </c>
      <c r="L86" s="197"/>
      <c r="M86" s="63"/>
      <c r="N86" s="63"/>
      <c r="O86" s="63"/>
      <c r="P86" s="63"/>
      <c r="Q86" s="63"/>
      <c r="R86" s="204"/>
      <c r="S86" s="200"/>
      <c r="T86" s="201"/>
      <c r="U86" s="125"/>
      <c r="V86" s="124"/>
      <c r="W86" s="345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 t="s">
        <v>1093</v>
      </c>
    </row>
    <row r="87" spans="1:38" s="127" customFormat="1" ht="18" customHeight="1">
      <c r="A87" s="255">
        <v>1</v>
      </c>
      <c r="B87" s="252" t="s">
        <v>621</v>
      </c>
      <c r="C87" s="252" t="s">
        <v>800</v>
      </c>
      <c r="D87" s="252" t="s">
        <v>801</v>
      </c>
      <c r="E87" s="160">
        <v>42</v>
      </c>
      <c r="F87" s="161" t="s">
        <v>10</v>
      </c>
      <c r="G87" s="156" t="s">
        <v>629</v>
      </c>
      <c r="H87" s="318">
        <v>46035</v>
      </c>
      <c r="I87" s="318">
        <v>46057</v>
      </c>
      <c r="J87" s="302">
        <v>46057</v>
      </c>
      <c r="K87" s="300">
        <f t="shared" si="2"/>
        <v>46237</v>
      </c>
      <c r="L87" s="197"/>
      <c r="M87" s="63" t="s">
        <v>974</v>
      </c>
      <c r="N87" s="63"/>
      <c r="O87" s="63"/>
      <c r="P87" s="63"/>
      <c r="Q87" s="63"/>
      <c r="R87" s="204"/>
      <c r="S87" s="200"/>
      <c r="T87" s="201"/>
      <c r="U87" s="125"/>
      <c r="V87" s="124"/>
      <c r="W87" s="345" t="s">
        <v>1348</v>
      </c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</row>
    <row r="88" spans="1:38" s="127" customFormat="1" ht="18" customHeight="1">
      <c r="A88" s="255">
        <v>1</v>
      </c>
      <c r="B88" s="252" t="s">
        <v>634</v>
      </c>
      <c r="C88" s="252" t="s">
        <v>802</v>
      </c>
      <c r="D88" s="252" t="s">
        <v>803</v>
      </c>
      <c r="E88" s="160">
        <v>28</v>
      </c>
      <c r="F88" s="161"/>
      <c r="G88" s="156" t="s">
        <v>629</v>
      </c>
      <c r="H88" s="318">
        <v>46036</v>
      </c>
      <c r="I88" s="318">
        <v>46050</v>
      </c>
      <c r="J88" s="302">
        <v>46064</v>
      </c>
      <c r="K88" s="300">
        <f t="shared" si="2"/>
        <v>46244</v>
      </c>
      <c r="L88" s="197"/>
      <c r="M88" s="63"/>
      <c r="N88" s="63"/>
      <c r="O88" s="63"/>
      <c r="P88" s="63"/>
      <c r="Q88" s="63"/>
      <c r="R88" s="204"/>
      <c r="S88" s="200"/>
      <c r="T88" s="201"/>
      <c r="U88" s="125"/>
      <c r="V88" s="124"/>
      <c r="W88" s="345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</row>
    <row r="89" spans="1:38" s="127" customFormat="1" ht="18" customHeight="1">
      <c r="A89" s="255">
        <v>0</v>
      </c>
      <c r="B89" s="252" t="s">
        <v>617</v>
      </c>
      <c r="C89" s="252" t="s">
        <v>804</v>
      </c>
      <c r="D89" s="252" t="s">
        <v>360</v>
      </c>
      <c r="E89" s="160">
        <v>61</v>
      </c>
      <c r="F89" s="161" t="s">
        <v>11</v>
      </c>
      <c r="G89" s="156" t="s">
        <v>629</v>
      </c>
      <c r="H89" s="318">
        <v>46038</v>
      </c>
      <c r="I89" s="318">
        <v>46057</v>
      </c>
      <c r="J89" s="302">
        <v>46063</v>
      </c>
      <c r="K89" s="300">
        <f t="shared" si="2"/>
        <v>46243</v>
      </c>
      <c r="L89" s="197"/>
      <c r="M89" s="63" t="s">
        <v>1036</v>
      </c>
      <c r="N89" s="63"/>
      <c r="O89" s="63"/>
      <c r="P89" s="63"/>
      <c r="Q89" s="63"/>
      <c r="R89" s="204"/>
      <c r="S89" s="200" t="s">
        <v>39</v>
      </c>
      <c r="T89" s="201" t="s">
        <v>34</v>
      </c>
      <c r="U89" s="125" t="s">
        <v>44</v>
      </c>
      <c r="V89" s="124"/>
      <c r="W89" s="345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</row>
    <row r="90" spans="1:38" s="127" customFormat="1" ht="18" customHeight="1">
      <c r="A90" s="255">
        <v>1</v>
      </c>
      <c r="B90" s="252" t="s">
        <v>621</v>
      </c>
      <c r="C90" s="252" t="s">
        <v>805</v>
      </c>
      <c r="D90" s="252" t="s">
        <v>806</v>
      </c>
      <c r="E90" s="160">
        <v>30</v>
      </c>
      <c r="F90" s="161" t="s">
        <v>29</v>
      </c>
      <c r="G90" s="156" t="s">
        <v>629</v>
      </c>
      <c r="H90" s="318">
        <v>46038</v>
      </c>
      <c r="I90" s="318">
        <v>46057</v>
      </c>
      <c r="J90" s="302">
        <v>46057</v>
      </c>
      <c r="K90" s="300">
        <f t="shared" si="2"/>
        <v>46237</v>
      </c>
      <c r="L90" s="197"/>
      <c r="M90" s="63" t="s">
        <v>970</v>
      </c>
      <c r="N90" s="63" t="s">
        <v>974</v>
      </c>
      <c r="O90" s="63"/>
      <c r="P90" s="63"/>
      <c r="Q90" s="63"/>
      <c r="R90" s="204"/>
      <c r="S90" s="200"/>
      <c r="T90" s="201"/>
      <c r="U90" s="125"/>
      <c r="V90" s="124"/>
      <c r="W90" s="345" t="s">
        <v>1358</v>
      </c>
      <c r="X90" s="126"/>
      <c r="Y90" s="126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26"/>
      <c r="AL90" s="126"/>
    </row>
    <row r="91" spans="1:38" s="127" customFormat="1" ht="18" customHeight="1">
      <c r="A91" s="255">
        <v>1</v>
      </c>
      <c r="B91" s="252" t="s">
        <v>794</v>
      </c>
      <c r="C91" s="252" t="s">
        <v>807</v>
      </c>
      <c r="D91" s="252" t="s">
        <v>808</v>
      </c>
      <c r="E91" s="160">
        <v>35</v>
      </c>
      <c r="F91" s="161" t="s">
        <v>29</v>
      </c>
      <c r="G91" s="156" t="s">
        <v>629</v>
      </c>
      <c r="H91" s="318">
        <v>46037</v>
      </c>
      <c r="I91" s="318">
        <v>46057</v>
      </c>
      <c r="J91" s="302">
        <v>46057</v>
      </c>
      <c r="K91" s="300">
        <f t="shared" si="2"/>
        <v>46237</v>
      </c>
      <c r="L91" s="197"/>
      <c r="M91" s="63" t="s">
        <v>974</v>
      </c>
      <c r="N91" s="63" t="s">
        <v>968</v>
      </c>
      <c r="O91" s="63"/>
      <c r="P91" s="63"/>
      <c r="Q91" s="63"/>
      <c r="R91" s="204"/>
      <c r="S91" s="200"/>
      <c r="T91" s="201"/>
      <c r="U91" s="125"/>
      <c r="V91" s="124"/>
      <c r="W91" s="345" t="s">
        <v>1379</v>
      </c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 t="s">
        <v>1172</v>
      </c>
    </row>
    <row r="92" spans="1:38" s="127" customFormat="1" ht="18" customHeight="1">
      <c r="A92" s="255">
        <v>1</v>
      </c>
      <c r="B92" s="252" t="s">
        <v>621</v>
      </c>
      <c r="C92" s="252" t="s">
        <v>809</v>
      </c>
      <c r="D92" s="252" t="s">
        <v>679</v>
      </c>
      <c r="E92" s="160">
        <v>39</v>
      </c>
      <c r="F92" s="161" t="s">
        <v>14</v>
      </c>
      <c r="G92" s="162" t="s">
        <v>76</v>
      </c>
      <c r="H92" s="318">
        <v>46037</v>
      </c>
      <c r="I92" s="318">
        <v>46049</v>
      </c>
      <c r="J92" s="302">
        <v>46077</v>
      </c>
      <c r="K92" s="300">
        <f t="shared" si="2"/>
        <v>46257</v>
      </c>
      <c r="L92" s="197"/>
      <c r="M92" s="63" t="s">
        <v>974</v>
      </c>
      <c r="N92" s="63"/>
      <c r="O92" s="63"/>
      <c r="P92" s="63"/>
      <c r="Q92" s="63"/>
      <c r="R92" s="204"/>
      <c r="S92" s="200"/>
      <c r="T92" s="201"/>
      <c r="U92" s="125"/>
      <c r="V92" s="124"/>
      <c r="W92" s="345">
        <v>1232</v>
      </c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  <c r="AL92" s="126"/>
    </row>
    <row r="93" spans="1:38" s="372" customFormat="1" ht="18" customHeight="1">
      <c r="A93" s="358">
        <v>1</v>
      </c>
      <c r="B93" s="243" t="s">
        <v>617</v>
      </c>
      <c r="C93" s="243" t="s">
        <v>812</v>
      </c>
      <c r="D93" s="243" t="s">
        <v>813</v>
      </c>
      <c r="E93" s="359">
        <v>26</v>
      </c>
      <c r="F93" s="360"/>
      <c r="G93" s="156" t="s">
        <v>629</v>
      </c>
      <c r="H93" s="361">
        <v>46007</v>
      </c>
      <c r="I93" s="361"/>
      <c r="J93" s="391">
        <v>46113</v>
      </c>
      <c r="K93" s="362">
        <f t="shared" si="2"/>
        <v>46293</v>
      </c>
      <c r="L93" s="363"/>
      <c r="M93" s="364"/>
      <c r="N93" s="364"/>
      <c r="O93" s="364"/>
      <c r="P93" s="364"/>
      <c r="Q93" s="364"/>
      <c r="R93" s="365"/>
      <c r="S93" s="366"/>
      <c r="T93" s="367"/>
      <c r="U93" s="368"/>
      <c r="V93" s="369"/>
      <c r="W93" s="370"/>
      <c r="X93" s="371"/>
      <c r="Y93" s="371"/>
      <c r="Z93" s="371"/>
      <c r="AA93" s="371"/>
      <c r="AB93" s="371"/>
      <c r="AC93" s="371"/>
      <c r="AD93" s="371"/>
      <c r="AE93" s="371"/>
      <c r="AF93" s="371"/>
      <c r="AG93" s="371"/>
      <c r="AH93" s="371"/>
      <c r="AI93" s="371"/>
      <c r="AJ93" s="371"/>
      <c r="AK93" s="371"/>
      <c r="AL93" s="371" t="s">
        <v>1155</v>
      </c>
    </row>
    <row r="94" spans="1:38" s="259" customFormat="1" ht="18" customHeight="1">
      <c r="A94" s="255">
        <v>1</v>
      </c>
      <c r="B94" s="252" t="s">
        <v>794</v>
      </c>
      <c r="C94" s="252" t="s">
        <v>814</v>
      </c>
      <c r="D94" s="252" t="s">
        <v>815</v>
      </c>
      <c r="E94" s="160">
        <v>35</v>
      </c>
      <c r="F94" s="161" t="s">
        <v>29</v>
      </c>
      <c r="G94" s="162" t="s">
        <v>76</v>
      </c>
      <c r="H94" s="318">
        <v>46037</v>
      </c>
      <c r="I94" s="318">
        <v>46056</v>
      </c>
      <c r="J94" s="334">
        <v>46056</v>
      </c>
      <c r="K94" s="300">
        <f t="shared" si="2"/>
        <v>46236</v>
      </c>
      <c r="L94" s="257"/>
      <c r="M94" s="128" t="s">
        <v>974</v>
      </c>
      <c r="N94" s="128" t="s">
        <v>1037</v>
      </c>
      <c r="O94" s="128"/>
      <c r="P94" s="128"/>
      <c r="Q94" s="128"/>
      <c r="R94" s="258"/>
      <c r="S94" s="200"/>
      <c r="T94" s="201"/>
      <c r="U94" s="256"/>
      <c r="V94" s="257"/>
      <c r="W94" s="345"/>
      <c r="X94" s="147"/>
      <c r="Y94" s="147"/>
      <c r="Z94" s="147"/>
      <c r="AA94" s="147"/>
      <c r="AB94" s="148"/>
      <c r="AC94" s="148"/>
      <c r="AD94" s="148"/>
      <c r="AE94" s="148"/>
      <c r="AF94" s="148"/>
      <c r="AG94" s="148"/>
      <c r="AH94" s="148"/>
      <c r="AI94" s="148"/>
      <c r="AJ94" s="148"/>
      <c r="AK94" s="148"/>
      <c r="AL94" s="147" t="s">
        <v>1182</v>
      </c>
    </row>
    <row r="95" spans="1:38" s="127" customFormat="1" ht="16.95" customHeight="1">
      <c r="A95" s="255">
        <v>1</v>
      </c>
      <c r="B95" s="252" t="s">
        <v>621</v>
      </c>
      <c r="C95" s="252" t="s">
        <v>819</v>
      </c>
      <c r="D95" s="252" t="s">
        <v>820</v>
      </c>
      <c r="E95" s="160">
        <v>26</v>
      </c>
      <c r="F95" s="161" t="s">
        <v>14</v>
      </c>
      <c r="G95" s="162" t="s">
        <v>76</v>
      </c>
      <c r="H95" s="318">
        <v>46051</v>
      </c>
      <c r="I95" s="318">
        <v>46084</v>
      </c>
      <c r="J95" s="302">
        <v>46084</v>
      </c>
      <c r="K95" s="300">
        <f t="shared" si="2"/>
        <v>46264</v>
      </c>
      <c r="L95" s="124"/>
      <c r="M95" s="63" t="s">
        <v>965</v>
      </c>
      <c r="N95" s="63" t="s">
        <v>974</v>
      </c>
      <c r="O95" s="63"/>
      <c r="P95" s="63"/>
      <c r="Q95" s="63"/>
      <c r="R95" s="204"/>
      <c r="S95" s="200"/>
      <c r="T95" s="201"/>
      <c r="U95" s="125"/>
      <c r="V95" s="124"/>
      <c r="W95" s="345"/>
      <c r="X95" s="126"/>
      <c r="Y95" s="126"/>
      <c r="Z95" s="126"/>
      <c r="AA95" s="126"/>
      <c r="AB95" s="146"/>
      <c r="AC95" s="146"/>
      <c r="AD95" s="146"/>
      <c r="AE95" s="146"/>
      <c r="AF95" s="146">
        <v>1</v>
      </c>
      <c r="AG95" s="146"/>
      <c r="AH95" s="146"/>
      <c r="AI95" s="146"/>
      <c r="AJ95" s="146"/>
      <c r="AK95" s="146"/>
      <c r="AL95" s="126" t="s">
        <v>1150</v>
      </c>
    </row>
    <row r="96" spans="1:38" s="127" customFormat="1" ht="18" customHeight="1">
      <c r="A96" s="384">
        <v>0</v>
      </c>
      <c r="B96" s="243" t="s">
        <v>621</v>
      </c>
      <c r="C96" s="243" t="s">
        <v>821</v>
      </c>
      <c r="D96" s="243" t="s">
        <v>822</v>
      </c>
      <c r="E96" s="359">
        <v>27</v>
      </c>
      <c r="F96" s="360"/>
      <c r="G96" s="156" t="s">
        <v>629</v>
      </c>
      <c r="H96" s="318">
        <v>46055</v>
      </c>
      <c r="I96" s="318">
        <v>46076</v>
      </c>
      <c r="J96" s="392"/>
      <c r="K96" s="300">
        <f t="shared" si="2"/>
        <v>180</v>
      </c>
      <c r="L96" s="124"/>
      <c r="M96" s="63"/>
      <c r="N96" s="63"/>
      <c r="O96" s="63"/>
      <c r="P96" s="63"/>
      <c r="Q96" s="63"/>
      <c r="R96" s="204"/>
      <c r="S96" s="200"/>
      <c r="T96" s="201"/>
      <c r="U96" s="125"/>
      <c r="V96" s="124"/>
      <c r="W96" s="345"/>
      <c r="X96" s="126"/>
      <c r="Y96" s="126"/>
      <c r="Z96" s="126"/>
      <c r="AA96" s="126"/>
      <c r="AB96" s="146"/>
      <c r="AC96" s="146"/>
      <c r="AD96" s="146"/>
      <c r="AE96" s="146"/>
      <c r="AF96" s="146"/>
      <c r="AG96" s="146"/>
      <c r="AH96" s="146"/>
      <c r="AI96" s="146"/>
      <c r="AJ96" s="146"/>
      <c r="AK96" s="146"/>
      <c r="AL96" s="353" t="s">
        <v>1154</v>
      </c>
    </row>
    <row r="97" spans="1:38" s="372" customFormat="1" ht="18" customHeight="1">
      <c r="A97" s="358">
        <v>1</v>
      </c>
      <c r="B97" s="243" t="s">
        <v>617</v>
      </c>
      <c r="C97" s="243" t="s">
        <v>823</v>
      </c>
      <c r="D97" s="243" t="s">
        <v>824</v>
      </c>
      <c r="E97" s="359">
        <v>53</v>
      </c>
      <c r="F97" s="360"/>
      <c r="G97" s="206" t="s">
        <v>629</v>
      </c>
      <c r="H97" s="361">
        <v>46052</v>
      </c>
      <c r="I97" s="361">
        <v>46071</v>
      </c>
      <c r="J97" s="391">
        <v>46258</v>
      </c>
      <c r="K97" s="362">
        <f t="shared" si="2"/>
        <v>46438</v>
      </c>
      <c r="L97" s="369"/>
      <c r="M97" s="364" t="s">
        <v>974</v>
      </c>
      <c r="N97" s="364" t="s">
        <v>968</v>
      </c>
      <c r="O97" s="364" t="s">
        <v>1466</v>
      </c>
      <c r="P97" s="364"/>
      <c r="Q97" s="364"/>
      <c r="R97" s="365"/>
      <c r="S97" s="366"/>
      <c r="T97" s="367"/>
      <c r="U97" s="368"/>
      <c r="V97" s="369"/>
      <c r="W97" s="370"/>
      <c r="X97" s="371"/>
      <c r="Y97" s="371"/>
      <c r="Z97" s="371"/>
      <c r="AA97" s="371"/>
      <c r="AB97" s="508"/>
      <c r="AC97" s="508"/>
      <c r="AD97" s="508"/>
      <c r="AE97" s="508"/>
      <c r="AF97" s="508"/>
      <c r="AG97" s="508"/>
      <c r="AH97" s="508"/>
      <c r="AI97" s="508"/>
      <c r="AJ97" s="508"/>
      <c r="AK97" s="508"/>
      <c r="AL97" s="371" t="s">
        <v>1460</v>
      </c>
    </row>
    <row r="98" spans="1:38" s="127" customFormat="1" ht="18" customHeight="1">
      <c r="A98" s="255">
        <v>1</v>
      </c>
      <c r="B98" s="252" t="s">
        <v>634</v>
      </c>
      <c r="C98" s="252" t="s">
        <v>825</v>
      </c>
      <c r="D98" s="252" t="s">
        <v>826</v>
      </c>
      <c r="E98" s="160">
        <v>46</v>
      </c>
      <c r="F98" s="161" t="s">
        <v>29</v>
      </c>
      <c r="G98" s="156" t="s">
        <v>629</v>
      </c>
      <c r="H98" s="318">
        <v>46055</v>
      </c>
      <c r="I98" s="318">
        <v>46076</v>
      </c>
      <c r="J98" s="302">
        <v>46092</v>
      </c>
      <c r="K98" s="300">
        <f t="shared" si="2"/>
        <v>46272</v>
      </c>
      <c r="L98" s="124"/>
      <c r="M98" s="63"/>
      <c r="N98" s="63"/>
      <c r="O98" s="63"/>
      <c r="P98" s="63"/>
      <c r="Q98" s="63"/>
      <c r="R98" s="204"/>
      <c r="S98" s="200"/>
      <c r="T98" s="201"/>
      <c r="U98" s="125"/>
      <c r="V98" s="124"/>
      <c r="W98" s="345"/>
      <c r="X98" s="126"/>
      <c r="Y98" s="126"/>
      <c r="Z98" s="126"/>
      <c r="AA98" s="126"/>
      <c r="AB98" s="146"/>
      <c r="AC98" s="146">
        <v>1</v>
      </c>
      <c r="AD98" s="146"/>
      <c r="AE98" s="146"/>
      <c r="AF98" s="146"/>
      <c r="AG98" s="146"/>
      <c r="AH98" s="146"/>
      <c r="AI98" s="146"/>
      <c r="AJ98" s="146"/>
      <c r="AK98" s="146"/>
      <c r="AL98" s="126"/>
    </row>
    <row r="99" spans="1:38" s="127" customFormat="1" ht="18" customHeight="1">
      <c r="A99" s="255">
        <v>1</v>
      </c>
      <c r="B99" s="252" t="s">
        <v>634</v>
      </c>
      <c r="C99" s="252" t="s">
        <v>827</v>
      </c>
      <c r="D99" s="252" t="s">
        <v>828</v>
      </c>
      <c r="E99" s="160">
        <v>63</v>
      </c>
      <c r="F99" s="161" t="s">
        <v>29</v>
      </c>
      <c r="G99" s="156" t="s">
        <v>629</v>
      </c>
      <c r="H99" s="318">
        <v>46058</v>
      </c>
      <c r="I99" s="318">
        <v>46078</v>
      </c>
      <c r="J99" s="302">
        <v>46078</v>
      </c>
      <c r="K99" s="300">
        <f t="shared" si="2"/>
        <v>46258</v>
      </c>
      <c r="L99" s="124"/>
      <c r="M99" s="63" t="s">
        <v>968</v>
      </c>
      <c r="N99" s="63" t="s">
        <v>974</v>
      </c>
      <c r="O99" s="63"/>
      <c r="P99" s="63"/>
      <c r="Q99" s="63"/>
      <c r="R99" s="204"/>
      <c r="S99" s="200"/>
      <c r="T99" s="201"/>
      <c r="U99" s="125"/>
      <c r="V99" s="124"/>
      <c r="W99" s="345"/>
      <c r="X99" s="126"/>
      <c r="Y99" s="126"/>
      <c r="Z99" s="126"/>
      <c r="AA99" s="126"/>
      <c r="AB99" s="146"/>
      <c r="AC99" s="146"/>
      <c r="AD99" s="146"/>
      <c r="AE99" s="146"/>
      <c r="AF99" s="146"/>
      <c r="AG99" s="146"/>
      <c r="AH99" s="146"/>
      <c r="AI99" s="146"/>
      <c r="AJ99" s="146"/>
      <c r="AK99" s="146"/>
      <c r="AL99" s="126" t="s">
        <v>1149</v>
      </c>
    </row>
    <row r="100" spans="1:38" s="127" customFormat="1" ht="18" customHeight="1">
      <c r="A100" s="255">
        <v>1</v>
      </c>
      <c r="B100" s="252" t="s">
        <v>621</v>
      </c>
      <c r="C100" s="252" t="s">
        <v>742</v>
      </c>
      <c r="D100" s="252" t="s">
        <v>628</v>
      </c>
      <c r="E100" s="160">
        <v>33</v>
      </c>
      <c r="F100" s="161" t="s">
        <v>29</v>
      </c>
      <c r="G100" s="156" t="s">
        <v>629</v>
      </c>
      <c r="H100" s="318">
        <v>46001</v>
      </c>
      <c r="I100" s="318">
        <v>46050</v>
      </c>
      <c r="J100" s="302">
        <v>46050</v>
      </c>
      <c r="K100" s="300">
        <f t="shared" si="2"/>
        <v>46230</v>
      </c>
      <c r="L100" s="124"/>
      <c r="M100" s="63" t="s">
        <v>970</v>
      </c>
      <c r="N100" s="63" t="s">
        <v>974</v>
      </c>
      <c r="O100" s="63"/>
      <c r="P100" s="63"/>
      <c r="Q100" s="63"/>
      <c r="R100" s="204"/>
      <c r="S100" s="200"/>
      <c r="T100" s="201"/>
      <c r="U100" s="125"/>
      <c r="V100" s="205"/>
      <c r="W100" s="345"/>
      <c r="X100" s="126"/>
      <c r="Y100" s="126"/>
      <c r="Z100" s="126"/>
      <c r="AA100" s="126"/>
      <c r="AB100" s="146"/>
      <c r="AC100" s="146"/>
      <c r="AD100" s="146"/>
      <c r="AE100" s="146"/>
      <c r="AF100" s="146"/>
      <c r="AG100" s="146"/>
      <c r="AH100" s="146"/>
      <c r="AI100" s="146"/>
      <c r="AJ100" s="146"/>
      <c r="AK100" s="146"/>
      <c r="AL100" s="126"/>
    </row>
    <row r="101" spans="1:38" s="127" customFormat="1" ht="18" customHeight="1">
      <c r="A101" s="255">
        <v>1</v>
      </c>
      <c r="B101" s="252" t="s">
        <v>617</v>
      </c>
      <c r="C101" s="252" t="s">
        <v>832</v>
      </c>
      <c r="D101" s="252" t="s">
        <v>833</v>
      </c>
      <c r="E101" s="160">
        <v>31</v>
      </c>
      <c r="F101" s="161" t="s">
        <v>29</v>
      </c>
      <c r="G101" s="260" t="s">
        <v>76</v>
      </c>
      <c r="H101" s="318">
        <v>46058</v>
      </c>
      <c r="I101" s="318">
        <v>46070</v>
      </c>
      <c r="J101" s="302">
        <v>46070</v>
      </c>
      <c r="K101" s="300">
        <f t="shared" si="2"/>
        <v>46250</v>
      </c>
      <c r="L101" s="124"/>
      <c r="M101" s="63"/>
      <c r="N101" s="63"/>
      <c r="O101" s="63"/>
      <c r="P101" s="63"/>
      <c r="Q101" s="63"/>
      <c r="R101" s="204"/>
      <c r="S101" s="200"/>
      <c r="T101" s="201"/>
      <c r="U101" s="125"/>
      <c r="V101" s="205"/>
      <c r="W101" s="345"/>
      <c r="X101" s="126"/>
      <c r="Y101" s="126"/>
      <c r="Z101" s="126"/>
      <c r="AA101" s="126"/>
      <c r="AB101" s="146"/>
      <c r="AC101" s="146"/>
      <c r="AD101" s="146"/>
      <c r="AE101" s="146"/>
      <c r="AF101" s="146">
        <v>1</v>
      </c>
      <c r="AG101" s="146"/>
      <c r="AH101" s="146"/>
      <c r="AI101" s="146"/>
      <c r="AJ101" s="146"/>
      <c r="AK101" s="146"/>
      <c r="AL101" s="126" t="s">
        <v>1181</v>
      </c>
    </row>
    <row r="102" spans="1:38" s="127" customFormat="1" ht="18" customHeight="1">
      <c r="A102" s="255">
        <v>1</v>
      </c>
      <c r="B102" s="252" t="s">
        <v>621</v>
      </c>
      <c r="C102" s="252" t="s">
        <v>834</v>
      </c>
      <c r="D102" s="252" t="s">
        <v>835</v>
      </c>
      <c r="E102" s="160">
        <v>58</v>
      </c>
      <c r="F102" s="161"/>
      <c r="G102" s="260" t="s">
        <v>76</v>
      </c>
      <c r="H102" s="318">
        <v>46079</v>
      </c>
      <c r="I102" s="318">
        <v>46105</v>
      </c>
      <c r="J102" s="302">
        <v>46140</v>
      </c>
      <c r="K102" s="300">
        <f t="shared" si="2"/>
        <v>46320</v>
      </c>
      <c r="L102" s="197"/>
      <c r="M102" s="63" t="s">
        <v>1186</v>
      </c>
      <c r="N102" s="63" t="s">
        <v>1008</v>
      </c>
      <c r="O102" s="63"/>
      <c r="P102" s="63"/>
      <c r="Q102" s="63"/>
      <c r="R102" s="204"/>
      <c r="S102" s="200"/>
      <c r="T102" s="201"/>
      <c r="U102" s="125"/>
      <c r="V102" s="124"/>
      <c r="W102" s="345" t="s">
        <v>1347</v>
      </c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 t="s">
        <v>1187</v>
      </c>
    </row>
    <row r="103" spans="1:38" s="127" customFormat="1" ht="18" customHeight="1">
      <c r="A103" s="255">
        <v>1</v>
      </c>
      <c r="B103" s="252" t="s">
        <v>634</v>
      </c>
      <c r="C103" s="252" t="s">
        <v>836</v>
      </c>
      <c r="D103" s="252" t="s">
        <v>837</v>
      </c>
      <c r="E103" s="160">
        <v>28</v>
      </c>
      <c r="F103" s="161"/>
      <c r="G103" s="260" t="s">
        <v>76</v>
      </c>
      <c r="H103" s="318">
        <v>46079</v>
      </c>
      <c r="I103" s="318">
        <v>46105</v>
      </c>
      <c r="J103" s="302">
        <v>46140</v>
      </c>
      <c r="K103" s="300">
        <f t="shared" si="2"/>
        <v>46320</v>
      </c>
      <c r="L103" s="124"/>
      <c r="M103" s="63" t="s">
        <v>967</v>
      </c>
      <c r="N103" s="63" t="s">
        <v>976</v>
      </c>
      <c r="O103" s="63"/>
      <c r="P103" s="63"/>
      <c r="Q103" s="63"/>
      <c r="R103" s="204"/>
      <c r="S103" s="200"/>
      <c r="T103" s="201"/>
      <c r="U103" s="125"/>
      <c r="V103" s="205"/>
      <c r="W103" s="345" t="s">
        <v>1354</v>
      </c>
      <c r="X103" s="126"/>
      <c r="Y103" s="126"/>
      <c r="Z103" s="126"/>
      <c r="AA103" s="126"/>
      <c r="AB103" s="146"/>
      <c r="AC103" s="146"/>
      <c r="AD103" s="146"/>
      <c r="AE103" s="146"/>
      <c r="AF103" s="146"/>
      <c r="AG103" s="146"/>
      <c r="AH103" s="146"/>
      <c r="AI103" s="146"/>
      <c r="AJ103" s="146"/>
      <c r="AK103" s="146"/>
      <c r="AL103" s="126" t="s">
        <v>1249</v>
      </c>
    </row>
    <row r="104" spans="1:38" s="127" customFormat="1" ht="18" customHeight="1">
      <c r="A104" s="255">
        <v>1</v>
      </c>
      <c r="B104" s="252" t="s">
        <v>617</v>
      </c>
      <c r="C104" s="252" t="s">
        <v>838</v>
      </c>
      <c r="D104" s="252" t="s">
        <v>813</v>
      </c>
      <c r="E104" s="160">
        <v>48</v>
      </c>
      <c r="F104" s="161"/>
      <c r="G104" s="260" t="s">
        <v>76</v>
      </c>
      <c r="H104" s="318">
        <v>46080</v>
      </c>
      <c r="I104" s="318">
        <v>46105</v>
      </c>
      <c r="J104" s="302">
        <v>46140</v>
      </c>
      <c r="K104" s="300">
        <f t="shared" si="2"/>
        <v>46320</v>
      </c>
      <c r="L104" s="197"/>
      <c r="M104" s="63" t="s">
        <v>1188</v>
      </c>
      <c r="N104" s="63" t="s">
        <v>976</v>
      </c>
      <c r="O104" s="63"/>
      <c r="P104" s="63"/>
      <c r="Q104" s="63"/>
      <c r="R104" s="204"/>
      <c r="S104" s="200"/>
      <c r="T104" s="201"/>
      <c r="U104" s="125"/>
      <c r="V104" s="124"/>
      <c r="W104" s="345"/>
      <c r="X104" s="126"/>
      <c r="Y104" s="126"/>
      <c r="Z104" s="126"/>
      <c r="AA104" s="126"/>
      <c r="AB104" s="126"/>
      <c r="AC104" s="126"/>
      <c r="AD104" s="126"/>
      <c r="AE104" s="126"/>
      <c r="AF104" s="126">
        <v>1</v>
      </c>
      <c r="AG104" s="126"/>
      <c r="AH104" s="126"/>
      <c r="AI104" s="126"/>
      <c r="AJ104" s="126"/>
      <c r="AK104" s="126"/>
      <c r="AL104" s="126" t="s">
        <v>1250</v>
      </c>
    </row>
    <row r="105" spans="1:38" s="127" customFormat="1" ht="18" customHeight="1">
      <c r="A105" s="384">
        <v>0</v>
      </c>
      <c r="B105" s="252" t="s">
        <v>621</v>
      </c>
      <c r="C105" s="243" t="s">
        <v>839</v>
      </c>
      <c r="D105" s="252" t="s">
        <v>840</v>
      </c>
      <c r="E105" s="160"/>
      <c r="F105" s="161"/>
      <c r="G105" s="156" t="s">
        <v>629</v>
      </c>
      <c r="H105" s="318">
        <v>46140</v>
      </c>
      <c r="I105" s="318">
        <v>46099</v>
      </c>
      <c r="J105" s="392"/>
      <c r="K105" s="300">
        <f t="shared" si="2"/>
        <v>180</v>
      </c>
      <c r="L105" s="124"/>
      <c r="M105" s="63"/>
      <c r="N105" s="63"/>
      <c r="O105" s="63"/>
      <c r="P105" s="63"/>
      <c r="Q105" s="63"/>
      <c r="R105" s="204"/>
      <c r="S105" s="200"/>
      <c r="T105" s="201"/>
      <c r="U105" s="125"/>
      <c r="V105" s="205"/>
      <c r="W105" s="345"/>
      <c r="X105" s="126"/>
      <c r="Y105" s="126"/>
      <c r="Z105" s="126"/>
      <c r="AA105" s="126"/>
      <c r="AB105" s="146"/>
      <c r="AC105" s="146"/>
      <c r="AD105" s="146"/>
      <c r="AE105" s="146"/>
      <c r="AF105" s="146"/>
      <c r="AG105" s="146"/>
      <c r="AH105" s="146"/>
      <c r="AI105" s="146"/>
      <c r="AJ105" s="146"/>
      <c r="AK105" s="146"/>
      <c r="AL105" s="126"/>
    </row>
    <row r="106" spans="1:38" s="372" customFormat="1" ht="18" customHeight="1">
      <c r="A106" s="358">
        <v>0</v>
      </c>
      <c r="B106" s="243" t="s">
        <v>621</v>
      </c>
      <c r="C106" s="243" t="s">
        <v>841</v>
      </c>
      <c r="D106" s="243" t="s">
        <v>842</v>
      </c>
      <c r="E106" s="359"/>
      <c r="F106" s="360"/>
      <c r="G106" s="502" t="s">
        <v>629</v>
      </c>
      <c r="H106" s="503">
        <v>46084</v>
      </c>
      <c r="I106" s="503">
        <v>46106</v>
      </c>
      <c r="J106" s="504"/>
      <c r="K106" s="362">
        <f t="shared" si="2"/>
        <v>180</v>
      </c>
      <c r="L106" s="363"/>
      <c r="M106" s="364" t="s">
        <v>976</v>
      </c>
      <c r="N106" s="364"/>
      <c r="O106" s="364"/>
      <c r="P106" s="364"/>
      <c r="Q106" s="364"/>
      <c r="R106" s="365"/>
      <c r="S106" s="366" t="s">
        <v>39</v>
      </c>
      <c r="T106" s="367" t="s">
        <v>53</v>
      </c>
      <c r="U106" s="368"/>
      <c r="V106" s="369"/>
      <c r="W106" s="370"/>
      <c r="X106" s="371"/>
      <c r="Y106" s="371"/>
      <c r="Z106" s="371"/>
      <c r="AA106" s="371"/>
      <c r="AB106" s="371"/>
      <c r="AC106" s="371"/>
      <c r="AD106" s="371"/>
      <c r="AE106" s="371"/>
      <c r="AF106" s="371"/>
      <c r="AG106" s="371"/>
      <c r="AH106" s="371"/>
      <c r="AI106" s="371"/>
      <c r="AJ106" s="371"/>
      <c r="AK106" s="371"/>
      <c r="AL106" s="371" t="s">
        <v>1344</v>
      </c>
    </row>
    <row r="107" spans="1:38" s="127" customFormat="1" ht="18" customHeight="1">
      <c r="A107" s="358">
        <v>1</v>
      </c>
      <c r="B107" s="252" t="s">
        <v>794</v>
      </c>
      <c r="C107" s="252" t="s">
        <v>1266</v>
      </c>
      <c r="D107" s="252" t="s">
        <v>801</v>
      </c>
      <c r="E107" s="160"/>
      <c r="F107" s="161"/>
      <c r="G107" s="156" t="s">
        <v>629</v>
      </c>
      <c r="H107" s="439">
        <v>46079</v>
      </c>
      <c r="I107" s="439">
        <v>46139</v>
      </c>
      <c r="J107" s="302">
        <v>46223</v>
      </c>
      <c r="K107" s="300">
        <f t="shared" si="2"/>
        <v>46403</v>
      </c>
      <c r="L107" s="197"/>
      <c r="M107" s="63" t="s">
        <v>976</v>
      </c>
      <c r="N107" s="63" t="s">
        <v>60</v>
      </c>
      <c r="O107" s="63"/>
      <c r="P107" s="63"/>
      <c r="Q107" s="63"/>
      <c r="R107" s="204"/>
      <c r="S107" s="200"/>
      <c r="T107" s="201"/>
      <c r="U107" s="125"/>
      <c r="V107" s="124"/>
      <c r="W107" s="345"/>
      <c r="X107" s="126"/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>
        <v>1</v>
      </c>
      <c r="AL107" s="126" t="s">
        <v>1437</v>
      </c>
    </row>
    <row r="108" spans="1:38" s="127" customFormat="1" ht="18" customHeight="1">
      <c r="A108" s="255">
        <v>1</v>
      </c>
      <c r="B108" s="147" t="s">
        <v>621</v>
      </c>
      <c r="C108" s="147" t="s">
        <v>1361</v>
      </c>
      <c r="D108" s="147" t="s">
        <v>778</v>
      </c>
      <c r="E108" s="148">
        <v>44</v>
      </c>
      <c r="F108" s="146"/>
      <c r="G108" s="146" t="s">
        <v>76</v>
      </c>
      <c r="H108" s="302">
        <v>46069</v>
      </c>
      <c r="I108" s="302">
        <v>46084</v>
      </c>
      <c r="J108" s="302">
        <v>46140</v>
      </c>
      <c r="K108" s="300">
        <f t="shared" ref="K108:K139" si="3">+J108+180</f>
        <v>46320</v>
      </c>
      <c r="L108" s="197"/>
      <c r="M108" s="63" t="s">
        <v>1184</v>
      </c>
      <c r="N108" s="63" t="s">
        <v>976</v>
      </c>
      <c r="O108" s="63" t="s">
        <v>1185</v>
      </c>
      <c r="P108" s="63"/>
      <c r="Q108" s="63"/>
      <c r="R108" s="204"/>
      <c r="S108" s="200"/>
      <c r="T108" s="201"/>
      <c r="U108" s="125"/>
      <c r="V108" s="124"/>
      <c r="W108" s="345" t="s">
        <v>1362</v>
      </c>
      <c r="X108" s="126"/>
      <c r="Y108" s="126"/>
      <c r="Z108" s="126"/>
      <c r="AA108" s="126"/>
      <c r="AB108" s="126"/>
      <c r="AC108" s="126"/>
      <c r="AD108" s="126"/>
      <c r="AE108" s="126"/>
      <c r="AF108" s="126">
        <v>1</v>
      </c>
      <c r="AG108" s="126"/>
      <c r="AH108" s="126"/>
      <c r="AI108" s="126"/>
      <c r="AJ108" s="126"/>
      <c r="AK108" s="126"/>
      <c r="AL108" s="126" t="s">
        <v>1189</v>
      </c>
    </row>
    <row r="109" spans="1:38" s="127" customFormat="1" ht="18" customHeight="1">
      <c r="A109" s="255">
        <v>1</v>
      </c>
      <c r="B109" s="121" t="s">
        <v>634</v>
      </c>
      <c r="C109" s="121" t="s">
        <v>1190</v>
      </c>
      <c r="D109" s="121" t="s">
        <v>311</v>
      </c>
      <c r="E109" s="122">
        <v>44</v>
      </c>
      <c r="F109" s="123"/>
      <c r="G109" s="156" t="s">
        <v>629</v>
      </c>
      <c r="H109" s="388">
        <v>46090</v>
      </c>
      <c r="I109" s="388">
        <v>46141</v>
      </c>
      <c r="J109" s="302">
        <v>46141</v>
      </c>
      <c r="K109" s="300">
        <f t="shared" si="3"/>
        <v>46321</v>
      </c>
      <c r="L109" s="124"/>
      <c r="M109" s="63" t="s">
        <v>976</v>
      </c>
      <c r="N109" s="63"/>
      <c r="O109" s="63"/>
      <c r="P109" s="63"/>
      <c r="Q109" s="63"/>
      <c r="R109" s="204"/>
      <c r="S109" s="200"/>
      <c r="T109" s="201"/>
      <c r="U109" s="125"/>
      <c r="V109" s="205"/>
      <c r="W109" s="345" t="s">
        <v>1357</v>
      </c>
      <c r="X109" s="126"/>
      <c r="Y109" s="126"/>
      <c r="Z109" s="126"/>
      <c r="AA109" s="126"/>
      <c r="AB109" s="146"/>
      <c r="AC109" s="146"/>
      <c r="AD109" s="146"/>
      <c r="AE109" s="146"/>
      <c r="AF109" s="146"/>
      <c r="AG109" s="146"/>
      <c r="AH109" s="146"/>
      <c r="AI109" s="146"/>
      <c r="AJ109" s="146"/>
      <c r="AK109" s="146"/>
      <c r="AL109" s="126" t="s">
        <v>1248</v>
      </c>
    </row>
    <row r="110" spans="1:38" s="127" customFormat="1" ht="18" customHeight="1">
      <c r="A110" s="255">
        <v>1</v>
      </c>
      <c r="B110" s="121" t="s">
        <v>634</v>
      </c>
      <c r="C110" s="121" t="s">
        <v>1207</v>
      </c>
      <c r="D110" s="121" t="s">
        <v>1191</v>
      </c>
      <c r="E110" s="122">
        <v>31</v>
      </c>
      <c r="F110" s="123"/>
      <c r="G110" s="156" t="s">
        <v>629</v>
      </c>
      <c r="H110" s="388">
        <v>45803</v>
      </c>
      <c r="I110" s="388">
        <v>46141</v>
      </c>
      <c r="J110" s="302">
        <v>46141</v>
      </c>
      <c r="K110" s="300">
        <f t="shared" si="3"/>
        <v>46321</v>
      </c>
      <c r="L110" s="124"/>
      <c r="M110" s="63" t="s">
        <v>1192</v>
      </c>
      <c r="N110" s="63" t="s">
        <v>1247</v>
      </c>
      <c r="O110" s="63"/>
      <c r="P110" s="63"/>
      <c r="Q110" s="63"/>
      <c r="R110" s="204"/>
      <c r="S110" s="200"/>
      <c r="T110" s="201"/>
      <c r="U110" s="125"/>
      <c r="V110" s="205"/>
      <c r="W110" s="345" t="s">
        <v>1356</v>
      </c>
      <c r="X110" s="126"/>
      <c r="Y110" s="126"/>
      <c r="Z110" s="126"/>
      <c r="AA110" s="126"/>
      <c r="AB110" s="146"/>
      <c r="AC110" s="146"/>
      <c r="AD110" s="146"/>
      <c r="AE110" s="146"/>
      <c r="AF110" s="146"/>
      <c r="AG110" s="146"/>
      <c r="AH110" s="146"/>
      <c r="AI110" s="146"/>
      <c r="AJ110" s="146"/>
      <c r="AK110" s="146"/>
      <c r="AL110" s="126" t="s">
        <v>1193</v>
      </c>
    </row>
    <row r="111" spans="1:38" s="380" customFormat="1" ht="18" customHeight="1">
      <c r="A111" s="373">
        <v>1</v>
      </c>
      <c r="B111" s="354" t="s">
        <v>621</v>
      </c>
      <c r="C111" s="354" t="s">
        <v>1204</v>
      </c>
      <c r="D111" s="354" t="s">
        <v>1194</v>
      </c>
      <c r="E111" s="501">
        <v>27</v>
      </c>
      <c r="F111" s="499" t="s">
        <v>29</v>
      </c>
      <c r="G111" s="487" t="s">
        <v>629</v>
      </c>
      <c r="H111" s="490">
        <v>46091</v>
      </c>
      <c r="I111" s="490">
        <v>46149</v>
      </c>
      <c r="J111" s="490">
        <v>46149</v>
      </c>
      <c r="K111" s="350">
        <f t="shared" si="3"/>
        <v>46329</v>
      </c>
      <c r="L111" s="351"/>
      <c r="M111" s="352" t="s">
        <v>60</v>
      </c>
      <c r="N111" s="352"/>
      <c r="O111" s="352"/>
      <c r="P111" s="352"/>
      <c r="Q111" s="352"/>
      <c r="R111" s="374"/>
      <c r="S111" s="375"/>
      <c r="T111" s="376"/>
      <c r="U111" s="377"/>
      <c r="V111" s="378"/>
      <c r="W111" s="379" t="s">
        <v>1360</v>
      </c>
      <c r="X111" s="354"/>
      <c r="Y111" s="354"/>
      <c r="Z111" s="354"/>
      <c r="AA111" s="354"/>
      <c r="AB111" s="354"/>
      <c r="AC111" s="354"/>
      <c r="AD111" s="354"/>
      <c r="AE111" s="354"/>
      <c r="AF111" s="354"/>
      <c r="AG111" s="354"/>
      <c r="AH111" s="354"/>
      <c r="AI111" s="354"/>
      <c r="AJ111" s="354"/>
      <c r="AK111" s="354"/>
      <c r="AL111" s="354"/>
    </row>
    <row r="112" spans="1:38" s="127" customFormat="1" ht="18" customHeight="1">
      <c r="A112" s="255">
        <v>1</v>
      </c>
      <c r="B112" s="121" t="s">
        <v>634</v>
      </c>
      <c r="C112" s="121" t="s">
        <v>1198</v>
      </c>
      <c r="D112" s="121" t="s">
        <v>1199</v>
      </c>
      <c r="E112" s="122">
        <v>36</v>
      </c>
      <c r="F112" s="123" t="s">
        <v>29</v>
      </c>
      <c r="G112" s="121" t="s">
        <v>76</v>
      </c>
      <c r="H112" s="302">
        <v>46120</v>
      </c>
      <c r="I112" s="302">
        <v>46154</v>
      </c>
      <c r="J112" s="302">
        <v>46154</v>
      </c>
      <c r="K112" s="300">
        <f t="shared" si="3"/>
        <v>46334</v>
      </c>
      <c r="L112" s="124"/>
      <c r="M112" s="63" t="s">
        <v>1192</v>
      </c>
      <c r="N112" s="63"/>
      <c r="O112" s="63"/>
      <c r="P112" s="64"/>
      <c r="Q112" s="64"/>
      <c r="R112" s="204"/>
      <c r="S112" s="200"/>
      <c r="T112" s="201"/>
      <c r="U112" s="125"/>
      <c r="V112" s="124"/>
      <c r="W112" s="345" t="s">
        <v>1351</v>
      </c>
      <c r="X112" s="126"/>
      <c r="Y112" s="126"/>
      <c r="Z112" s="126"/>
      <c r="AA112" s="126"/>
      <c r="AB112" s="146"/>
      <c r="AC112" s="146"/>
      <c r="AD112" s="146"/>
      <c r="AE112" s="146"/>
      <c r="AF112" s="146"/>
      <c r="AG112" s="146"/>
      <c r="AH112" s="146"/>
      <c r="AI112" s="146"/>
      <c r="AJ112" s="146"/>
      <c r="AK112" s="146"/>
      <c r="AL112" s="126" t="s">
        <v>1200</v>
      </c>
    </row>
    <row r="113" spans="1:38" s="127" customFormat="1" ht="18" customHeight="1">
      <c r="A113" s="255">
        <v>1</v>
      </c>
      <c r="B113" s="121" t="s">
        <v>621</v>
      </c>
      <c r="C113" s="121" t="s">
        <v>1201</v>
      </c>
      <c r="D113" s="121" t="s">
        <v>1202</v>
      </c>
      <c r="E113" s="122">
        <v>60</v>
      </c>
      <c r="F113" s="123" t="s">
        <v>8</v>
      </c>
      <c r="G113" s="121" t="s">
        <v>774</v>
      </c>
      <c r="H113" s="302">
        <v>46129</v>
      </c>
      <c r="I113" s="302">
        <v>46154</v>
      </c>
      <c r="J113" s="302">
        <v>46154</v>
      </c>
      <c r="K113" s="300">
        <f t="shared" si="3"/>
        <v>46334</v>
      </c>
      <c r="L113" s="124"/>
      <c r="M113" s="63" t="s">
        <v>976</v>
      </c>
      <c r="N113" s="63"/>
      <c r="O113" s="63"/>
      <c r="P113" s="64"/>
      <c r="Q113" s="64"/>
      <c r="R113" s="204"/>
      <c r="S113" s="200"/>
      <c r="T113" s="201"/>
      <c r="U113" s="125"/>
      <c r="V113" s="124"/>
      <c r="W113" s="345"/>
      <c r="X113" s="126"/>
      <c r="Y113" s="126"/>
      <c r="Z113" s="126"/>
      <c r="AA113" s="126"/>
      <c r="AB113" s="146"/>
      <c r="AC113" s="146"/>
      <c r="AD113" s="146"/>
      <c r="AE113" s="146"/>
      <c r="AF113" s="146"/>
      <c r="AG113" s="146"/>
      <c r="AH113" s="146"/>
      <c r="AI113" s="146"/>
      <c r="AJ113" s="146"/>
      <c r="AK113" s="146"/>
      <c r="AL113" s="126" t="s">
        <v>1203</v>
      </c>
    </row>
    <row r="114" spans="1:38" s="127" customFormat="1" ht="25.2" customHeight="1">
      <c r="A114" s="255">
        <v>0</v>
      </c>
      <c r="B114" s="121" t="s">
        <v>621</v>
      </c>
      <c r="C114" s="121" t="s">
        <v>1205</v>
      </c>
      <c r="D114" s="121" t="s">
        <v>1206</v>
      </c>
      <c r="E114" s="122">
        <v>32</v>
      </c>
      <c r="F114" s="123" t="s">
        <v>11</v>
      </c>
      <c r="G114" s="156" t="s">
        <v>629</v>
      </c>
      <c r="H114" s="302">
        <v>46121</v>
      </c>
      <c r="I114" s="302">
        <v>46153</v>
      </c>
      <c r="J114" s="387">
        <v>46153</v>
      </c>
      <c r="K114" s="300">
        <f t="shared" si="3"/>
        <v>46333</v>
      </c>
      <c r="L114" s="124"/>
      <c r="M114" s="121"/>
      <c r="N114" s="121"/>
      <c r="O114" s="121"/>
      <c r="P114" s="64"/>
      <c r="Q114" s="64"/>
      <c r="R114" s="64"/>
      <c r="S114" s="200" t="s">
        <v>39</v>
      </c>
      <c r="T114" s="201" t="s">
        <v>57</v>
      </c>
      <c r="U114" s="125"/>
      <c r="V114" s="124"/>
      <c r="W114" s="345"/>
      <c r="X114" s="126"/>
      <c r="Y114" s="126"/>
      <c r="Z114" s="126"/>
      <c r="AA114" s="126"/>
      <c r="AB114" s="146"/>
      <c r="AC114" s="146"/>
      <c r="AD114" s="146"/>
      <c r="AE114" s="146"/>
      <c r="AF114" s="146"/>
      <c r="AG114" s="146"/>
      <c r="AH114" s="146"/>
      <c r="AI114" s="146"/>
      <c r="AJ114" s="146"/>
      <c r="AK114" s="146"/>
      <c r="AL114" s="126"/>
    </row>
    <row r="115" spans="1:38" s="127" customFormat="1" ht="25.2" customHeight="1">
      <c r="A115" s="255">
        <v>1</v>
      </c>
      <c r="B115" s="121" t="s">
        <v>621</v>
      </c>
      <c r="C115" s="121" t="s">
        <v>1254</v>
      </c>
      <c r="D115" s="121" t="s">
        <v>628</v>
      </c>
      <c r="E115" s="122">
        <v>25</v>
      </c>
      <c r="F115" s="123" t="s">
        <v>646</v>
      </c>
      <c r="G115" s="121" t="s">
        <v>774</v>
      </c>
      <c r="H115" s="302">
        <v>46135</v>
      </c>
      <c r="I115" s="302">
        <v>46154</v>
      </c>
      <c r="J115" s="302">
        <v>46154</v>
      </c>
      <c r="K115" s="300">
        <f t="shared" si="3"/>
        <v>46334</v>
      </c>
      <c r="L115" s="124"/>
      <c r="M115" s="64" t="s">
        <v>60</v>
      </c>
      <c r="N115" s="64" t="s">
        <v>976</v>
      </c>
      <c r="O115" s="64"/>
      <c r="P115" s="64"/>
      <c r="Q115" s="64"/>
      <c r="R115" s="204"/>
      <c r="S115" s="200"/>
      <c r="T115" s="201"/>
      <c r="U115" s="125"/>
      <c r="V115" s="124"/>
      <c r="W115" s="345"/>
      <c r="X115" s="126"/>
      <c r="Y115" s="126"/>
      <c r="Z115" s="126"/>
      <c r="AA115" s="126"/>
      <c r="AB115" s="146"/>
      <c r="AC115" s="146"/>
      <c r="AD115" s="146"/>
      <c r="AE115" s="146"/>
      <c r="AF115" s="146"/>
      <c r="AG115" s="146"/>
      <c r="AH115" s="146"/>
      <c r="AI115" s="146"/>
      <c r="AJ115" s="146"/>
      <c r="AK115" s="146"/>
      <c r="AL115" s="126" t="s">
        <v>1255</v>
      </c>
    </row>
    <row r="116" spans="1:38" s="232" customFormat="1" ht="25.2" customHeight="1">
      <c r="A116" s="442">
        <v>0</v>
      </c>
      <c r="B116" s="456" t="s">
        <v>621</v>
      </c>
      <c r="C116" s="456" t="s">
        <v>1208</v>
      </c>
      <c r="D116" s="456" t="s">
        <v>1209</v>
      </c>
      <c r="E116" s="457">
        <v>55</v>
      </c>
      <c r="F116" s="458" t="s">
        <v>646</v>
      </c>
      <c r="G116" s="157" t="s">
        <v>629</v>
      </c>
      <c r="H116" s="389">
        <v>46122</v>
      </c>
      <c r="I116" s="389">
        <v>46153</v>
      </c>
      <c r="J116" s="389">
        <v>46153</v>
      </c>
      <c r="K116" s="313">
        <f t="shared" si="3"/>
        <v>46333</v>
      </c>
      <c r="L116" s="230"/>
      <c r="M116" s="168" t="s">
        <v>1210</v>
      </c>
      <c r="N116" s="168"/>
      <c r="O116" s="168"/>
      <c r="P116" s="168"/>
      <c r="Q116" s="168"/>
      <c r="R116" s="227"/>
      <c r="S116" s="228" t="s">
        <v>41</v>
      </c>
      <c r="T116" s="229" t="s">
        <v>54</v>
      </c>
      <c r="U116" s="225" t="s">
        <v>535</v>
      </c>
      <c r="V116" s="230">
        <v>46223</v>
      </c>
      <c r="W116" s="347" t="s">
        <v>1423</v>
      </c>
      <c r="X116" s="231"/>
      <c r="Y116" s="231"/>
      <c r="Z116" s="231"/>
      <c r="AA116" s="231"/>
      <c r="AB116" s="459"/>
      <c r="AC116" s="459"/>
      <c r="AD116" s="459"/>
      <c r="AE116" s="459"/>
      <c r="AF116" s="459"/>
      <c r="AG116" s="459"/>
      <c r="AH116" s="459"/>
      <c r="AI116" s="459"/>
      <c r="AJ116" s="459"/>
      <c r="AK116" s="459"/>
      <c r="AL116" s="231"/>
    </row>
    <row r="117" spans="1:38" s="127" customFormat="1" ht="25.2" customHeight="1">
      <c r="A117" s="255">
        <v>1</v>
      </c>
      <c r="B117" s="121" t="s">
        <v>634</v>
      </c>
      <c r="C117" s="121" t="s">
        <v>1211</v>
      </c>
      <c r="D117" s="121" t="s">
        <v>1212</v>
      </c>
      <c r="E117" s="122">
        <v>29</v>
      </c>
      <c r="F117" s="123" t="s">
        <v>11</v>
      </c>
      <c r="G117" s="156" t="s">
        <v>629</v>
      </c>
      <c r="H117" s="302">
        <v>46173</v>
      </c>
      <c r="I117" s="302">
        <v>46155</v>
      </c>
      <c r="J117" s="302">
        <v>46155</v>
      </c>
      <c r="K117" s="300">
        <f t="shared" si="3"/>
        <v>46335</v>
      </c>
      <c r="L117" s="124"/>
      <c r="M117" s="64" t="s">
        <v>976</v>
      </c>
      <c r="N117" s="64" t="s">
        <v>1001</v>
      </c>
      <c r="O117" s="64"/>
      <c r="P117" s="64"/>
      <c r="Q117" s="64"/>
      <c r="R117" s="204"/>
      <c r="S117" s="200"/>
      <c r="T117" s="201"/>
      <c r="U117" s="125"/>
      <c r="V117" s="124"/>
      <c r="W117" s="345" t="s">
        <v>1350</v>
      </c>
      <c r="X117" s="126"/>
      <c r="Y117" s="126"/>
      <c r="Z117" s="126"/>
      <c r="AA117" s="126"/>
      <c r="AB117" s="146"/>
      <c r="AC117" s="146"/>
      <c r="AD117" s="146"/>
      <c r="AE117" s="146"/>
      <c r="AF117" s="146"/>
      <c r="AG117" s="146"/>
      <c r="AH117" s="146"/>
      <c r="AI117" s="146"/>
      <c r="AJ117" s="146"/>
      <c r="AK117" s="146"/>
      <c r="AL117" s="126"/>
    </row>
    <row r="118" spans="1:38" s="127" customFormat="1" ht="25.2" customHeight="1">
      <c r="A118" s="255">
        <v>1</v>
      </c>
      <c r="B118" s="121" t="s">
        <v>634</v>
      </c>
      <c r="C118" s="121" t="s">
        <v>1213</v>
      </c>
      <c r="D118" s="121" t="s">
        <v>1214</v>
      </c>
      <c r="E118" s="122">
        <v>44</v>
      </c>
      <c r="F118" s="123" t="s">
        <v>8</v>
      </c>
      <c r="G118" s="156" t="s">
        <v>629</v>
      </c>
      <c r="H118" s="302">
        <v>46107</v>
      </c>
      <c r="I118" s="302">
        <v>46111</v>
      </c>
      <c r="J118" s="302">
        <v>46111</v>
      </c>
      <c r="K118" s="300">
        <f t="shared" si="3"/>
        <v>46291</v>
      </c>
      <c r="L118" s="124"/>
      <c r="M118" s="64"/>
      <c r="N118" s="64"/>
      <c r="O118" s="64"/>
      <c r="P118" s="64"/>
      <c r="Q118" s="64"/>
      <c r="R118" s="204"/>
      <c r="S118" s="200"/>
      <c r="T118" s="201"/>
      <c r="U118" s="125"/>
      <c r="V118" s="124"/>
      <c r="W118" s="345" t="s">
        <v>1363</v>
      </c>
      <c r="X118" s="126"/>
      <c r="Y118" s="126"/>
      <c r="Z118" s="126"/>
      <c r="AA118" s="126"/>
      <c r="AB118" s="146"/>
      <c r="AC118" s="146"/>
      <c r="AD118" s="146"/>
      <c r="AE118" s="146"/>
      <c r="AF118" s="146"/>
      <c r="AG118" s="146"/>
      <c r="AH118" s="146"/>
      <c r="AI118" s="146"/>
      <c r="AJ118" s="146"/>
      <c r="AK118" s="146"/>
      <c r="AL118" s="126"/>
    </row>
    <row r="119" spans="1:38" s="127" customFormat="1" ht="25.2" customHeight="1">
      <c r="A119" s="255">
        <v>1</v>
      </c>
      <c r="B119" s="121" t="s">
        <v>634</v>
      </c>
      <c r="C119" s="121" t="s">
        <v>1215</v>
      </c>
      <c r="D119" s="121" t="s">
        <v>1216</v>
      </c>
      <c r="E119" s="122">
        <v>60</v>
      </c>
      <c r="F119" s="123" t="s">
        <v>14</v>
      </c>
      <c r="G119" s="156" t="s">
        <v>629</v>
      </c>
      <c r="H119" s="440">
        <v>46133</v>
      </c>
      <c r="I119" s="440">
        <v>46160</v>
      </c>
      <c r="J119" s="302">
        <v>46160</v>
      </c>
      <c r="K119" s="300">
        <f t="shared" si="3"/>
        <v>46340</v>
      </c>
      <c r="L119" s="124"/>
      <c r="M119" s="64"/>
      <c r="N119" s="64"/>
      <c r="O119" s="64"/>
      <c r="P119" s="64"/>
      <c r="Q119" s="64"/>
      <c r="R119" s="204"/>
      <c r="S119" s="200"/>
      <c r="T119" s="201"/>
      <c r="U119" s="125"/>
      <c r="V119" s="124"/>
      <c r="W119" s="345" t="s">
        <v>1364</v>
      </c>
      <c r="X119" s="126"/>
      <c r="Y119" s="126"/>
      <c r="Z119" s="126"/>
      <c r="AA119" s="126"/>
      <c r="AB119" s="146"/>
      <c r="AC119" s="146"/>
      <c r="AD119" s="146"/>
      <c r="AE119" s="146"/>
      <c r="AF119" s="146"/>
      <c r="AG119" s="146"/>
      <c r="AH119" s="146"/>
      <c r="AI119" s="146"/>
      <c r="AJ119" s="146"/>
      <c r="AK119" s="146"/>
      <c r="AL119" s="126" t="s">
        <v>1253</v>
      </c>
    </row>
    <row r="120" spans="1:38" s="372" customFormat="1" ht="25.2" customHeight="1">
      <c r="A120" s="358">
        <v>1</v>
      </c>
      <c r="B120" s="482" t="s">
        <v>621</v>
      </c>
      <c r="C120" s="482" t="s">
        <v>1217</v>
      </c>
      <c r="D120" s="482" t="s">
        <v>1218</v>
      </c>
      <c r="E120" s="505">
        <v>42</v>
      </c>
      <c r="F120" s="506" t="s">
        <v>17</v>
      </c>
      <c r="G120" s="206" t="s">
        <v>629</v>
      </c>
      <c r="H120" s="391">
        <v>46121</v>
      </c>
      <c r="I120" s="391">
        <v>46155</v>
      </c>
      <c r="J120" s="391">
        <v>46155</v>
      </c>
      <c r="K120" s="362">
        <f t="shared" si="3"/>
        <v>46335</v>
      </c>
      <c r="L120" s="369"/>
      <c r="M120" s="507"/>
      <c r="N120" s="507"/>
      <c r="O120" s="507"/>
      <c r="P120" s="507"/>
      <c r="Q120" s="507"/>
      <c r="R120" s="365"/>
      <c r="S120" s="366"/>
      <c r="T120" s="367"/>
      <c r="U120" s="368"/>
      <c r="V120" s="369"/>
      <c r="W120" s="370"/>
      <c r="X120" s="371"/>
      <c r="Y120" s="371"/>
      <c r="Z120" s="371"/>
      <c r="AA120" s="371"/>
      <c r="AB120" s="508"/>
      <c r="AC120" s="508"/>
      <c r="AD120" s="508"/>
      <c r="AE120" s="508"/>
      <c r="AF120" s="508"/>
      <c r="AG120" s="508"/>
      <c r="AH120" s="508"/>
      <c r="AI120" s="508"/>
      <c r="AJ120" s="508"/>
      <c r="AK120" s="508" t="s">
        <v>1419</v>
      </c>
      <c r="AL120" s="371" t="s">
        <v>1252</v>
      </c>
    </row>
    <row r="121" spans="1:38" s="127" customFormat="1" ht="25.2" customHeight="1">
      <c r="A121" s="255">
        <v>1</v>
      </c>
      <c r="B121" s="121" t="s">
        <v>634</v>
      </c>
      <c r="C121" s="121" t="s">
        <v>1221</v>
      </c>
      <c r="D121" s="121" t="s">
        <v>1222</v>
      </c>
      <c r="E121" s="122">
        <v>63</v>
      </c>
      <c r="F121" s="123"/>
      <c r="G121" s="156" t="s">
        <v>629</v>
      </c>
      <c r="H121" s="440">
        <v>46125</v>
      </c>
      <c r="I121" s="440">
        <v>46160</v>
      </c>
      <c r="J121" s="388">
        <v>46171</v>
      </c>
      <c r="K121" s="300">
        <f t="shared" si="3"/>
        <v>46351</v>
      </c>
      <c r="L121" s="124"/>
      <c r="M121" s="64"/>
      <c r="N121" s="64"/>
      <c r="O121" s="64"/>
      <c r="P121" s="64"/>
      <c r="Q121" s="64"/>
      <c r="R121" s="204"/>
      <c r="S121" s="200"/>
      <c r="T121" s="201"/>
      <c r="U121" s="125"/>
      <c r="V121" s="124"/>
      <c r="W121" s="345" t="s">
        <v>1389</v>
      </c>
      <c r="X121" s="126"/>
      <c r="Y121" s="126"/>
      <c r="Z121" s="126"/>
      <c r="AA121" s="126"/>
      <c r="AB121" s="146"/>
      <c r="AC121" s="146"/>
      <c r="AD121" s="146"/>
      <c r="AE121" s="146"/>
      <c r="AF121" s="146"/>
      <c r="AG121" s="146"/>
      <c r="AH121" s="146"/>
      <c r="AI121" s="146"/>
      <c r="AJ121" s="146"/>
      <c r="AK121" s="146"/>
      <c r="AL121" s="126"/>
    </row>
    <row r="122" spans="1:38" s="221" customFormat="1" ht="25.2" customHeight="1">
      <c r="A122" s="538">
        <v>0</v>
      </c>
      <c r="B122" s="539" t="s">
        <v>621</v>
      </c>
      <c r="C122" s="539" t="s">
        <v>1223</v>
      </c>
      <c r="D122" s="539" t="s">
        <v>1224</v>
      </c>
      <c r="E122" s="540">
        <v>28</v>
      </c>
      <c r="F122" s="541"/>
      <c r="G122" s="511" t="s">
        <v>629</v>
      </c>
      <c r="H122" s="542">
        <v>46126</v>
      </c>
      <c r="I122" s="542">
        <v>46160</v>
      </c>
      <c r="J122" s="390"/>
      <c r="K122" s="310">
        <f t="shared" si="3"/>
        <v>180</v>
      </c>
      <c r="L122" s="219"/>
      <c r="M122" s="171"/>
      <c r="N122" s="171"/>
      <c r="O122" s="171"/>
      <c r="P122" s="171"/>
      <c r="Q122" s="171"/>
      <c r="R122" s="215"/>
      <c r="S122" s="216" t="s">
        <v>43</v>
      </c>
      <c r="T122" s="217"/>
      <c r="U122" s="218"/>
      <c r="V122" s="219"/>
      <c r="W122" s="346"/>
      <c r="X122" s="220"/>
      <c r="Y122" s="220"/>
      <c r="Z122" s="220"/>
      <c r="AA122" s="220"/>
      <c r="AB122" s="543"/>
      <c r="AC122" s="543"/>
      <c r="AD122" s="543"/>
      <c r="AE122" s="543"/>
      <c r="AF122" s="543"/>
      <c r="AG122" s="543"/>
      <c r="AH122" s="543"/>
      <c r="AI122" s="543"/>
      <c r="AJ122" s="543"/>
      <c r="AK122" s="543"/>
      <c r="AL122" s="220"/>
    </row>
    <row r="123" spans="1:38" s="127" customFormat="1" ht="25.2" customHeight="1">
      <c r="A123" s="255">
        <v>1</v>
      </c>
      <c r="B123" s="121" t="s">
        <v>634</v>
      </c>
      <c r="C123" s="121" t="s">
        <v>1225</v>
      </c>
      <c r="D123" s="121" t="s">
        <v>1226</v>
      </c>
      <c r="E123" s="122">
        <v>54</v>
      </c>
      <c r="F123" s="123"/>
      <c r="G123" s="156" t="s">
        <v>76</v>
      </c>
      <c r="H123" s="440">
        <v>46125</v>
      </c>
      <c r="I123" s="440">
        <v>46154</v>
      </c>
      <c r="J123" s="388">
        <v>46188</v>
      </c>
      <c r="K123" s="300">
        <f t="shared" si="3"/>
        <v>46368</v>
      </c>
      <c r="L123" s="124"/>
      <c r="M123" s="64" t="s">
        <v>976</v>
      </c>
      <c r="N123" s="64" t="s">
        <v>60</v>
      </c>
      <c r="O123" s="64"/>
      <c r="P123" s="64"/>
      <c r="Q123" s="64"/>
      <c r="R123" s="204"/>
      <c r="S123" s="200"/>
      <c r="T123" s="201"/>
      <c r="U123" s="125"/>
      <c r="V123" s="124"/>
      <c r="W123" s="345"/>
      <c r="X123" s="126"/>
      <c r="Y123" s="126"/>
      <c r="Z123" s="126"/>
      <c r="AA123" s="126"/>
      <c r="AB123" s="146"/>
      <c r="AC123" s="146"/>
      <c r="AD123" s="146"/>
      <c r="AE123" s="146"/>
      <c r="AF123" s="146"/>
      <c r="AG123" s="146"/>
      <c r="AH123" s="146"/>
      <c r="AI123" s="146"/>
      <c r="AJ123" s="146"/>
      <c r="AK123" s="146"/>
      <c r="AL123" s="126"/>
    </row>
    <row r="124" spans="1:38" s="127" customFormat="1" ht="25.2" customHeight="1">
      <c r="A124" s="255">
        <v>0</v>
      </c>
      <c r="B124" s="121" t="s">
        <v>621</v>
      </c>
      <c r="C124" s="121" t="s">
        <v>1229</v>
      </c>
      <c r="D124" s="121" t="s">
        <v>801</v>
      </c>
      <c r="E124" s="122">
        <v>31</v>
      </c>
      <c r="F124" s="123"/>
      <c r="G124" s="156" t="s">
        <v>629</v>
      </c>
      <c r="H124" s="440">
        <v>46001</v>
      </c>
      <c r="I124" s="440">
        <v>46153</v>
      </c>
      <c r="J124" s="302"/>
      <c r="K124" s="300">
        <f t="shared" si="3"/>
        <v>180</v>
      </c>
      <c r="L124" s="124"/>
      <c r="M124" s="64"/>
      <c r="N124" s="64"/>
      <c r="O124" s="64"/>
      <c r="P124" s="64"/>
      <c r="Q124" s="64"/>
      <c r="R124" s="204"/>
      <c r="S124" s="200"/>
      <c r="T124" s="201"/>
      <c r="U124" s="125"/>
      <c r="V124" s="124"/>
      <c r="W124" s="345"/>
      <c r="X124" s="126"/>
      <c r="Y124" s="126"/>
      <c r="Z124" s="126"/>
      <c r="AA124" s="126"/>
      <c r="AB124" s="146"/>
      <c r="AC124" s="146"/>
      <c r="AD124" s="146"/>
      <c r="AE124" s="146"/>
      <c r="AF124" s="146"/>
      <c r="AG124" s="146"/>
      <c r="AH124" s="146"/>
      <c r="AI124" s="146"/>
      <c r="AJ124" s="146"/>
      <c r="AK124" s="146"/>
      <c r="AL124" s="126"/>
    </row>
    <row r="125" spans="1:38" s="380" customFormat="1" ht="25.2" customHeight="1">
      <c r="A125" s="373">
        <v>1</v>
      </c>
      <c r="B125" s="497" t="s">
        <v>634</v>
      </c>
      <c r="C125" s="497" t="s">
        <v>1230</v>
      </c>
      <c r="D125" s="497" t="s">
        <v>1231</v>
      </c>
      <c r="E125" s="498">
        <v>60</v>
      </c>
      <c r="F125" s="499"/>
      <c r="G125" s="497" t="s">
        <v>1232</v>
      </c>
      <c r="H125" s="500"/>
      <c r="I125" s="500">
        <v>46139</v>
      </c>
      <c r="J125" s="490"/>
      <c r="K125" s="350">
        <f t="shared" si="3"/>
        <v>180</v>
      </c>
      <c r="L125" s="378"/>
      <c r="M125" s="491" t="s">
        <v>976</v>
      </c>
      <c r="N125" s="491"/>
      <c r="O125" s="491"/>
      <c r="P125" s="491"/>
      <c r="Q125" s="491"/>
      <c r="R125" s="374"/>
      <c r="S125" s="375"/>
      <c r="T125" s="376"/>
      <c r="U125" s="377"/>
      <c r="V125" s="378"/>
      <c r="W125" s="379"/>
      <c r="X125" s="354"/>
      <c r="Y125" s="354"/>
      <c r="Z125" s="354"/>
      <c r="AA125" s="354"/>
      <c r="AB125" s="501"/>
      <c r="AC125" s="501"/>
      <c r="AD125" s="501"/>
      <c r="AE125" s="501"/>
      <c r="AF125" s="501"/>
      <c r="AG125" s="501"/>
      <c r="AH125" s="501"/>
      <c r="AI125" s="501"/>
      <c r="AJ125" s="501"/>
      <c r="AK125" s="501"/>
      <c r="AL125" s="354" t="s">
        <v>1238</v>
      </c>
    </row>
    <row r="126" spans="1:38" s="127" customFormat="1" ht="25.2" customHeight="1">
      <c r="A126" s="255">
        <v>1</v>
      </c>
      <c r="B126" s="482" t="s">
        <v>634</v>
      </c>
      <c r="C126" s="482" t="s">
        <v>1233</v>
      </c>
      <c r="D126" s="482" t="s">
        <v>1234</v>
      </c>
      <c r="E126" s="122">
        <v>31</v>
      </c>
      <c r="F126" s="123" t="s">
        <v>8</v>
      </c>
      <c r="G126" s="121" t="s">
        <v>629</v>
      </c>
      <c r="H126" s="440">
        <v>46070</v>
      </c>
      <c r="I126" s="440">
        <v>46139</v>
      </c>
      <c r="J126" s="302">
        <v>46209</v>
      </c>
      <c r="K126" s="300">
        <f t="shared" si="3"/>
        <v>46389</v>
      </c>
      <c r="L126" s="124"/>
      <c r="M126" s="64" t="s">
        <v>60</v>
      </c>
      <c r="N126" s="64" t="s">
        <v>1340</v>
      </c>
      <c r="O126" s="64"/>
      <c r="P126" s="64"/>
      <c r="Q126" s="64"/>
      <c r="R126" s="204"/>
      <c r="S126" s="200"/>
      <c r="T126" s="201"/>
      <c r="U126" s="125"/>
      <c r="V126" s="124"/>
      <c r="W126" s="345"/>
      <c r="X126" s="126"/>
      <c r="Y126" s="126"/>
      <c r="Z126" s="126"/>
      <c r="AA126" s="126"/>
      <c r="AB126" s="146"/>
      <c r="AC126" s="146"/>
      <c r="AD126" s="146"/>
      <c r="AE126" s="146"/>
      <c r="AF126" s="146"/>
      <c r="AG126" s="146"/>
      <c r="AH126" s="146"/>
      <c r="AI126" s="146"/>
      <c r="AJ126" s="146"/>
      <c r="AK126" s="146"/>
      <c r="AL126" s="126" t="s">
        <v>1339</v>
      </c>
    </row>
    <row r="127" spans="1:38" s="232" customFormat="1" ht="18" customHeight="1">
      <c r="A127" s="442">
        <v>0</v>
      </c>
      <c r="B127" s="456" t="s">
        <v>621</v>
      </c>
      <c r="C127" s="456" t="s">
        <v>1235</v>
      </c>
      <c r="D127" s="456" t="s">
        <v>1236</v>
      </c>
      <c r="E127" s="457">
        <v>40</v>
      </c>
      <c r="F127" s="458" t="s">
        <v>8</v>
      </c>
      <c r="G127" s="157" t="s">
        <v>629</v>
      </c>
      <c r="H127" s="510">
        <v>46148</v>
      </c>
      <c r="I127" s="510">
        <v>46164</v>
      </c>
      <c r="J127" s="389">
        <v>46164</v>
      </c>
      <c r="K127" s="313">
        <f t="shared" si="3"/>
        <v>46344</v>
      </c>
      <c r="L127" s="230"/>
      <c r="M127" s="168" t="s">
        <v>60</v>
      </c>
      <c r="N127" s="168"/>
      <c r="O127" s="168"/>
      <c r="P127" s="168"/>
      <c r="Q127" s="168"/>
      <c r="R127" s="227"/>
      <c r="S127" s="228" t="s">
        <v>41</v>
      </c>
      <c r="T127" s="229" t="s">
        <v>54</v>
      </c>
      <c r="U127" s="225" t="s">
        <v>535</v>
      </c>
      <c r="V127" s="230">
        <v>46223</v>
      </c>
      <c r="W127" s="347"/>
      <c r="X127" s="231"/>
      <c r="Y127" s="231"/>
      <c r="Z127" s="231"/>
      <c r="AA127" s="231"/>
      <c r="AB127" s="459"/>
      <c r="AC127" s="459"/>
      <c r="AD127" s="459"/>
      <c r="AE127" s="459"/>
      <c r="AF127" s="459"/>
      <c r="AG127" s="459"/>
      <c r="AH127" s="459"/>
      <c r="AI127" s="459"/>
      <c r="AJ127" s="459"/>
      <c r="AK127" s="459"/>
      <c r="AL127" s="231" t="s">
        <v>1237</v>
      </c>
    </row>
    <row r="128" spans="1:38" s="127" customFormat="1" ht="18" customHeight="1">
      <c r="A128" s="255">
        <v>1</v>
      </c>
      <c r="B128" s="121" t="s">
        <v>634</v>
      </c>
      <c r="C128" s="121" t="s">
        <v>1239</v>
      </c>
      <c r="D128" s="121" t="s">
        <v>1214</v>
      </c>
      <c r="E128" s="122">
        <v>48</v>
      </c>
      <c r="F128" s="123"/>
      <c r="G128" s="156" t="s">
        <v>629</v>
      </c>
      <c r="H128" s="440">
        <v>46147</v>
      </c>
      <c r="I128" s="440">
        <v>46164</v>
      </c>
      <c r="J128" s="302">
        <v>46164</v>
      </c>
      <c r="K128" s="300">
        <f t="shared" si="3"/>
        <v>46344</v>
      </c>
      <c r="L128" s="124"/>
      <c r="M128" s="63" t="s">
        <v>60</v>
      </c>
      <c r="N128" s="63"/>
      <c r="O128" s="63"/>
      <c r="P128" s="63"/>
      <c r="Q128" s="63"/>
      <c r="R128" s="204"/>
      <c r="S128" s="200"/>
      <c r="T128" s="201"/>
      <c r="U128" s="125"/>
      <c r="V128" s="124"/>
      <c r="W128" s="345" t="s">
        <v>1355</v>
      </c>
      <c r="X128" s="126"/>
      <c r="Y128" s="126"/>
      <c r="Z128" s="126"/>
      <c r="AA128" s="126"/>
      <c r="AB128" s="146"/>
      <c r="AC128" s="146"/>
      <c r="AD128" s="146"/>
      <c r="AE128" s="146"/>
      <c r="AF128" s="146"/>
      <c r="AG128" s="146"/>
      <c r="AH128" s="146"/>
      <c r="AI128" s="146"/>
      <c r="AJ128" s="146"/>
      <c r="AK128" s="146"/>
      <c r="AL128" s="126" t="s">
        <v>1243</v>
      </c>
    </row>
    <row r="129" spans="1:38" s="127" customFormat="1" ht="18" customHeight="1">
      <c r="A129" s="255">
        <v>1</v>
      </c>
      <c r="B129" s="121" t="s">
        <v>634</v>
      </c>
      <c r="C129" s="121" t="s">
        <v>1240</v>
      </c>
      <c r="D129" s="121" t="s">
        <v>1241</v>
      </c>
      <c r="E129" s="122">
        <v>37</v>
      </c>
      <c r="F129" s="123" t="s">
        <v>8</v>
      </c>
      <c r="G129" s="156" t="s">
        <v>629</v>
      </c>
      <c r="H129" s="440">
        <v>46164</v>
      </c>
      <c r="I129" s="440">
        <v>46164</v>
      </c>
      <c r="J129" s="302">
        <v>46164</v>
      </c>
      <c r="K129" s="300">
        <f t="shared" si="3"/>
        <v>46344</v>
      </c>
      <c r="L129" s="124"/>
      <c r="M129" s="63"/>
      <c r="N129" s="63"/>
      <c r="O129" s="63"/>
      <c r="P129" s="64"/>
      <c r="Q129" s="64"/>
      <c r="R129" s="204"/>
      <c r="S129" s="200"/>
      <c r="T129" s="201"/>
      <c r="U129" s="125"/>
      <c r="V129" s="124"/>
      <c r="W129" s="345" t="s">
        <v>1353</v>
      </c>
      <c r="X129" s="126"/>
      <c r="Y129" s="126"/>
      <c r="Z129" s="126"/>
      <c r="AA129" s="126"/>
      <c r="AB129" s="146"/>
      <c r="AC129" s="146"/>
      <c r="AD129" s="146"/>
      <c r="AE129" s="146"/>
      <c r="AF129" s="146"/>
      <c r="AG129" s="146"/>
      <c r="AH129" s="146"/>
      <c r="AI129" s="146"/>
      <c r="AJ129" s="146"/>
      <c r="AK129" s="146"/>
      <c r="AL129" s="126" t="s">
        <v>1242</v>
      </c>
    </row>
    <row r="130" spans="1:38" s="536" customFormat="1" ht="18" customHeight="1">
      <c r="A130" s="518">
        <v>0</v>
      </c>
      <c r="B130" s="519" t="s">
        <v>634</v>
      </c>
      <c r="C130" s="519" t="s">
        <v>1244</v>
      </c>
      <c r="D130" s="519" t="s">
        <v>1245</v>
      </c>
      <c r="E130" s="520">
        <v>55</v>
      </c>
      <c r="F130" s="521" t="s">
        <v>8</v>
      </c>
      <c r="G130" s="522" t="s">
        <v>629</v>
      </c>
      <c r="H130" s="523">
        <v>46135</v>
      </c>
      <c r="I130" s="523">
        <v>46163</v>
      </c>
      <c r="J130" s="524">
        <v>46163</v>
      </c>
      <c r="K130" s="525">
        <f t="shared" si="3"/>
        <v>46343</v>
      </c>
      <c r="L130" s="526"/>
      <c r="M130" s="527" t="s">
        <v>976</v>
      </c>
      <c r="N130" s="527"/>
      <c r="O130" s="527"/>
      <c r="P130" s="528"/>
      <c r="Q130" s="528"/>
      <c r="R130" s="529"/>
      <c r="S130" s="530" t="s">
        <v>39</v>
      </c>
      <c r="T130" s="531" t="s">
        <v>34</v>
      </c>
      <c r="U130" s="532" t="s">
        <v>44</v>
      </c>
      <c r="V130" s="526"/>
      <c r="W130" s="533" t="s">
        <v>1349</v>
      </c>
      <c r="X130" s="534"/>
      <c r="Y130" s="534"/>
      <c r="Z130" s="534"/>
      <c r="AA130" s="534"/>
      <c r="AB130" s="535"/>
      <c r="AC130" s="535"/>
      <c r="AD130" s="535"/>
      <c r="AE130" s="535"/>
      <c r="AF130" s="535"/>
      <c r="AG130" s="535"/>
      <c r="AH130" s="535"/>
      <c r="AI130" s="535"/>
      <c r="AJ130" s="535"/>
      <c r="AK130" s="535"/>
      <c r="AL130" s="534" t="s">
        <v>1246</v>
      </c>
    </row>
    <row r="131" spans="1:38" s="127" customFormat="1" ht="18" customHeight="1">
      <c r="A131" s="255">
        <v>1</v>
      </c>
      <c r="B131" s="121" t="s">
        <v>634</v>
      </c>
      <c r="C131" s="121" t="s">
        <v>1257</v>
      </c>
      <c r="D131" s="121" t="s">
        <v>317</v>
      </c>
      <c r="E131" s="122">
        <v>26</v>
      </c>
      <c r="F131" s="123" t="s">
        <v>8</v>
      </c>
      <c r="G131" s="156" t="s">
        <v>629</v>
      </c>
      <c r="H131" s="440">
        <v>46161</v>
      </c>
      <c r="I131" s="440">
        <v>46169</v>
      </c>
      <c r="J131" s="302">
        <v>46169</v>
      </c>
      <c r="K131" s="300">
        <f t="shared" si="3"/>
        <v>46349</v>
      </c>
      <c r="L131" s="124"/>
      <c r="M131" s="63" t="s">
        <v>1192</v>
      </c>
      <c r="N131" s="63"/>
      <c r="O131" s="63"/>
      <c r="P131" s="64">
        <v>1</v>
      </c>
      <c r="Q131" s="64"/>
      <c r="R131" s="204"/>
      <c r="S131" s="200"/>
      <c r="T131" s="201"/>
      <c r="U131" s="125"/>
      <c r="V131" s="124"/>
      <c r="W131" s="345"/>
      <c r="X131" s="126"/>
      <c r="Y131" s="126"/>
      <c r="Z131" s="126"/>
      <c r="AA131" s="126"/>
      <c r="AB131" s="146"/>
      <c r="AC131" s="146"/>
      <c r="AD131" s="146"/>
      <c r="AE131" s="146"/>
      <c r="AF131" s="146"/>
      <c r="AG131" s="146"/>
      <c r="AH131" s="146"/>
      <c r="AI131" s="146"/>
      <c r="AJ131" s="146"/>
      <c r="AK131" s="146"/>
      <c r="AL131" s="126" t="s">
        <v>1258</v>
      </c>
    </row>
    <row r="132" spans="1:38" s="127" customFormat="1" ht="18" customHeight="1">
      <c r="A132" s="255">
        <v>1</v>
      </c>
      <c r="B132" s="121" t="s">
        <v>621</v>
      </c>
      <c r="C132" s="121" t="s">
        <v>1227</v>
      </c>
      <c r="D132" s="121" t="s">
        <v>1228</v>
      </c>
      <c r="E132" s="122">
        <v>53</v>
      </c>
      <c r="F132" s="123" t="s">
        <v>29</v>
      </c>
      <c r="G132" s="156" t="s">
        <v>629</v>
      </c>
      <c r="H132" s="440">
        <v>46121</v>
      </c>
      <c r="I132" s="440">
        <v>46153</v>
      </c>
      <c r="J132" s="302">
        <v>46170</v>
      </c>
      <c r="K132" s="300">
        <f t="shared" si="3"/>
        <v>46350</v>
      </c>
      <c r="L132" s="124"/>
      <c r="M132" s="63" t="s">
        <v>1008</v>
      </c>
      <c r="N132" s="63"/>
      <c r="O132" s="63"/>
      <c r="P132" s="64">
        <v>4</v>
      </c>
      <c r="Q132" s="64"/>
      <c r="R132" s="204"/>
      <c r="S132" s="200"/>
      <c r="T132" s="201"/>
      <c r="U132" s="125"/>
      <c r="V132" s="124"/>
      <c r="W132" s="345" t="s">
        <v>1359</v>
      </c>
      <c r="X132" s="126"/>
      <c r="Y132" s="126"/>
      <c r="Z132" s="126"/>
      <c r="AA132" s="126"/>
      <c r="AB132" s="146"/>
      <c r="AC132" s="146"/>
      <c r="AD132" s="146"/>
      <c r="AE132" s="146"/>
      <c r="AF132" s="146"/>
      <c r="AG132" s="146"/>
      <c r="AH132" s="146"/>
      <c r="AI132" s="146"/>
      <c r="AJ132" s="146"/>
      <c r="AK132" s="146"/>
      <c r="AL132" s="126" t="s">
        <v>1259</v>
      </c>
    </row>
    <row r="133" spans="1:38" s="127" customFormat="1" ht="18" customHeight="1">
      <c r="A133" s="255">
        <v>1</v>
      </c>
      <c r="B133" s="121" t="s">
        <v>621</v>
      </c>
      <c r="C133" s="121" t="s">
        <v>1260</v>
      </c>
      <c r="D133" s="121" t="s">
        <v>1261</v>
      </c>
      <c r="E133" s="122">
        <v>40</v>
      </c>
      <c r="F133" s="123" t="s">
        <v>29</v>
      </c>
      <c r="G133" s="156" t="s">
        <v>629</v>
      </c>
      <c r="H133" s="440">
        <v>46135</v>
      </c>
      <c r="I133" s="440">
        <v>46174</v>
      </c>
      <c r="J133" s="302">
        <v>46174</v>
      </c>
      <c r="K133" s="300">
        <f t="shared" si="3"/>
        <v>46354</v>
      </c>
      <c r="L133" s="124"/>
      <c r="M133" s="63" t="s">
        <v>60</v>
      </c>
      <c r="N133" s="63" t="s">
        <v>1263</v>
      </c>
      <c r="O133" s="63" t="s">
        <v>976</v>
      </c>
      <c r="P133" s="64"/>
      <c r="Q133" s="64"/>
      <c r="R133" s="204"/>
      <c r="S133" s="200"/>
      <c r="T133" s="201"/>
      <c r="U133" s="125"/>
      <c r="V133" s="124"/>
      <c r="W133" s="345"/>
      <c r="X133" s="126"/>
      <c r="Y133" s="126"/>
      <c r="Z133" s="126"/>
      <c r="AA133" s="126"/>
      <c r="AB133" s="146"/>
      <c r="AC133" s="146"/>
      <c r="AD133" s="146"/>
      <c r="AE133" s="146"/>
      <c r="AF133" s="146"/>
      <c r="AG133" s="146"/>
      <c r="AH133" s="146"/>
      <c r="AI133" s="146"/>
      <c r="AJ133" s="146"/>
      <c r="AK133" s="146"/>
      <c r="AL133" s="126" t="s">
        <v>1262</v>
      </c>
    </row>
    <row r="134" spans="1:38" s="127" customFormat="1">
      <c r="A134" s="255">
        <v>1</v>
      </c>
      <c r="B134" s="121" t="s">
        <v>634</v>
      </c>
      <c r="C134" s="121" t="s">
        <v>1270</v>
      </c>
      <c r="D134" s="121" t="s">
        <v>1271</v>
      </c>
      <c r="E134" s="122">
        <v>26</v>
      </c>
      <c r="F134" s="123"/>
      <c r="G134" s="121" t="s">
        <v>75</v>
      </c>
      <c r="H134" s="320">
        <v>46169</v>
      </c>
      <c r="I134" s="440">
        <v>46183</v>
      </c>
      <c r="J134" s="441"/>
      <c r="K134" s="197">
        <f t="shared" si="3"/>
        <v>180</v>
      </c>
      <c r="L134" s="124"/>
      <c r="M134" s="63"/>
      <c r="N134" s="63"/>
      <c r="O134" s="63"/>
      <c r="P134" s="64"/>
      <c r="Q134" s="64"/>
      <c r="R134" s="204"/>
      <c r="S134" s="200"/>
      <c r="T134" s="201"/>
      <c r="U134" s="125"/>
      <c r="V134" s="124"/>
      <c r="W134" s="345"/>
      <c r="X134" s="126"/>
      <c r="Y134" s="126"/>
      <c r="Z134" s="126"/>
      <c r="AA134" s="126"/>
      <c r="AB134" s="146"/>
      <c r="AC134" s="146"/>
      <c r="AD134" s="146"/>
      <c r="AE134" s="146"/>
      <c r="AF134" s="146"/>
      <c r="AG134" s="146"/>
      <c r="AH134" s="146"/>
      <c r="AI134" s="146"/>
      <c r="AJ134" s="146"/>
      <c r="AK134" s="146"/>
      <c r="AL134" s="126" t="s">
        <v>1465</v>
      </c>
    </row>
    <row r="135" spans="1:38" s="372" customFormat="1" ht="26.4">
      <c r="A135" s="358">
        <v>1</v>
      </c>
      <c r="B135" s="482" t="s">
        <v>634</v>
      </c>
      <c r="C135" s="482" t="s">
        <v>1272</v>
      </c>
      <c r="D135" s="482" t="s">
        <v>707</v>
      </c>
      <c r="E135" s="505">
        <v>27</v>
      </c>
      <c r="F135" s="506" t="s">
        <v>8</v>
      </c>
      <c r="G135" s="482" t="s">
        <v>76</v>
      </c>
      <c r="H135" s="660">
        <v>46164</v>
      </c>
      <c r="I135" s="661">
        <v>46189</v>
      </c>
      <c r="J135" s="391">
        <v>46234</v>
      </c>
      <c r="K135" s="363">
        <f t="shared" si="3"/>
        <v>46414</v>
      </c>
      <c r="L135" s="369"/>
      <c r="M135" s="364" t="s">
        <v>1001</v>
      </c>
      <c r="N135" s="364"/>
      <c r="O135" s="364"/>
      <c r="P135" s="507"/>
      <c r="Q135" s="507"/>
      <c r="R135" s="365"/>
      <c r="S135" s="366"/>
      <c r="T135" s="367"/>
      <c r="U135" s="368"/>
      <c r="V135" s="369"/>
      <c r="W135" s="370"/>
      <c r="X135" s="371"/>
      <c r="Y135" s="371"/>
      <c r="Z135" s="371"/>
      <c r="AA135" s="371"/>
      <c r="AB135" s="508"/>
      <c r="AC135" s="508"/>
      <c r="AD135" s="508"/>
      <c r="AE135" s="508"/>
      <c r="AF135" s="508"/>
      <c r="AG135" s="508"/>
      <c r="AH135" s="508"/>
      <c r="AI135" s="508"/>
      <c r="AJ135" s="508"/>
      <c r="AK135" s="508"/>
      <c r="AL135" s="371"/>
    </row>
    <row r="136" spans="1:38" s="127" customFormat="1" ht="16.2" customHeight="1">
      <c r="A136" s="255">
        <v>1</v>
      </c>
      <c r="B136" s="121" t="s">
        <v>621</v>
      </c>
      <c r="C136" s="121" t="s">
        <v>1277</v>
      </c>
      <c r="D136" s="121" t="s">
        <v>909</v>
      </c>
      <c r="E136" s="122">
        <v>29</v>
      </c>
      <c r="F136" s="123" t="s">
        <v>8</v>
      </c>
      <c r="G136" s="121" t="s">
        <v>629</v>
      </c>
      <c r="H136" s="320">
        <v>45720</v>
      </c>
      <c r="I136" s="320">
        <v>46199</v>
      </c>
      <c r="J136" s="302">
        <v>46199</v>
      </c>
      <c r="K136" s="197">
        <f t="shared" si="3"/>
        <v>46379</v>
      </c>
      <c r="L136" s="124"/>
      <c r="M136" s="63" t="s">
        <v>60</v>
      </c>
      <c r="N136" s="63"/>
      <c r="O136" s="63"/>
      <c r="P136" s="64"/>
      <c r="Q136" s="64"/>
      <c r="R136" s="204"/>
      <c r="S136" s="200"/>
      <c r="T136" s="201"/>
      <c r="U136" s="125"/>
      <c r="V136" s="124"/>
      <c r="W136" s="345"/>
      <c r="X136" s="126"/>
      <c r="Y136" s="126"/>
      <c r="Z136" s="126"/>
      <c r="AA136" s="126"/>
      <c r="AB136" s="146"/>
      <c r="AC136" s="146"/>
      <c r="AD136" s="146"/>
      <c r="AE136" s="146"/>
      <c r="AF136" s="146"/>
      <c r="AG136" s="146"/>
      <c r="AH136" s="146"/>
      <c r="AI136" s="146"/>
      <c r="AJ136" s="146"/>
      <c r="AK136" s="146"/>
      <c r="AL136" s="126" t="s">
        <v>1278</v>
      </c>
    </row>
    <row r="137" spans="1:38" s="127" customFormat="1" ht="16.2" customHeight="1">
      <c r="A137" s="255">
        <v>1</v>
      </c>
      <c r="B137" s="121" t="s">
        <v>621</v>
      </c>
      <c r="C137" s="121" t="s">
        <v>1279</v>
      </c>
      <c r="D137" s="121" t="s">
        <v>796</v>
      </c>
      <c r="E137" s="122">
        <v>34</v>
      </c>
      <c r="F137" s="123"/>
      <c r="G137" s="121" t="s">
        <v>76</v>
      </c>
      <c r="H137" s="320">
        <v>46178</v>
      </c>
      <c r="I137" s="320">
        <v>46202</v>
      </c>
      <c r="J137" s="302">
        <v>46231</v>
      </c>
      <c r="K137" s="197">
        <f t="shared" si="3"/>
        <v>46411</v>
      </c>
      <c r="L137" s="124"/>
      <c r="M137" s="63" t="s">
        <v>60</v>
      </c>
      <c r="N137" s="63"/>
      <c r="O137" s="63"/>
      <c r="P137" s="64"/>
      <c r="Q137" s="64"/>
      <c r="R137" s="204"/>
      <c r="S137" s="200"/>
      <c r="T137" s="201"/>
      <c r="U137" s="125"/>
      <c r="V137" s="124"/>
      <c r="W137" s="345"/>
      <c r="X137" s="126"/>
      <c r="Y137" s="126"/>
      <c r="Z137" s="126"/>
      <c r="AA137" s="126"/>
      <c r="AB137" s="146"/>
      <c r="AC137" s="146"/>
      <c r="AD137" s="146"/>
      <c r="AE137" s="146"/>
      <c r="AF137" s="146"/>
      <c r="AG137" s="146"/>
      <c r="AH137" s="146"/>
      <c r="AI137" s="146"/>
      <c r="AJ137" s="146"/>
      <c r="AK137" s="146"/>
      <c r="AL137" s="126"/>
    </row>
    <row r="138" spans="1:38" s="127" customFormat="1" ht="16.2" customHeight="1">
      <c r="A138" s="255">
        <v>0</v>
      </c>
      <c r="B138" s="121" t="s">
        <v>634</v>
      </c>
      <c r="C138" s="121" t="s">
        <v>1280</v>
      </c>
      <c r="D138" s="121" t="s">
        <v>1281</v>
      </c>
      <c r="E138" s="122">
        <v>37</v>
      </c>
      <c r="F138" s="123"/>
      <c r="G138" s="121" t="s">
        <v>76</v>
      </c>
      <c r="H138" s="320">
        <v>46178</v>
      </c>
      <c r="I138" s="320">
        <v>46202</v>
      </c>
      <c r="J138" s="302"/>
      <c r="K138" s="197">
        <f t="shared" si="3"/>
        <v>180</v>
      </c>
      <c r="L138" s="124"/>
      <c r="M138" s="63"/>
      <c r="N138" s="63"/>
      <c r="O138" s="63"/>
      <c r="P138" s="64"/>
      <c r="Q138" s="64"/>
      <c r="R138" s="204"/>
      <c r="S138" s="200" t="s">
        <v>78</v>
      </c>
      <c r="T138" s="201"/>
      <c r="U138" s="125"/>
      <c r="V138" s="124">
        <v>46202</v>
      </c>
      <c r="W138" s="345"/>
      <c r="X138" s="126"/>
      <c r="Y138" s="126"/>
      <c r="Z138" s="126"/>
      <c r="AA138" s="126"/>
      <c r="AB138" s="146"/>
      <c r="AC138" s="146"/>
      <c r="AD138" s="146"/>
      <c r="AE138" s="146"/>
      <c r="AF138" s="146"/>
      <c r="AG138" s="146"/>
      <c r="AH138" s="146"/>
      <c r="AI138" s="146"/>
      <c r="AJ138" s="146"/>
      <c r="AK138" s="146"/>
      <c r="AL138" s="126"/>
    </row>
    <row r="139" spans="1:38" s="127" customFormat="1" ht="16.2" customHeight="1">
      <c r="A139" s="384">
        <v>1</v>
      </c>
      <c r="B139" s="121" t="s">
        <v>634</v>
      </c>
      <c r="C139" s="121" t="s">
        <v>1284</v>
      </c>
      <c r="D139" s="121" t="s">
        <v>371</v>
      </c>
      <c r="E139" s="122">
        <v>35</v>
      </c>
      <c r="F139" s="123"/>
      <c r="G139" s="121" t="s">
        <v>76</v>
      </c>
      <c r="H139" s="320">
        <v>46202</v>
      </c>
      <c r="I139" s="320">
        <v>46224</v>
      </c>
      <c r="J139" s="302"/>
      <c r="K139" s="197">
        <f t="shared" si="3"/>
        <v>180</v>
      </c>
      <c r="L139" s="124"/>
      <c r="M139" s="63" t="s">
        <v>968</v>
      </c>
      <c r="N139" s="63" t="s">
        <v>1426</v>
      </c>
      <c r="O139" s="63"/>
      <c r="P139" s="64"/>
      <c r="Q139" s="64"/>
      <c r="R139" s="204"/>
      <c r="S139" s="200"/>
      <c r="T139" s="201"/>
      <c r="U139" s="125"/>
      <c r="V139" s="124"/>
      <c r="W139" s="345"/>
      <c r="X139" s="126"/>
      <c r="Y139" s="126"/>
      <c r="Z139" s="126"/>
      <c r="AA139" s="126"/>
      <c r="AB139" s="146"/>
      <c r="AC139" s="146"/>
      <c r="AD139" s="146"/>
      <c r="AE139" s="146"/>
      <c r="AF139" s="146"/>
      <c r="AG139" s="146"/>
      <c r="AH139" s="146"/>
      <c r="AI139" s="146"/>
      <c r="AJ139" s="146"/>
      <c r="AK139" s="146"/>
      <c r="AL139" s="126" t="s">
        <v>1427</v>
      </c>
    </row>
    <row r="140" spans="1:38" s="127" customFormat="1" ht="25.8" customHeight="1">
      <c r="A140" s="255">
        <v>1</v>
      </c>
      <c r="B140" s="121" t="s">
        <v>634</v>
      </c>
      <c r="C140" s="121" t="s">
        <v>1338</v>
      </c>
      <c r="D140" s="121" t="s">
        <v>749</v>
      </c>
      <c r="E140" s="122">
        <v>60</v>
      </c>
      <c r="F140" s="123" t="s">
        <v>8</v>
      </c>
      <c r="G140" s="121" t="s">
        <v>629</v>
      </c>
      <c r="H140" s="320">
        <v>46177</v>
      </c>
      <c r="I140" s="320">
        <v>46209</v>
      </c>
      <c r="J140" s="302">
        <v>46209</v>
      </c>
      <c r="K140" s="197">
        <f t="shared" ref="K140:K170" si="4">+J140+180</f>
        <v>46389</v>
      </c>
      <c r="L140" s="124"/>
      <c r="M140" s="63" t="s">
        <v>1345</v>
      </c>
      <c r="N140" s="63" t="s">
        <v>1008</v>
      </c>
      <c r="O140" s="63"/>
      <c r="P140" s="64"/>
      <c r="Q140" s="64"/>
      <c r="R140" s="204"/>
      <c r="S140" s="200"/>
      <c r="T140" s="201"/>
      <c r="U140" s="125"/>
      <c r="V140" s="124"/>
      <c r="W140" s="345"/>
      <c r="X140" s="126"/>
      <c r="Y140" s="126"/>
      <c r="Z140" s="126"/>
      <c r="AA140" s="126"/>
      <c r="AB140" s="146"/>
      <c r="AC140" s="146"/>
      <c r="AD140" s="146"/>
      <c r="AE140" s="146"/>
      <c r="AF140" s="146"/>
      <c r="AG140" s="146"/>
      <c r="AH140" s="146"/>
      <c r="AI140" s="146"/>
      <c r="AJ140" s="146"/>
      <c r="AK140" s="146"/>
      <c r="AL140" s="126" t="s">
        <v>1346</v>
      </c>
    </row>
    <row r="141" spans="1:38" s="127" customFormat="1" ht="16.2" customHeight="1">
      <c r="A141" s="255">
        <v>1</v>
      </c>
      <c r="B141" s="121" t="s">
        <v>621</v>
      </c>
      <c r="C141" s="121" t="s">
        <v>1341</v>
      </c>
      <c r="D141" s="121" t="s">
        <v>1342</v>
      </c>
      <c r="E141" s="122">
        <v>28</v>
      </c>
      <c r="F141" s="123" t="s">
        <v>8</v>
      </c>
      <c r="G141" s="121" t="s">
        <v>76</v>
      </c>
      <c r="H141" s="320">
        <v>46189</v>
      </c>
      <c r="I141" s="320">
        <v>46210</v>
      </c>
      <c r="J141" s="302">
        <v>46210</v>
      </c>
      <c r="K141" s="197">
        <f t="shared" si="4"/>
        <v>46390</v>
      </c>
      <c r="L141" s="124"/>
      <c r="M141" s="63" t="s">
        <v>60</v>
      </c>
      <c r="N141" s="63" t="s">
        <v>976</v>
      </c>
      <c r="O141" s="63"/>
      <c r="P141" s="64"/>
      <c r="Q141" s="64"/>
      <c r="R141" s="204"/>
      <c r="S141" s="200"/>
      <c r="T141" s="201"/>
      <c r="U141" s="125"/>
      <c r="V141" s="124"/>
      <c r="W141" s="345"/>
      <c r="X141" s="126"/>
      <c r="Y141" s="126"/>
      <c r="Z141" s="126"/>
      <c r="AA141" s="126"/>
      <c r="AB141" s="146"/>
      <c r="AC141" s="146"/>
      <c r="AD141" s="146"/>
      <c r="AE141" s="146"/>
      <c r="AF141" s="146"/>
      <c r="AG141" s="146"/>
      <c r="AH141" s="146"/>
      <c r="AI141" s="146"/>
      <c r="AJ141" s="146"/>
      <c r="AK141" s="146" t="s">
        <v>1419</v>
      </c>
      <c r="AL141" s="126"/>
    </row>
    <row r="142" spans="1:38" s="127" customFormat="1" ht="16.2" customHeight="1">
      <c r="A142" s="255">
        <v>1</v>
      </c>
      <c r="B142" s="121" t="s">
        <v>634</v>
      </c>
      <c r="C142" s="121" t="s">
        <v>1390</v>
      </c>
      <c r="D142" s="121" t="s">
        <v>833</v>
      </c>
      <c r="E142" s="122">
        <v>30</v>
      </c>
      <c r="F142" s="123" t="s">
        <v>11</v>
      </c>
      <c r="G142" s="121" t="s">
        <v>76</v>
      </c>
      <c r="H142" s="320">
        <v>46190</v>
      </c>
      <c r="I142" s="320">
        <v>46231</v>
      </c>
      <c r="J142" s="302">
        <v>46231</v>
      </c>
      <c r="K142" s="197">
        <f t="shared" si="4"/>
        <v>46411</v>
      </c>
      <c r="L142" s="124"/>
      <c r="M142" s="63"/>
      <c r="N142" s="63"/>
      <c r="O142" s="63"/>
      <c r="P142" s="64"/>
      <c r="Q142" s="64"/>
      <c r="R142" s="204"/>
      <c r="S142" s="200"/>
      <c r="T142" s="201"/>
      <c r="U142" s="125"/>
      <c r="V142" s="124"/>
      <c r="W142" s="345"/>
      <c r="X142" s="126"/>
      <c r="Y142" s="126"/>
      <c r="Z142" s="126"/>
      <c r="AA142" s="126"/>
      <c r="AB142" s="146"/>
      <c r="AC142" s="146"/>
      <c r="AD142" s="146"/>
      <c r="AE142" s="146"/>
      <c r="AF142" s="146"/>
      <c r="AG142" s="146"/>
      <c r="AH142" s="146"/>
      <c r="AI142" s="146"/>
      <c r="AJ142" s="146"/>
      <c r="AK142" s="146"/>
      <c r="AL142" s="126"/>
    </row>
    <row r="143" spans="1:38" s="127" customFormat="1" ht="16.2" customHeight="1">
      <c r="A143" s="255">
        <v>1</v>
      </c>
      <c r="B143" s="121" t="s">
        <v>634</v>
      </c>
      <c r="C143" s="121" t="s">
        <v>1391</v>
      </c>
      <c r="D143" s="121" t="s">
        <v>1392</v>
      </c>
      <c r="E143" s="122">
        <v>62</v>
      </c>
      <c r="F143" s="123" t="s">
        <v>29</v>
      </c>
      <c r="G143" s="121" t="s">
        <v>76</v>
      </c>
      <c r="H143" s="320">
        <v>46190</v>
      </c>
      <c r="I143" s="320">
        <v>46216</v>
      </c>
      <c r="J143" s="302">
        <v>46216</v>
      </c>
      <c r="K143" s="197">
        <f t="shared" si="4"/>
        <v>46396</v>
      </c>
      <c r="L143" s="124"/>
      <c r="M143" s="63" t="s">
        <v>1462</v>
      </c>
      <c r="N143" s="63" t="s">
        <v>976</v>
      </c>
      <c r="O143" s="63"/>
      <c r="P143" s="64"/>
      <c r="Q143" s="64"/>
      <c r="R143" s="204"/>
      <c r="S143" s="200"/>
      <c r="T143" s="201"/>
      <c r="U143" s="125"/>
      <c r="V143" s="124"/>
      <c r="W143" s="345"/>
      <c r="X143" s="126"/>
      <c r="Y143" s="126"/>
      <c r="Z143" s="126"/>
      <c r="AA143" s="126"/>
      <c r="AB143" s="146"/>
      <c r="AC143" s="146"/>
      <c r="AD143" s="146"/>
      <c r="AE143" s="146"/>
      <c r="AF143" s="146"/>
      <c r="AG143" s="146"/>
      <c r="AH143" s="146"/>
      <c r="AI143" s="146"/>
      <c r="AJ143" s="146"/>
      <c r="AK143" s="146"/>
      <c r="AL143" s="126" t="s">
        <v>1463</v>
      </c>
    </row>
    <row r="144" spans="1:38" s="127" customFormat="1" ht="16.2" customHeight="1">
      <c r="A144" s="255">
        <v>1</v>
      </c>
      <c r="B144" s="121" t="s">
        <v>617</v>
      </c>
      <c r="C144" s="121" t="s">
        <v>1393</v>
      </c>
      <c r="D144" s="121" t="s">
        <v>1394</v>
      </c>
      <c r="E144" s="122">
        <v>42</v>
      </c>
      <c r="F144" s="123" t="s">
        <v>11</v>
      </c>
      <c r="G144" s="121" t="s">
        <v>76</v>
      </c>
      <c r="H144" s="320">
        <v>46247</v>
      </c>
      <c r="I144" s="320">
        <v>46247</v>
      </c>
      <c r="J144" s="302">
        <v>46247</v>
      </c>
      <c r="K144" s="197">
        <f t="shared" si="4"/>
        <v>46427</v>
      </c>
      <c r="L144" s="124"/>
      <c r="M144" s="63"/>
      <c r="N144" s="63"/>
      <c r="O144" s="63"/>
      <c r="P144" s="64"/>
      <c r="Q144" s="64"/>
      <c r="R144" s="204"/>
      <c r="S144" s="200"/>
      <c r="T144" s="201"/>
      <c r="U144" s="125"/>
      <c r="V144" s="124"/>
      <c r="W144" s="345"/>
      <c r="X144" s="126"/>
      <c r="Y144" s="126"/>
      <c r="Z144" s="126"/>
      <c r="AA144" s="126"/>
      <c r="AB144" s="146"/>
      <c r="AC144" s="146"/>
      <c r="AD144" s="146"/>
      <c r="AE144" s="146"/>
      <c r="AF144" s="146"/>
      <c r="AG144" s="146"/>
      <c r="AH144" s="146"/>
      <c r="AI144" s="146"/>
      <c r="AJ144" s="146"/>
      <c r="AK144" s="146"/>
      <c r="AL144" s="126" t="s">
        <v>1464</v>
      </c>
    </row>
    <row r="145" spans="1:38" s="127" customFormat="1" ht="16.2" customHeight="1">
      <c r="A145" s="255">
        <v>1</v>
      </c>
      <c r="B145" s="121" t="s">
        <v>621</v>
      </c>
      <c r="C145" s="121" t="s">
        <v>1395</v>
      </c>
      <c r="D145" s="121" t="s">
        <v>1396</v>
      </c>
      <c r="E145" s="122">
        <v>62</v>
      </c>
      <c r="F145" s="123" t="s">
        <v>29</v>
      </c>
      <c r="G145" s="121" t="s">
        <v>629</v>
      </c>
      <c r="H145" s="320">
        <v>46210</v>
      </c>
      <c r="I145" s="320">
        <v>46227</v>
      </c>
      <c r="J145" s="302">
        <v>46227</v>
      </c>
      <c r="K145" s="197">
        <f t="shared" si="4"/>
        <v>46407</v>
      </c>
      <c r="L145" s="124"/>
      <c r="M145" s="63" t="s">
        <v>60</v>
      </c>
      <c r="N145" s="63" t="s">
        <v>976</v>
      </c>
      <c r="O145" s="63"/>
      <c r="P145" s="64"/>
      <c r="Q145" s="64"/>
      <c r="R145" s="204"/>
      <c r="S145" s="200"/>
      <c r="T145" s="201"/>
      <c r="U145" s="125"/>
      <c r="V145" s="124"/>
      <c r="W145" s="345"/>
      <c r="X145" s="126"/>
      <c r="Y145" s="126"/>
      <c r="Z145" s="126"/>
      <c r="AA145" s="126"/>
      <c r="AB145" s="146"/>
      <c r="AC145" s="146"/>
      <c r="AD145" s="146"/>
      <c r="AE145" s="146"/>
      <c r="AF145" s="146"/>
      <c r="AG145" s="146"/>
      <c r="AH145" s="146"/>
      <c r="AI145" s="146"/>
      <c r="AJ145" s="146"/>
      <c r="AK145" s="146"/>
      <c r="AL145" s="126"/>
    </row>
    <row r="146" spans="1:38" s="127" customFormat="1" ht="16.2" customHeight="1">
      <c r="A146" s="255">
        <v>1</v>
      </c>
      <c r="B146" s="121" t="s">
        <v>1397</v>
      </c>
      <c r="C146" s="121" t="s">
        <v>1398</v>
      </c>
      <c r="D146" s="121" t="s">
        <v>1399</v>
      </c>
      <c r="E146" s="122">
        <v>46</v>
      </c>
      <c r="F146" s="123" t="s">
        <v>646</v>
      </c>
      <c r="G146" s="121" t="s">
        <v>629</v>
      </c>
      <c r="H146" s="320" t="s">
        <v>1440</v>
      </c>
      <c r="I146" s="320">
        <v>46232</v>
      </c>
      <c r="J146" s="302">
        <v>46252</v>
      </c>
      <c r="K146" s="197">
        <f t="shared" si="4"/>
        <v>46432</v>
      </c>
      <c r="L146" s="124"/>
      <c r="M146" s="63" t="s">
        <v>976</v>
      </c>
      <c r="N146" s="63"/>
      <c r="O146" s="63"/>
      <c r="P146" s="64"/>
      <c r="Q146" s="64"/>
      <c r="R146" s="204"/>
      <c r="S146" s="200"/>
      <c r="T146" s="201"/>
      <c r="U146" s="125"/>
      <c r="V146" s="124"/>
      <c r="W146" s="345"/>
      <c r="X146" s="126"/>
      <c r="Y146" s="126"/>
      <c r="Z146" s="126"/>
      <c r="AA146" s="126"/>
      <c r="AB146" s="146"/>
      <c r="AC146" s="146"/>
      <c r="AD146" s="146"/>
      <c r="AE146" s="146"/>
      <c r="AF146" s="146"/>
      <c r="AG146" s="146"/>
      <c r="AH146" s="146"/>
      <c r="AI146" s="146"/>
      <c r="AJ146" s="146"/>
      <c r="AK146" s="146"/>
      <c r="AL146" s="126"/>
    </row>
    <row r="147" spans="1:38" s="127" customFormat="1" ht="16.2" customHeight="1">
      <c r="A147" s="255">
        <v>1</v>
      </c>
      <c r="B147" s="121" t="s">
        <v>634</v>
      </c>
      <c r="C147" s="121" t="s">
        <v>1400</v>
      </c>
      <c r="D147" s="121" t="s">
        <v>1401</v>
      </c>
      <c r="E147" s="122">
        <v>55</v>
      </c>
      <c r="F147" s="123" t="s">
        <v>29</v>
      </c>
      <c r="G147" s="121" t="s">
        <v>629</v>
      </c>
      <c r="H147" s="320">
        <v>46210</v>
      </c>
      <c r="I147" s="320">
        <v>46232</v>
      </c>
      <c r="J147" s="302">
        <v>46232</v>
      </c>
      <c r="K147" s="197">
        <f t="shared" si="4"/>
        <v>46412</v>
      </c>
      <c r="L147" s="124"/>
      <c r="M147" s="63" t="s">
        <v>976</v>
      </c>
      <c r="N147" s="63"/>
      <c r="O147" s="63"/>
      <c r="P147" s="64"/>
      <c r="Q147" s="64"/>
      <c r="R147" s="204"/>
      <c r="S147" s="200"/>
      <c r="T147" s="201"/>
      <c r="U147" s="125"/>
      <c r="V147" s="124"/>
      <c r="W147" s="345"/>
      <c r="X147" s="126"/>
      <c r="Y147" s="126"/>
      <c r="Z147" s="126"/>
      <c r="AA147" s="126"/>
      <c r="AB147" s="146"/>
      <c r="AC147" s="146"/>
      <c r="AD147" s="146"/>
      <c r="AE147" s="146"/>
      <c r="AF147" s="146"/>
      <c r="AG147" s="146"/>
      <c r="AH147" s="146"/>
      <c r="AI147" s="146"/>
      <c r="AJ147" s="146"/>
      <c r="AK147" s="146"/>
      <c r="AL147" s="126"/>
    </row>
    <row r="148" spans="1:38" s="127" customFormat="1" ht="26.4">
      <c r="A148" s="255">
        <v>0</v>
      </c>
      <c r="B148" s="121" t="s">
        <v>634</v>
      </c>
      <c r="C148" s="121" t="s">
        <v>1402</v>
      </c>
      <c r="D148" s="121" t="s">
        <v>1403</v>
      </c>
      <c r="E148" s="122">
        <v>53</v>
      </c>
      <c r="F148" s="123"/>
      <c r="G148" s="121" t="s">
        <v>629</v>
      </c>
      <c r="H148" s="320"/>
      <c r="I148" s="320"/>
      <c r="J148" s="302"/>
      <c r="K148" s="197">
        <f t="shared" si="4"/>
        <v>180</v>
      </c>
      <c r="L148" s="124"/>
      <c r="M148" s="63"/>
      <c r="N148" s="63"/>
      <c r="O148" s="63"/>
      <c r="P148" s="64"/>
      <c r="Q148" s="64"/>
      <c r="R148" s="204"/>
      <c r="S148" s="200" t="s">
        <v>39</v>
      </c>
      <c r="T148" s="201" t="s">
        <v>53</v>
      </c>
      <c r="U148" s="125"/>
      <c r="V148" s="124"/>
      <c r="W148" s="345"/>
      <c r="X148" s="126"/>
      <c r="Y148" s="126"/>
      <c r="Z148" s="126"/>
      <c r="AA148" s="126"/>
      <c r="AB148" s="146"/>
      <c r="AC148" s="146"/>
      <c r="AD148" s="146"/>
      <c r="AE148" s="146"/>
      <c r="AF148" s="146"/>
      <c r="AG148" s="146"/>
      <c r="AH148" s="146"/>
      <c r="AI148" s="146"/>
      <c r="AJ148" s="146"/>
      <c r="AK148" s="146"/>
      <c r="AL148" s="126"/>
    </row>
    <row r="149" spans="1:38" s="127" customFormat="1" ht="16.2" customHeight="1">
      <c r="A149" s="255"/>
      <c r="B149" s="121" t="s">
        <v>634</v>
      </c>
      <c r="C149" s="121" t="s">
        <v>1404</v>
      </c>
      <c r="D149" s="121" t="s">
        <v>1405</v>
      </c>
      <c r="E149" s="122">
        <v>45</v>
      </c>
      <c r="F149" s="123"/>
      <c r="G149" s="121" t="s">
        <v>629</v>
      </c>
      <c r="H149" s="320"/>
      <c r="I149" s="320"/>
      <c r="J149" s="302"/>
      <c r="K149" s="197">
        <f t="shared" si="4"/>
        <v>180</v>
      </c>
      <c r="L149" s="124"/>
      <c r="M149" s="63"/>
      <c r="N149" s="63"/>
      <c r="O149" s="63"/>
      <c r="P149" s="64"/>
      <c r="Q149" s="64"/>
      <c r="R149" s="204"/>
      <c r="S149" s="200"/>
      <c r="T149" s="201"/>
      <c r="U149" s="125"/>
      <c r="V149" s="124"/>
      <c r="W149" s="345"/>
      <c r="X149" s="126"/>
      <c r="Y149" s="126"/>
      <c r="Z149" s="126"/>
      <c r="AA149" s="126"/>
      <c r="AB149" s="146"/>
      <c r="AC149" s="146"/>
      <c r="AD149" s="146"/>
      <c r="AE149" s="146"/>
      <c r="AF149" s="146"/>
      <c r="AG149" s="146"/>
      <c r="AH149" s="146"/>
      <c r="AI149" s="146"/>
      <c r="AJ149" s="146"/>
      <c r="AK149" s="146"/>
      <c r="AL149" s="126"/>
    </row>
    <row r="150" spans="1:38" s="127" customFormat="1" ht="16.2" customHeight="1">
      <c r="A150" s="255">
        <v>1</v>
      </c>
      <c r="B150" s="121" t="s">
        <v>634</v>
      </c>
      <c r="C150" s="121" t="s">
        <v>1406</v>
      </c>
      <c r="D150" s="121" t="s">
        <v>265</v>
      </c>
      <c r="E150" s="122">
        <v>44</v>
      </c>
      <c r="F150" s="123" t="s">
        <v>14</v>
      </c>
      <c r="G150" s="121" t="s">
        <v>629</v>
      </c>
      <c r="H150" s="320">
        <v>46210</v>
      </c>
      <c r="I150" s="320">
        <v>46233</v>
      </c>
      <c r="J150" s="302">
        <v>46233</v>
      </c>
      <c r="K150" s="197">
        <f t="shared" si="4"/>
        <v>46413</v>
      </c>
      <c r="L150" s="124"/>
      <c r="M150" s="63" t="s">
        <v>60</v>
      </c>
      <c r="N150" s="63" t="s">
        <v>976</v>
      </c>
      <c r="O150" s="63"/>
      <c r="P150" s="64"/>
      <c r="Q150" s="64"/>
      <c r="R150" s="204"/>
      <c r="S150" s="200"/>
      <c r="T150" s="201"/>
      <c r="U150" s="125"/>
      <c r="V150" s="124"/>
      <c r="W150" s="345"/>
      <c r="X150" s="126"/>
      <c r="Y150" s="126"/>
      <c r="Z150" s="126"/>
      <c r="AA150" s="126"/>
      <c r="AB150" s="146"/>
      <c r="AC150" s="146"/>
      <c r="AD150" s="146"/>
      <c r="AE150" s="146"/>
      <c r="AF150" s="146"/>
      <c r="AG150" s="146"/>
      <c r="AH150" s="146"/>
      <c r="AI150" s="146"/>
      <c r="AJ150" s="146"/>
      <c r="AK150" s="146"/>
      <c r="AL150" s="126" t="s">
        <v>1428</v>
      </c>
    </row>
    <row r="151" spans="1:38" s="127" customFormat="1" ht="16.2" customHeight="1">
      <c r="A151" s="255">
        <v>0</v>
      </c>
      <c r="B151" s="121" t="s">
        <v>634</v>
      </c>
      <c r="C151" s="121" t="s">
        <v>1407</v>
      </c>
      <c r="D151" s="121" t="s">
        <v>879</v>
      </c>
      <c r="E151" s="122">
        <v>36</v>
      </c>
      <c r="F151" s="123"/>
      <c r="G151" s="121" t="s">
        <v>629</v>
      </c>
      <c r="H151" s="320"/>
      <c r="I151" s="320"/>
      <c r="J151" s="302"/>
      <c r="K151" s="197">
        <f t="shared" si="4"/>
        <v>180</v>
      </c>
      <c r="L151" s="124"/>
      <c r="M151" s="63"/>
      <c r="N151" s="63"/>
      <c r="O151" s="63"/>
      <c r="P151" s="64"/>
      <c r="Q151" s="64"/>
      <c r="R151" s="204"/>
      <c r="S151" s="200" t="s">
        <v>39</v>
      </c>
      <c r="T151" s="201" t="s">
        <v>34</v>
      </c>
      <c r="U151" s="125"/>
      <c r="V151" s="124"/>
      <c r="W151" s="345"/>
      <c r="X151" s="126"/>
      <c r="Y151" s="126"/>
      <c r="Z151" s="126"/>
      <c r="AA151" s="126"/>
      <c r="AB151" s="146"/>
      <c r="AC151" s="146"/>
      <c r="AD151" s="146"/>
      <c r="AE151" s="146"/>
      <c r="AF151" s="146"/>
      <c r="AG151" s="146"/>
      <c r="AH151" s="146"/>
      <c r="AI151" s="146"/>
      <c r="AJ151" s="146"/>
      <c r="AK151" s="146"/>
      <c r="AL151" s="126"/>
    </row>
    <row r="152" spans="1:38" s="127" customFormat="1" ht="26.4">
      <c r="A152" s="255">
        <v>0</v>
      </c>
      <c r="B152" s="121" t="s">
        <v>634</v>
      </c>
      <c r="C152" s="121" t="s">
        <v>1408</v>
      </c>
      <c r="D152" s="121" t="s">
        <v>1409</v>
      </c>
      <c r="E152" s="122">
        <v>32</v>
      </c>
      <c r="F152" s="123"/>
      <c r="G152" s="121" t="s">
        <v>629</v>
      </c>
      <c r="H152" s="320"/>
      <c r="I152" s="320"/>
      <c r="J152" s="302"/>
      <c r="K152" s="197">
        <f t="shared" si="4"/>
        <v>180</v>
      </c>
      <c r="L152" s="124"/>
      <c r="M152" s="63"/>
      <c r="N152" s="63"/>
      <c r="O152" s="63"/>
      <c r="P152" s="64"/>
      <c r="Q152" s="64"/>
      <c r="R152" s="204"/>
      <c r="S152" s="200"/>
      <c r="T152" s="201"/>
      <c r="U152" s="125"/>
      <c r="V152" s="124"/>
      <c r="W152" s="345"/>
      <c r="X152" s="126"/>
      <c r="Y152" s="126"/>
      <c r="Z152" s="126"/>
      <c r="AA152" s="126"/>
      <c r="AB152" s="146"/>
      <c r="AC152" s="146"/>
      <c r="AD152" s="146"/>
      <c r="AE152" s="146"/>
      <c r="AF152" s="146"/>
      <c r="AG152" s="146"/>
      <c r="AH152" s="146"/>
      <c r="AI152" s="146"/>
      <c r="AJ152" s="146"/>
      <c r="AK152" s="146"/>
      <c r="AL152" s="126" t="s">
        <v>1461</v>
      </c>
    </row>
    <row r="153" spans="1:38" s="127" customFormat="1" ht="16.2" customHeight="1">
      <c r="A153" s="255">
        <v>1</v>
      </c>
      <c r="B153" s="121" t="s">
        <v>621</v>
      </c>
      <c r="C153" s="121" t="s">
        <v>1410</v>
      </c>
      <c r="D153" s="121" t="s">
        <v>1411</v>
      </c>
      <c r="E153" s="122">
        <v>52</v>
      </c>
      <c r="F153" s="123" t="s">
        <v>8</v>
      </c>
      <c r="G153" s="121" t="s">
        <v>629</v>
      </c>
      <c r="H153" s="320">
        <v>46201</v>
      </c>
      <c r="I153" s="320">
        <v>46223</v>
      </c>
      <c r="J153" s="302">
        <v>46223</v>
      </c>
      <c r="K153" s="197">
        <f t="shared" si="4"/>
        <v>46403</v>
      </c>
      <c r="L153" s="124"/>
      <c r="M153" s="63"/>
      <c r="N153" s="63"/>
      <c r="O153" s="63"/>
      <c r="P153" s="64"/>
      <c r="Q153" s="64"/>
      <c r="R153" s="204"/>
      <c r="S153" s="200"/>
      <c r="T153" s="201"/>
      <c r="U153" s="125"/>
      <c r="V153" s="124"/>
      <c r="W153" s="345"/>
      <c r="X153" s="126"/>
      <c r="Y153" s="126"/>
      <c r="Z153" s="126"/>
      <c r="AA153" s="126"/>
      <c r="AB153" s="146"/>
      <c r="AC153" s="146"/>
      <c r="AD153" s="146"/>
      <c r="AE153" s="146"/>
      <c r="AF153" s="146"/>
      <c r="AG153" s="146"/>
      <c r="AH153" s="146"/>
      <c r="AI153" s="146"/>
      <c r="AJ153" s="146"/>
      <c r="AK153" s="146"/>
      <c r="AL153" s="126" t="s">
        <v>1424</v>
      </c>
    </row>
    <row r="154" spans="1:38" s="127" customFormat="1" ht="16.2" customHeight="1">
      <c r="A154" s="255">
        <v>0</v>
      </c>
      <c r="B154" s="121" t="s">
        <v>621</v>
      </c>
      <c r="C154" s="121" t="s">
        <v>1412</v>
      </c>
      <c r="D154" s="121" t="s">
        <v>1413</v>
      </c>
      <c r="E154" s="122">
        <v>45</v>
      </c>
      <c r="F154" s="123"/>
      <c r="G154" s="121" t="s">
        <v>629</v>
      </c>
      <c r="H154" s="320"/>
      <c r="I154" s="320"/>
      <c r="J154" s="302"/>
      <c r="K154" s="197">
        <f t="shared" si="4"/>
        <v>180</v>
      </c>
      <c r="L154" s="124"/>
      <c r="M154" s="63"/>
      <c r="N154" s="63"/>
      <c r="O154" s="63"/>
      <c r="P154" s="64"/>
      <c r="Q154" s="64"/>
      <c r="R154" s="204"/>
      <c r="S154" s="200"/>
      <c r="T154" s="201"/>
      <c r="U154" s="125"/>
      <c r="V154" s="124"/>
      <c r="W154" s="345"/>
      <c r="X154" s="126"/>
      <c r="Y154" s="126"/>
      <c r="Z154" s="126"/>
      <c r="AA154" s="126"/>
      <c r="AB154" s="146"/>
      <c r="AC154" s="146"/>
      <c r="AD154" s="146"/>
      <c r="AE154" s="146"/>
      <c r="AF154" s="146"/>
      <c r="AG154" s="146"/>
      <c r="AH154" s="146"/>
      <c r="AI154" s="146"/>
      <c r="AJ154" s="146"/>
      <c r="AK154" s="146"/>
      <c r="AL154" s="126"/>
    </row>
    <row r="155" spans="1:38" s="127" customFormat="1" ht="16.2" customHeight="1">
      <c r="A155" s="255">
        <v>0</v>
      </c>
      <c r="B155" s="121" t="s">
        <v>634</v>
      </c>
      <c r="C155" s="121" t="s">
        <v>1414</v>
      </c>
      <c r="D155" s="121" t="s">
        <v>1415</v>
      </c>
      <c r="E155" s="122">
        <v>26</v>
      </c>
      <c r="F155" s="123"/>
      <c r="G155" s="121" t="s">
        <v>629</v>
      </c>
      <c r="H155" s="320"/>
      <c r="I155" s="320"/>
      <c r="J155" s="302"/>
      <c r="K155" s="197">
        <f t="shared" si="4"/>
        <v>180</v>
      </c>
      <c r="L155" s="124"/>
      <c r="M155" s="63"/>
      <c r="N155" s="63"/>
      <c r="O155" s="63"/>
      <c r="P155" s="64"/>
      <c r="Q155" s="64"/>
      <c r="R155" s="204"/>
      <c r="S155" s="200" t="s">
        <v>39</v>
      </c>
      <c r="T155" s="201" t="s">
        <v>52</v>
      </c>
      <c r="U155" s="125"/>
      <c r="V155" s="124"/>
      <c r="W155" s="345"/>
      <c r="X155" s="126"/>
      <c r="Y155" s="126"/>
      <c r="Z155" s="126"/>
      <c r="AA155" s="126"/>
      <c r="AB155" s="146"/>
      <c r="AC155" s="146"/>
      <c r="AD155" s="146"/>
      <c r="AE155" s="146"/>
      <c r="AF155" s="146"/>
      <c r="AG155" s="146"/>
      <c r="AH155" s="146"/>
      <c r="AI155" s="146"/>
      <c r="AJ155" s="146"/>
      <c r="AK155" s="146"/>
      <c r="AL155" s="126"/>
    </row>
    <row r="156" spans="1:38" s="127" customFormat="1" ht="39.6">
      <c r="A156" s="255">
        <v>1</v>
      </c>
      <c r="B156" s="121" t="s">
        <v>634</v>
      </c>
      <c r="C156" s="121" t="s">
        <v>1416</v>
      </c>
      <c r="D156" s="121" t="s">
        <v>1417</v>
      </c>
      <c r="E156" s="122">
        <v>55</v>
      </c>
      <c r="F156" s="123" t="s">
        <v>11</v>
      </c>
      <c r="G156" s="121" t="s">
        <v>629</v>
      </c>
      <c r="H156" s="320">
        <v>46181</v>
      </c>
      <c r="I156" s="320">
        <v>46190</v>
      </c>
      <c r="J156" s="302">
        <v>46190</v>
      </c>
      <c r="K156" s="197">
        <f t="shared" si="4"/>
        <v>46370</v>
      </c>
      <c r="L156" s="124"/>
      <c r="M156" s="63" t="s">
        <v>976</v>
      </c>
      <c r="N156" s="63" t="s">
        <v>1418</v>
      </c>
      <c r="O156" s="63"/>
      <c r="P156" s="64"/>
      <c r="Q156" s="64"/>
      <c r="R156" s="204"/>
      <c r="S156" s="200"/>
      <c r="T156" s="201"/>
      <c r="U156" s="125"/>
      <c r="V156" s="124"/>
      <c r="W156" s="345"/>
      <c r="X156" s="126"/>
      <c r="Y156" s="126"/>
      <c r="Z156" s="126"/>
      <c r="AA156" s="126"/>
      <c r="AB156" s="146"/>
      <c r="AC156" s="146"/>
      <c r="AD156" s="146"/>
      <c r="AE156" s="146"/>
      <c r="AF156" s="146"/>
      <c r="AG156" s="146"/>
      <c r="AH156" s="146"/>
      <c r="AI156" s="146"/>
      <c r="AJ156" s="146"/>
      <c r="AK156" s="146" t="s">
        <v>1419</v>
      </c>
      <c r="AL156" s="126"/>
    </row>
    <row r="157" spans="1:38" s="127" customFormat="1" ht="16.2" customHeight="1">
      <c r="A157" s="384">
        <v>0</v>
      </c>
      <c r="B157" s="121" t="s">
        <v>634</v>
      </c>
      <c r="C157" s="121" t="s">
        <v>1420</v>
      </c>
      <c r="D157" s="121" t="s">
        <v>1421</v>
      </c>
      <c r="E157" s="122">
        <v>30</v>
      </c>
      <c r="F157" s="123" t="s">
        <v>11</v>
      </c>
      <c r="G157" s="121" t="s">
        <v>629</v>
      </c>
      <c r="H157" s="320">
        <v>46198</v>
      </c>
      <c r="I157" s="320">
        <v>46220</v>
      </c>
      <c r="J157" s="302"/>
      <c r="K157" s="197">
        <f t="shared" si="4"/>
        <v>180</v>
      </c>
      <c r="L157" s="124"/>
      <c r="M157" s="63" t="s">
        <v>60</v>
      </c>
      <c r="N157" s="63"/>
      <c r="O157" s="63"/>
      <c r="P157" s="64"/>
      <c r="Q157" s="64"/>
      <c r="R157" s="204"/>
      <c r="S157" s="200" t="s">
        <v>39</v>
      </c>
      <c r="T157" s="201" t="s">
        <v>52</v>
      </c>
      <c r="U157" s="125"/>
      <c r="V157" s="124"/>
      <c r="W157" s="345"/>
      <c r="X157" s="126"/>
      <c r="Y157" s="126"/>
      <c r="Z157" s="126"/>
      <c r="AA157" s="126"/>
      <c r="AB157" s="146"/>
      <c r="AC157" s="146"/>
      <c r="AD157" s="146"/>
      <c r="AE157" s="146"/>
      <c r="AF157" s="146"/>
      <c r="AG157" s="146"/>
      <c r="AH157" s="146"/>
      <c r="AI157" s="146"/>
      <c r="AJ157" s="146"/>
      <c r="AK157" s="146"/>
      <c r="AL157" s="126"/>
    </row>
    <row r="158" spans="1:38" s="127" customFormat="1" ht="16.2" customHeight="1">
      <c r="A158" s="255">
        <v>1</v>
      </c>
      <c r="B158" s="121" t="s">
        <v>621</v>
      </c>
      <c r="C158" s="121" t="s">
        <v>1425</v>
      </c>
      <c r="D158" s="121" t="s">
        <v>778</v>
      </c>
      <c r="E158" s="122">
        <v>34</v>
      </c>
      <c r="F158" s="123" t="s">
        <v>8</v>
      </c>
      <c r="G158" s="121" t="s">
        <v>629</v>
      </c>
      <c r="H158" s="320">
        <v>46209</v>
      </c>
      <c r="I158" s="320">
        <v>46223</v>
      </c>
      <c r="J158" s="302">
        <v>46223</v>
      </c>
      <c r="K158" s="197">
        <f t="shared" si="4"/>
        <v>46403</v>
      </c>
      <c r="L158" s="124"/>
      <c r="M158" s="63" t="s">
        <v>60</v>
      </c>
      <c r="N158" s="63"/>
      <c r="O158" s="63"/>
      <c r="P158" s="64"/>
      <c r="Q158" s="64"/>
      <c r="R158" s="204"/>
      <c r="S158" s="200"/>
      <c r="T158" s="201"/>
      <c r="U158" s="125"/>
      <c r="V158" s="124"/>
      <c r="W158" s="345"/>
      <c r="X158" s="126"/>
      <c r="Y158" s="126"/>
      <c r="Z158" s="126"/>
      <c r="AA158" s="126"/>
      <c r="AB158" s="146"/>
      <c r="AC158" s="146"/>
      <c r="AD158" s="146"/>
      <c r="AE158" s="146"/>
      <c r="AF158" s="146"/>
      <c r="AG158" s="146"/>
      <c r="AH158" s="146"/>
      <c r="AI158" s="146"/>
      <c r="AJ158" s="146"/>
      <c r="AK158" s="146"/>
      <c r="AL158" s="126"/>
    </row>
    <row r="159" spans="1:38" s="127" customFormat="1" ht="16.2" customHeight="1">
      <c r="A159" s="255">
        <v>1</v>
      </c>
      <c r="B159" s="121" t="s">
        <v>621</v>
      </c>
      <c r="C159" s="121" t="s">
        <v>1429</v>
      </c>
      <c r="D159" s="121" t="s">
        <v>875</v>
      </c>
      <c r="E159" s="122">
        <v>58</v>
      </c>
      <c r="F159" s="123" t="s">
        <v>11</v>
      </c>
      <c r="G159" s="121" t="s">
        <v>629</v>
      </c>
      <c r="H159" s="320">
        <v>46195</v>
      </c>
      <c r="I159" s="320">
        <v>46220</v>
      </c>
      <c r="J159" s="302">
        <v>46220</v>
      </c>
      <c r="K159" s="197">
        <f t="shared" si="4"/>
        <v>46400</v>
      </c>
      <c r="L159" s="124"/>
      <c r="M159" s="63"/>
      <c r="N159" s="63"/>
      <c r="O159" s="63"/>
      <c r="P159" s="64"/>
      <c r="Q159" s="64"/>
      <c r="R159" s="204"/>
      <c r="S159" s="200"/>
      <c r="T159" s="201"/>
      <c r="U159" s="125"/>
      <c r="V159" s="124"/>
      <c r="W159" s="345"/>
      <c r="X159" s="126"/>
      <c r="Y159" s="126"/>
      <c r="Z159" s="126"/>
      <c r="AA159" s="126"/>
      <c r="AB159" s="146"/>
      <c r="AC159" s="146"/>
      <c r="AD159" s="146"/>
      <c r="AE159" s="146"/>
      <c r="AF159" s="146"/>
      <c r="AG159" s="146"/>
      <c r="AH159" s="146"/>
      <c r="AI159" s="146"/>
      <c r="AJ159" s="146"/>
      <c r="AK159" s="146"/>
      <c r="AL159" s="126"/>
    </row>
    <row r="160" spans="1:38" s="127" customFormat="1" ht="16.2" customHeight="1">
      <c r="A160" s="255">
        <v>1</v>
      </c>
      <c r="B160" s="121" t="s">
        <v>621</v>
      </c>
      <c r="C160" s="121" t="s">
        <v>1430</v>
      </c>
      <c r="D160" s="121" t="s">
        <v>1431</v>
      </c>
      <c r="E160" s="122">
        <v>52</v>
      </c>
      <c r="F160" s="123" t="s">
        <v>11</v>
      </c>
      <c r="G160" s="121" t="s">
        <v>629</v>
      </c>
      <c r="H160" s="320">
        <v>46195</v>
      </c>
      <c r="I160" s="320">
        <v>46220</v>
      </c>
      <c r="J160" s="302">
        <v>46220</v>
      </c>
      <c r="K160" s="197">
        <f t="shared" si="4"/>
        <v>46400</v>
      </c>
      <c r="L160" s="124"/>
      <c r="M160" s="63" t="s">
        <v>976</v>
      </c>
      <c r="N160" s="63"/>
      <c r="O160" s="63"/>
      <c r="P160" s="64"/>
      <c r="Q160" s="64"/>
      <c r="R160" s="204"/>
      <c r="S160" s="200"/>
      <c r="T160" s="201"/>
      <c r="U160" s="125"/>
      <c r="V160" s="124"/>
      <c r="W160" s="345"/>
      <c r="X160" s="126"/>
      <c r="Y160" s="126"/>
      <c r="Z160" s="126"/>
      <c r="AA160" s="126"/>
      <c r="AB160" s="146"/>
      <c r="AC160" s="146"/>
      <c r="AD160" s="146"/>
      <c r="AE160" s="146"/>
      <c r="AF160" s="146"/>
      <c r="AG160" s="146"/>
      <c r="AH160" s="146"/>
      <c r="AI160" s="146"/>
      <c r="AJ160" s="146"/>
      <c r="AK160" s="146"/>
      <c r="AL160" s="126" t="s">
        <v>1432</v>
      </c>
    </row>
    <row r="161" spans="1:38" s="127" customFormat="1" ht="16.2" customHeight="1">
      <c r="A161" s="255">
        <v>1</v>
      </c>
      <c r="B161" s="121" t="s">
        <v>621</v>
      </c>
      <c r="C161" s="121" t="s">
        <v>1433</v>
      </c>
      <c r="D161" s="121" t="s">
        <v>1434</v>
      </c>
      <c r="E161" s="122">
        <v>32</v>
      </c>
      <c r="F161" s="121" t="s">
        <v>1435</v>
      </c>
      <c r="G161" s="121" t="s">
        <v>629</v>
      </c>
      <c r="H161" s="320">
        <v>46176</v>
      </c>
      <c r="I161" s="320">
        <v>46226</v>
      </c>
      <c r="J161" s="302">
        <v>46226</v>
      </c>
      <c r="K161" s="197">
        <f t="shared" si="4"/>
        <v>46406</v>
      </c>
      <c r="L161" s="124"/>
      <c r="M161" s="63" t="s">
        <v>1001</v>
      </c>
      <c r="N161" s="63" t="s">
        <v>60</v>
      </c>
      <c r="O161" s="63"/>
      <c r="P161" s="64"/>
      <c r="Q161" s="64"/>
      <c r="R161" s="204"/>
      <c r="S161" s="200"/>
      <c r="T161" s="201"/>
      <c r="U161" s="125"/>
      <c r="V161" s="124"/>
      <c r="W161" s="345"/>
      <c r="X161" s="126"/>
      <c r="Y161" s="126"/>
      <c r="Z161" s="126"/>
      <c r="AA161" s="126"/>
      <c r="AB161" s="146"/>
      <c r="AC161" s="146"/>
      <c r="AD161" s="146"/>
      <c r="AE161" s="146"/>
      <c r="AF161" s="146"/>
      <c r="AG161" s="146"/>
      <c r="AH161" s="146"/>
      <c r="AI161" s="146"/>
      <c r="AJ161" s="146"/>
      <c r="AK161" s="146"/>
      <c r="AL161" s="126" t="s">
        <v>1436</v>
      </c>
    </row>
    <row r="162" spans="1:38" s="127" customFormat="1" ht="16.2" customHeight="1">
      <c r="A162" s="255">
        <v>1</v>
      </c>
      <c r="B162" s="121" t="s">
        <v>621</v>
      </c>
      <c r="C162" s="121" t="s">
        <v>1441</v>
      </c>
      <c r="D162" s="121" t="s">
        <v>1442</v>
      </c>
      <c r="E162" s="122">
        <v>39</v>
      </c>
      <c r="F162" s="123" t="s">
        <v>8</v>
      </c>
      <c r="G162" s="121" t="s">
        <v>774</v>
      </c>
      <c r="H162" s="320">
        <v>46226</v>
      </c>
      <c r="I162" s="320">
        <v>46253</v>
      </c>
      <c r="J162" s="302">
        <v>46253</v>
      </c>
      <c r="K162" s="197">
        <f t="shared" si="4"/>
        <v>46433</v>
      </c>
      <c r="L162" s="124"/>
      <c r="M162" s="63" t="s">
        <v>60</v>
      </c>
      <c r="N162" s="63"/>
      <c r="O162" s="63"/>
      <c r="P162" s="64"/>
      <c r="Q162" s="64"/>
      <c r="R162" s="204"/>
      <c r="S162" s="200"/>
      <c r="T162" s="201"/>
      <c r="U162" s="125"/>
      <c r="V162" s="124"/>
      <c r="W162" s="345"/>
      <c r="X162" s="126"/>
      <c r="Y162" s="126"/>
      <c r="Z162" s="126"/>
      <c r="AA162" s="126"/>
      <c r="AB162" s="146"/>
      <c r="AC162" s="146"/>
      <c r="AD162" s="146"/>
      <c r="AE162" s="146"/>
      <c r="AF162" s="146"/>
      <c r="AG162" s="146"/>
      <c r="AH162" s="146"/>
      <c r="AI162" s="146"/>
      <c r="AJ162" s="146"/>
      <c r="AK162" s="146"/>
      <c r="AL162" s="126" t="s">
        <v>1443</v>
      </c>
    </row>
    <row r="163" spans="1:38" s="127" customFormat="1" ht="16.2" customHeight="1">
      <c r="A163" s="255">
        <v>1</v>
      </c>
      <c r="B163" s="121" t="s">
        <v>634</v>
      </c>
      <c r="C163" s="121" t="s">
        <v>1444</v>
      </c>
      <c r="D163" s="121" t="s">
        <v>1445</v>
      </c>
      <c r="E163" s="122">
        <v>36</v>
      </c>
      <c r="F163" s="123" t="s">
        <v>17</v>
      </c>
      <c r="G163" s="121" t="s">
        <v>629</v>
      </c>
      <c r="H163" s="320">
        <v>46198</v>
      </c>
      <c r="I163" s="320">
        <v>46220</v>
      </c>
      <c r="J163" s="302">
        <v>46254</v>
      </c>
      <c r="K163" s="197">
        <f t="shared" si="4"/>
        <v>46434</v>
      </c>
      <c r="L163" s="124"/>
      <c r="M163" s="63" t="s">
        <v>60</v>
      </c>
      <c r="N163" s="63" t="s">
        <v>1446</v>
      </c>
      <c r="O163" s="63"/>
      <c r="P163" s="64"/>
      <c r="Q163" s="64"/>
      <c r="R163" s="204"/>
      <c r="S163" s="200"/>
      <c r="T163" s="201"/>
      <c r="U163" s="125"/>
      <c r="V163" s="124"/>
      <c r="W163" s="345"/>
      <c r="X163" s="126"/>
      <c r="Y163" s="126"/>
      <c r="Z163" s="126"/>
      <c r="AA163" s="126"/>
      <c r="AB163" s="146"/>
      <c r="AC163" s="146"/>
      <c r="AD163" s="146"/>
      <c r="AE163" s="146"/>
      <c r="AF163" s="146"/>
      <c r="AG163" s="146"/>
      <c r="AH163" s="146"/>
      <c r="AI163" s="146"/>
      <c r="AJ163" s="146"/>
      <c r="AK163" s="146"/>
      <c r="AL163" s="126"/>
    </row>
    <row r="164" spans="1:38" s="127" customFormat="1" ht="16.2" customHeight="1">
      <c r="A164" s="255">
        <v>1</v>
      </c>
      <c r="B164" s="121" t="s">
        <v>621</v>
      </c>
      <c r="C164" s="121" t="s">
        <v>1447</v>
      </c>
      <c r="D164" s="121" t="s">
        <v>1448</v>
      </c>
      <c r="E164" s="122">
        <v>58</v>
      </c>
      <c r="F164" s="123" t="s">
        <v>8</v>
      </c>
      <c r="G164" s="121" t="s">
        <v>629</v>
      </c>
      <c r="H164" s="320">
        <v>46246</v>
      </c>
      <c r="I164" s="320">
        <v>46265</v>
      </c>
      <c r="J164" s="302">
        <v>46265</v>
      </c>
      <c r="K164" s="197">
        <f t="shared" si="4"/>
        <v>46445</v>
      </c>
      <c r="L164" s="124"/>
      <c r="M164" s="63" t="s">
        <v>976</v>
      </c>
      <c r="N164" s="63"/>
      <c r="O164" s="63"/>
      <c r="P164" s="64"/>
      <c r="Q164" s="64"/>
      <c r="R164" s="204"/>
      <c r="S164" s="200"/>
      <c r="T164" s="201"/>
      <c r="U164" s="125"/>
      <c r="V164" s="124"/>
      <c r="W164" s="345"/>
      <c r="X164" s="126"/>
      <c r="Y164" s="126"/>
      <c r="Z164" s="126"/>
      <c r="AA164" s="126"/>
      <c r="AB164" s="146"/>
      <c r="AC164" s="146"/>
      <c r="AD164" s="146"/>
      <c r="AE164" s="146"/>
      <c r="AF164" s="146"/>
      <c r="AG164" s="146"/>
      <c r="AH164" s="146"/>
      <c r="AI164" s="146"/>
      <c r="AJ164" s="146"/>
      <c r="AK164" s="146"/>
      <c r="AL164" s="126"/>
    </row>
    <row r="165" spans="1:38" s="127" customFormat="1" ht="16.2" customHeight="1">
      <c r="A165" s="255">
        <v>1</v>
      </c>
      <c r="B165" s="121" t="s">
        <v>634</v>
      </c>
      <c r="C165" s="121" t="s">
        <v>1449</v>
      </c>
      <c r="D165" s="121" t="s">
        <v>1450</v>
      </c>
      <c r="E165" s="122">
        <v>48</v>
      </c>
      <c r="F165" s="123" t="s">
        <v>20</v>
      </c>
      <c r="G165" s="121" t="s">
        <v>629</v>
      </c>
      <c r="H165" s="320">
        <v>46247</v>
      </c>
      <c r="I165" s="320">
        <v>46265</v>
      </c>
      <c r="J165" s="302">
        <v>46265</v>
      </c>
      <c r="K165" s="197">
        <f t="shared" si="4"/>
        <v>46445</v>
      </c>
      <c r="L165" s="124"/>
      <c r="M165" s="63" t="s">
        <v>976</v>
      </c>
      <c r="N165" s="63"/>
      <c r="O165" s="63"/>
      <c r="P165" s="64"/>
      <c r="Q165" s="64"/>
      <c r="R165" s="204"/>
      <c r="S165" s="200"/>
      <c r="T165" s="201"/>
      <c r="U165" s="125"/>
      <c r="V165" s="124"/>
      <c r="W165" s="345"/>
      <c r="X165" s="126"/>
      <c r="Y165" s="126"/>
      <c r="Z165" s="126"/>
      <c r="AA165" s="126"/>
      <c r="AB165" s="146"/>
      <c r="AC165" s="146"/>
      <c r="AD165" s="146"/>
      <c r="AE165" s="146"/>
      <c r="AF165" s="146"/>
      <c r="AG165" s="146"/>
      <c r="AH165" s="146"/>
      <c r="AI165" s="146"/>
      <c r="AJ165" s="146"/>
      <c r="AK165" s="146" t="s">
        <v>1419</v>
      </c>
      <c r="AL165" s="126" t="s">
        <v>1451</v>
      </c>
    </row>
    <row r="166" spans="1:38" s="127" customFormat="1" ht="16.2" customHeight="1">
      <c r="A166" s="255">
        <v>1</v>
      </c>
      <c r="B166" s="121" t="s">
        <v>621</v>
      </c>
      <c r="C166" s="121" t="s">
        <v>1452</v>
      </c>
      <c r="D166" s="121" t="s">
        <v>1453</v>
      </c>
      <c r="E166" s="122">
        <v>36</v>
      </c>
      <c r="F166" s="123" t="s">
        <v>14</v>
      </c>
      <c r="G166" s="121" t="s">
        <v>629</v>
      </c>
      <c r="H166" s="320">
        <v>46126</v>
      </c>
      <c r="I166" s="320">
        <v>46261</v>
      </c>
      <c r="J166" s="302">
        <v>46261</v>
      </c>
      <c r="K166" s="197">
        <f t="shared" si="4"/>
        <v>46441</v>
      </c>
      <c r="L166" s="124"/>
      <c r="M166" s="63" t="s">
        <v>976</v>
      </c>
      <c r="N166" s="63"/>
      <c r="O166" s="63"/>
      <c r="P166" s="64"/>
      <c r="Q166" s="64"/>
      <c r="R166" s="204"/>
      <c r="S166" s="200"/>
      <c r="T166" s="201"/>
      <c r="U166" s="125"/>
      <c r="V166" s="124"/>
      <c r="W166" s="345"/>
      <c r="X166" s="126"/>
      <c r="Y166" s="126"/>
      <c r="Z166" s="126"/>
      <c r="AA166" s="126"/>
      <c r="AB166" s="146"/>
      <c r="AC166" s="146"/>
      <c r="AD166" s="146"/>
      <c r="AE166" s="146"/>
      <c r="AF166" s="146"/>
      <c r="AG166" s="146"/>
      <c r="AH166" s="146"/>
      <c r="AI166" s="146"/>
      <c r="AJ166" s="146"/>
      <c r="AK166" s="146"/>
      <c r="AL166" s="126"/>
    </row>
    <row r="167" spans="1:38" s="127" customFormat="1" ht="16.2" customHeight="1">
      <c r="A167" s="255">
        <v>1</v>
      </c>
      <c r="B167" s="121" t="s">
        <v>634</v>
      </c>
      <c r="C167" s="121" t="s">
        <v>1454</v>
      </c>
      <c r="D167" s="121" t="s">
        <v>1455</v>
      </c>
      <c r="E167" s="122">
        <v>60</v>
      </c>
      <c r="F167" s="123" t="s">
        <v>8</v>
      </c>
      <c r="G167" s="121" t="s">
        <v>774</v>
      </c>
      <c r="H167" s="320">
        <v>46225</v>
      </c>
      <c r="I167" s="320">
        <v>46213</v>
      </c>
      <c r="J167" s="302">
        <v>46259</v>
      </c>
      <c r="K167" s="197">
        <f t="shared" si="4"/>
        <v>46439</v>
      </c>
      <c r="L167" s="124"/>
      <c r="M167" s="63" t="s">
        <v>1456</v>
      </c>
      <c r="N167" s="63"/>
      <c r="O167" s="63"/>
      <c r="P167" s="64"/>
      <c r="Q167" s="64"/>
      <c r="R167" s="204"/>
      <c r="S167" s="200"/>
      <c r="T167" s="201"/>
      <c r="U167" s="125"/>
      <c r="V167" s="124"/>
      <c r="W167" s="345"/>
      <c r="X167" s="126"/>
      <c r="Y167" s="126"/>
      <c r="Z167" s="126"/>
      <c r="AA167" s="126"/>
      <c r="AB167" s="146"/>
      <c r="AC167" s="146"/>
      <c r="AD167" s="146"/>
      <c r="AE167" s="146"/>
      <c r="AF167" s="146"/>
      <c r="AG167" s="146"/>
      <c r="AH167" s="146"/>
      <c r="AI167" s="146"/>
      <c r="AJ167" s="146"/>
      <c r="AK167" s="146"/>
      <c r="AL167" s="126"/>
    </row>
    <row r="168" spans="1:38" s="127" customFormat="1" ht="16.2" customHeight="1">
      <c r="A168" s="255">
        <v>1</v>
      </c>
      <c r="B168" s="121" t="s">
        <v>634</v>
      </c>
      <c r="C168" s="121" t="s">
        <v>1457</v>
      </c>
      <c r="D168" s="121" t="s">
        <v>1458</v>
      </c>
      <c r="E168" s="122">
        <v>37</v>
      </c>
      <c r="F168" s="123" t="s">
        <v>8</v>
      </c>
      <c r="G168" s="121" t="s">
        <v>629</v>
      </c>
      <c r="H168" s="320">
        <v>46246</v>
      </c>
      <c r="I168" s="320">
        <v>46268</v>
      </c>
      <c r="J168" s="302">
        <v>46268</v>
      </c>
      <c r="K168" s="197">
        <f t="shared" si="4"/>
        <v>46448</v>
      </c>
      <c r="L168" s="124"/>
      <c r="M168" s="63" t="s">
        <v>1001</v>
      </c>
      <c r="N168" s="63"/>
      <c r="O168" s="63"/>
      <c r="P168" s="64"/>
      <c r="Q168" s="64"/>
      <c r="R168" s="204"/>
      <c r="S168" s="200"/>
      <c r="T168" s="201"/>
      <c r="U168" s="125"/>
      <c r="V168" s="124"/>
      <c r="W168" s="345"/>
      <c r="X168" s="126"/>
      <c r="Y168" s="126"/>
      <c r="Z168" s="126"/>
      <c r="AA168" s="126"/>
      <c r="AB168" s="146"/>
      <c r="AC168" s="146"/>
      <c r="AD168" s="146"/>
      <c r="AE168" s="146"/>
      <c r="AF168" s="146"/>
      <c r="AG168" s="146"/>
      <c r="AH168" s="146"/>
      <c r="AI168" s="146"/>
      <c r="AJ168" s="146"/>
      <c r="AK168" s="146"/>
      <c r="AL168" s="126" t="s">
        <v>1459</v>
      </c>
    </row>
    <row r="169" spans="1:38" s="127" customFormat="1" ht="16.2" customHeight="1">
      <c r="A169" s="255">
        <v>1</v>
      </c>
      <c r="B169" s="121" t="s">
        <v>634</v>
      </c>
      <c r="C169" s="121" t="s">
        <v>1467</v>
      </c>
      <c r="D169" s="121" t="s">
        <v>1468</v>
      </c>
      <c r="E169" s="122">
        <v>39</v>
      </c>
      <c r="F169" s="123" t="s">
        <v>29</v>
      </c>
      <c r="G169" s="121" t="s">
        <v>629</v>
      </c>
      <c r="H169" s="320">
        <v>46230</v>
      </c>
      <c r="I169" s="320">
        <v>46254</v>
      </c>
      <c r="J169" s="302">
        <v>46272</v>
      </c>
      <c r="K169" s="197">
        <f t="shared" si="4"/>
        <v>46452</v>
      </c>
      <c r="L169" s="124"/>
      <c r="M169" s="63" t="s">
        <v>1188</v>
      </c>
      <c r="N169" s="63" t="s">
        <v>1340</v>
      </c>
      <c r="O169" s="63"/>
      <c r="P169" s="64"/>
      <c r="Q169" s="64"/>
      <c r="R169" s="204"/>
      <c r="S169" s="200"/>
      <c r="T169" s="201"/>
      <c r="U169" s="125"/>
      <c r="V169" s="124"/>
      <c r="W169" s="345"/>
      <c r="X169" s="126"/>
      <c r="Y169" s="126"/>
      <c r="Z169" s="126"/>
      <c r="AA169" s="126"/>
      <c r="AB169" s="146"/>
      <c r="AC169" s="146"/>
      <c r="AD169" s="146"/>
      <c r="AE169" s="146"/>
      <c r="AF169" s="146"/>
      <c r="AG169" s="146"/>
      <c r="AH169" s="146"/>
      <c r="AI169" s="146"/>
      <c r="AJ169" s="146"/>
      <c r="AK169" s="146"/>
      <c r="AL169" s="126" t="s">
        <v>1469</v>
      </c>
    </row>
    <row r="170" spans="1:38" s="127" customFormat="1" ht="16.2" customHeight="1">
      <c r="A170" s="255"/>
      <c r="B170" s="121"/>
      <c r="C170" s="121"/>
      <c r="D170" s="121"/>
      <c r="E170" s="122"/>
      <c r="F170" s="123"/>
      <c r="G170" s="121"/>
      <c r="H170" s="320"/>
      <c r="I170" s="320"/>
      <c r="J170" s="302"/>
      <c r="K170" s="197">
        <f t="shared" si="4"/>
        <v>180</v>
      </c>
      <c r="L170" s="124"/>
      <c r="M170" s="63"/>
      <c r="N170" s="63"/>
      <c r="O170" s="63"/>
      <c r="P170" s="64"/>
      <c r="Q170" s="64"/>
      <c r="R170" s="204"/>
      <c r="S170" s="200"/>
      <c r="T170" s="201"/>
      <c r="U170" s="125"/>
      <c r="V170" s="124"/>
      <c r="W170" s="345"/>
      <c r="X170" s="126"/>
      <c r="Y170" s="126"/>
      <c r="Z170" s="126"/>
      <c r="AA170" s="126"/>
      <c r="AB170" s="146"/>
      <c r="AC170" s="146"/>
      <c r="AD170" s="146"/>
      <c r="AE170" s="146"/>
      <c r="AF170" s="146"/>
      <c r="AG170" s="146"/>
      <c r="AH170" s="146"/>
      <c r="AI170" s="146"/>
      <c r="AJ170" s="146"/>
      <c r="AK170" s="146"/>
      <c r="AL170" s="126"/>
    </row>
    <row r="171" spans="1:38" s="127" customFormat="1" ht="18" customHeight="1">
      <c r="A171" s="255"/>
      <c r="B171" s="243"/>
      <c r="C171" s="243"/>
      <c r="D171" s="243"/>
      <c r="E171" s="160"/>
      <c r="F171" s="161"/>
      <c r="G171" s="156"/>
      <c r="H171" s="318"/>
      <c r="I171" s="318"/>
      <c r="J171" s="302"/>
      <c r="K171" s="300">
        <f t="shared" ref="K171:K178" si="5">+J171+180</f>
        <v>180</v>
      </c>
      <c r="L171" s="197"/>
      <c r="M171" s="63"/>
      <c r="N171" s="63"/>
      <c r="O171" s="63"/>
      <c r="P171" s="63"/>
      <c r="Q171" s="63"/>
      <c r="R171" s="204"/>
      <c r="S171" s="200"/>
      <c r="T171" s="201"/>
      <c r="U171" s="125"/>
      <c r="V171" s="124"/>
      <c r="W171" s="345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  <c r="AL171" s="126"/>
    </row>
    <row r="172" spans="1:38" s="127" customFormat="1" ht="18" customHeight="1">
      <c r="A172" s="255"/>
      <c r="B172" s="243"/>
      <c r="C172" s="243"/>
      <c r="D172" s="243"/>
      <c r="E172" s="160"/>
      <c r="F172" s="161"/>
      <c r="G172" s="156"/>
      <c r="H172" s="318"/>
      <c r="I172" s="318"/>
      <c r="J172" s="302"/>
      <c r="K172" s="300">
        <f t="shared" si="5"/>
        <v>180</v>
      </c>
      <c r="L172" s="197"/>
      <c r="M172" s="63"/>
      <c r="N172" s="63"/>
      <c r="O172" s="63"/>
      <c r="P172" s="63"/>
      <c r="Q172" s="63"/>
      <c r="R172" s="204"/>
      <c r="S172" s="200"/>
      <c r="T172" s="201"/>
      <c r="U172" s="125"/>
      <c r="V172" s="124"/>
      <c r="W172" s="345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</row>
    <row r="173" spans="1:38" s="127" customFormat="1" ht="18" customHeight="1">
      <c r="A173" s="255"/>
      <c r="B173" s="243"/>
      <c r="C173" s="243"/>
      <c r="D173" s="243"/>
      <c r="E173" s="160"/>
      <c r="F173" s="161"/>
      <c r="G173" s="156"/>
      <c r="H173" s="318"/>
      <c r="I173" s="318"/>
      <c r="J173" s="302"/>
      <c r="K173" s="300">
        <f t="shared" si="5"/>
        <v>180</v>
      </c>
      <c r="L173" s="197"/>
      <c r="M173" s="63"/>
      <c r="N173" s="63"/>
      <c r="O173" s="63"/>
      <c r="P173" s="63"/>
      <c r="Q173" s="63"/>
      <c r="R173" s="204"/>
      <c r="S173" s="200"/>
      <c r="T173" s="201"/>
      <c r="U173" s="125"/>
      <c r="V173" s="124"/>
      <c r="W173" s="345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</row>
    <row r="174" spans="1:38" s="127" customFormat="1" ht="18" customHeight="1">
      <c r="A174" s="255"/>
      <c r="B174" s="243"/>
      <c r="C174" s="243"/>
      <c r="D174" s="243"/>
      <c r="E174" s="160"/>
      <c r="F174" s="161"/>
      <c r="G174" s="156"/>
      <c r="H174" s="318"/>
      <c r="I174" s="318"/>
      <c r="J174" s="302"/>
      <c r="K174" s="300">
        <f t="shared" si="5"/>
        <v>180</v>
      </c>
      <c r="L174" s="197"/>
      <c r="M174" s="63"/>
      <c r="N174" s="63"/>
      <c r="O174" s="63"/>
      <c r="P174" s="63"/>
      <c r="Q174" s="63"/>
      <c r="R174" s="204"/>
      <c r="S174" s="200"/>
      <c r="T174" s="201"/>
      <c r="U174" s="125"/>
      <c r="V174" s="124"/>
      <c r="W174" s="345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  <c r="AK174" s="126"/>
      <c r="AL174" s="126"/>
    </row>
    <row r="175" spans="1:38" s="127" customFormat="1" ht="18" customHeight="1">
      <c r="A175" s="255"/>
      <c r="B175" s="243"/>
      <c r="C175" s="243"/>
      <c r="D175" s="243"/>
      <c r="E175" s="160"/>
      <c r="F175" s="161"/>
      <c r="G175" s="156"/>
      <c r="H175" s="318"/>
      <c r="I175" s="318"/>
      <c r="J175" s="302"/>
      <c r="K175" s="300">
        <f t="shared" si="5"/>
        <v>180</v>
      </c>
      <c r="L175" s="197"/>
      <c r="M175" s="63"/>
      <c r="N175" s="63"/>
      <c r="O175" s="63"/>
      <c r="P175" s="63"/>
      <c r="Q175" s="63"/>
      <c r="R175" s="204"/>
      <c r="S175" s="200"/>
      <c r="T175" s="201"/>
      <c r="U175" s="125"/>
      <c r="V175" s="124"/>
      <c r="W175" s="345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  <c r="AK175" s="126"/>
      <c r="AL175" s="126"/>
    </row>
    <row r="176" spans="1:38" s="127" customFormat="1" ht="18" customHeight="1">
      <c r="A176" s="255"/>
      <c r="B176" s="243"/>
      <c r="C176" s="243"/>
      <c r="D176" s="243"/>
      <c r="E176" s="160"/>
      <c r="F176" s="161"/>
      <c r="G176" s="156"/>
      <c r="H176" s="318"/>
      <c r="I176" s="318"/>
      <c r="J176" s="302"/>
      <c r="K176" s="300">
        <f t="shared" si="5"/>
        <v>180</v>
      </c>
      <c r="L176" s="197"/>
      <c r="M176" s="63"/>
      <c r="N176" s="63"/>
      <c r="O176" s="63"/>
      <c r="P176" s="63"/>
      <c r="Q176" s="63"/>
      <c r="R176" s="204"/>
      <c r="S176" s="200"/>
      <c r="T176" s="201"/>
      <c r="U176" s="125"/>
      <c r="V176" s="124"/>
      <c r="W176" s="345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6"/>
      <c r="AH176" s="126"/>
      <c r="AI176" s="126"/>
      <c r="AJ176" s="126"/>
      <c r="AK176" s="126"/>
      <c r="AL176" s="126"/>
    </row>
    <row r="177" spans="1:38" s="127" customFormat="1" ht="18" customHeight="1">
      <c r="A177" s="255"/>
      <c r="B177" s="243"/>
      <c r="C177" s="243"/>
      <c r="D177" s="243"/>
      <c r="E177" s="160"/>
      <c r="F177" s="161"/>
      <c r="G177" s="156"/>
      <c r="H177" s="318"/>
      <c r="I177" s="318"/>
      <c r="J177" s="302"/>
      <c r="K177" s="300">
        <f t="shared" si="5"/>
        <v>180</v>
      </c>
      <c r="L177" s="197"/>
      <c r="M177" s="63"/>
      <c r="N177" s="63"/>
      <c r="O177" s="63"/>
      <c r="P177" s="63"/>
      <c r="Q177" s="63"/>
      <c r="R177" s="204"/>
      <c r="S177" s="200"/>
      <c r="T177" s="201"/>
      <c r="U177" s="125"/>
      <c r="V177" s="124"/>
      <c r="W177" s="345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</row>
    <row r="178" spans="1:38" s="127" customFormat="1" ht="18" customHeight="1">
      <c r="A178" s="255"/>
      <c r="B178" s="243"/>
      <c r="C178" s="243"/>
      <c r="D178" s="243"/>
      <c r="E178" s="160"/>
      <c r="F178" s="161"/>
      <c r="G178" s="156"/>
      <c r="H178" s="318"/>
      <c r="I178" s="318"/>
      <c r="J178" s="302"/>
      <c r="K178" s="300">
        <f t="shared" si="5"/>
        <v>180</v>
      </c>
      <c r="L178" s="197"/>
      <c r="M178" s="63"/>
      <c r="N178" s="63"/>
      <c r="O178" s="63"/>
      <c r="P178" s="63"/>
      <c r="Q178" s="63"/>
      <c r="R178" s="204"/>
      <c r="S178" s="200"/>
      <c r="T178" s="201"/>
      <c r="U178" s="125"/>
      <c r="V178" s="124"/>
      <c r="W178" s="345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</sheetData>
  <autoFilter ref="A11:AN170" xr:uid="{183E55A8-1053-48ED-8C15-415ACFF7B951}"/>
  <sortState ref="A35:U45">
    <sortCondition ref="C36:C45"/>
  </sortState>
  <mergeCells count="51">
    <mergeCell ref="A10:A11"/>
    <mergeCell ref="P10:P11"/>
    <mergeCell ref="Q10:Q11"/>
    <mergeCell ref="X8:AK8"/>
    <mergeCell ref="AI10:AI11"/>
    <mergeCell ref="AK10:AK11"/>
    <mergeCell ref="AJ10:AJ11"/>
    <mergeCell ref="AA10:AA11"/>
    <mergeCell ref="AH10:AH11"/>
    <mergeCell ref="Y10:Y11"/>
    <mergeCell ref="O10:O11"/>
    <mergeCell ref="U10:U11"/>
    <mergeCell ref="V10:V11"/>
    <mergeCell ref="W10:W11"/>
    <mergeCell ref="Z10:Z11"/>
    <mergeCell ref="X10:X11"/>
    <mergeCell ref="J9:K9"/>
    <mergeCell ref="J10:J11"/>
    <mergeCell ref="K10:K11"/>
    <mergeCell ref="M10:M11"/>
    <mergeCell ref="N10:N11"/>
    <mergeCell ref="L10:L11"/>
    <mergeCell ref="E10:E11"/>
    <mergeCell ref="F10:F11"/>
    <mergeCell ref="G10:G11"/>
    <mergeCell ref="H10:H11"/>
    <mergeCell ref="I10:I11"/>
    <mergeCell ref="B10:B11"/>
    <mergeCell ref="AL10:AL11"/>
    <mergeCell ref="C10:C11"/>
    <mergeCell ref="M9:O9"/>
    <mergeCell ref="T7:U7"/>
    <mergeCell ref="D10:D11"/>
    <mergeCell ref="R10:R11"/>
    <mergeCell ref="AB10:AB11"/>
    <mergeCell ref="AC10:AC11"/>
    <mergeCell ref="AD10:AD11"/>
    <mergeCell ref="AE10:AE11"/>
    <mergeCell ref="AF10:AF11"/>
    <mergeCell ref="AG10:AG11"/>
    <mergeCell ref="S8:V8"/>
    <mergeCell ref="S10:S11"/>
    <mergeCell ref="T10:T11"/>
    <mergeCell ref="A2:H2"/>
    <mergeCell ref="A3:H3"/>
    <mergeCell ref="J3:P3"/>
    <mergeCell ref="J7:P7"/>
    <mergeCell ref="A7:H7"/>
    <mergeCell ref="A5:H5"/>
    <mergeCell ref="A6:H6"/>
    <mergeCell ref="J6:R6"/>
  </mergeCells>
  <pageMargins left="0.11811023622047245" right="0.31496062992125984" top="0.74803149606299213" bottom="0.74803149606299213" header="0.31496062992125984" footer="0.31496062992125984"/>
  <pageSetup paperSize="8" scale="46" fitToHeight="0" orientation="portrait" r:id="rId1"/>
  <headerFooter>
    <oddHeader xml:space="preserve">&amp;L&amp;"-,Gras"&amp;14Conseil Départemental de l'AinDGASDirection Cohésion et Développement socialService Insertion&amp;R&amp;"-,Gras"&amp;14NOM du Référent :&amp;"-,Normal"&amp;U                                                                                              </oddHeader>
  </headerFooter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176EC8C-AEF9-4805-8458-F3A38D7D2C74}">
          <x14:formula1>
            <xm:f>'liste deroulante'!$D$12:$D$13</xm:f>
          </x14:formula1>
          <xm:sqref>R95:R96 R86 R36 R44 R75 AA103:AK103 AA105:AK105 AA107:AK109 R12:R34 R110:R113 R115:R170 AA12:AK94 AA171:AK178</xm:sqref>
        </x14:dataValidation>
        <x14:dataValidation type="list" allowBlank="1" showInputMessage="1" showErrorMessage="1" xr:uid="{606C7FD0-66A9-44D9-A6B3-FACB3E533910}">
          <x14:formula1>
            <xm:f>'liste deroulante'!$B$13:$B$14</xm:f>
          </x14:formula1>
          <xm:sqref>M12:M13</xm:sqref>
        </x14:dataValidation>
        <x14:dataValidation type="list" allowBlank="1" showInputMessage="1" showErrorMessage="1" xr:uid="{7F48C64E-ECD5-48DA-9122-CA7BAC109EE7}">
          <x14:formula1>
            <xm:f>'liste deroulante'!$G$17:$G$19</xm:f>
          </x14:formula1>
          <xm:sqref>L103 L105 L107:L109 L171:L178 L12:L94</xm:sqref>
        </x14:dataValidation>
        <x14:dataValidation type="list" allowBlank="1" showInputMessage="1" showErrorMessage="1" xr:uid="{07C28756-C556-4D5E-85BF-5DB77E134449}">
          <x14:formula1>
            <xm:f>'Y:\Bourg-MIFE\1-Commun\CIP+\OUTILS COMMUN\Outils\Reporting\[reporting HELENE mars.xlsx]liste deroulante'!#REF!</xm:f>
          </x14:formula1>
          <xm:sqref>F19 F25:F39 F89:F108</xm:sqref>
        </x14:dataValidation>
        <x14:dataValidation type="list" allowBlank="1" showInputMessage="1" showErrorMessage="1" xr:uid="{00000000-0002-0000-0000-000001000000}">
          <x14:formula1>
            <xm:f>'liste deroulante'!$B$2:$B$9</xm:f>
          </x14:formula1>
          <xm:sqref>F109:F160 F162:F170</xm:sqref>
        </x14:dataValidation>
        <x14:dataValidation type="list" allowBlank="1" showInputMessage="1" showErrorMessage="1" xr:uid="{130F86C5-0012-4961-AAEA-2ADF0C4DC472}">
          <x14:formula1>
            <xm:f>'liste deroulante'!$F$2:$F$11</xm:f>
          </x14:formula1>
          <xm:sqref>T12:T178</xm:sqref>
        </x14:dataValidation>
        <x14:dataValidation type="list" allowBlank="1" showInputMessage="1" showErrorMessage="1" xr:uid="{06D3EB80-0A51-4464-AC87-AF71F48D64A5}">
          <x14:formula1>
            <xm:f>'liste deroulante'!$H$2:$H$11</xm:f>
          </x14:formula1>
          <xm:sqref>S12:S178</xm:sqref>
        </x14:dataValidation>
        <x14:dataValidation type="list" allowBlank="1" showInputMessage="1" showErrorMessage="1" xr:uid="{0ECA462A-2E63-4CA2-8907-AF0851503CDA}">
          <x14:formula1>
            <xm:f>'liste deroulante'!$J$2:$J$8</xm:f>
          </x14:formula1>
          <xm:sqref>U12:U178 X12:Z178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F357F-E02F-4A36-9EDB-AE105D0BBFD3}">
  <sheetPr>
    <tabColor rgb="FFFFFF00"/>
    <pageSetUpPr fitToPage="1"/>
  </sheetPr>
  <dimension ref="A1:AN148"/>
  <sheetViews>
    <sheetView topLeftCell="A4" zoomScale="90" zoomScaleNormal="90" workbookViewId="0">
      <pane xSplit="8" ySplit="8" topLeftCell="I90" activePane="bottomRight" state="frozen"/>
      <selection activeCell="A4" sqref="A4"/>
      <selection pane="topRight" activeCell="J4" sqref="J4"/>
      <selection pane="bottomLeft" activeCell="A9" sqref="A9"/>
      <selection pane="bottomRight" activeCell="C94" sqref="C94"/>
    </sheetView>
  </sheetViews>
  <sheetFormatPr baseColWidth="10" defaultColWidth="11.44140625" defaultRowHeight="15.6"/>
  <cols>
    <col min="1" max="1" width="5.109375" style="127" customWidth="1"/>
    <col min="2" max="2" width="10.33203125" style="181" customWidth="1"/>
    <col min="3" max="3" width="16.21875" style="182" customWidth="1"/>
    <col min="4" max="4" width="13.109375" style="182" bestFit="1" customWidth="1"/>
    <col min="5" max="5" width="6.33203125" style="183" customWidth="1"/>
    <col min="6" max="6" width="9.5546875" style="184" bestFit="1" customWidth="1"/>
    <col min="7" max="7" width="9" style="156" customWidth="1"/>
    <col min="8" max="9" width="13.6640625" style="83" customWidth="1"/>
    <col min="10" max="10" width="13.44140625" style="297" customWidth="1"/>
    <col min="11" max="11" width="13.109375" style="298" customWidth="1"/>
    <col min="12" max="12" width="17.6640625" style="187" bestFit="1" customWidth="1"/>
    <col min="13" max="13" width="11.109375" style="186" customWidth="1"/>
    <col min="14" max="14" width="10.88671875" style="186" customWidth="1"/>
    <col min="15" max="15" width="10.33203125" style="186" customWidth="1"/>
    <col min="16" max="16" width="16.109375" style="186" customWidth="1"/>
    <col min="17" max="17" width="17.5546875" style="186" customWidth="1"/>
    <col min="18" max="18" width="8.6640625" style="183" customWidth="1"/>
    <col min="19" max="19" width="12.109375" style="54" customWidth="1"/>
    <col min="20" max="20" width="7.6640625" style="181" customWidth="1"/>
    <col min="21" max="21" width="18.5546875" style="181" customWidth="1"/>
    <col min="22" max="22" width="13.6640625" style="187" customWidth="1"/>
    <col min="23" max="23" width="13.6640625" style="340" customWidth="1"/>
    <col min="24" max="26" width="9.88671875" style="188" customWidth="1"/>
    <col min="27" max="27" width="9.88671875" style="188" bestFit="1" customWidth="1"/>
    <col min="28" max="28" width="9.33203125" style="181" customWidth="1"/>
    <col min="29" max="29" width="6.33203125" style="181" bestFit="1" customWidth="1"/>
    <col min="30" max="30" width="7.6640625" style="181" bestFit="1" customWidth="1"/>
    <col min="31" max="31" width="6.6640625" style="181" bestFit="1" customWidth="1"/>
    <col min="32" max="32" width="10" style="181" bestFit="1" customWidth="1"/>
    <col min="33" max="33" width="6.33203125" style="181" bestFit="1" customWidth="1"/>
    <col min="34" max="34" width="6.6640625" style="181" bestFit="1" customWidth="1"/>
    <col min="35" max="35" width="12.44140625" style="181" bestFit="1" customWidth="1"/>
    <col min="36" max="36" width="9.6640625" style="181" bestFit="1" customWidth="1"/>
    <col min="37" max="37" width="9" style="181" bestFit="1" customWidth="1"/>
    <col min="38" max="38" width="104.5546875" style="188" bestFit="1" customWidth="1"/>
    <col min="39" max="16384" width="11.44140625" style="181"/>
  </cols>
  <sheetData>
    <row r="1" spans="1:40" ht="16.2" thickBot="1">
      <c r="G1" s="185"/>
    </row>
    <row r="2" spans="1:40" ht="18">
      <c r="A2" s="544" t="s">
        <v>62</v>
      </c>
      <c r="B2" s="545"/>
      <c r="C2" s="545"/>
      <c r="D2" s="545"/>
      <c r="E2" s="545"/>
      <c r="F2" s="545"/>
      <c r="G2" s="545"/>
      <c r="H2" s="546"/>
      <c r="I2" s="150"/>
      <c r="J2" s="386" t="s">
        <v>541</v>
      </c>
      <c r="K2" s="153"/>
      <c r="L2" s="153"/>
      <c r="M2" s="154"/>
      <c r="N2" s="154"/>
      <c r="O2" s="154"/>
      <c r="P2" s="155"/>
      <c r="Q2" s="89"/>
      <c r="R2" s="89"/>
      <c r="S2" s="50"/>
      <c r="T2" s="50"/>
      <c r="U2" s="50"/>
      <c r="V2" s="51"/>
      <c r="W2" s="341"/>
    </row>
    <row r="3" spans="1:40" ht="18">
      <c r="A3" s="547" t="s">
        <v>612</v>
      </c>
      <c r="B3" s="548"/>
      <c r="C3" s="548"/>
      <c r="D3" s="548"/>
      <c r="E3" s="548"/>
      <c r="F3" s="548"/>
      <c r="G3" s="548"/>
      <c r="H3" s="549"/>
      <c r="I3" s="151"/>
      <c r="J3" s="550" t="s">
        <v>520</v>
      </c>
      <c r="K3" s="551"/>
      <c r="L3" s="551"/>
      <c r="M3" s="551"/>
      <c r="N3" s="551"/>
      <c r="O3" s="551"/>
      <c r="P3" s="552"/>
      <c r="Q3" s="90"/>
      <c r="R3" s="90"/>
      <c r="V3" s="52"/>
      <c r="W3" s="342"/>
    </row>
    <row r="4" spans="1:40" s="444" customFormat="1" ht="18.600000000000001" thickBot="1">
      <c r="A4" s="443"/>
      <c r="C4" s="445"/>
      <c r="D4" s="445"/>
      <c r="E4" s="446"/>
      <c r="F4" s="447"/>
      <c r="G4" s="448"/>
      <c r="H4" s="449"/>
      <c r="I4" s="449"/>
      <c r="J4" s="450"/>
      <c r="K4" s="451"/>
      <c r="L4" s="451"/>
      <c r="M4" s="452"/>
      <c r="N4" s="51"/>
      <c r="O4" s="450"/>
      <c r="P4" s="450"/>
      <c r="Q4" s="450"/>
      <c r="R4" s="450"/>
      <c r="S4" s="450"/>
      <c r="T4" s="446"/>
      <c r="U4" s="453"/>
      <c r="X4" s="451"/>
      <c r="Y4" s="451"/>
      <c r="Z4" s="454"/>
      <c r="AA4" s="454"/>
      <c r="AB4" s="454"/>
      <c r="AC4" s="454"/>
      <c r="AN4" s="454"/>
    </row>
    <row r="5" spans="1:40" s="444" customFormat="1" ht="18">
      <c r="A5" s="559" t="s">
        <v>62</v>
      </c>
      <c r="B5" s="560"/>
      <c r="C5" s="560"/>
      <c r="D5" s="560"/>
      <c r="E5" s="560"/>
      <c r="F5" s="560"/>
      <c r="G5" s="560"/>
      <c r="H5" s="561"/>
      <c r="I5" s="150"/>
      <c r="J5" s="455" t="s">
        <v>541</v>
      </c>
      <c r="K5" s="153"/>
      <c r="L5" s="153"/>
      <c r="M5" s="452"/>
      <c r="N5" s="52"/>
      <c r="O5" s="154"/>
      <c r="P5" s="154"/>
      <c r="Q5" s="154"/>
      <c r="R5" s="155"/>
      <c r="S5" s="89"/>
      <c r="T5" s="89"/>
      <c r="U5" s="50"/>
      <c r="V5" s="50"/>
      <c r="W5" s="50"/>
      <c r="X5" s="51"/>
      <c r="Y5" s="51"/>
      <c r="Z5" s="454"/>
      <c r="AA5" s="454"/>
      <c r="AB5" s="454"/>
      <c r="AC5" s="454"/>
      <c r="AN5" s="454"/>
    </row>
    <row r="6" spans="1:40" s="444" customFormat="1" ht="18">
      <c r="A6" s="562" t="s">
        <v>1282</v>
      </c>
      <c r="B6" s="563"/>
      <c r="C6" s="563"/>
      <c r="D6" s="563"/>
      <c r="E6" s="563"/>
      <c r="F6" s="563"/>
      <c r="G6" s="563"/>
      <c r="H6" s="564"/>
      <c r="I6" s="151"/>
      <c r="J6" s="550" t="s">
        <v>520</v>
      </c>
      <c r="K6" s="551"/>
      <c r="L6" s="551"/>
      <c r="M6" s="551"/>
      <c r="N6" s="551"/>
      <c r="O6" s="551"/>
      <c r="P6" s="551"/>
      <c r="Q6" s="551"/>
      <c r="R6" s="552"/>
      <c r="S6" s="90"/>
      <c r="T6" s="90"/>
      <c r="U6" s="453"/>
      <c r="X6" s="52"/>
      <c r="Y6" s="52"/>
      <c r="Z6" s="454"/>
      <c r="AA6" s="454"/>
      <c r="AB6" s="454"/>
      <c r="AC6" s="454"/>
      <c r="AN6" s="454"/>
    </row>
    <row r="7" spans="1:40" ht="18.600000000000001" thickBot="1">
      <c r="A7" s="556" t="s">
        <v>432</v>
      </c>
      <c r="B7" s="557"/>
      <c r="C7" s="557"/>
      <c r="D7" s="557"/>
      <c r="E7" s="557"/>
      <c r="F7" s="557"/>
      <c r="G7" s="557"/>
      <c r="H7" s="558"/>
      <c r="I7" s="152"/>
      <c r="J7" s="553" t="s">
        <v>521</v>
      </c>
      <c r="K7" s="554"/>
      <c r="L7" s="554"/>
      <c r="M7" s="554"/>
      <c r="N7" s="554"/>
      <c r="O7" s="554"/>
      <c r="P7" s="555"/>
      <c r="Q7" s="49"/>
      <c r="T7" s="571"/>
      <c r="U7" s="571"/>
      <c r="V7" s="53"/>
      <c r="W7" s="343"/>
    </row>
    <row r="8" spans="1:40" ht="56.7" customHeight="1" thickBot="1">
      <c r="A8" s="189" t="s">
        <v>1269</v>
      </c>
      <c r="B8" s="55"/>
      <c r="C8" s="56"/>
      <c r="D8" s="56"/>
      <c r="E8" s="57"/>
      <c r="F8" s="58"/>
      <c r="G8" s="49"/>
      <c r="H8" s="537" t="s">
        <v>1438</v>
      </c>
      <c r="I8" s="537">
        <f>+SUM(A12:A241)</f>
        <v>81</v>
      </c>
      <c r="J8" s="49"/>
      <c r="K8" s="53"/>
      <c r="L8" s="53"/>
      <c r="M8" s="49"/>
      <c r="N8" s="49"/>
      <c r="O8" s="49"/>
      <c r="P8" s="49"/>
      <c r="Q8" s="49"/>
      <c r="R8" s="91"/>
      <c r="S8" s="575" t="s">
        <v>529</v>
      </c>
      <c r="T8" s="575"/>
      <c r="U8" s="575"/>
      <c r="V8" s="575"/>
      <c r="W8" s="344"/>
      <c r="X8" s="593" t="s">
        <v>615</v>
      </c>
      <c r="Y8" s="593"/>
      <c r="Z8" s="593"/>
      <c r="AA8" s="593"/>
      <c r="AB8" s="593"/>
      <c r="AC8" s="593"/>
      <c r="AD8" s="593"/>
      <c r="AE8" s="593"/>
      <c r="AF8" s="593"/>
      <c r="AG8" s="593"/>
      <c r="AH8" s="593"/>
      <c r="AI8" s="593"/>
      <c r="AJ8" s="593"/>
      <c r="AK8" s="593"/>
    </row>
    <row r="9" spans="1:40" ht="31.2">
      <c r="A9" s="48"/>
      <c r="B9" s="59"/>
      <c r="C9" s="49"/>
      <c r="D9" s="49"/>
      <c r="E9" s="60"/>
      <c r="F9" s="61"/>
      <c r="G9" s="49"/>
      <c r="J9" s="583" t="s">
        <v>361</v>
      </c>
      <c r="K9" s="584"/>
      <c r="L9" s="53"/>
      <c r="M9" s="568" t="s">
        <v>33</v>
      </c>
      <c r="N9" s="569"/>
      <c r="O9" s="570"/>
      <c r="P9" s="49"/>
      <c r="Q9" s="49"/>
      <c r="R9" s="59"/>
      <c r="U9" s="190" t="s">
        <v>500</v>
      </c>
      <c r="V9" s="53"/>
      <c r="W9" s="343"/>
      <c r="AM9" s="191"/>
      <c r="AN9" s="191"/>
    </row>
    <row r="10" spans="1:40" ht="72" customHeight="1">
      <c r="A10" s="589"/>
      <c r="B10" s="565" t="s">
        <v>1</v>
      </c>
      <c r="C10" s="567" t="s">
        <v>263</v>
      </c>
      <c r="D10" s="567" t="s">
        <v>264</v>
      </c>
      <c r="E10" s="578" t="s">
        <v>0</v>
      </c>
      <c r="F10" s="579" t="s">
        <v>2</v>
      </c>
      <c r="G10" s="580" t="s">
        <v>31</v>
      </c>
      <c r="H10" s="581" t="s">
        <v>32</v>
      </c>
      <c r="I10" s="582" t="s">
        <v>262</v>
      </c>
      <c r="J10" s="585" t="s">
        <v>522</v>
      </c>
      <c r="K10" s="585" t="s">
        <v>523</v>
      </c>
      <c r="L10" s="587" t="s">
        <v>524</v>
      </c>
      <c r="M10" s="586">
        <v>1</v>
      </c>
      <c r="N10" s="586">
        <v>2</v>
      </c>
      <c r="O10" s="586" t="s">
        <v>56</v>
      </c>
      <c r="P10" s="591" t="s">
        <v>379</v>
      </c>
      <c r="Q10" s="591" t="s">
        <v>380</v>
      </c>
      <c r="R10" s="572" t="s">
        <v>528</v>
      </c>
      <c r="S10" s="576" t="s">
        <v>3</v>
      </c>
      <c r="T10" s="577" t="s">
        <v>534</v>
      </c>
      <c r="U10" s="577" t="s">
        <v>48</v>
      </c>
      <c r="V10" s="595" t="s">
        <v>590</v>
      </c>
      <c r="W10" s="596" t="s">
        <v>604</v>
      </c>
      <c r="X10" s="573" t="s">
        <v>1136</v>
      </c>
      <c r="Y10" s="594" t="s">
        <v>517</v>
      </c>
      <c r="Z10" s="594" t="s">
        <v>518</v>
      </c>
      <c r="AA10" s="594" t="s">
        <v>476</v>
      </c>
      <c r="AB10" s="573" t="s">
        <v>519</v>
      </c>
      <c r="AC10" s="574" t="s">
        <v>469</v>
      </c>
      <c r="AD10" s="574" t="s">
        <v>470</v>
      </c>
      <c r="AE10" s="574" t="s">
        <v>471</v>
      </c>
      <c r="AF10" s="574" t="s">
        <v>472</v>
      </c>
      <c r="AG10" s="574" t="s">
        <v>473</v>
      </c>
      <c r="AH10" s="574" t="s">
        <v>474</v>
      </c>
      <c r="AI10" s="574" t="s">
        <v>475</v>
      </c>
      <c r="AJ10" s="574" t="s">
        <v>503</v>
      </c>
      <c r="AK10" s="574" t="s">
        <v>536</v>
      </c>
      <c r="AL10" s="566" t="s">
        <v>339</v>
      </c>
      <c r="AM10" s="191"/>
      <c r="AN10" s="191"/>
    </row>
    <row r="11" spans="1:40" s="193" customFormat="1" ht="24" customHeight="1">
      <c r="A11" s="590"/>
      <c r="B11" s="565"/>
      <c r="C11" s="567"/>
      <c r="D11" s="567"/>
      <c r="E11" s="578"/>
      <c r="F11" s="579"/>
      <c r="G11" s="580"/>
      <c r="H11" s="581"/>
      <c r="I11" s="582"/>
      <c r="J11" s="585"/>
      <c r="K11" s="585"/>
      <c r="L11" s="588"/>
      <c r="M11" s="586"/>
      <c r="N11" s="586"/>
      <c r="O11" s="586"/>
      <c r="P11" s="592"/>
      <c r="Q11" s="592"/>
      <c r="R11" s="572"/>
      <c r="S11" s="576"/>
      <c r="T11" s="577"/>
      <c r="U11" s="577"/>
      <c r="V11" s="595"/>
      <c r="W11" s="596"/>
      <c r="X11" s="573"/>
      <c r="Y11" s="594"/>
      <c r="Z11" s="594"/>
      <c r="AA11" s="594"/>
      <c r="AB11" s="573"/>
      <c r="AC11" s="574"/>
      <c r="AD11" s="574"/>
      <c r="AE11" s="574"/>
      <c r="AF11" s="574"/>
      <c r="AG11" s="574"/>
      <c r="AH11" s="574"/>
      <c r="AI11" s="574"/>
      <c r="AJ11" s="574"/>
      <c r="AK11" s="574"/>
      <c r="AL11" s="566" t="s">
        <v>58</v>
      </c>
      <c r="AM11" s="192"/>
    </row>
    <row r="12" spans="1:40" s="265" customFormat="1" ht="13.8">
      <c r="A12" s="180">
        <v>1</v>
      </c>
      <c r="B12" s="266" t="s">
        <v>621</v>
      </c>
      <c r="C12" s="266" t="s">
        <v>843</v>
      </c>
      <c r="D12" s="266" t="s">
        <v>844</v>
      </c>
      <c r="E12" s="267">
        <v>41</v>
      </c>
      <c r="F12" s="179" t="s">
        <v>29</v>
      </c>
      <c r="G12" s="156" t="s">
        <v>629</v>
      </c>
      <c r="H12" s="323">
        <v>45765</v>
      </c>
      <c r="I12" s="324">
        <v>45896</v>
      </c>
      <c r="J12" s="321"/>
      <c r="K12" s="322">
        <f>+J12+180</f>
        <v>180</v>
      </c>
      <c r="L12" s="263"/>
      <c r="M12" s="262"/>
      <c r="N12" s="262"/>
      <c r="O12" s="262"/>
      <c r="P12" s="262"/>
      <c r="Q12" s="262"/>
      <c r="R12" s="262"/>
      <c r="S12" s="204" t="s">
        <v>39</v>
      </c>
      <c r="T12" s="261" t="s">
        <v>55</v>
      </c>
      <c r="U12" s="261"/>
      <c r="V12" s="263"/>
      <c r="W12" s="348"/>
      <c r="X12" s="264"/>
      <c r="Y12" s="264"/>
      <c r="Z12" s="264"/>
      <c r="AA12" s="264"/>
      <c r="AB12" s="261"/>
      <c r="AC12" s="261"/>
      <c r="AD12" s="261"/>
      <c r="AE12" s="261"/>
      <c r="AF12" s="261"/>
      <c r="AG12" s="261"/>
      <c r="AH12" s="261"/>
      <c r="AI12" s="261"/>
      <c r="AJ12" s="261"/>
      <c r="AK12" s="261"/>
      <c r="AL12" s="264" t="s">
        <v>1096</v>
      </c>
    </row>
    <row r="13" spans="1:40" s="265" customFormat="1" ht="22.8">
      <c r="A13" s="180">
        <v>1</v>
      </c>
      <c r="B13" s="266" t="s">
        <v>634</v>
      </c>
      <c r="C13" s="164" t="s">
        <v>845</v>
      </c>
      <c r="D13" s="266" t="s">
        <v>846</v>
      </c>
      <c r="E13" s="267">
        <v>29</v>
      </c>
      <c r="F13" s="179" t="s">
        <v>29</v>
      </c>
      <c r="G13" s="156" t="s">
        <v>629</v>
      </c>
      <c r="H13" s="323">
        <v>45828</v>
      </c>
      <c r="I13" s="324">
        <v>45894</v>
      </c>
      <c r="J13" s="321"/>
      <c r="K13" s="322">
        <f t="shared" ref="K13:K75" si="0">+J13+180</f>
        <v>180</v>
      </c>
      <c r="L13" s="263"/>
      <c r="M13" s="262" t="s">
        <v>960</v>
      </c>
      <c r="N13" s="262" t="s">
        <v>961</v>
      </c>
      <c r="O13" s="262"/>
      <c r="P13" s="262"/>
      <c r="Q13" s="262"/>
      <c r="R13" s="262"/>
      <c r="S13" s="204" t="s">
        <v>43</v>
      </c>
      <c r="T13" s="261"/>
      <c r="U13" s="261"/>
      <c r="V13" s="263"/>
      <c r="W13" s="345" t="s">
        <v>1287</v>
      </c>
      <c r="X13" s="264"/>
      <c r="Y13" s="264"/>
      <c r="Z13" s="264"/>
      <c r="AA13" s="264"/>
      <c r="AB13" s="261"/>
      <c r="AC13" s="261"/>
      <c r="AD13" s="261"/>
      <c r="AE13" s="261"/>
      <c r="AF13" s="261"/>
      <c r="AG13" s="261"/>
      <c r="AH13" s="261"/>
      <c r="AI13" s="261"/>
      <c r="AJ13" s="261"/>
      <c r="AK13" s="261"/>
      <c r="AL13" s="264" t="s">
        <v>1097</v>
      </c>
    </row>
    <row r="14" spans="1:40" s="265" customFormat="1" ht="13.8">
      <c r="A14" s="180">
        <v>1</v>
      </c>
      <c r="B14" s="266" t="s">
        <v>634</v>
      </c>
      <c r="C14" s="266" t="s">
        <v>847</v>
      </c>
      <c r="D14" s="266" t="s">
        <v>848</v>
      </c>
      <c r="E14" s="267">
        <v>30</v>
      </c>
      <c r="F14" s="179"/>
      <c r="G14" s="156" t="s">
        <v>629</v>
      </c>
      <c r="H14" s="323">
        <v>45743</v>
      </c>
      <c r="I14" s="324">
        <v>45869</v>
      </c>
      <c r="J14" s="321"/>
      <c r="K14" s="322">
        <f t="shared" si="0"/>
        <v>180</v>
      </c>
      <c r="L14" s="263"/>
      <c r="M14" s="262"/>
      <c r="N14" s="262"/>
      <c r="O14" s="262">
        <v>0</v>
      </c>
      <c r="P14" s="262"/>
      <c r="Q14" s="262"/>
      <c r="R14" s="262"/>
      <c r="S14" s="204" t="s">
        <v>39</v>
      </c>
      <c r="T14" s="261" t="s">
        <v>54</v>
      </c>
      <c r="U14" s="261"/>
      <c r="V14" s="263"/>
      <c r="W14" s="348"/>
      <c r="X14" s="264"/>
      <c r="Y14" s="264"/>
      <c r="Z14" s="264"/>
      <c r="AA14" s="264"/>
      <c r="AB14" s="261"/>
      <c r="AC14" s="261"/>
      <c r="AD14" s="261"/>
      <c r="AE14" s="261"/>
      <c r="AF14" s="261"/>
      <c r="AG14" s="261"/>
      <c r="AH14" s="261"/>
      <c r="AI14" s="261"/>
      <c r="AJ14" s="261"/>
      <c r="AK14" s="261"/>
      <c r="AL14" s="264" t="s">
        <v>1098</v>
      </c>
    </row>
    <row r="15" spans="1:40" ht="13.8">
      <c r="A15" s="180">
        <v>1</v>
      </c>
      <c r="B15" s="266" t="s">
        <v>634</v>
      </c>
      <c r="C15" s="268" t="s">
        <v>849</v>
      </c>
      <c r="D15" s="266" t="s">
        <v>850</v>
      </c>
      <c r="E15" s="267">
        <v>30</v>
      </c>
      <c r="F15" s="179"/>
      <c r="G15" s="156" t="s">
        <v>629</v>
      </c>
      <c r="H15" s="323">
        <v>45811</v>
      </c>
      <c r="I15" s="324">
        <v>45901</v>
      </c>
      <c r="J15" s="325"/>
      <c r="K15" s="322">
        <f t="shared" si="0"/>
        <v>180</v>
      </c>
      <c r="L15" s="270"/>
      <c r="M15" s="269" t="s">
        <v>962</v>
      </c>
      <c r="N15" s="269" t="s">
        <v>963</v>
      </c>
      <c r="O15" s="269" t="s">
        <v>964</v>
      </c>
      <c r="P15" s="269"/>
      <c r="Q15" s="269"/>
      <c r="R15" s="271"/>
      <c r="S15" s="272" t="s">
        <v>43</v>
      </c>
      <c r="T15" s="273"/>
      <c r="U15" s="273"/>
      <c r="V15" s="270"/>
      <c r="W15" s="349"/>
      <c r="X15" s="274"/>
      <c r="Y15" s="274"/>
      <c r="Z15" s="274"/>
      <c r="AA15" s="274"/>
      <c r="AB15" s="273"/>
      <c r="AC15" s="273"/>
      <c r="AD15" s="273"/>
      <c r="AE15" s="273"/>
      <c r="AF15" s="273"/>
      <c r="AG15" s="273"/>
      <c r="AH15" s="273"/>
      <c r="AI15" s="273"/>
      <c r="AJ15" s="273"/>
      <c r="AK15" s="273"/>
      <c r="AL15" s="274" t="s">
        <v>1099</v>
      </c>
    </row>
    <row r="16" spans="1:40" ht="13.8">
      <c r="A16" s="180">
        <v>1</v>
      </c>
      <c r="B16" s="266" t="s">
        <v>634</v>
      </c>
      <c r="C16" s="266" t="s">
        <v>851</v>
      </c>
      <c r="D16" s="266" t="s">
        <v>852</v>
      </c>
      <c r="E16" s="267">
        <v>30</v>
      </c>
      <c r="F16" s="179" t="s">
        <v>8</v>
      </c>
      <c r="G16" s="266" t="s">
        <v>76</v>
      </c>
      <c r="H16" s="323">
        <v>45818</v>
      </c>
      <c r="I16" s="324">
        <v>45894</v>
      </c>
      <c r="J16" s="325"/>
      <c r="K16" s="322">
        <f t="shared" si="0"/>
        <v>180</v>
      </c>
      <c r="L16" s="270"/>
      <c r="M16" s="269"/>
      <c r="N16" s="269"/>
      <c r="O16" s="269"/>
      <c r="P16" s="269"/>
      <c r="Q16" s="269"/>
      <c r="R16" s="271"/>
      <c r="S16" s="272" t="s">
        <v>39</v>
      </c>
      <c r="T16" s="273" t="s">
        <v>34</v>
      </c>
      <c r="U16" s="273"/>
      <c r="V16" s="270"/>
      <c r="W16" s="349"/>
      <c r="X16" s="274"/>
      <c r="Y16" s="274"/>
      <c r="Z16" s="274"/>
      <c r="AA16" s="274"/>
      <c r="AB16" s="273"/>
      <c r="AC16" s="273"/>
      <c r="AD16" s="273"/>
      <c r="AE16" s="273"/>
      <c r="AF16" s="273"/>
      <c r="AG16" s="273"/>
      <c r="AH16" s="273"/>
      <c r="AI16" s="273"/>
      <c r="AJ16" s="273"/>
      <c r="AK16" s="273"/>
      <c r="AL16" s="274"/>
    </row>
    <row r="17" spans="1:38" ht="13.8">
      <c r="A17" s="180">
        <v>1</v>
      </c>
      <c r="B17" s="266" t="s">
        <v>634</v>
      </c>
      <c r="C17" s="266" t="s">
        <v>853</v>
      </c>
      <c r="D17" s="266" t="s">
        <v>854</v>
      </c>
      <c r="E17" s="267">
        <v>39</v>
      </c>
      <c r="F17" s="179" t="s">
        <v>29</v>
      </c>
      <c r="G17" s="156" t="s">
        <v>629</v>
      </c>
      <c r="H17" s="323">
        <v>45800</v>
      </c>
      <c r="I17" s="324">
        <v>45901</v>
      </c>
      <c r="J17" s="325"/>
      <c r="K17" s="322">
        <f t="shared" si="0"/>
        <v>180</v>
      </c>
      <c r="L17" s="270"/>
      <c r="M17" s="269"/>
      <c r="N17" s="269"/>
      <c r="O17" s="269"/>
      <c r="P17" s="269"/>
      <c r="Q17" s="269"/>
      <c r="R17" s="271"/>
      <c r="S17" s="272" t="s">
        <v>42</v>
      </c>
      <c r="T17" s="273"/>
      <c r="U17" s="273"/>
      <c r="V17" s="270"/>
      <c r="W17" s="349"/>
      <c r="X17" s="274"/>
      <c r="Y17" s="274"/>
      <c r="Z17" s="274"/>
      <c r="AA17" s="274"/>
      <c r="AB17" s="273"/>
      <c r="AC17" s="273"/>
      <c r="AD17" s="273"/>
      <c r="AE17" s="273"/>
      <c r="AF17" s="273"/>
      <c r="AG17" s="273"/>
      <c r="AH17" s="273"/>
      <c r="AI17" s="273"/>
      <c r="AJ17" s="273"/>
      <c r="AK17" s="273"/>
      <c r="AL17" s="274"/>
    </row>
    <row r="18" spans="1:38" ht="22.8">
      <c r="A18" s="180">
        <v>1</v>
      </c>
      <c r="B18" s="266" t="s">
        <v>634</v>
      </c>
      <c r="C18" s="266" t="s">
        <v>855</v>
      </c>
      <c r="D18" s="266" t="s">
        <v>856</v>
      </c>
      <c r="E18" s="267">
        <v>33</v>
      </c>
      <c r="F18" s="179"/>
      <c r="G18" s="156" t="s">
        <v>629</v>
      </c>
      <c r="H18" s="323">
        <v>45828</v>
      </c>
      <c r="I18" s="324">
        <v>45883</v>
      </c>
      <c r="J18" s="325"/>
      <c r="K18" s="322">
        <f t="shared" si="0"/>
        <v>180</v>
      </c>
      <c r="L18" s="270"/>
      <c r="M18" s="269"/>
      <c r="N18" s="269"/>
      <c r="O18" s="269"/>
      <c r="P18" s="269"/>
      <c r="Q18" s="269"/>
      <c r="R18" s="271"/>
      <c r="S18" s="272" t="s">
        <v>43</v>
      </c>
      <c r="T18" s="273"/>
      <c r="U18" s="273"/>
      <c r="V18" s="270"/>
      <c r="W18" s="349"/>
      <c r="X18" s="274"/>
      <c r="Y18" s="274"/>
      <c r="Z18" s="274"/>
      <c r="AA18" s="274"/>
      <c r="AB18" s="273"/>
      <c r="AC18" s="273"/>
      <c r="AD18" s="273"/>
      <c r="AE18" s="273"/>
      <c r="AF18" s="273"/>
      <c r="AG18" s="273"/>
      <c r="AH18" s="273"/>
      <c r="AI18" s="273"/>
      <c r="AJ18" s="273"/>
      <c r="AK18" s="273"/>
      <c r="AL18" s="274"/>
    </row>
    <row r="19" spans="1:38" ht="13.8">
      <c r="A19" s="180">
        <v>1</v>
      </c>
      <c r="B19" s="266" t="s">
        <v>634</v>
      </c>
      <c r="C19" s="266" t="s">
        <v>857</v>
      </c>
      <c r="D19" s="266" t="s">
        <v>858</v>
      </c>
      <c r="E19" s="267">
        <v>36</v>
      </c>
      <c r="F19" s="179"/>
      <c r="G19" s="266" t="s">
        <v>76</v>
      </c>
      <c r="H19" s="323">
        <v>45819</v>
      </c>
      <c r="I19" s="324">
        <v>45894</v>
      </c>
      <c r="J19" s="325"/>
      <c r="K19" s="322">
        <f t="shared" si="0"/>
        <v>180</v>
      </c>
      <c r="L19" s="270"/>
      <c r="M19" s="269"/>
      <c r="N19" s="269"/>
      <c r="O19" s="269"/>
      <c r="P19" s="269"/>
      <c r="Q19" s="269"/>
      <c r="R19" s="271"/>
      <c r="S19" s="272" t="s">
        <v>39</v>
      </c>
      <c r="T19" s="273" t="s">
        <v>34</v>
      </c>
      <c r="U19" s="273"/>
      <c r="V19" s="270"/>
      <c r="W19" s="349"/>
      <c r="X19" s="274"/>
      <c r="Y19" s="274"/>
      <c r="Z19" s="274"/>
      <c r="AA19" s="274"/>
      <c r="AB19" s="273"/>
      <c r="AC19" s="273"/>
      <c r="AD19" s="273"/>
      <c r="AE19" s="273"/>
      <c r="AF19" s="273"/>
      <c r="AG19" s="273"/>
      <c r="AH19" s="273"/>
      <c r="AI19" s="273"/>
      <c r="AJ19" s="273"/>
      <c r="AK19" s="273"/>
      <c r="AL19" s="274"/>
    </row>
    <row r="20" spans="1:38" ht="13.8">
      <c r="A20" s="180">
        <v>1</v>
      </c>
      <c r="B20" s="176" t="s">
        <v>621</v>
      </c>
      <c r="C20" s="176" t="s">
        <v>859</v>
      </c>
      <c r="D20" s="176" t="s">
        <v>333</v>
      </c>
      <c r="E20" s="178">
        <v>38</v>
      </c>
      <c r="F20" s="179"/>
      <c r="G20" s="156" t="s">
        <v>629</v>
      </c>
      <c r="H20" s="323">
        <v>45821</v>
      </c>
      <c r="I20" s="128"/>
      <c r="J20" s="321"/>
      <c r="K20" s="322">
        <f t="shared" si="0"/>
        <v>180</v>
      </c>
      <c r="L20" s="263"/>
      <c r="M20" s="262"/>
      <c r="N20" s="262"/>
      <c r="O20" s="262"/>
      <c r="P20" s="262"/>
      <c r="Q20" s="262"/>
      <c r="R20" s="262"/>
      <c r="S20" s="204" t="s">
        <v>39</v>
      </c>
      <c r="T20" s="261" t="s">
        <v>50</v>
      </c>
      <c r="U20" s="261"/>
      <c r="V20" s="263"/>
      <c r="W20" s="349"/>
      <c r="X20" s="274"/>
      <c r="Y20" s="274"/>
      <c r="Z20" s="274"/>
      <c r="AA20" s="274"/>
      <c r="AB20" s="273"/>
      <c r="AC20" s="273"/>
      <c r="AD20" s="273"/>
      <c r="AE20" s="273"/>
      <c r="AF20" s="273"/>
      <c r="AG20" s="273"/>
      <c r="AH20" s="273"/>
      <c r="AI20" s="273"/>
      <c r="AJ20" s="273"/>
      <c r="AK20" s="273"/>
      <c r="AL20" s="274"/>
    </row>
    <row r="21" spans="1:38" ht="13.8">
      <c r="A21" s="180">
        <v>1</v>
      </c>
      <c r="B21" s="266" t="s">
        <v>634</v>
      </c>
      <c r="C21" s="266" t="s">
        <v>860</v>
      </c>
      <c r="D21" s="266" t="s">
        <v>861</v>
      </c>
      <c r="E21" s="267">
        <v>46</v>
      </c>
      <c r="F21" s="179"/>
      <c r="G21" s="156" t="s">
        <v>629</v>
      </c>
      <c r="H21" s="323">
        <v>45810</v>
      </c>
      <c r="I21" s="324">
        <v>45881</v>
      </c>
      <c r="J21" s="325"/>
      <c r="K21" s="322">
        <f t="shared" si="0"/>
        <v>180</v>
      </c>
      <c r="L21" s="270"/>
      <c r="M21" s="269"/>
      <c r="N21" s="269"/>
      <c r="O21" s="269"/>
      <c r="P21" s="269"/>
      <c r="Q21" s="269"/>
      <c r="R21" s="271"/>
      <c r="S21" s="272" t="s">
        <v>42</v>
      </c>
      <c r="T21" s="273"/>
      <c r="U21" s="273"/>
      <c r="V21" s="270"/>
      <c r="W21" s="349"/>
      <c r="X21" s="274"/>
      <c r="Y21" s="274"/>
      <c r="Z21" s="274"/>
      <c r="AA21" s="274"/>
      <c r="AB21" s="273"/>
      <c r="AC21" s="273"/>
      <c r="AD21" s="273"/>
      <c r="AE21" s="273"/>
      <c r="AF21" s="273"/>
      <c r="AG21" s="273"/>
      <c r="AH21" s="273"/>
      <c r="AI21" s="273"/>
      <c r="AJ21" s="273"/>
      <c r="AK21" s="273"/>
      <c r="AL21" s="274"/>
    </row>
    <row r="22" spans="1:38" ht="13.8">
      <c r="A22" s="180">
        <v>1</v>
      </c>
      <c r="B22" s="266" t="s">
        <v>634</v>
      </c>
      <c r="C22" s="266" t="s">
        <v>862</v>
      </c>
      <c r="D22" s="266" t="s">
        <v>863</v>
      </c>
      <c r="E22" s="267">
        <v>40</v>
      </c>
      <c r="F22" s="179"/>
      <c r="G22" s="156" t="s">
        <v>629</v>
      </c>
      <c r="H22" s="323">
        <v>45758</v>
      </c>
      <c r="I22" s="324">
        <v>45881</v>
      </c>
      <c r="J22" s="325"/>
      <c r="K22" s="322">
        <f t="shared" si="0"/>
        <v>180</v>
      </c>
      <c r="L22" s="270"/>
      <c r="M22" s="269"/>
      <c r="N22" s="269"/>
      <c r="O22" s="269"/>
      <c r="P22" s="269"/>
      <c r="Q22" s="269"/>
      <c r="R22" s="271"/>
      <c r="S22" s="272" t="s">
        <v>39</v>
      </c>
      <c r="T22" s="273" t="s">
        <v>54</v>
      </c>
      <c r="U22" s="273"/>
      <c r="V22" s="270"/>
      <c r="W22" s="349"/>
      <c r="X22" s="274"/>
      <c r="Y22" s="274"/>
      <c r="Z22" s="274"/>
      <c r="AA22" s="274"/>
      <c r="AB22" s="273"/>
      <c r="AC22" s="273"/>
      <c r="AD22" s="273"/>
      <c r="AE22" s="273"/>
      <c r="AF22" s="273"/>
      <c r="AG22" s="273"/>
      <c r="AH22" s="273"/>
      <c r="AI22" s="273"/>
      <c r="AJ22" s="273"/>
      <c r="AK22" s="273"/>
      <c r="AL22" s="274" t="s">
        <v>1100</v>
      </c>
    </row>
    <row r="23" spans="1:38" ht="13.8">
      <c r="A23" s="180">
        <v>1</v>
      </c>
      <c r="B23" s="266" t="s">
        <v>634</v>
      </c>
      <c r="C23" s="266" t="s">
        <v>665</v>
      </c>
      <c r="D23" s="266" t="s">
        <v>864</v>
      </c>
      <c r="E23" s="267">
        <v>44</v>
      </c>
      <c r="F23" s="179" t="s">
        <v>29</v>
      </c>
      <c r="G23" s="156" t="s">
        <v>629</v>
      </c>
      <c r="H23" s="323">
        <v>45777</v>
      </c>
      <c r="I23" s="323">
        <v>45889</v>
      </c>
      <c r="J23" s="325"/>
      <c r="K23" s="322">
        <f t="shared" si="0"/>
        <v>180</v>
      </c>
      <c r="L23" s="270"/>
      <c r="M23" s="269"/>
      <c r="N23" s="269"/>
      <c r="O23" s="269"/>
      <c r="P23" s="269"/>
      <c r="Q23" s="269"/>
      <c r="R23" s="271"/>
      <c r="S23" s="272" t="s">
        <v>39</v>
      </c>
      <c r="T23" s="273" t="s">
        <v>34</v>
      </c>
      <c r="U23" s="273"/>
      <c r="V23" s="270"/>
      <c r="W23" s="345"/>
      <c r="X23" s="274"/>
      <c r="Y23" s="274"/>
      <c r="Z23" s="274"/>
      <c r="AA23" s="274"/>
      <c r="AB23" s="273"/>
      <c r="AC23" s="273"/>
      <c r="AD23" s="273"/>
      <c r="AE23" s="273"/>
      <c r="AF23" s="273"/>
      <c r="AG23" s="273"/>
      <c r="AH23" s="273"/>
      <c r="AI23" s="273"/>
      <c r="AJ23" s="273"/>
      <c r="AK23" s="273"/>
      <c r="AL23" s="274" t="s">
        <v>1166</v>
      </c>
    </row>
    <row r="24" spans="1:38" ht="13.8">
      <c r="A24" s="180">
        <v>1</v>
      </c>
      <c r="B24" s="266" t="s">
        <v>621</v>
      </c>
      <c r="C24" s="266" t="s">
        <v>865</v>
      </c>
      <c r="D24" s="266" t="s">
        <v>866</v>
      </c>
      <c r="E24" s="267">
        <v>34</v>
      </c>
      <c r="F24" s="179"/>
      <c r="G24" s="266" t="s">
        <v>76</v>
      </c>
      <c r="H24" s="323">
        <v>45824</v>
      </c>
      <c r="I24" s="324">
        <v>45894</v>
      </c>
      <c r="J24" s="325"/>
      <c r="K24" s="322">
        <f t="shared" si="0"/>
        <v>180</v>
      </c>
      <c r="L24" s="270"/>
      <c r="M24" s="269"/>
      <c r="N24" s="269"/>
      <c r="O24" s="269"/>
      <c r="P24" s="269"/>
      <c r="Q24" s="269"/>
      <c r="R24" s="271"/>
      <c r="S24" s="272" t="s">
        <v>39</v>
      </c>
      <c r="T24" s="273" t="s">
        <v>54</v>
      </c>
      <c r="U24" s="273" t="s">
        <v>1041</v>
      </c>
      <c r="V24" s="270"/>
      <c r="W24" s="349"/>
      <c r="X24" s="274"/>
      <c r="Y24" s="274"/>
      <c r="Z24" s="274"/>
      <c r="AA24" s="274"/>
      <c r="AB24" s="273"/>
      <c r="AC24" s="273"/>
      <c r="AD24" s="273"/>
      <c r="AE24" s="273"/>
      <c r="AF24" s="273"/>
      <c r="AG24" s="273"/>
      <c r="AH24" s="273"/>
      <c r="AI24" s="273"/>
      <c r="AJ24" s="273"/>
      <c r="AK24" s="273"/>
      <c r="AL24" s="274"/>
    </row>
    <row r="25" spans="1:38" ht="13.8">
      <c r="A25" s="180">
        <v>1</v>
      </c>
      <c r="B25" s="266" t="s">
        <v>634</v>
      </c>
      <c r="C25" s="266" t="s">
        <v>867</v>
      </c>
      <c r="D25" s="266" t="s">
        <v>868</v>
      </c>
      <c r="E25" s="267">
        <v>24</v>
      </c>
      <c r="F25" s="179"/>
      <c r="G25" s="156" t="s">
        <v>629</v>
      </c>
      <c r="H25" s="323">
        <v>45824</v>
      </c>
      <c r="I25" s="324">
        <v>45894</v>
      </c>
      <c r="J25" s="325"/>
      <c r="K25" s="322">
        <f t="shared" si="0"/>
        <v>180</v>
      </c>
      <c r="L25" s="270"/>
      <c r="M25" s="269"/>
      <c r="N25" s="269"/>
      <c r="O25" s="269"/>
      <c r="P25" s="269"/>
      <c r="Q25" s="269"/>
      <c r="R25" s="271"/>
      <c r="S25" s="272" t="s">
        <v>42</v>
      </c>
      <c r="T25" s="273"/>
      <c r="U25" s="273"/>
      <c r="V25" s="270"/>
      <c r="W25" s="349"/>
      <c r="X25" s="274"/>
      <c r="Y25" s="274"/>
      <c r="Z25" s="274"/>
      <c r="AA25" s="274"/>
      <c r="AB25" s="273"/>
      <c r="AC25" s="273"/>
      <c r="AD25" s="273"/>
      <c r="AE25" s="273"/>
      <c r="AF25" s="273"/>
      <c r="AG25" s="273"/>
      <c r="AH25" s="273"/>
      <c r="AI25" s="273"/>
      <c r="AJ25" s="273"/>
      <c r="AK25" s="273"/>
      <c r="AL25" s="274" t="s">
        <v>1101</v>
      </c>
    </row>
    <row r="26" spans="1:38" ht="13.8">
      <c r="A26" s="180">
        <v>1</v>
      </c>
      <c r="B26" s="266" t="s">
        <v>634</v>
      </c>
      <c r="C26" s="266" t="s">
        <v>869</v>
      </c>
      <c r="D26" s="266" t="s">
        <v>413</v>
      </c>
      <c r="E26" s="267">
        <v>56</v>
      </c>
      <c r="F26" s="179"/>
      <c r="G26" s="266" t="s">
        <v>76</v>
      </c>
      <c r="H26" s="323">
        <v>45821</v>
      </c>
      <c r="I26" s="324">
        <v>45894</v>
      </c>
      <c r="J26" s="325"/>
      <c r="K26" s="322">
        <f t="shared" si="0"/>
        <v>180</v>
      </c>
      <c r="L26" s="270"/>
      <c r="M26" s="269"/>
      <c r="N26" s="269"/>
      <c r="O26" s="269"/>
      <c r="P26" s="269"/>
      <c r="Q26" s="269"/>
      <c r="R26" s="271"/>
      <c r="S26" s="272" t="s">
        <v>39</v>
      </c>
      <c r="T26" s="273" t="s">
        <v>54</v>
      </c>
      <c r="U26" s="273" t="s">
        <v>1041</v>
      </c>
      <c r="V26" s="270"/>
      <c r="W26" s="349"/>
      <c r="X26" s="274"/>
      <c r="Y26" s="274"/>
      <c r="Z26" s="274"/>
      <c r="AA26" s="274"/>
      <c r="AB26" s="273"/>
      <c r="AC26" s="273"/>
      <c r="AD26" s="273"/>
      <c r="AE26" s="273"/>
      <c r="AF26" s="273"/>
      <c r="AG26" s="273"/>
      <c r="AH26" s="273"/>
      <c r="AI26" s="273"/>
      <c r="AJ26" s="273"/>
      <c r="AK26" s="273"/>
      <c r="AL26" s="274"/>
    </row>
    <row r="27" spans="1:38" ht="13.8">
      <c r="A27" s="180">
        <v>1</v>
      </c>
      <c r="B27" s="266" t="s">
        <v>634</v>
      </c>
      <c r="C27" s="266" t="s">
        <v>870</v>
      </c>
      <c r="D27" s="266" t="s">
        <v>871</v>
      </c>
      <c r="E27" s="267">
        <v>30</v>
      </c>
      <c r="F27" s="179"/>
      <c r="G27" s="266" t="s">
        <v>76</v>
      </c>
      <c r="H27" s="323">
        <v>45819</v>
      </c>
      <c r="I27" s="324">
        <v>45894</v>
      </c>
      <c r="J27" s="325"/>
      <c r="K27" s="322">
        <f t="shared" si="0"/>
        <v>180</v>
      </c>
      <c r="L27" s="270"/>
      <c r="M27" s="269"/>
      <c r="N27" s="269"/>
      <c r="O27" s="269"/>
      <c r="P27" s="269"/>
      <c r="Q27" s="269"/>
      <c r="R27" s="271"/>
      <c r="S27" s="272" t="s">
        <v>39</v>
      </c>
      <c r="T27" s="273" t="s">
        <v>34</v>
      </c>
      <c r="U27" s="273"/>
      <c r="V27" s="270"/>
      <c r="W27" s="349"/>
      <c r="X27" s="274"/>
      <c r="Y27" s="274"/>
      <c r="Z27" s="274"/>
      <c r="AA27" s="274"/>
      <c r="AB27" s="273"/>
      <c r="AC27" s="273"/>
      <c r="AD27" s="273"/>
      <c r="AE27" s="273"/>
      <c r="AF27" s="273"/>
      <c r="AG27" s="273"/>
      <c r="AH27" s="273"/>
      <c r="AI27" s="273"/>
      <c r="AJ27" s="273"/>
      <c r="AK27" s="273"/>
      <c r="AL27" s="274"/>
    </row>
    <row r="28" spans="1:38" ht="13.8">
      <c r="A28" s="180">
        <v>1</v>
      </c>
      <c r="B28" s="266" t="s">
        <v>634</v>
      </c>
      <c r="C28" s="266" t="s">
        <v>872</v>
      </c>
      <c r="D28" s="266" t="s">
        <v>873</v>
      </c>
      <c r="E28" s="267">
        <v>35</v>
      </c>
      <c r="F28" s="179"/>
      <c r="G28" s="266" t="s">
        <v>76</v>
      </c>
      <c r="H28" s="323">
        <v>45821</v>
      </c>
      <c r="I28" s="324">
        <v>45894</v>
      </c>
      <c r="J28" s="325"/>
      <c r="K28" s="322">
        <f t="shared" si="0"/>
        <v>180</v>
      </c>
      <c r="L28" s="270"/>
      <c r="M28" s="269"/>
      <c r="N28" s="269"/>
      <c r="O28" s="269"/>
      <c r="P28" s="269"/>
      <c r="Q28" s="269"/>
      <c r="R28" s="271"/>
      <c r="S28" s="272" t="s">
        <v>39</v>
      </c>
      <c r="T28" s="273" t="s">
        <v>57</v>
      </c>
      <c r="U28" s="273"/>
      <c r="V28" s="270"/>
      <c r="W28" s="349"/>
      <c r="X28" s="274"/>
      <c r="Y28" s="274"/>
      <c r="Z28" s="274"/>
      <c r="AA28" s="274"/>
      <c r="AB28" s="273"/>
      <c r="AC28" s="273"/>
      <c r="AD28" s="273"/>
      <c r="AE28" s="273"/>
      <c r="AF28" s="273"/>
      <c r="AG28" s="273"/>
      <c r="AH28" s="273"/>
      <c r="AI28" s="273"/>
      <c r="AJ28" s="273"/>
      <c r="AK28" s="273"/>
      <c r="AL28" s="274"/>
    </row>
    <row r="29" spans="1:38" ht="13.8">
      <c r="A29" s="180">
        <v>1</v>
      </c>
      <c r="B29" s="176" t="s">
        <v>621</v>
      </c>
      <c r="C29" s="176" t="s">
        <v>874</v>
      </c>
      <c r="D29" s="176" t="s">
        <v>875</v>
      </c>
      <c r="E29" s="178">
        <v>42</v>
      </c>
      <c r="F29" s="179"/>
      <c r="G29" s="176" t="s">
        <v>76</v>
      </c>
      <c r="H29" s="323">
        <v>45825</v>
      </c>
      <c r="I29" s="324">
        <v>45901</v>
      </c>
      <c r="J29" s="321"/>
      <c r="K29" s="322">
        <f t="shared" si="0"/>
        <v>180</v>
      </c>
      <c r="L29" s="263"/>
      <c r="M29" s="262"/>
      <c r="N29" s="262"/>
      <c r="O29" s="262"/>
      <c r="P29" s="262"/>
      <c r="Q29" s="262"/>
      <c r="R29" s="262"/>
      <c r="S29" s="204" t="s">
        <v>39</v>
      </c>
      <c r="T29" s="261" t="s">
        <v>57</v>
      </c>
      <c r="U29" s="261"/>
      <c r="V29" s="263"/>
      <c r="W29" s="349"/>
      <c r="X29" s="274"/>
      <c r="Y29" s="274"/>
      <c r="Z29" s="274"/>
      <c r="AA29" s="274"/>
      <c r="AB29" s="273"/>
      <c r="AC29" s="273"/>
      <c r="AD29" s="273"/>
      <c r="AE29" s="273"/>
      <c r="AF29" s="273"/>
      <c r="AG29" s="273"/>
      <c r="AH29" s="273"/>
      <c r="AI29" s="273"/>
      <c r="AJ29" s="273"/>
      <c r="AK29" s="273"/>
      <c r="AL29" s="274"/>
    </row>
    <row r="30" spans="1:38" ht="24">
      <c r="A30" s="180">
        <v>1</v>
      </c>
      <c r="B30" s="266" t="s">
        <v>634</v>
      </c>
      <c r="C30" s="268" t="s">
        <v>876</v>
      </c>
      <c r="D30" s="266" t="s">
        <v>877</v>
      </c>
      <c r="E30" s="267">
        <v>34</v>
      </c>
      <c r="F30" s="179"/>
      <c r="G30" s="266" t="s">
        <v>76</v>
      </c>
      <c r="H30" s="323">
        <v>45826</v>
      </c>
      <c r="I30" s="324">
        <v>45901</v>
      </c>
      <c r="J30" s="325"/>
      <c r="K30" s="322">
        <f t="shared" si="0"/>
        <v>180</v>
      </c>
      <c r="L30" s="270"/>
      <c r="M30" s="269"/>
      <c r="N30" s="269"/>
      <c r="O30" s="269"/>
      <c r="P30" s="269"/>
      <c r="Q30" s="269"/>
      <c r="R30" s="271"/>
      <c r="S30" s="272" t="s">
        <v>39</v>
      </c>
      <c r="T30" s="273" t="s">
        <v>54</v>
      </c>
      <c r="U30" s="273"/>
      <c r="V30" s="270"/>
      <c r="W30" s="349"/>
      <c r="X30" s="274"/>
      <c r="Y30" s="274"/>
      <c r="Z30" s="274"/>
      <c r="AA30" s="274"/>
      <c r="AB30" s="273"/>
      <c r="AC30" s="273"/>
      <c r="AD30" s="273"/>
      <c r="AE30" s="273"/>
      <c r="AF30" s="273"/>
      <c r="AG30" s="273"/>
      <c r="AH30" s="273"/>
      <c r="AI30" s="273"/>
      <c r="AJ30" s="273"/>
      <c r="AK30" s="273"/>
      <c r="AL30" s="274" t="s">
        <v>1102</v>
      </c>
    </row>
    <row r="31" spans="1:38" ht="13.8">
      <c r="A31" s="180">
        <v>1</v>
      </c>
      <c r="B31" s="176" t="s">
        <v>634</v>
      </c>
      <c r="C31" s="176" t="s">
        <v>878</v>
      </c>
      <c r="D31" s="176" t="s">
        <v>879</v>
      </c>
      <c r="E31" s="178">
        <v>36</v>
      </c>
      <c r="F31" s="179" t="s">
        <v>11</v>
      </c>
      <c r="G31" s="156" t="s">
        <v>629</v>
      </c>
      <c r="H31" s="323">
        <v>45820</v>
      </c>
      <c r="I31" s="324">
        <v>45901</v>
      </c>
      <c r="J31" s="321"/>
      <c r="K31" s="322">
        <f t="shared" si="0"/>
        <v>180</v>
      </c>
      <c r="L31" s="263"/>
      <c r="M31" s="262" t="s">
        <v>965</v>
      </c>
      <c r="N31" s="262" t="s">
        <v>966</v>
      </c>
      <c r="O31" s="262" t="s">
        <v>967</v>
      </c>
      <c r="P31" s="262"/>
      <c r="Q31" s="262"/>
      <c r="R31" s="262"/>
      <c r="S31" s="204" t="s">
        <v>39</v>
      </c>
      <c r="T31" s="261" t="s">
        <v>50</v>
      </c>
      <c r="U31" s="261"/>
      <c r="V31" s="263"/>
      <c r="W31" s="345" t="s">
        <v>1286</v>
      </c>
      <c r="X31" s="274"/>
      <c r="Y31" s="274"/>
      <c r="Z31" s="274"/>
      <c r="AA31" s="274"/>
      <c r="AB31" s="273"/>
      <c r="AC31" s="273"/>
      <c r="AD31" s="273"/>
      <c r="AE31" s="273"/>
      <c r="AF31" s="273"/>
      <c r="AG31" s="273"/>
      <c r="AH31" s="273"/>
      <c r="AI31" s="273"/>
      <c r="AJ31" s="273"/>
      <c r="AK31" s="273"/>
      <c r="AL31" s="274"/>
    </row>
    <row r="32" spans="1:38" ht="13.8">
      <c r="A32" s="180">
        <v>1</v>
      </c>
      <c r="B32" s="266" t="s">
        <v>621</v>
      </c>
      <c r="C32" s="266" t="s">
        <v>880</v>
      </c>
      <c r="D32" s="266" t="s">
        <v>881</v>
      </c>
      <c r="E32" s="267">
        <v>28</v>
      </c>
      <c r="F32" s="179"/>
      <c r="G32" s="156" t="s">
        <v>629</v>
      </c>
      <c r="H32" s="323">
        <v>45758</v>
      </c>
      <c r="I32" s="324">
        <v>45910</v>
      </c>
      <c r="J32" s="325"/>
      <c r="K32" s="322">
        <f t="shared" si="0"/>
        <v>180</v>
      </c>
      <c r="L32" s="270"/>
      <c r="M32" s="269"/>
      <c r="N32" s="269"/>
      <c r="O32" s="269"/>
      <c r="P32" s="269"/>
      <c r="Q32" s="269"/>
      <c r="R32" s="271"/>
      <c r="S32" s="272" t="s">
        <v>43</v>
      </c>
      <c r="T32" s="273"/>
      <c r="U32" s="273"/>
      <c r="V32" s="270"/>
      <c r="W32" s="349"/>
      <c r="X32" s="274"/>
      <c r="Y32" s="274"/>
      <c r="Z32" s="274"/>
      <c r="AA32" s="274"/>
      <c r="AB32" s="273"/>
      <c r="AC32" s="273"/>
      <c r="AD32" s="273"/>
      <c r="AE32" s="273"/>
      <c r="AF32" s="273"/>
      <c r="AG32" s="273"/>
      <c r="AH32" s="273"/>
      <c r="AI32" s="273"/>
      <c r="AJ32" s="273"/>
      <c r="AK32" s="273"/>
      <c r="AL32" s="274" t="s">
        <v>1103</v>
      </c>
    </row>
    <row r="33" spans="1:38" ht="13.8">
      <c r="A33" s="180">
        <v>1</v>
      </c>
      <c r="B33" s="266" t="s">
        <v>634</v>
      </c>
      <c r="C33" s="266" t="s">
        <v>882</v>
      </c>
      <c r="D33" s="266" t="s">
        <v>716</v>
      </c>
      <c r="E33" s="267">
        <v>28</v>
      </c>
      <c r="F33" s="179"/>
      <c r="G33" s="156" t="s">
        <v>629</v>
      </c>
      <c r="H33" s="323">
        <v>45777</v>
      </c>
      <c r="I33" s="324">
        <v>45908</v>
      </c>
      <c r="J33" s="325"/>
      <c r="K33" s="322">
        <f t="shared" si="0"/>
        <v>180</v>
      </c>
      <c r="L33" s="270"/>
      <c r="M33" s="269"/>
      <c r="N33" s="269"/>
      <c r="O33" s="269"/>
      <c r="P33" s="269"/>
      <c r="Q33" s="269"/>
      <c r="R33" s="271"/>
      <c r="S33" s="272" t="s">
        <v>78</v>
      </c>
      <c r="T33" s="273"/>
      <c r="U33" s="273"/>
      <c r="V33" s="270"/>
      <c r="W33" s="349"/>
      <c r="X33" s="274"/>
      <c r="Y33" s="274"/>
      <c r="Z33" s="274"/>
      <c r="AA33" s="274"/>
      <c r="AB33" s="273"/>
      <c r="AC33" s="273"/>
      <c r="AD33" s="273"/>
      <c r="AE33" s="273"/>
      <c r="AF33" s="273"/>
      <c r="AG33" s="273"/>
      <c r="AH33" s="273"/>
      <c r="AI33" s="273"/>
      <c r="AJ33" s="273"/>
      <c r="AK33" s="273"/>
      <c r="AL33" s="274"/>
    </row>
    <row r="34" spans="1:38" ht="13.8">
      <c r="A34" s="180">
        <v>1</v>
      </c>
      <c r="B34" s="266" t="s">
        <v>634</v>
      </c>
      <c r="C34" s="266" t="s">
        <v>883</v>
      </c>
      <c r="D34" s="266" t="s">
        <v>884</v>
      </c>
      <c r="E34" s="267">
        <v>31</v>
      </c>
      <c r="F34" s="179"/>
      <c r="G34" s="156" t="s">
        <v>629</v>
      </c>
      <c r="H34" s="323">
        <v>45818</v>
      </c>
      <c r="I34" s="324">
        <v>45908</v>
      </c>
      <c r="J34" s="325"/>
      <c r="K34" s="322">
        <f t="shared" si="0"/>
        <v>180</v>
      </c>
      <c r="L34" s="270"/>
      <c r="M34" s="269"/>
      <c r="N34" s="269"/>
      <c r="O34" s="269"/>
      <c r="P34" s="269"/>
      <c r="Q34" s="269"/>
      <c r="R34" s="271"/>
      <c r="S34" s="272" t="s">
        <v>39</v>
      </c>
      <c r="T34" s="273" t="s">
        <v>54</v>
      </c>
      <c r="U34" s="273"/>
      <c r="V34" s="270"/>
      <c r="W34" s="349"/>
      <c r="X34" s="274"/>
      <c r="Y34" s="274"/>
      <c r="Z34" s="274"/>
      <c r="AA34" s="274"/>
      <c r="AB34" s="273"/>
      <c r="AC34" s="273"/>
      <c r="AD34" s="273"/>
      <c r="AE34" s="273"/>
      <c r="AF34" s="273"/>
      <c r="AG34" s="273"/>
      <c r="AH34" s="273"/>
      <c r="AI34" s="273"/>
      <c r="AJ34" s="273"/>
      <c r="AK34" s="273"/>
      <c r="AL34" s="274" t="s">
        <v>1104</v>
      </c>
    </row>
    <row r="35" spans="1:38" ht="13.8">
      <c r="A35" s="180">
        <v>1</v>
      </c>
      <c r="B35" s="176" t="s">
        <v>634</v>
      </c>
      <c r="C35" s="176" t="s">
        <v>885</v>
      </c>
      <c r="D35" s="176" t="s">
        <v>886</v>
      </c>
      <c r="E35" s="178">
        <v>33</v>
      </c>
      <c r="F35" s="179"/>
      <c r="G35" s="176" t="s">
        <v>76</v>
      </c>
      <c r="H35" s="323">
        <v>45786</v>
      </c>
      <c r="I35" s="324">
        <v>45908</v>
      </c>
      <c r="J35" s="321"/>
      <c r="K35" s="322">
        <f t="shared" si="0"/>
        <v>180</v>
      </c>
      <c r="L35" s="263"/>
      <c r="M35" s="262"/>
      <c r="N35" s="262"/>
      <c r="O35" s="262"/>
      <c r="P35" s="262"/>
      <c r="Q35" s="262"/>
      <c r="R35" s="262"/>
      <c r="S35" s="204" t="s">
        <v>39</v>
      </c>
      <c r="T35" s="261" t="s">
        <v>52</v>
      </c>
      <c r="U35" s="261"/>
      <c r="V35" s="263"/>
      <c r="W35" s="349"/>
      <c r="X35" s="274"/>
      <c r="Y35" s="274"/>
      <c r="Z35" s="274"/>
      <c r="AA35" s="274"/>
      <c r="AB35" s="273"/>
      <c r="AC35" s="273"/>
      <c r="AD35" s="273"/>
      <c r="AE35" s="273"/>
      <c r="AF35" s="273"/>
      <c r="AG35" s="273"/>
      <c r="AH35" s="273"/>
      <c r="AI35" s="273"/>
      <c r="AJ35" s="273"/>
      <c r="AK35" s="273"/>
      <c r="AL35" s="274"/>
    </row>
    <row r="36" spans="1:38" ht="13.8">
      <c r="A36" s="180">
        <v>1</v>
      </c>
      <c r="B36" s="176" t="s">
        <v>634</v>
      </c>
      <c r="C36" s="176" t="s">
        <v>887</v>
      </c>
      <c r="D36" s="176" t="s">
        <v>304</v>
      </c>
      <c r="E36" s="178">
        <v>50</v>
      </c>
      <c r="F36" s="179"/>
      <c r="G36" s="176" t="s">
        <v>76</v>
      </c>
      <c r="H36" s="323">
        <v>45825</v>
      </c>
      <c r="I36" s="324">
        <v>45901</v>
      </c>
      <c r="J36" s="321"/>
      <c r="K36" s="322">
        <f t="shared" si="0"/>
        <v>180</v>
      </c>
      <c r="L36" s="263"/>
      <c r="M36" s="262"/>
      <c r="N36" s="262"/>
      <c r="O36" s="262"/>
      <c r="P36" s="262"/>
      <c r="Q36" s="262"/>
      <c r="R36" s="262"/>
      <c r="S36" s="204" t="s">
        <v>39</v>
      </c>
      <c r="T36" s="261" t="s">
        <v>57</v>
      </c>
      <c r="U36" s="261"/>
      <c r="V36" s="263"/>
      <c r="W36" s="349"/>
      <c r="X36" s="274"/>
      <c r="Y36" s="274"/>
      <c r="Z36" s="274"/>
      <c r="AA36" s="274"/>
      <c r="AB36" s="273"/>
      <c r="AC36" s="273"/>
      <c r="AD36" s="273"/>
      <c r="AE36" s="273"/>
      <c r="AF36" s="273"/>
      <c r="AG36" s="273"/>
      <c r="AH36" s="273"/>
      <c r="AI36" s="273"/>
      <c r="AJ36" s="273"/>
      <c r="AK36" s="273"/>
      <c r="AL36" s="274"/>
    </row>
    <row r="37" spans="1:38" ht="13.8">
      <c r="A37" s="180">
        <v>1</v>
      </c>
      <c r="B37" s="266" t="s">
        <v>634</v>
      </c>
      <c r="C37" s="266" t="s">
        <v>888</v>
      </c>
      <c r="D37" s="266" t="s">
        <v>889</v>
      </c>
      <c r="E37" s="267">
        <v>34</v>
      </c>
      <c r="F37" s="179"/>
      <c r="G37" s="266" t="s">
        <v>76</v>
      </c>
      <c r="H37" s="323">
        <v>45786</v>
      </c>
      <c r="I37" s="324">
        <v>45908</v>
      </c>
      <c r="J37" s="325"/>
      <c r="K37" s="322">
        <f t="shared" si="0"/>
        <v>180</v>
      </c>
      <c r="L37" s="270"/>
      <c r="M37" s="269"/>
      <c r="N37" s="269"/>
      <c r="O37" s="269"/>
      <c r="P37" s="269"/>
      <c r="Q37" s="269"/>
      <c r="R37" s="271"/>
      <c r="S37" s="272" t="s">
        <v>1039</v>
      </c>
      <c r="T37" s="273" t="s">
        <v>1273</v>
      </c>
      <c r="U37" s="273"/>
      <c r="V37" s="270"/>
      <c r="W37" s="349"/>
      <c r="X37" s="274"/>
      <c r="Y37" s="274"/>
      <c r="Z37" s="274"/>
      <c r="AA37" s="274"/>
      <c r="AB37" s="273"/>
      <c r="AC37" s="273"/>
      <c r="AD37" s="273"/>
      <c r="AE37" s="273"/>
      <c r="AF37" s="273"/>
      <c r="AG37" s="273"/>
      <c r="AH37" s="273"/>
      <c r="AI37" s="273"/>
      <c r="AJ37" s="273"/>
      <c r="AK37" s="273"/>
      <c r="AL37" s="274" t="s">
        <v>1105</v>
      </c>
    </row>
    <row r="38" spans="1:38" ht="13.8">
      <c r="A38" s="180">
        <v>1</v>
      </c>
      <c r="B38" s="176" t="s">
        <v>634</v>
      </c>
      <c r="C38" s="176" t="s">
        <v>890</v>
      </c>
      <c r="D38" s="176" t="s">
        <v>417</v>
      </c>
      <c r="E38" s="178">
        <v>28</v>
      </c>
      <c r="F38" s="179"/>
      <c r="G38" s="176" t="s">
        <v>76</v>
      </c>
      <c r="H38" s="323">
        <v>45821</v>
      </c>
      <c r="I38" s="324">
        <v>45922</v>
      </c>
      <c r="J38" s="321"/>
      <c r="K38" s="322">
        <f t="shared" si="0"/>
        <v>180</v>
      </c>
      <c r="L38" s="263"/>
      <c r="M38" s="262" t="s">
        <v>968</v>
      </c>
      <c r="N38" s="262"/>
      <c r="O38" s="262"/>
      <c r="P38" s="262"/>
      <c r="Q38" s="262"/>
      <c r="R38" s="262"/>
      <c r="S38" s="204" t="s">
        <v>39</v>
      </c>
      <c r="T38" s="261" t="s">
        <v>57</v>
      </c>
      <c r="U38" s="261"/>
      <c r="V38" s="263"/>
      <c r="W38" s="349"/>
      <c r="X38" s="274"/>
      <c r="Y38" s="274"/>
      <c r="Z38" s="274"/>
      <c r="AA38" s="274"/>
      <c r="AB38" s="273"/>
      <c r="AC38" s="273"/>
      <c r="AD38" s="273"/>
      <c r="AE38" s="273"/>
      <c r="AF38" s="273"/>
      <c r="AG38" s="273"/>
      <c r="AH38" s="273"/>
      <c r="AI38" s="273"/>
      <c r="AJ38" s="273"/>
      <c r="AK38" s="273"/>
      <c r="AL38" s="274" t="s">
        <v>1106</v>
      </c>
    </row>
    <row r="39" spans="1:38" ht="13.8">
      <c r="A39" s="180">
        <v>1</v>
      </c>
      <c r="B39" s="176" t="s">
        <v>621</v>
      </c>
      <c r="C39" s="176" t="s">
        <v>891</v>
      </c>
      <c r="D39" s="176" t="s">
        <v>892</v>
      </c>
      <c r="E39" s="178">
        <v>32</v>
      </c>
      <c r="F39" s="179"/>
      <c r="G39" s="156" t="s">
        <v>629</v>
      </c>
      <c r="H39" s="323">
        <v>45821</v>
      </c>
      <c r="I39" s="324">
        <v>38603</v>
      </c>
      <c r="J39" s="321"/>
      <c r="K39" s="322">
        <f t="shared" si="0"/>
        <v>180</v>
      </c>
      <c r="L39" s="263"/>
      <c r="M39" s="262"/>
      <c r="N39" s="262"/>
      <c r="O39" s="262"/>
      <c r="P39" s="262"/>
      <c r="Q39" s="262"/>
      <c r="R39" s="262"/>
      <c r="S39" s="204" t="s">
        <v>39</v>
      </c>
      <c r="T39" s="261" t="s">
        <v>50</v>
      </c>
      <c r="U39" s="261"/>
      <c r="V39" s="263"/>
      <c r="W39" s="349"/>
      <c r="X39" s="274"/>
      <c r="Y39" s="274"/>
      <c r="Z39" s="274"/>
      <c r="AA39" s="274"/>
      <c r="AB39" s="273"/>
      <c r="AC39" s="273"/>
      <c r="AD39" s="273"/>
      <c r="AE39" s="273"/>
      <c r="AF39" s="273"/>
      <c r="AG39" s="273"/>
      <c r="AH39" s="273"/>
      <c r="AI39" s="273"/>
      <c r="AJ39" s="273"/>
      <c r="AK39" s="273"/>
      <c r="AL39" s="274"/>
    </row>
    <row r="40" spans="1:38" ht="13.8">
      <c r="A40" s="180">
        <v>1</v>
      </c>
      <c r="B40" s="176" t="s">
        <v>621</v>
      </c>
      <c r="C40" s="176" t="s">
        <v>893</v>
      </c>
      <c r="D40" s="176" t="s">
        <v>894</v>
      </c>
      <c r="E40" s="178">
        <v>36</v>
      </c>
      <c r="F40" s="179"/>
      <c r="G40" s="156" t="s">
        <v>629</v>
      </c>
      <c r="H40" s="323">
        <v>45748</v>
      </c>
      <c r="I40" s="324">
        <v>38603</v>
      </c>
      <c r="J40" s="321"/>
      <c r="K40" s="322">
        <f t="shared" si="0"/>
        <v>180</v>
      </c>
      <c r="L40" s="263"/>
      <c r="M40" s="262"/>
      <c r="N40" s="262"/>
      <c r="O40" s="262"/>
      <c r="P40" s="262"/>
      <c r="Q40" s="262"/>
      <c r="R40" s="262"/>
      <c r="S40" s="204" t="s">
        <v>39</v>
      </c>
      <c r="T40" s="261" t="s">
        <v>55</v>
      </c>
      <c r="U40" s="261" t="s">
        <v>1042</v>
      </c>
      <c r="V40" s="263"/>
      <c r="W40" s="349"/>
      <c r="X40" s="274"/>
      <c r="Y40" s="274"/>
      <c r="Z40" s="274"/>
      <c r="AA40" s="274"/>
      <c r="AB40" s="273"/>
      <c r="AC40" s="273"/>
      <c r="AD40" s="273"/>
      <c r="AE40" s="273"/>
      <c r="AF40" s="273"/>
      <c r="AG40" s="273"/>
      <c r="AH40" s="273"/>
      <c r="AI40" s="273"/>
      <c r="AJ40" s="273"/>
      <c r="AK40" s="273"/>
      <c r="AL40" s="274"/>
    </row>
    <row r="41" spans="1:38" ht="13.8">
      <c r="A41" s="180">
        <v>1</v>
      </c>
      <c r="B41" s="176" t="s">
        <v>634</v>
      </c>
      <c r="C41" s="176" t="s">
        <v>895</v>
      </c>
      <c r="D41" s="176" t="s">
        <v>311</v>
      </c>
      <c r="E41" s="178">
        <v>49</v>
      </c>
      <c r="F41" s="179"/>
      <c r="G41" s="156" t="s">
        <v>629</v>
      </c>
      <c r="H41" s="323">
        <v>45880</v>
      </c>
      <c r="I41" s="323">
        <v>45916</v>
      </c>
      <c r="J41" s="321"/>
      <c r="K41" s="322">
        <f t="shared" si="0"/>
        <v>180</v>
      </c>
      <c r="L41" s="263"/>
      <c r="M41" s="262"/>
      <c r="N41" s="262"/>
      <c r="O41" s="262"/>
      <c r="P41" s="262"/>
      <c r="Q41" s="262"/>
      <c r="R41" s="262"/>
      <c r="S41" s="204" t="s">
        <v>43</v>
      </c>
      <c r="T41" s="261"/>
      <c r="U41" s="261"/>
      <c r="V41" s="263"/>
      <c r="W41" s="349"/>
      <c r="X41" s="274"/>
      <c r="Y41" s="274"/>
      <c r="Z41" s="274"/>
      <c r="AA41" s="274"/>
      <c r="AB41" s="273"/>
      <c r="AC41" s="273"/>
      <c r="AD41" s="273"/>
      <c r="AE41" s="273"/>
      <c r="AF41" s="273"/>
      <c r="AG41" s="273"/>
      <c r="AH41" s="273"/>
      <c r="AI41" s="273"/>
      <c r="AJ41" s="273"/>
      <c r="AK41" s="273"/>
      <c r="AL41" s="274"/>
    </row>
    <row r="42" spans="1:38" ht="13.8">
      <c r="A42" s="180">
        <v>1</v>
      </c>
      <c r="B42" s="176" t="s">
        <v>634</v>
      </c>
      <c r="C42" s="176" t="s">
        <v>694</v>
      </c>
      <c r="D42" s="176" t="s">
        <v>431</v>
      </c>
      <c r="E42" s="178">
        <v>62</v>
      </c>
      <c r="F42" s="179" t="s">
        <v>896</v>
      </c>
      <c r="G42" s="156" t="s">
        <v>629</v>
      </c>
      <c r="H42" s="323">
        <v>45881</v>
      </c>
      <c r="I42" s="323">
        <v>45915</v>
      </c>
      <c r="J42" s="321"/>
      <c r="K42" s="322">
        <f t="shared" si="0"/>
        <v>180</v>
      </c>
      <c r="L42" s="263"/>
      <c r="M42" s="262"/>
      <c r="N42" s="262"/>
      <c r="O42" s="262"/>
      <c r="P42" s="262"/>
      <c r="Q42" s="262"/>
      <c r="R42" s="262"/>
      <c r="S42" s="204" t="s">
        <v>39</v>
      </c>
      <c r="T42" s="261" t="s">
        <v>51</v>
      </c>
      <c r="U42" s="261"/>
      <c r="V42" s="263"/>
      <c r="X42" s="274"/>
      <c r="Y42" s="274"/>
      <c r="Z42" s="274"/>
      <c r="AA42" s="274"/>
      <c r="AB42" s="273"/>
      <c r="AC42" s="273"/>
      <c r="AD42" s="273"/>
      <c r="AE42" s="273"/>
      <c r="AF42" s="273"/>
      <c r="AG42" s="273"/>
      <c r="AH42" s="273"/>
      <c r="AI42" s="273"/>
      <c r="AJ42" s="273"/>
      <c r="AK42" s="273"/>
      <c r="AL42" s="274" t="s">
        <v>1107</v>
      </c>
    </row>
    <row r="43" spans="1:38" ht="20.399999999999999">
      <c r="A43" s="180">
        <v>1</v>
      </c>
      <c r="B43" s="266" t="s">
        <v>634</v>
      </c>
      <c r="C43" s="275" t="s">
        <v>897</v>
      </c>
      <c r="D43" s="266" t="s">
        <v>898</v>
      </c>
      <c r="E43" s="267">
        <v>33</v>
      </c>
      <c r="F43" s="179"/>
      <c r="G43" s="156" t="s">
        <v>629</v>
      </c>
      <c r="H43" s="323">
        <v>45881</v>
      </c>
      <c r="I43" s="323">
        <v>45915</v>
      </c>
      <c r="J43" s="325"/>
      <c r="K43" s="322">
        <f t="shared" si="0"/>
        <v>180</v>
      </c>
      <c r="L43" s="270"/>
      <c r="M43" s="269"/>
      <c r="N43" s="269"/>
      <c r="O43" s="269"/>
      <c r="P43" s="269"/>
      <c r="Q43" s="269"/>
      <c r="R43" s="271"/>
      <c r="S43" s="272" t="s">
        <v>42</v>
      </c>
      <c r="T43" s="273"/>
      <c r="U43" s="273"/>
      <c r="V43" s="270"/>
      <c r="W43" s="349"/>
      <c r="X43" s="274"/>
      <c r="Y43" s="274"/>
      <c r="Z43" s="274"/>
      <c r="AA43" s="274"/>
      <c r="AB43" s="273"/>
      <c r="AC43" s="273"/>
      <c r="AD43" s="273"/>
      <c r="AE43" s="273"/>
      <c r="AF43" s="273"/>
      <c r="AG43" s="273"/>
      <c r="AH43" s="273"/>
      <c r="AI43" s="273"/>
      <c r="AJ43" s="273"/>
      <c r="AK43" s="273"/>
      <c r="AL43" s="274" t="s">
        <v>1108</v>
      </c>
    </row>
    <row r="44" spans="1:38" ht="13.8">
      <c r="A44" s="180">
        <v>1</v>
      </c>
      <c r="B44" s="266" t="s">
        <v>621</v>
      </c>
      <c r="C44" s="266" t="s">
        <v>899</v>
      </c>
      <c r="D44" s="266" t="s">
        <v>900</v>
      </c>
      <c r="E44" s="267">
        <v>30</v>
      </c>
      <c r="F44" s="179" t="s">
        <v>10</v>
      </c>
      <c r="G44" s="156" t="s">
        <v>629</v>
      </c>
      <c r="H44" s="323">
        <v>45925</v>
      </c>
      <c r="I44" s="324">
        <v>45933</v>
      </c>
      <c r="J44" s="325"/>
      <c r="K44" s="322">
        <f t="shared" si="0"/>
        <v>180</v>
      </c>
      <c r="L44" s="270"/>
      <c r="M44" s="269" t="s">
        <v>969</v>
      </c>
      <c r="N44" s="269"/>
      <c r="O44" s="269"/>
      <c r="P44" s="269"/>
      <c r="Q44" s="269"/>
      <c r="R44" s="271"/>
      <c r="S44" s="272" t="s">
        <v>78</v>
      </c>
      <c r="T44" s="273"/>
      <c r="U44" s="273"/>
      <c r="V44" s="270"/>
      <c r="W44" s="349"/>
      <c r="X44" s="274"/>
      <c r="Y44" s="274"/>
      <c r="Z44" s="274"/>
      <c r="AA44" s="274"/>
      <c r="AB44" s="273"/>
      <c r="AC44" s="273"/>
      <c r="AD44" s="273"/>
      <c r="AE44" s="273"/>
      <c r="AF44" s="273"/>
      <c r="AG44" s="273"/>
      <c r="AH44" s="273"/>
      <c r="AI44" s="273"/>
      <c r="AJ44" s="273"/>
      <c r="AK44" s="273"/>
      <c r="AL44" s="274"/>
    </row>
    <row r="45" spans="1:38" ht="13.8">
      <c r="A45" s="180">
        <v>1</v>
      </c>
      <c r="B45" s="176" t="s">
        <v>634</v>
      </c>
      <c r="C45" s="176" t="s">
        <v>901</v>
      </c>
      <c r="D45" s="176" t="s">
        <v>902</v>
      </c>
      <c r="E45" s="178">
        <v>35</v>
      </c>
      <c r="F45" s="179" t="s">
        <v>8</v>
      </c>
      <c r="G45" s="176" t="s">
        <v>76</v>
      </c>
      <c r="H45" s="323">
        <v>45841</v>
      </c>
      <c r="I45" s="324">
        <v>45894</v>
      </c>
      <c r="J45" s="325"/>
      <c r="K45" s="322">
        <f t="shared" si="0"/>
        <v>180</v>
      </c>
      <c r="L45" s="270"/>
      <c r="M45" s="269" t="s">
        <v>970</v>
      </c>
      <c r="N45" s="269" t="s">
        <v>470</v>
      </c>
      <c r="O45" s="269"/>
      <c r="P45" s="269"/>
      <c r="Q45" s="269"/>
      <c r="R45" s="271"/>
      <c r="S45" s="272" t="s">
        <v>42</v>
      </c>
      <c r="T45" s="273"/>
      <c r="U45" s="273"/>
      <c r="V45" s="270"/>
      <c r="W45" s="345" t="s">
        <v>1288</v>
      </c>
      <c r="X45" s="274"/>
      <c r="Y45" s="274"/>
      <c r="Z45" s="274"/>
      <c r="AA45" s="274"/>
      <c r="AB45" s="273"/>
      <c r="AC45" s="273"/>
      <c r="AD45" s="273"/>
      <c r="AE45" s="273"/>
      <c r="AF45" s="273"/>
      <c r="AG45" s="273"/>
      <c r="AH45" s="273"/>
      <c r="AI45" s="273"/>
      <c r="AJ45" s="273"/>
      <c r="AK45" s="273"/>
      <c r="AL45" s="274" t="s">
        <v>1109</v>
      </c>
    </row>
    <row r="46" spans="1:38" s="283" customFormat="1" ht="13.8">
      <c r="A46" s="180">
        <v>1</v>
      </c>
      <c r="B46" s="276" t="s">
        <v>621</v>
      </c>
      <c r="C46" s="276" t="s">
        <v>903</v>
      </c>
      <c r="D46" s="276" t="s">
        <v>904</v>
      </c>
      <c r="E46" s="277">
        <v>41</v>
      </c>
      <c r="F46" s="278" t="s">
        <v>29</v>
      </c>
      <c r="G46" s="276" t="s">
        <v>633</v>
      </c>
      <c r="H46" s="326">
        <v>45790</v>
      </c>
      <c r="I46" s="327">
        <v>45873</v>
      </c>
      <c r="J46" s="328">
        <v>45873</v>
      </c>
      <c r="K46" s="328">
        <f t="shared" si="0"/>
        <v>46053</v>
      </c>
      <c r="L46" s="279"/>
      <c r="M46" s="280" t="s">
        <v>971</v>
      </c>
      <c r="N46" s="280"/>
      <c r="O46" s="280"/>
      <c r="P46" s="280"/>
      <c r="Q46" s="280"/>
      <c r="R46" s="280"/>
      <c r="S46" s="227" t="s">
        <v>41</v>
      </c>
      <c r="T46" s="281" t="s">
        <v>34</v>
      </c>
      <c r="U46" s="281"/>
      <c r="V46" s="279"/>
      <c r="W46" s="347" t="s">
        <v>1325</v>
      </c>
      <c r="X46" s="282"/>
      <c r="Y46" s="282"/>
      <c r="Z46" s="282"/>
      <c r="AA46" s="282"/>
      <c r="AB46" s="281"/>
      <c r="AC46" s="281"/>
      <c r="AD46" s="281"/>
      <c r="AE46" s="281"/>
      <c r="AF46" s="281"/>
      <c r="AG46" s="281"/>
      <c r="AH46" s="281"/>
      <c r="AI46" s="281"/>
      <c r="AJ46" s="281"/>
      <c r="AK46" s="281"/>
      <c r="AL46" s="282" t="s">
        <v>1110</v>
      </c>
    </row>
    <row r="47" spans="1:38" ht="13.8">
      <c r="A47" s="180">
        <v>1</v>
      </c>
      <c r="B47" s="164" t="s">
        <v>634</v>
      </c>
      <c r="C47" s="164" t="s">
        <v>905</v>
      </c>
      <c r="D47" s="164" t="s">
        <v>316</v>
      </c>
      <c r="E47" s="165">
        <v>29</v>
      </c>
      <c r="F47" s="166" t="s">
        <v>8</v>
      </c>
      <c r="G47" s="156" t="s">
        <v>629</v>
      </c>
      <c r="H47" s="329">
        <v>45820</v>
      </c>
      <c r="I47" s="330">
        <v>45905</v>
      </c>
      <c r="J47" s="331">
        <v>45905</v>
      </c>
      <c r="K47" s="322">
        <f t="shared" si="0"/>
        <v>46085</v>
      </c>
      <c r="L47" s="270"/>
      <c r="M47" s="269" t="s">
        <v>970</v>
      </c>
      <c r="N47" s="269" t="s">
        <v>972</v>
      </c>
      <c r="O47" s="269" t="s">
        <v>973</v>
      </c>
      <c r="P47" s="269"/>
      <c r="Q47" s="269"/>
      <c r="R47" s="271"/>
      <c r="S47" s="272" t="s">
        <v>42</v>
      </c>
      <c r="T47" s="273"/>
      <c r="U47" s="273"/>
      <c r="V47" s="270"/>
      <c r="W47" s="345" t="s">
        <v>1304</v>
      </c>
      <c r="X47" s="274"/>
      <c r="Y47" s="274"/>
      <c r="Z47" s="274"/>
      <c r="AA47" s="274"/>
      <c r="AB47" s="273"/>
      <c r="AC47" s="273"/>
      <c r="AD47" s="273"/>
      <c r="AE47" s="273"/>
      <c r="AF47" s="273"/>
      <c r="AG47" s="273"/>
      <c r="AH47" s="273"/>
      <c r="AI47" s="273"/>
      <c r="AJ47" s="273"/>
      <c r="AK47" s="273"/>
      <c r="AL47" s="274" t="s">
        <v>1111</v>
      </c>
    </row>
    <row r="48" spans="1:38" ht="13.8">
      <c r="A48" s="180">
        <v>1</v>
      </c>
      <c r="B48" s="176" t="s">
        <v>634</v>
      </c>
      <c r="C48" s="176" t="s">
        <v>1323</v>
      </c>
      <c r="D48" s="176" t="s">
        <v>906</v>
      </c>
      <c r="E48" s="178">
        <v>53</v>
      </c>
      <c r="F48" s="179" t="s">
        <v>29</v>
      </c>
      <c r="G48" s="176" t="s">
        <v>76</v>
      </c>
      <c r="H48" s="323">
        <v>45835</v>
      </c>
      <c r="I48" s="324">
        <v>45887</v>
      </c>
      <c r="J48" s="322">
        <v>45923</v>
      </c>
      <c r="K48" s="322">
        <f t="shared" si="0"/>
        <v>46103</v>
      </c>
      <c r="L48" s="263"/>
      <c r="M48" s="262" t="s">
        <v>968</v>
      </c>
      <c r="N48" s="262" t="s">
        <v>470</v>
      </c>
      <c r="O48" s="262"/>
      <c r="P48" s="262"/>
      <c r="Q48" s="262"/>
      <c r="R48" s="262"/>
      <c r="S48" s="204" t="s">
        <v>1039</v>
      </c>
      <c r="T48" s="261" t="s">
        <v>57</v>
      </c>
      <c r="U48" s="261"/>
      <c r="V48" s="263"/>
      <c r="W48" s="345" t="s">
        <v>1324</v>
      </c>
      <c r="X48" s="274"/>
      <c r="Y48" s="274"/>
      <c r="Z48" s="274"/>
      <c r="AA48" s="274"/>
      <c r="AB48" s="273">
        <v>1</v>
      </c>
      <c r="AC48" s="273"/>
      <c r="AD48" s="273"/>
      <c r="AE48" s="273"/>
      <c r="AF48" s="273"/>
      <c r="AG48" s="273"/>
      <c r="AH48" s="273"/>
      <c r="AI48" s="273"/>
      <c r="AJ48" s="273"/>
      <c r="AK48" s="273"/>
      <c r="AL48" s="274" t="s">
        <v>1112</v>
      </c>
    </row>
    <row r="49" spans="1:38" s="283" customFormat="1" ht="13.8">
      <c r="A49" s="180">
        <v>1</v>
      </c>
      <c r="B49" s="276" t="s">
        <v>794</v>
      </c>
      <c r="C49" s="276" t="s">
        <v>720</v>
      </c>
      <c r="D49" s="276" t="s">
        <v>907</v>
      </c>
      <c r="E49" s="277">
        <v>36</v>
      </c>
      <c r="F49" s="278" t="s">
        <v>14</v>
      </c>
      <c r="G49" s="276" t="s">
        <v>76</v>
      </c>
      <c r="H49" s="326">
        <v>45890</v>
      </c>
      <c r="I49" s="327">
        <v>45929</v>
      </c>
      <c r="J49" s="328">
        <v>45929</v>
      </c>
      <c r="K49" s="328">
        <f t="shared" si="0"/>
        <v>46109</v>
      </c>
      <c r="L49" s="279"/>
      <c r="M49" s="280" t="s">
        <v>968</v>
      </c>
      <c r="N49" s="280"/>
      <c r="O49" s="280"/>
      <c r="P49" s="280"/>
      <c r="Q49" s="280"/>
      <c r="R49" s="280"/>
      <c r="S49" s="227" t="s">
        <v>41</v>
      </c>
      <c r="T49" s="281" t="s">
        <v>1274</v>
      </c>
      <c r="U49" s="281" t="s">
        <v>1043</v>
      </c>
      <c r="V49" s="279"/>
      <c r="W49" s="347" t="s">
        <v>1334</v>
      </c>
      <c r="X49" s="282"/>
      <c r="Y49" s="282"/>
      <c r="Z49" s="282"/>
      <c r="AA49" s="282"/>
      <c r="AB49" s="281"/>
      <c r="AC49" s="281"/>
      <c r="AD49" s="281"/>
      <c r="AE49" s="281"/>
      <c r="AF49" s="281"/>
      <c r="AG49" s="281"/>
      <c r="AH49" s="281"/>
      <c r="AI49" s="281"/>
      <c r="AJ49" s="281"/>
      <c r="AK49" s="281"/>
      <c r="AL49" s="282" t="s">
        <v>1113</v>
      </c>
    </row>
    <row r="50" spans="1:38" ht="13.8">
      <c r="A50" s="180">
        <v>1</v>
      </c>
      <c r="B50" s="176" t="s">
        <v>621</v>
      </c>
      <c r="C50" s="176" t="s">
        <v>908</v>
      </c>
      <c r="D50" s="176" t="s">
        <v>909</v>
      </c>
      <c r="E50" s="178">
        <v>33</v>
      </c>
      <c r="F50" s="179" t="s">
        <v>29</v>
      </c>
      <c r="G50" s="176" t="s">
        <v>76</v>
      </c>
      <c r="H50" s="323">
        <v>45821</v>
      </c>
      <c r="I50" s="324">
        <v>45894</v>
      </c>
      <c r="J50" s="322"/>
      <c r="K50" s="322">
        <f t="shared" si="0"/>
        <v>180</v>
      </c>
      <c r="L50" s="263"/>
      <c r="M50" s="262"/>
      <c r="N50" s="262"/>
      <c r="O50" s="262"/>
      <c r="P50" s="262"/>
      <c r="Q50" s="262"/>
      <c r="R50" s="262"/>
      <c r="S50" s="204" t="s">
        <v>39</v>
      </c>
      <c r="T50" s="261" t="s">
        <v>57</v>
      </c>
      <c r="U50" s="261"/>
      <c r="V50" s="263"/>
      <c r="W50" s="349">
        <v>1</v>
      </c>
      <c r="X50" s="274"/>
      <c r="Y50" s="274"/>
      <c r="Z50" s="274"/>
      <c r="AA50" s="274"/>
      <c r="AB50" s="273"/>
      <c r="AC50" s="273"/>
      <c r="AD50" s="273"/>
      <c r="AE50" s="273"/>
      <c r="AF50" s="273"/>
      <c r="AG50" s="273"/>
      <c r="AH50" s="273"/>
      <c r="AI50" s="273"/>
      <c r="AJ50" s="273"/>
      <c r="AK50" s="273"/>
      <c r="AL50" s="274"/>
    </row>
    <row r="51" spans="1:38" s="283" customFormat="1" ht="13.8">
      <c r="A51" s="180">
        <v>1</v>
      </c>
      <c r="B51" s="276" t="s">
        <v>621</v>
      </c>
      <c r="C51" s="276" t="s">
        <v>910</v>
      </c>
      <c r="D51" s="276" t="s">
        <v>911</v>
      </c>
      <c r="E51" s="277">
        <v>34</v>
      </c>
      <c r="F51" s="278" t="s">
        <v>8</v>
      </c>
      <c r="G51" s="276" t="s">
        <v>76</v>
      </c>
      <c r="H51" s="326">
        <v>45833</v>
      </c>
      <c r="I51" s="327">
        <v>38603</v>
      </c>
      <c r="J51" s="328">
        <v>45924</v>
      </c>
      <c r="K51" s="328">
        <f t="shared" si="0"/>
        <v>46104</v>
      </c>
      <c r="L51" s="279"/>
      <c r="M51" s="280" t="s">
        <v>965</v>
      </c>
      <c r="N51" s="280" t="s">
        <v>974</v>
      </c>
      <c r="O51" s="280"/>
      <c r="P51" s="280"/>
      <c r="Q51" s="280"/>
      <c r="R51" s="280"/>
      <c r="S51" s="227" t="s">
        <v>41</v>
      </c>
      <c r="T51" s="281" t="s">
        <v>34</v>
      </c>
      <c r="U51" s="281"/>
      <c r="V51" s="279"/>
      <c r="W51" s="347" t="s">
        <v>1306</v>
      </c>
      <c r="X51" s="282"/>
      <c r="Y51" s="282"/>
      <c r="Z51" s="282"/>
      <c r="AA51" s="282"/>
      <c r="AB51" s="281"/>
      <c r="AC51" s="281"/>
      <c r="AD51" s="281"/>
      <c r="AE51" s="281"/>
      <c r="AF51" s="281"/>
      <c r="AG51" s="281"/>
      <c r="AH51" s="281"/>
      <c r="AI51" s="281"/>
      <c r="AJ51" s="281"/>
      <c r="AK51" s="281"/>
      <c r="AL51" s="282" t="s">
        <v>1114</v>
      </c>
    </row>
    <row r="52" spans="1:38" ht="13.8">
      <c r="A52" s="180">
        <v>1</v>
      </c>
      <c r="B52" s="176" t="s">
        <v>621</v>
      </c>
      <c r="C52" s="177" t="s">
        <v>912</v>
      </c>
      <c r="D52" s="176" t="s">
        <v>913</v>
      </c>
      <c r="E52" s="178">
        <v>58</v>
      </c>
      <c r="F52" s="179" t="s">
        <v>11</v>
      </c>
      <c r="G52" s="176" t="s">
        <v>76</v>
      </c>
      <c r="H52" s="323">
        <v>45868</v>
      </c>
      <c r="I52" s="324">
        <v>45922</v>
      </c>
      <c r="J52" s="322">
        <v>45908</v>
      </c>
      <c r="K52" s="322">
        <f t="shared" si="0"/>
        <v>46088</v>
      </c>
      <c r="L52" s="263"/>
      <c r="M52" s="262" t="s">
        <v>975</v>
      </c>
      <c r="N52" s="262" t="s">
        <v>968</v>
      </c>
      <c r="O52" s="262"/>
      <c r="P52" s="262"/>
      <c r="Q52" s="262"/>
      <c r="R52" s="262"/>
      <c r="S52" s="204" t="s">
        <v>39</v>
      </c>
      <c r="T52" s="261" t="s">
        <v>57</v>
      </c>
      <c r="U52" s="261"/>
      <c r="V52" s="263"/>
      <c r="W52" s="349">
        <v>1</v>
      </c>
      <c r="X52" s="274"/>
      <c r="Y52" s="274"/>
      <c r="Z52" s="274"/>
      <c r="AA52" s="274"/>
      <c r="AB52" s="273"/>
      <c r="AC52" s="273"/>
      <c r="AD52" s="273"/>
      <c r="AE52" s="273"/>
      <c r="AF52" s="273"/>
      <c r="AG52" s="273"/>
      <c r="AH52" s="273"/>
      <c r="AI52" s="273"/>
      <c r="AJ52" s="273"/>
      <c r="AK52" s="273"/>
      <c r="AL52" s="274" t="s">
        <v>1115</v>
      </c>
    </row>
    <row r="53" spans="1:38" ht="13.8">
      <c r="A53" s="180">
        <v>1</v>
      </c>
      <c r="B53" s="176" t="s">
        <v>634</v>
      </c>
      <c r="C53" s="176" t="s">
        <v>729</v>
      </c>
      <c r="D53" s="176" t="s">
        <v>914</v>
      </c>
      <c r="E53" s="178">
        <v>44</v>
      </c>
      <c r="F53" s="179" t="s">
        <v>29</v>
      </c>
      <c r="G53" s="156" t="s">
        <v>629</v>
      </c>
      <c r="H53" s="323">
        <v>45832</v>
      </c>
      <c r="I53" s="324">
        <v>45894</v>
      </c>
      <c r="J53" s="322">
        <v>45943</v>
      </c>
      <c r="K53" s="322">
        <f t="shared" si="0"/>
        <v>46123</v>
      </c>
      <c r="L53" s="263"/>
      <c r="M53" s="262" t="s">
        <v>976</v>
      </c>
      <c r="N53" s="262" t="s">
        <v>0</v>
      </c>
      <c r="O53" s="262"/>
      <c r="P53" s="262"/>
      <c r="Q53" s="262"/>
      <c r="R53" s="262"/>
      <c r="S53" s="204" t="s">
        <v>39</v>
      </c>
      <c r="T53" s="261" t="s">
        <v>57</v>
      </c>
      <c r="U53" s="261"/>
      <c r="V53" s="263"/>
      <c r="W53" s="509" t="s">
        <v>1366</v>
      </c>
      <c r="X53" s="274"/>
      <c r="Y53" s="274"/>
      <c r="Z53" s="274"/>
      <c r="AA53" s="274"/>
      <c r="AB53" s="273"/>
      <c r="AC53" s="273"/>
      <c r="AD53" s="273"/>
      <c r="AE53" s="273"/>
      <c r="AF53" s="273"/>
      <c r="AG53" s="273"/>
      <c r="AH53" s="273"/>
      <c r="AI53" s="273"/>
      <c r="AJ53" s="273"/>
      <c r="AK53" s="273"/>
      <c r="AL53" s="274" t="s">
        <v>1116</v>
      </c>
    </row>
    <row r="54" spans="1:38" ht="13.8">
      <c r="A54" s="180">
        <v>1</v>
      </c>
      <c r="B54" s="164" t="s">
        <v>621</v>
      </c>
      <c r="C54" s="164" t="s">
        <v>915</v>
      </c>
      <c r="D54" s="164" t="s">
        <v>916</v>
      </c>
      <c r="E54" s="165">
        <v>46</v>
      </c>
      <c r="F54" s="166" t="s">
        <v>29</v>
      </c>
      <c r="G54" s="156" t="s">
        <v>629</v>
      </c>
      <c r="H54" s="329">
        <v>45743</v>
      </c>
      <c r="I54" s="332"/>
      <c r="J54" s="331">
        <v>45894</v>
      </c>
      <c r="K54" s="322">
        <f t="shared" si="0"/>
        <v>46074</v>
      </c>
      <c r="L54" s="270"/>
      <c r="M54" s="269" t="s">
        <v>977</v>
      </c>
      <c r="N54" s="269" t="s">
        <v>470</v>
      </c>
      <c r="O54" s="269" t="s">
        <v>968</v>
      </c>
      <c r="P54" s="269"/>
      <c r="Q54" s="269"/>
      <c r="R54" s="271"/>
      <c r="S54" s="272" t="s">
        <v>42</v>
      </c>
      <c r="T54" s="273"/>
      <c r="U54" s="273"/>
      <c r="V54" s="270"/>
      <c r="W54" s="349"/>
      <c r="X54" s="274"/>
      <c r="Y54" s="274"/>
      <c r="Z54" s="274"/>
      <c r="AA54" s="274"/>
      <c r="AB54" s="273"/>
      <c r="AC54" s="273"/>
      <c r="AD54" s="273"/>
      <c r="AE54" s="273"/>
      <c r="AF54" s="273"/>
      <c r="AG54" s="273"/>
      <c r="AH54" s="273"/>
      <c r="AI54" s="273"/>
      <c r="AJ54" s="273"/>
      <c r="AK54" s="273"/>
      <c r="AL54" s="274" t="s">
        <v>1117</v>
      </c>
    </row>
    <row r="55" spans="1:38" ht="13.8">
      <c r="A55" s="180">
        <v>1</v>
      </c>
      <c r="B55" s="164" t="s">
        <v>634</v>
      </c>
      <c r="C55" s="164" t="s">
        <v>917</v>
      </c>
      <c r="D55" s="164" t="s">
        <v>918</v>
      </c>
      <c r="E55" s="165">
        <v>27</v>
      </c>
      <c r="F55" s="166" t="s">
        <v>8</v>
      </c>
      <c r="G55" s="164" t="s">
        <v>76</v>
      </c>
      <c r="H55" s="329">
        <v>45819</v>
      </c>
      <c r="I55" s="330">
        <v>45901</v>
      </c>
      <c r="J55" s="331"/>
      <c r="K55" s="322">
        <f t="shared" si="0"/>
        <v>180</v>
      </c>
      <c r="L55" s="270"/>
      <c r="M55" s="269"/>
      <c r="N55" s="269"/>
      <c r="O55" s="269"/>
      <c r="P55" s="269"/>
      <c r="Q55" s="269"/>
      <c r="R55" s="271"/>
      <c r="S55" s="272" t="s">
        <v>39</v>
      </c>
      <c r="T55" s="273" t="s">
        <v>50</v>
      </c>
      <c r="U55" s="273"/>
      <c r="V55" s="270"/>
      <c r="W55" s="345" t="s">
        <v>1313</v>
      </c>
      <c r="X55" s="274"/>
      <c r="Y55" s="274"/>
      <c r="Z55" s="274"/>
      <c r="AA55" s="274"/>
      <c r="AB55" s="273"/>
      <c r="AC55" s="273"/>
      <c r="AD55" s="273"/>
      <c r="AE55" s="273"/>
      <c r="AF55" s="273"/>
      <c r="AG55" s="273"/>
      <c r="AH55" s="273"/>
      <c r="AI55" s="273"/>
      <c r="AJ55" s="273"/>
      <c r="AK55" s="273"/>
      <c r="AL55" s="274" t="s">
        <v>1118</v>
      </c>
    </row>
    <row r="56" spans="1:38" ht="13.8">
      <c r="A56" s="180">
        <v>1</v>
      </c>
      <c r="B56" s="164" t="s">
        <v>621</v>
      </c>
      <c r="C56" s="164" t="s">
        <v>919</v>
      </c>
      <c r="D56" s="164" t="s">
        <v>651</v>
      </c>
      <c r="E56" s="165">
        <v>28</v>
      </c>
      <c r="F56" s="166" t="s">
        <v>14</v>
      </c>
      <c r="G56" s="164" t="s">
        <v>76</v>
      </c>
      <c r="H56" s="329">
        <v>45860</v>
      </c>
      <c r="I56" s="330">
        <v>45908</v>
      </c>
      <c r="J56" s="331">
        <v>45901</v>
      </c>
      <c r="K56" s="322">
        <f t="shared" si="0"/>
        <v>46081</v>
      </c>
      <c r="L56" s="270"/>
      <c r="M56" s="269" t="s">
        <v>968</v>
      </c>
      <c r="N56" s="269" t="s">
        <v>974</v>
      </c>
      <c r="O56" s="269"/>
      <c r="P56" s="269"/>
      <c r="Q56" s="269"/>
      <c r="R56" s="271"/>
      <c r="S56" s="272" t="s">
        <v>78</v>
      </c>
      <c r="T56" s="273"/>
      <c r="U56" s="273"/>
      <c r="V56" s="270"/>
      <c r="W56" s="349">
        <v>1</v>
      </c>
      <c r="X56" s="274"/>
      <c r="Y56" s="274"/>
      <c r="Z56" s="274"/>
      <c r="AA56" s="274"/>
      <c r="AB56" s="273"/>
      <c r="AC56" s="273"/>
      <c r="AD56" s="273"/>
      <c r="AE56" s="273"/>
      <c r="AF56" s="273"/>
      <c r="AG56" s="273"/>
      <c r="AH56" s="273"/>
      <c r="AI56" s="273"/>
      <c r="AJ56" s="273"/>
      <c r="AK56" s="273"/>
      <c r="AL56" s="274" t="s">
        <v>1119</v>
      </c>
    </row>
    <row r="57" spans="1:38" ht="13.8">
      <c r="A57" s="180">
        <v>1</v>
      </c>
      <c r="B57" s="284" t="s">
        <v>621</v>
      </c>
      <c r="C57" s="284" t="s">
        <v>920</v>
      </c>
      <c r="D57" s="284" t="s">
        <v>815</v>
      </c>
      <c r="E57" s="285"/>
      <c r="F57" s="286"/>
      <c r="G57" s="284"/>
      <c r="H57" s="333"/>
      <c r="I57" s="333">
        <v>45993</v>
      </c>
      <c r="J57" s="331">
        <v>45908</v>
      </c>
      <c r="K57" s="322">
        <f t="shared" si="0"/>
        <v>46088</v>
      </c>
      <c r="L57" s="270"/>
      <c r="M57" s="269" t="s">
        <v>974</v>
      </c>
      <c r="N57" s="269" t="s">
        <v>968</v>
      </c>
      <c r="O57" s="269"/>
      <c r="P57" s="269"/>
      <c r="Q57" s="269"/>
      <c r="R57" s="271"/>
      <c r="S57" s="272" t="s">
        <v>42</v>
      </c>
      <c r="T57" s="273"/>
      <c r="U57" s="273"/>
      <c r="V57" s="270"/>
      <c r="W57" s="349"/>
      <c r="X57" s="274"/>
      <c r="Y57" s="274"/>
      <c r="Z57" s="274"/>
      <c r="AA57" s="274"/>
      <c r="AB57" s="273"/>
      <c r="AC57" s="273"/>
      <c r="AD57" s="273"/>
      <c r="AE57" s="273"/>
      <c r="AF57" s="273"/>
      <c r="AG57" s="273"/>
      <c r="AH57" s="273"/>
      <c r="AI57" s="273"/>
      <c r="AJ57" s="273"/>
      <c r="AK57" s="273"/>
      <c r="AL57" s="274" t="s">
        <v>1120</v>
      </c>
    </row>
    <row r="58" spans="1:38" ht="13.8">
      <c r="A58" s="180">
        <v>1</v>
      </c>
      <c r="B58" s="177" t="s">
        <v>634</v>
      </c>
      <c r="C58" s="177" t="s">
        <v>921</v>
      </c>
      <c r="D58" s="177" t="s">
        <v>922</v>
      </c>
      <c r="E58" s="178">
        <v>59</v>
      </c>
      <c r="F58" s="179"/>
      <c r="G58" s="176" t="s">
        <v>76</v>
      </c>
      <c r="H58" s="323">
        <v>45867</v>
      </c>
      <c r="I58" s="324">
        <v>45901</v>
      </c>
      <c r="J58" s="322"/>
      <c r="K58" s="322">
        <f t="shared" si="0"/>
        <v>180</v>
      </c>
      <c r="L58" s="263"/>
      <c r="M58" s="262"/>
      <c r="N58" s="262"/>
      <c r="O58" s="262"/>
      <c r="P58" s="262"/>
      <c r="Q58" s="262"/>
      <c r="R58" s="262"/>
      <c r="S58" s="204" t="s">
        <v>39</v>
      </c>
      <c r="T58" s="261" t="s">
        <v>57</v>
      </c>
      <c r="U58" s="261"/>
      <c r="V58" s="263"/>
      <c r="W58" s="349"/>
      <c r="X58" s="274"/>
      <c r="Y58" s="274"/>
      <c r="Z58" s="274"/>
      <c r="AA58" s="274"/>
      <c r="AB58" s="273"/>
      <c r="AC58" s="273"/>
      <c r="AD58" s="273"/>
      <c r="AE58" s="273"/>
      <c r="AF58" s="273"/>
      <c r="AG58" s="273"/>
      <c r="AH58" s="273"/>
      <c r="AI58" s="273"/>
      <c r="AJ58" s="273"/>
      <c r="AK58" s="273"/>
      <c r="AL58" s="274" t="s">
        <v>1121</v>
      </c>
    </row>
    <row r="59" spans="1:38" ht="13.8">
      <c r="A59" s="180">
        <v>1</v>
      </c>
      <c r="B59" s="176" t="s">
        <v>634</v>
      </c>
      <c r="C59" s="176" t="s">
        <v>923</v>
      </c>
      <c r="D59" s="176" t="s">
        <v>924</v>
      </c>
      <c r="E59" s="178">
        <v>28</v>
      </c>
      <c r="F59" s="179" t="s">
        <v>646</v>
      </c>
      <c r="G59" s="156" t="s">
        <v>629</v>
      </c>
      <c r="H59" s="323">
        <v>45799</v>
      </c>
      <c r="I59" s="324">
        <v>45868</v>
      </c>
      <c r="J59" s="322"/>
      <c r="K59" s="322">
        <f t="shared" si="0"/>
        <v>180</v>
      </c>
      <c r="L59" s="263"/>
      <c r="M59" s="262" t="s">
        <v>965</v>
      </c>
      <c r="N59" s="262" t="s">
        <v>974</v>
      </c>
      <c r="O59" s="262"/>
      <c r="P59" s="262"/>
      <c r="Q59" s="262"/>
      <c r="R59" s="262"/>
      <c r="S59" s="204" t="s">
        <v>39</v>
      </c>
      <c r="T59" s="261" t="s">
        <v>57</v>
      </c>
      <c r="U59" s="261"/>
      <c r="V59" s="263"/>
      <c r="W59" s="345" t="s">
        <v>1292</v>
      </c>
      <c r="X59" s="274"/>
      <c r="Y59" s="274"/>
      <c r="Z59" s="274"/>
      <c r="AA59" s="274"/>
      <c r="AB59" s="273"/>
      <c r="AC59" s="273"/>
      <c r="AD59" s="273"/>
      <c r="AE59" s="273"/>
      <c r="AF59" s="273"/>
      <c r="AG59" s="273"/>
      <c r="AH59" s="273"/>
      <c r="AI59" s="273"/>
      <c r="AJ59" s="273"/>
      <c r="AK59" s="273"/>
      <c r="AL59" s="274" t="s">
        <v>1122</v>
      </c>
    </row>
    <row r="60" spans="1:38" ht="13.8">
      <c r="A60" s="180">
        <v>1</v>
      </c>
      <c r="B60" s="284" t="s">
        <v>634</v>
      </c>
      <c r="C60" s="284" t="s">
        <v>925</v>
      </c>
      <c r="D60" s="284" t="s">
        <v>926</v>
      </c>
      <c r="E60" s="285"/>
      <c r="F60" s="286"/>
      <c r="G60" s="284"/>
      <c r="H60" s="333"/>
      <c r="I60" s="333">
        <v>46001</v>
      </c>
      <c r="J60" s="331">
        <v>45868</v>
      </c>
      <c r="K60" s="322">
        <f t="shared" si="0"/>
        <v>46048</v>
      </c>
      <c r="L60" s="270"/>
      <c r="M60" s="269" t="s">
        <v>976</v>
      </c>
      <c r="N60" s="269" t="s">
        <v>962</v>
      </c>
      <c r="O60" s="269"/>
      <c r="P60" s="269"/>
      <c r="Q60" s="269"/>
      <c r="R60" s="271"/>
      <c r="S60" s="272" t="s">
        <v>43</v>
      </c>
      <c r="T60" s="273"/>
      <c r="U60" s="273"/>
      <c r="V60" s="270"/>
      <c r="W60" s="349"/>
      <c r="X60" s="274"/>
      <c r="Y60" s="274"/>
      <c r="Z60" s="274"/>
      <c r="AA60" s="274"/>
      <c r="AB60" s="273"/>
      <c r="AC60" s="273"/>
      <c r="AD60" s="273"/>
      <c r="AE60" s="273"/>
      <c r="AF60" s="273"/>
      <c r="AG60" s="273"/>
      <c r="AH60" s="273"/>
      <c r="AI60" s="273"/>
      <c r="AJ60" s="273"/>
      <c r="AK60" s="273"/>
      <c r="AL60" s="274" t="s">
        <v>1123</v>
      </c>
    </row>
    <row r="61" spans="1:38" ht="13.8">
      <c r="A61" s="180">
        <v>1</v>
      </c>
      <c r="B61" s="164" t="s">
        <v>621</v>
      </c>
      <c r="C61" s="164" t="s">
        <v>927</v>
      </c>
      <c r="D61" s="164" t="s">
        <v>928</v>
      </c>
      <c r="E61" s="165">
        <v>57</v>
      </c>
      <c r="F61" s="166" t="s">
        <v>929</v>
      </c>
      <c r="G61" s="164" t="s">
        <v>76</v>
      </c>
      <c r="H61" s="329">
        <v>45868</v>
      </c>
      <c r="I61" s="330">
        <v>45922</v>
      </c>
      <c r="J61" s="331"/>
      <c r="K61" s="322">
        <f t="shared" si="0"/>
        <v>180</v>
      </c>
      <c r="L61" s="270"/>
      <c r="M61" s="269"/>
      <c r="N61" s="269"/>
      <c r="O61" s="269"/>
      <c r="P61" s="269"/>
      <c r="Q61" s="269"/>
      <c r="R61" s="271"/>
      <c r="S61" s="272" t="s">
        <v>43</v>
      </c>
      <c r="T61" s="273"/>
      <c r="U61" s="273"/>
      <c r="V61" s="270"/>
      <c r="W61" s="349"/>
      <c r="X61" s="274"/>
      <c r="Y61" s="274"/>
      <c r="Z61" s="274"/>
      <c r="AA61" s="274"/>
      <c r="AB61" s="273"/>
      <c r="AC61" s="273"/>
      <c r="AD61" s="273"/>
      <c r="AE61" s="273"/>
      <c r="AF61" s="273"/>
      <c r="AG61" s="273"/>
      <c r="AH61" s="273"/>
      <c r="AI61" s="273"/>
      <c r="AJ61" s="273"/>
      <c r="AK61" s="273"/>
      <c r="AL61" s="274" t="s">
        <v>1124</v>
      </c>
    </row>
    <row r="62" spans="1:38" ht="13.8">
      <c r="A62" s="180">
        <v>1</v>
      </c>
      <c r="B62" s="176" t="s">
        <v>617</v>
      </c>
      <c r="C62" s="176" t="s">
        <v>930</v>
      </c>
      <c r="D62" s="176" t="s">
        <v>931</v>
      </c>
      <c r="E62" s="178"/>
      <c r="F62" s="179" t="s">
        <v>932</v>
      </c>
      <c r="G62" s="176"/>
      <c r="H62" s="323"/>
      <c r="I62" s="324"/>
      <c r="J62" s="322">
        <v>45929</v>
      </c>
      <c r="K62" s="322">
        <f t="shared" si="0"/>
        <v>46109</v>
      </c>
      <c r="L62" s="263"/>
      <c r="M62" s="262"/>
      <c r="N62" s="262"/>
      <c r="O62" s="262"/>
      <c r="P62" s="262"/>
      <c r="Q62" s="262"/>
      <c r="R62" s="262"/>
      <c r="S62" s="204" t="s">
        <v>39</v>
      </c>
      <c r="T62" s="261" t="s">
        <v>57</v>
      </c>
      <c r="U62" s="261"/>
      <c r="V62" s="263"/>
      <c r="W62" s="349"/>
      <c r="X62" s="274"/>
      <c r="Y62" s="274"/>
      <c r="Z62" s="274"/>
      <c r="AA62" s="274"/>
      <c r="AB62" s="273">
        <v>1</v>
      </c>
      <c r="AC62" s="273"/>
      <c r="AD62" s="273"/>
      <c r="AE62" s="273"/>
      <c r="AF62" s="273"/>
      <c r="AG62" s="273"/>
      <c r="AH62" s="273"/>
      <c r="AI62" s="273"/>
      <c r="AJ62" s="273"/>
      <c r="AK62" s="273"/>
      <c r="AL62" s="274" t="s">
        <v>1125</v>
      </c>
    </row>
    <row r="63" spans="1:38" ht="13.8">
      <c r="A63" s="180">
        <v>1</v>
      </c>
      <c r="B63" s="176" t="s">
        <v>634</v>
      </c>
      <c r="C63" s="176" t="s">
        <v>933</v>
      </c>
      <c r="D63" s="176" t="s">
        <v>934</v>
      </c>
      <c r="E63" s="178">
        <v>37</v>
      </c>
      <c r="F63" s="179" t="s">
        <v>8</v>
      </c>
      <c r="G63" s="176" t="s">
        <v>76</v>
      </c>
      <c r="H63" s="323">
        <v>45883</v>
      </c>
      <c r="I63" s="323">
        <v>45929</v>
      </c>
      <c r="J63" s="331">
        <v>45889</v>
      </c>
      <c r="K63" s="322">
        <f t="shared" si="0"/>
        <v>46069</v>
      </c>
      <c r="L63" s="270"/>
      <c r="M63" s="269" t="s">
        <v>968</v>
      </c>
      <c r="N63" s="269"/>
      <c r="O63" s="269"/>
      <c r="P63" s="269"/>
      <c r="Q63" s="269"/>
      <c r="R63" s="271"/>
      <c r="S63" s="272" t="s">
        <v>43</v>
      </c>
      <c r="T63" s="273"/>
      <c r="U63" s="273"/>
      <c r="V63" s="270"/>
      <c r="W63" s="345" t="s">
        <v>1335</v>
      </c>
      <c r="X63" s="274"/>
      <c r="Y63" s="274"/>
      <c r="Z63" s="274"/>
      <c r="AA63" s="274"/>
      <c r="AB63" s="273"/>
      <c r="AC63" s="273"/>
      <c r="AD63" s="273"/>
      <c r="AE63" s="273"/>
      <c r="AF63" s="273"/>
      <c r="AG63" s="273"/>
      <c r="AH63" s="273"/>
      <c r="AI63" s="273"/>
      <c r="AJ63" s="273"/>
      <c r="AK63" s="273"/>
      <c r="AL63" s="274"/>
    </row>
    <row r="64" spans="1:38" ht="13.8">
      <c r="A64" s="180">
        <v>1</v>
      </c>
      <c r="B64" s="284" t="s">
        <v>634</v>
      </c>
      <c r="C64" s="284" t="s">
        <v>935</v>
      </c>
      <c r="D64" s="284" t="s">
        <v>936</v>
      </c>
      <c r="E64" s="285">
        <v>39</v>
      </c>
      <c r="F64" s="286"/>
      <c r="G64" s="284" t="s">
        <v>76</v>
      </c>
      <c r="H64" s="333">
        <v>45954</v>
      </c>
      <c r="I64" s="333">
        <v>45979</v>
      </c>
      <c r="J64" s="331">
        <v>45929</v>
      </c>
      <c r="K64" s="322">
        <f t="shared" si="0"/>
        <v>46109</v>
      </c>
      <c r="L64" s="270"/>
      <c r="M64" s="269" t="s">
        <v>978</v>
      </c>
      <c r="N64" s="269"/>
      <c r="O64" s="269"/>
      <c r="P64" s="269"/>
      <c r="Q64" s="269"/>
      <c r="R64" s="271"/>
      <c r="S64" s="272" t="s">
        <v>43</v>
      </c>
      <c r="T64" s="273"/>
      <c r="U64" s="273"/>
      <c r="V64" s="270"/>
      <c r="W64" s="349"/>
      <c r="X64" s="274"/>
      <c r="Y64" s="274"/>
      <c r="Z64" s="274"/>
      <c r="AA64" s="274"/>
      <c r="AB64" s="273"/>
      <c r="AC64" s="273"/>
      <c r="AD64" s="273"/>
      <c r="AE64" s="273"/>
      <c r="AF64" s="273"/>
      <c r="AG64" s="273"/>
      <c r="AH64" s="273"/>
      <c r="AI64" s="273"/>
      <c r="AJ64" s="273"/>
      <c r="AK64" s="273"/>
      <c r="AL64" s="274" t="s">
        <v>1126</v>
      </c>
    </row>
    <row r="65" spans="1:38" ht="13.8">
      <c r="A65" s="180">
        <v>1</v>
      </c>
      <c r="B65" s="176" t="s">
        <v>621</v>
      </c>
      <c r="C65" s="176" t="s">
        <v>937</v>
      </c>
      <c r="D65" s="176" t="s">
        <v>938</v>
      </c>
      <c r="E65" s="178">
        <v>37</v>
      </c>
      <c r="F65" s="179" t="s">
        <v>734</v>
      </c>
      <c r="G65" s="156" t="s">
        <v>629</v>
      </c>
      <c r="H65" s="323"/>
      <c r="I65" s="287">
        <v>46041</v>
      </c>
      <c r="J65" s="331"/>
      <c r="K65" s="322">
        <f t="shared" si="0"/>
        <v>180</v>
      </c>
      <c r="L65" s="270"/>
      <c r="M65" s="269"/>
      <c r="N65" s="269"/>
      <c r="O65" s="269"/>
      <c r="P65" s="269"/>
      <c r="Q65" s="269"/>
      <c r="R65" s="271"/>
      <c r="S65" s="272" t="s">
        <v>1044</v>
      </c>
      <c r="T65" s="273" t="s">
        <v>34</v>
      </c>
      <c r="U65" s="273"/>
      <c r="V65" s="270"/>
      <c r="W65" s="349"/>
      <c r="X65" s="274"/>
      <c r="Y65" s="274"/>
      <c r="Z65" s="274"/>
      <c r="AA65" s="274"/>
      <c r="AB65" s="273"/>
      <c r="AC65" s="273"/>
      <c r="AD65" s="273"/>
      <c r="AE65" s="273"/>
      <c r="AF65" s="273"/>
      <c r="AG65" s="273"/>
      <c r="AH65" s="273"/>
      <c r="AI65" s="273"/>
      <c r="AJ65" s="273"/>
      <c r="AK65" s="273"/>
      <c r="AL65" s="274" t="s">
        <v>1127</v>
      </c>
    </row>
    <row r="66" spans="1:38" ht="13.8">
      <c r="A66" s="180">
        <v>1</v>
      </c>
      <c r="B66" s="164" t="s">
        <v>634</v>
      </c>
      <c r="C66" s="164" t="s">
        <v>939</v>
      </c>
      <c r="D66" s="164" t="s">
        <v>940</v>
      </c>
      <c r="E66" s="165">
        <v>44</v>
      </c>
      <c r="F66" s="166"/>
      <c r="G66" s="156" t="s">
        <v>629</v>
      </c>
      <c r="H66" s="329">
        <v>45881</v>
      </c>
      <c r="I66" s="329">
        <v>45915</v>
      </c>
      <c r="J66" s="331"/>
      <c r="K66" s="322">
        <f t="shared" si="0"/>
        <v>180</v>
      </c>
      <c r="L66" s="270"/>
      <c r="M66" s="269" t="s">
        <v>968</v>
      </c>
      <c r="N66" s="269"/>
      <c r="O66" s="269"/>
      <c r="P66" s="269"/>
      <c r="Q66" s="269"/>
      <c r="R66" s="271"/>
      <c r="S66" s="272" t="s">
        <v>43</v>
      </c>
      <c r="T66" s="273"/>
      <c r="U66" s="273"/>
      <c r="V66" s="270"/>
      <c r="W66" s="349"/>
      <c r="X66" s="274"/>
      <c r="Y66" s="274"/>
      <c r="Z66" s="274"/>
      <c r="AA66" s="274"/>
      <c r="AB66" s="273"/>
      <c r="AC66" s="273"/>
      <c r="AD66" s="273"/>
      <c r="AE66" s="273"/>
      <c r="AF66" s="273"/>
      <c r="AG66" s="273"/>
      <c r="AH66" s="273"/>
      <c r="AI66" s="273"/>
      <c r="AJ66" s="273"/>
      <c r="AK66" s="273"/>
      <c r="AL66" s="274" t="s">
        <v>1128</v>
      </c>
    </row>
    <row r="67" spans="1:38" ht="13.8">
      <c r="A67" s="180">
        <v>1</v>
      </c>
      <c r="B67" s="176" t="s">
        <v>634</v>
      </c>
      <c r="C67" s="176" t="s">
        <v>941</v>
      </c>
      <c r="D67" s="176" t="s">
        <v>942</v>
      </c>
      <c r="E67" s="178">
        <v>30</v>
      </c>
      <c r="F67" s="179"/>
      <c r="G67" s="156" t="s">
        <v>629</v>
      </c>
      <c r="H67" s="323">
        <v>45881</v>
      </c>
      <c r="I67" s="323">
        <v>45916</v>
      </c>
      <c r="J67" s="331"/>
      <c r="K67" s="322">
        <f t="shared" si="0"/>
        <v>180</v>
      </c>
      <c r="L67" s="270"/>
      <c r="M67" s="269"/>
      <c r="N67" s="269"/>
      <c r="O67" s="269"/>
      <c r="P67" s="269"/>
      <c r="Q67" s="269"/>
      <c r="R67" s="271"/>
      <c r="S67" s="272" t="s">
        <v>39</v>
      </c>
      <c r="T67" s="273" t="s">
        <v>57</v>
      </c>
      <c r="U67" s="273"/>
      <c r="V67" s="270"/>
      <c r="W67" s="349"/>
      <c r="X67" s="274"/>
      <c r="Y67" s="274"/>
      <c r="Z67" s="274"/>
      <c r="AA67" s="274"/>
      <c r="AB67" s="273"/>
      <c r="AC67" s="273"/>
      <c r="AD67" s="273"/>
      <c r="AE67" s="273"/>
      <c r="AF67" s="273"/>
      <c r="AG67" s="273"/>
      <c r="AH67" s="273"/>
      <c r="AI67" s="273"/>
      <c r="AJ67" s="273"/>
      <c r="AK67" s="273"/>
      <c r="AL67" s="274" t="s">
        <v>1129</v>
      </c>
    </row>
    <row r="68" spans="1:38" ht="13.8">
      <c r="A68" s="180">
        <v>1</v>
      </c>
      <c r="B68" s="164" t="s">
        <v>634</v>
      </c>
      <c r="C68" s="164" t="s">
        <v>943</v>
      </c>
      <c r="D68" s="164" t="s">
        <v>944</v>
      </c>
      <c r="E68" s="165">
        <v>55</v>
      </c>
      <c r="F68" s="166" t="s">
        <v>945</v>
      </c>
      <c r="G68" s="164" t="s">
        <v>76</v>
      </c>
      <c r="H68" s="329">
        <v>45875</v>
      </c>
      <c r="I68" s="329">
        <v>45922</v>
      </c>
      <c r="J68" s="331">
        <v>45992</v>
      </c>
      <c r="K68" s="322">
        <f t="shared" si="0"/>
        <v>46172</v>
      </c>
      <c r="L68" s="270"/>
      <c r="M68" s="269" t="s">
        <v>971</v>
      </c>
      <c r="N68" s="269" t="s">
        <v>960</v>
      </c>
      <c r="O68" s="269"/>
      <c r="P68" s="269"/>
      <c r="Q68" s="269"/>
      <c r="R68" s="271"/>
      <c r="S68" s="272" t="s">
        <v>43</v>
      </c>
      <c r="T68" s="273"/>
      <c r="U68" s="273"/>
      <c r="V68" s="270"/>
      <c r="W68" s="345" t="s">
        <v>1311</v>
      </c>
      <c r="X68" s="274"/>
      <c r="Y68" s="274"/>
      <c r="Z68" s="274"/>
      <c r="AA68" s="274"/>
      <c r="AB68" s="273"/>
      <c r="AC68" s="273"/>
      <c r="AD68" s="273"/>
      <c r="AE68" s="273"/>
      <c r="AF68" s="273"/>
      <c r="AG68" s="273"/>
      <c r="AH68" s="273"/>
      <c r="AI68" s="273"/>
      <c r="AJ68" s="273"/>
      <c r="AK68" s="273"/>
      <c r="AL68" s="274" t="s">
        <v>1130</v>
      </c>
    </row>
    <row r="69" spans="1:38" ht="13.8">
      <c r="A69" s="180">
        <v>1</v>
      </c>
      <c r="B69" s="176" t="s">
        <v>634</v>
      </c>
      <c r="C69" s="176" t="s">
        <v>946</v>
      </c>
      <c r="D69" s="176" t="s">
        <v>947</v>
      </c>
      <c r="E69" s="178">
        <v>56</v>
      </c>
      <c r="F69" s="179"/>
      <c r="G69" s="176" t="s">
        <v>76</v>
      </c>
      <c r="H69" s="323">
        <v>45916</v>
      </c>
      <c r="I69" s="324">
        <v>45943</v>
      </c>
      <c r="J69" s="331">
        <v>45922</v>
      </c>
      <c r="K69" s="322">
        <f t="shared" si="0"/>
        <v>46102</v>
      </c>
      <c r="L69" s="270"/>
      <c r="M69" s="269" t="s">
        <v>968</v>
      </c>
      <c r="N69" s="269" t="s">
        <v>979</v>
      </c>
      <c r="O69" s="269"/>
      <c r="P69" s="269"/>
      <c r="Q69" s="269"/>
      <c r="R69" s="271"/>
      <c r="S69" s="272" t="s">
        <v>43</v>
      </c>
      <c r="T69" s="273"/>
      <c r="U69" s="273"/>
      <c r="V69" s="270"/>
      <c r="W69" s="349"/>
      <c r="X69" s="274"/>
      <c r="Y69" s="274"/>
      <c r="Z69" s="274"/>
      <c r="AA69" s="274"/>
      <c r="AB69" s="273"/>
      <c r="AC69" s="273"/>
      <c r="AD69" s="273"/>
      <c r="AE69" s="273"/>
      <c r="AF69" s="273"/>
      <c r="AG69" s="273"/>
      <c r="AH69" s="273"/>
      <c r="AI69" s="273"/>
      <c r="AJ69" s="273"/>
      <c r="AK69" s="273"/>
      <c r="AL69" s="274" t="s">
        <v>1131</v>
      </c>
    </row>
    <row r="70" spans="1:38" ht="13.8">
      <c r="A70" s="180">
        <v>1</v>
      </c>
      <c r="B70" s="288" t="s">
        <v>621</v>
      </c>
      <c r="C70" s="288" t="s">
        <v>948</v>
      </c>
      <c r="D70" s="288" t="s">
        <v>445</v>
      </c>
      <c r="E70" s="258">
        <v>27</v>
      </c>
      <c r="F70" s="289" t="s">
        <v>683</v>
      </c>
      <c r="G70" s="156" t="s">
        <v>629</v>
      </c>
      <c r="H70" s="334">
        <v>45944</v>
      </c>
      <c r="I70" s="334">
        <v>45959</v>
      </c>
      <c r="J70" s="322"/>
      <c r="K70" s="322">
        <f t="shared" si="0"/>
        <v>180</v>
      </c>
      <c r="L70" s="263"/>
      <c r="M70" s="262"/>
      <c r="N70" s="262"/>
      <c r="O70" s="262"/>
      <c r="P70" s="262"/>
      <c r="Q70" s="262"/>
      <c r="R70" s="262"/>
      <c r="S70" s="204" t="s">
        <v>39</v>
      </c>
      <c r="T70" s="261" t="s">
        <v>53</v>
      </c>
      <c r="U70" s="261"/>
      <c r="V70" s="263"/>
      <c r="W70" s="349"/>
      <c r="X70" s="274"/>
      <c r="Y70" s="274"/>
      <c r="Z70" s="274"/>
      <c r="AA70" s="274"/>
      <c r="AB70" s="273"/>
      <c r="AC70" s="273"/>
      <c r="AD70" s="273"/>
      <c r="AE70" s="273"/>
      <c r="AF70" s="273"/>
      <c r="AG70" s="273"/>
      <c r="AH70" s="273"/>
      <c r="AI70" s="273"/>
      <c r="AJ70" s="273"/>
      <c r="AK70" s="273"/>
      <c r="AL70" s="274"/>
    </row>
    <row r="71" spans="1:38" ht="13.8">
      <c r="A71" s="180">
        <v>1</v>
      </c>
      <c r="B71" s="288" t="s">
        <v>634</v>
      </c>
      <c r="C71" s="288" t="s">
        <v>949</v>
      </c>
      <c r="D71" s="288" t="s">
        <v>950</v>
      </c>
      <c r="E71" s="258">
        <v>26</v>
      </c>
      <c r="F71" s="289" t="s">
        <v>8</v>
      </c>
      <c r="G71" s="156" t="s">
        <v>629</v>
      </c>
      <c r="H71" s="334">
        <v>45964</v>
      </c>
      <c r="I71" s="334">
        <v>45986</v>
      </c>
      <c r="J71" s="322">
        <v>45959</v>
      </c>
      <c r="K71" s="322">
        <f t="shared" si="0"/>
        <v>46139</v>
      </c>
      <c r="L71" s="263"/>
      <c r="M71" s="262"/>
      <c r="N71" s="262"/>
      <c r="O71" s="262"/>
      <c r="P71" s="262"/>
      <c r="Q71" s="262"/>
      <c r="R71" s="262"/>
      <c r="S71" s="204" t="s">
        <v>1039</v>
      </c>
      <c r="T71" s="261" t="s">
        <v>1140</v>
      </c>
      <c r="U71" s="261"/>
      <c r="V71" s="263"/>
      <c r="W71" s="349"/>
      <c r="X71" s="274"/>
      <c r="Y71" s="274"/>
      <c r="Z71" s="274"/>
      <c r="AA71" s="274"/>
      <c r="AB71" s="273"/>
      <c r="AC71" s="273"/>
      <c r="AD71" s="273"/>
      <c r="AE71" s="273"/>
      <c r="AF71" s="273"/>
      <c r="AG71" s="273"/>
      <c r="AH71" s="273"/>
      <c r="AI71" s="273"/>
      <c r="AJ71" s="273"/>
      <c r="AK71" s="273"/>
      <c r="AL71" s="274" t="s">
        <v>1132</v>
      </c>
    </row>
    <row r="72" spans="1:38" ht="13.8">
      <c r="A72" s="180">
        <v>1</v>
      </c>
      <c r="B72" s="290" t="s">
        <v>621</v>
      </c>
      <c r="C72" s="290" t="s">
        <v>951</v>
      </c>
      <c r="D72" s="290" t="s">
        <v>952</v>
      </c>
      <c r="E72" s="291"/>
      <c r="F72" s="286"/>
      <c r="G72" s="290"/>
      <c r="H72" s="335"/>
      <c r="I72" s="335"/>
      <c r="J72" s="331">
        <v>45986</v>
      </c>
      <c r="K72" s="322">
        <f t="shared" si="0"/>
        <v>46166</v>
      </c>
      <c r="L72" s="270"/>
      <c r="M72" s="269" t="s">
        <v>980</v>
      </c>
      <c r="N72" s="269"/>
      <c r="O72" s="269"/>
      <c r="P72" s="269"/>
      <c r="Q72" s="269"/>
      <c r="R72" s="271"/>
      <c r="S72" s="272" t="s">
        <v>39</v>
      </c>
      <c r="T72" s="273" t="s">
        <v>54</v>
      </c>
      <c r="U72" s="273" t="s">
        <v>1041</v>
      </c>
      <c r="V72" s="270"/>
      <c r="W72" s="349"/>
      <c r="X72" s="274"/>
      <c r="Y72" s="274"/>
      <c r="Z72" s="274"/>
      <c r="AA72" s="274"/>
      <c r="AB72" s="273"/>
      <c r="AC72" s="273"/>
      <c r="AD72" s="273"/>
      <c r="AE72" s="273"/>
      <c r="AF72" s="273"/>
      <c r="AG72" s="273"/>
      <c r="AH72" s="273"/>
      <c r="AI72" s="273"/>
      <c r="AJ72" s="273"/>
      <c r="AK72" s="273"/>
      <c r="AL72" s="274" t="s">
        <v>1133</v>
      </c>
    </row>
    <row r="73" spans="1:38" ht="13.8">
      <c r="A73" s="180">
        <v>1</v>
      </c>
      <c r="B73" s="284" t="s">
        <v>621</v>
      </c>
      <c r="C73" s="284" t="s">
        <v>953</v>
      </c>
      <c r="D73" s="284" t="s">
        <v>954</v>
      </c>
      <c r="E73" s="285">
        <v>32</v>
      </c>
      <c r="F73" s="286" t="s">
        <v>683</v>
      </c>
      <c r="G73" s="284" t="s">
        <v>774</v>
      </c>
      <c r="H73" s="333"/>
      <c r="I73" s="333">
        <v>46007</v>
      </c>
      <c r="J73" s="331"/>
      <c r="K73" s="322">
        <f t="shared" si="0"/>
        <v>180</v>
      </c>
      <c r="L73" s="270"/>
      <c r="M73" s="269"/>
      <c r="N73" s="269"/>
      <c r="O73" s="269"/>
      <c r="P73" s="269"/>
      <c r="Q73" s="269"/>
      <c r="R73" s="271"/>
      <c r="S73" s="272" t="s">
        <v>39</v>
      </c>
      <c r="T73" s="273" t="s">
        <v>54</v>
      </c>
      <c r="U73" s="273" t="s">
        <v>1041</v>
      </c>
      <c r="V73" s="270"/>
      <c r="W73" s="349"/>
      <c r="X73" s="274"/>
      <c r="Y73" s="274"/>
      <c r="Z73" s="274"/>
      <c r="AA73" s="274"/>
      <c r="AB73" s="273"/>
      <c r="AC73" s="273"/>
      <c r="AD73" s="273"/>
      <c r="AE73" s="273"/>
      <c r="AF73" s="273"/>
      <c r="AG73" s="273"/>
      <c r="AH73" s="273"/>
      <c r="AI73" s="273"/>
      <c r="AJ73" s="273"/>
      <c r="AK73" s="273"/>
      <c r="AL73" s="274" t="s">
        <v>1134</v>
      </c>
    </row>
    <row r="74" spans="1:38" s="283" customFormat="1" ht="13.8">
      <c r="A74" s="180">
        <v>1</v>
      </c>
      <c r="B74" s="292" t="s">
        <v>621</v>
      </c>
      <c r="C74" s="292" t="s">
        <v>955</v>
      </c>
      <c r="D74" s="292" t="s">
        <v>956</v>
      </c>
      <c r="E74" s="293">
        <v>30</v>
      </c>
      <c r="F74" s="294" t="s">
        <v>697</v>
      </c>
      <c r="G74" s="292" t="s">
        <v>629</v>
      </c>
      <c r="H74" s="326">
        <v>45964</v>
      </c>
      <c r="I74" s="336"/>
      <c r="J74" s="328">
        <v>45897</v>
      </c>
      <c r="K74" s="328">
        <f t="shared" si="0"/>
        <v>46077</v>
      </c>
      <c r="L74" s="279"/>
      <c r="M74" s="280" t="s">
        <v>970</v>
      </c>
      <c r="N74" s="280"/>
      <c r="O74" s="280"/>
      <c r="P74" s="280"/>
      <c r="Q74" s="280"/>
      <c r="R74" s="280"/>
      <c r="S74" s="227" t="s">
        <v>1045</v>
      </c>
      <c r="T74" s="281" t="s">
        <v>54</v>
      </c>
      <c r="U74" s="281" t="s">
        <v>1041</v>
      </c>
      <c r="V74" s="279"/>
      <c r="W74" s="347" t="s">
        <v>1322</v>
      </c>
      <c r="X74" s="282"/>
      <c r="Y74" s="282"/>
      <c r="Z74" s="282"/>
      <c r="AA74" s="282"/>
      <c r="AB74" s="281"/>
      <c r="AC74" s="281"/>
      <c r="AD74" s="281"/>
      <c r="AE74" s="281"/>
      <c r="AF74" s="281"/>
      <c r="AG74" s="281"/>
      <c r="AH74" s="281"/>
      <c r="AI74" s="281"/>
      <c r="AJ74" s="281"/>
      <c r="AK74" s="281"/>
      <c r="AL74" s="274" t="s">
        <v>1135</v>
      </c>
    </row>
    <row r="75" spans="1:38" ht="13.8">
      <c r="A75" s="180">
        <v>1</v>
      </c>
      <c r="B75" s="290" t="s">
        <v>634</v>
      </c>
      <c r="C75" s="290" t="s">
        <v>957</v>
      </c>
      <c r="D75" s="290" t="s">
        <v>958</v>
      </c>
      <c r="E75" s="291">
        <v>32</v>
      </c>
      <c r="F75" s="286"/>
      <c r="G75" s="290" t="s">
        <v>76</v>
      </c>
      <c r="H75" s="335">
        <v>45819</v>
      </c>
      <c r="I75" s="335">
        <v>45968</v>
      </c>
      <c r="J75" s="331">
        <v>45897</v>
      </c>
      <c r="K75" s="322">
        <f t="shared" si="0"/>
        <v>46077</v>
      </c>
      <c r="L75" s="270"/>
      <c r="M75" s="269"/>
      <c r="N75" s="269"/>
      <c r="O75" s="269"/>
      <c r="P75" s="269"/>
      <c r="Q75" s="269"/>
      <c r="R75" s="271"/>
      <c r="S75" s="272" t="s">
        <v>43</v>
      </c>
      <c r="T75" s="273"/>
      <c r="U75" s="273"/>
      <c r="V75" s="270"/>
      <c r="W75" s="349"/>
      <c r="X75" s="274"/>
      <c r="Y75" s="274"/>
      <c r="Z75" s="274"/>
      <c r="AA75" s="274"/>
      <c r="AB75" s="273"/>
      <c r="AC75" s="273"/>
      <c r="AD75" s="273"/>
      <c r="AE75" s="273"/>
      <c r="AF75" s="273"/>
      <c r="AG75" s="273"/>
      <c r="AH75" s="273"/>
      <c r="AI75" s="273"/>
      <c r="AJ75" s="273"/>
      <c r="AK75" s="273"/>
      <c r="AL75" s="274" t="s">
        <v>1160</v>
      </c>
    </row>
    <row r="76" spans="1:38">
      <c r="A76" s="180">
        <v>1</v>
      </c>
      <c r="B76" s="273" t="s">
        <v>617</v>
      </c>
      <c r="C76" s="295" t="s">
        <v>635</v>
      </c>
      <c r="D76" s="295" t="s">
        <v>636</v>
      </c>
      <c r="E76" s="271">
        <v>53</v>
      </c>
      <c r="F76" s="296" t="s">
        <v>29</v>
      </c>
      <c r="G76" s="266"/>
      <c r="H76" s="337"/>
      <c r="I76" s="337"/>
      <c r="J76" s="331"/>
      <c r="K76" s="331"/>
      <c r="L76" s="270"/>
      <c r="M76" s="269" t="s">
        <v>968</v>
      </c>
      <c r="N76" s="269" t="s">
        <v>971</v>
      </c>
      <c r="O76" s="269" t="s">
        <v>974</v>
      </c>
      <c r="P76" s="269"/>
      <c r="Q76" s="269"/>
      <c r="R76" s="271"/>
      <c r="S76" s="272" t="s">
        <v>39</v>
      </c>
      <c r="T76" s="273" t="s">
        <v>57</v>
      </c>
      <c r="U76" s="273"/>
      <c r="V76" s="270"/>
      <c r="W76" s="349"/>
      <c r="X76" s="274"/>
      <c r="Y76" s="274"/>
      <c r="Z76" s="274"/>
      <c r="AA76" s="274"/>
      <c r="AB76" s="273"/>
      <c r="AC76" s="273"/>
      <c r="AD76" s="273"/>
      <c r="AE76" s="273"/>
      <c r="AF76" s="273"/>
      <c r="AG76" s="273"/>
      <c r="AH76" s="273"/>
      <c r="AI76" s="273"/>
      <c r="AJ76" s="273"/>
      <c r="AK76" s="273">
        <v>1</v>
      </c>
      <c r="AL76" s="188" t="s">
        <v>1161</v>
      </c>
    </row>
    <row r="77" spans="1:38">
      <c r="A77" s="180">
        <v>1</v>
      </c>
      <c r="B77" s="273" t="s">
        <v>621</v>
      </c>
      <c r="C77" s="295" t="s">
        <v>1256</v>
      </c>
      <c r="D77" s="295" t="s">
        <v>875</v>
      </c>
      <c r="E77" s="271">
        <v>53</v>
      </c>
      <c r="F77" s="296"/>
      <c r="G77" s="266"/>
      <c r="H77" s="337"/>
      <c r="I77" s="337"/>
      <c r="J77" s="325"/>
      <c r="K77" s="331"/>
      <c r="L77" s="270"/>
      <c r="M77" s="269"/>
      <c r="N77" s="269"/>
      <c r="O77" s="269"/>
      <c r="P77" s="269"/>
      <c r="Q77" s="269"/>
      <c r="R77" s="271"/>
      <c r="S77" s="272" t="s">
        <v>43</v>
      </c>
      <c r="T77" s="273"/>
      <c r="U77" s="273"/>
      <c r="V77" s="270"/>
      <c r="W77" s="349"/>
      <c r="X77" s="274"/>
      <c r="Y77" s="274"/>
      <c r="Z77" s="274"/>
      <c r="AA77" s="274"/>
      <c r="AB77" s="273"/>
      <c r="AC77" s="273"/>
      <c r="AD77" s="273"/>
      <c r="AE77" s="273"/>
      <c r="AF77" s="273"/>
      <c r="AG77" s="273"/>
      <c r="AH77" s="273"/>
      <c r="AI77" s="273"/>
      <c r="AJ77" s="273"/>
      <c r="AK77" s="273"/>
      <c r="AL77" s="274"/>
    </row>
    <row r="78" spans="1:38" s="127" customFormat="1" ht="25.2" customHeight="1">
      <c r="A78" s="180">
        <v>1</v>
      </c>
      <c r="B78" s="121" t="s">
        <v>621</v>
      </c>
      <c r="C78" s="121" t="s">
        <v>1219</v>
      </c>
      <c r="D78" s="121" t="s">
        <v>1220</v>
      </c>
      <c r="E78" s="122">
        <v>45</v>
      </c>
      <c r="F78" s="123" t="s">
        <v>8</v>
      </c>
      <c r="G78" s="121" t="s">
        <v>629</v>
      </c>
      <c r="H78" s="320">
        <v>46135</v>
      </c>
      <c r="I78" s="320">
        <v>46163</v>
      </c>
      <c r="J78" s="302">
        <v>46163</v>
      </c>
      <c r="K78" s="300">
        <f t="shared" ref="K78:K89" si="1">+J78+180</f>
        <v>46343</v>
      </c>
      <c r="L78" s="124"/>
      <c r="M78" s="64"/>
      <c r="N78" s="64"/>
      <c r="O78" s="64"/>
      <c r="P78" s="64"/>
      <c r="Q78" s="64"/>
      <c r="R78" s="204"/>
      <c r="S78" s="200" t="s">
        <v>39</v>
      </c>
      <c r="T78" s="201" t="s">
        <v>34</v>
      </c>
      <c r="U78" s="125"/>
      <c r="V78" s="124">
        <v>46171</v>
      </c>
      <c r="W78" s="345"/>
      <c r="X78" s="126"/>
      <c r="Y78" s="126"/>
      <c r="Z78" s="126"/>
      <c r="AA78" s="126"/>
      <c r="AB78" s="146"/>
      <c r="AC78" s="146"/>
      <c r="AD78" s="146"/>
      <c r="AE78" s="146"/>
      <c r="AF78" s="146"/>
      <c r="AG78" s="146"/>
      <c r="AH78" s="146"/>
      <c r="AI78" s="146"/>
      <c r="AJ78" s="146"/>
      <c r="AK78" s="146"/>
      <c r="AL78" s="126" t="s">
        <v>1251</v>
      </c>
    </row>
    <row r="79" spans="1:38" s="127" customFormat="1" ht="21.45" customHeight="1">
      <c r="A79" s="180">
        <v>1</v>
      </c>
      <c r="B79" s="234" t="s">
        <v>621</v>
      </c>
      <c r="C79" s="235" t="s">
        <v>727</v>
      </c>
      <c r="D79" s="234" t="s">
        <v>728</v>
      </c>
      <c r="E79" s="236">
        <v>41</v>
      </c>
      <c r="F79" s="195" t="s">
        <v>29</v>
      </c>
      <c r="G79" s="237" t="s">
        <v>76</v>
      </c>
      <c r="H79" s="316">
        <v>45918</v>
      </c>
      <c r="I79" s="299">
        <v>45943</v>
      </c>
      <c r="J79" s="302">
        <v>45943</v>
      </c>
      <c r="K79" s="300">
        <f t="shared" si="1"/>
        <v>46123</v>
      </c>
      <c r="L79" s="197"/>
      <c r="M79" s="63"/>
      <c r="N79" s="63"/>
      <c r="O79" s="63"/>
      <c r="P79" s="63"/>
      <c r="Q79" s="63" t="s">
        <v>1275</v>
      </c>
      <c r="R79" s="204"/>
      <c r="S79" s="200" t="s">
        <v>1283</v>
      </c>
      <c r="T79" s="201"/>
      <c r="U79" s="125"/>
      <c r="V79" s="124"/>
      <c r="W79" s="345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 t="s">
        <v>1177</v>
      </c>
    </row>
    <row r="80" spans="1:38" s="232" customFormat="1" ht="19.5" customHeight="1">
      <c r="A80" s="180">
        <v>1</v>
      </c>
      <c r="B80" s="169" t="s">
        <v>621</v>
      </c>
      <c r="C80" s="169" t="s">
        <v>750</v>
      </c>
      <c r="D80" s="169" t="s">
        <v>751</v>
      </c>
      <c r="E80" s="240">
        <v>26</v>
      </c>
      <c r="F80" s="241" t="s">
        <v>697</v>
      </c>
      <c r="G80" s="242" t="s">
        <v>75</v>
      </c>
      <c r="H80" s="319">
        <v>45945</v>
      </c>
      <c r="I80" s="319">
        <v>45959</v>
      </c>
      <c r="J80" s="389">
        <v>45959</v>
      </c>
      <c r="K80" s="313">
        <f t="shared" si="1"/>
        <v>46139</v>
      </c>
      <c r="L80" s="226"/>
      <c r="M80" s="167" t="s">
        <v>1019</v>
      </c>
      <c r="N80" s="167"/>
      <c r="O80" s="167"/>
      <c r="P80" s="167"/>
      <c r="Q80" s="167"/>
      <c r="R80" s="227"/>
      <c r="S80" s="228" t="s">
        <v>41</v>
      </c>
      <c r="T80" s="229" t="s">
        <v>54</v>
      </c>
      <c r="U80" s="225" t="s">
        <v>45</v>
      </c>
      <c r="V80" s="230"/>
      <c r="W80" s="347">
        <v>1</v>
      </c>
      <c r="X80" s="231"/>
      <c r="Y80" s="231"/>
      <c r="Z80" s="231"/>
      <c r="AA80" s="231"/>
      <c r="AB80" s="231"/>
      <c r="AC80" s="231"/>
      <c r="AD80" s="231"/>
      <c r="AE80" s="231"/>
      <c r="AF80" s="231"/>
      <c r="AG80" s="231"/>
      <c r="AH80" s="231"/>
      <c r="AI80" s="231"/>
      <c r="AJ80" s="231"/>
      <c r="AK80" s="231"/>
      <c r="AL80" s="231" t="s">
        <v>1081</v>
      </c>
    </row>
    <row r="81" spans="1:38" s="127" customFormat="1" ht="18" customHeight="1">
      <c r="A81" s="180">
        <v>1</v>
      </c>
      <c r="B81" s="238" t="s">
        <v>634</v>
      </c>
      <c r="C81" s="238" t="s">
        <v>754</v>
      </c>
      <c r="D81" s="238" t="s">
        <v>755</v>
      </c>
      <c r="E81" s="239">
        <v>27</v>
      </c>
      <c r="F81" s="195" t="s">
        <v>734</v>
      </c>
      <c r="G81" s="156" t="s">
        <v>629</v>
      </c>
      <c r="H81" s="317">
        <v>45945</v>
      </c>
      <c r="I81" s="317">
        <v>45966</v>
      </c>
      <c r="J81" s="302">
        <v>45966</v>
      </c>
      <c r="K81" s="300">
        <f t="shared" si="1"/>
        <v>46146</v>
      </c>
      <c r="L81" s="197"/>
      <c r="M81" s="63" t="s">
        <v>964</v>
      </c>
      <c r="N81" s="63"/>
      <c r="O81" s="63"/>
      <c r="P81" s="63"/>
      <c r="Q81" s="63"/>
      <c r="R81" s="204"/>
      <c r="S81" s="200" t="s">
        <v>42</v>
      </c>
      <c r="T81" s="201"/>
      <c r="U81" s="125"/>
      <c r="V81" s="124"/>
      <c r="W81" s="345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 t="s">
        <v>1083</v>
      </c>
    </row>
    <row r="82" spans="1:38" s="127" customFormat="1" ht="24.45" customHeight="1">
      <c r="A82" s="180">
        <v>1</v>
      </c>
      <c r="B82" s="174" t="s">
        <v>621</v>
      </c>
      <c r="C82" s="174" t="s">
        <v>732</v>
      </c>
      <c r="D82" s="174" t="s">
        <v>733</v>
      </c>
      <c r="E82" s="194">
        <v>62</v>
      </c>
      <c r="F82" s="195" t="s">
        <v>734</v>
      </c>
      <c r="G82" s="174" t="s">
        <v>76</v>
      </c>
      <c r="H82" s="299">
        <v>45916</v>
      </c>
      <c r="I82" s="301">
        <v>45943</v>
      </c>
      <c r="J82" s="302">
        <v>45943</v>
      </c>
      <c r="K82" s="300">
        <f t="shared" si="1"/>
        <v>46123</v>
      </c>
      <c r="L82" s="197"/>
      <c r="M82" s="63" t="s">
        <v>1011</v>
      </c>
      <c r="N82" s="63" t="s">
        <v>1012</v>
      </c>
      <c r="O82" s="63"/>
      <c r="P82" s="63"/>
      <c r="Q82" s="63"/>
      <c r="R82" s="204"/>
      <c r="S82" s="200" t="s">
        <v>39</v>
      </c>
      <c r="T82" s="201" t="s">
        <v>53</v>
      </c>
      <c r="U82" s="125"/>
      <c r="V82" s="124"/>
      <c r="W82" s="345" t="s">
        <v>1312</v>
      </c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 t="s">
        <v>1178</v>
      </c>
    </row>
    <row r="83" spans="1:38" s="127" customFormat="1" ht="18" customHeight="1">
      <c r="A83" s="180">
        <v>1</v>
      </c>
      <c r="B83" s="243" t="s">
        <v>621</v>
      </c>
      <c r="C83" s="243" t="s">
        <v>775</v>
      </c>
      <c r="D83" s="243" t="s">
        <v>776</v>
      </c>
      <c r="E83" s="160">
        <v>32</v>
      </c>
      <c r="F83" s="161" t="s">
        <v>683</v>
      </c>
      <c r="G83" s="156" t="s">
        <v>629</v>
      </c>
      <c r="H83" s="318">
        <v>45985</v>
      </c>
      <c r="I83" s="318">
        <v>46008</v>
      </c>
      <c r="J83" s="302">
        <v>46008</v>
      </c>
      <c r="K83" s="300">
        <f t="shared" si="1"/>
        <v>46188</v>
      </c>
      <c r="L83" s="197"/>
      <c r="M83" s="63"/>
      <c r="N83" s="63"/>
      <c r="O83" s="63"/>
      <c r="P83" s="63"/>
      <c r="Q83" s="63"/>
      <c r="R83" s="204"/>
      <c r="S83" s="200" t="s">
        <v>43</v>
      </c>
      <c r="T83" s="201"/>
      <c r="U83" s="125"/>
      <c r="V83" s="124"/>
      <c r="W83" s="345"/>
      <c r="X83" s="126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 t="s">
        <v>1139</v>
      </c>
    </row>
    <row r="84" spans="1:38" s="127" customFormat="1" ht="18" customHeight="1">
      <c r="A84" s="180">
        <v>1</v>
      </c>
      <c r="B84" s="253" t="s">
        <v>634</v>
      </c>
      <c r="C84" s="206" t="s">
        <v>797</v>
      </c>
      <c r="D84" s="206" t="s">
        <v>798</v>
      </c>
      <c r="E84" s="207">
        <v>45</v>
      </c>
      <c r="F84" s="208" t="s">
        <v>8</v>
      </c>
      <c r="G84" s="156" t="s">
        <v>629</v>
      </c>
      <c r="H84" s="304">
        <v>45832</v>
      </c>
      <c r="I84" s="305">
        <v>45881</v>
      </c>
      <c r="J84" s="302">
        <v>45881</v>
      </c>
      <c r="K84" s="438">
        <f t="shared" si="1"/>
        <v>46061</v>
      </c>
      <c r="L84" s="363"/>
      <c r="M84" s="63" t="s">
        <v>1034</v>
      </c>
      <c r="N84" s="63" t="s">
        <v>1035</v>
      </c>
      <c r="O84" s="63"/>
      <c r="P84" s="63"/>
      <c r="Q84" s="63"/>
      <c r="R84" s="204"/>
      <c r="S84" s="200" t="s">
        <v>43</v>
      </c>
      <c r="T84" s="201"/>
      <c r="U84" s="125"/>
      <c r="V84" s="124"/>
      <c r="W84" s="345" t="s">
        <v>1291</v>
      </c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 t="s">
        <v>1171</v>
      </c>
    </row>
    <row r="85" spans="1:38" s="476" customFormat="1" ht="18" customHeight="1">
      <c r="A85" s="180">
        <v>1</v>
      </c>
      <c r="B85" s="477" t="s">
        <v>634</v>
      </c>
      <c r="C85" s="477" t="s">
        <v>799</v>
      </c>
      <c r="D85" s="477" t="s">
        <v>447</v>
      </c>
      <c r="E85" s="478">
        <v>62</v>
      </c>
      <c r="F85" s="462" t="s">
        <v>29</v>
      </c>
      <c r="G85" s="479" t="s">
        <v>76</v>
      </c>
      <c r="H85" s="464">
        <v>46037</v>
      </c>
      <c r="I85" s="464">
        <v>46056</v>
      </c>
      <c r="J85" s="465">
        <v>46056</v>
      </c>
      <c r="K85" s="466">
        <f t="shared" si="1"/>
        <v>46236</v>
      </c>
      <c r="L85" s="467"/>
      <c r="M85" s="468" t="s">
        <v>968</v>
      </c>
      <c r="N85" s="468"/>
      <c r="O85" s="468"/>
      <c r="P85" s="468"/>
      <c r="Q85" s="468"/>
      <c r="R85" s="469"/>
      <c r="S85" s="470" t="s">
        <v>39</v>
      </c>
      <c r="T85" s="471" t="s">
        <v>1040</v>
      </c>
      <c r="U85" s="472"/>
      <c r="V85" s="473"/>
      <c r="W85" s="474"/>
      <c r="X85" s="475"/>
      <c r="Y85" s="475"/>
      <c r="Z85" s="475"/>
      <c r="AA85" s="475"/>
      <c r="AB85" s="475"/>
      <c r="AC85" s="475"/>
      <c r="AD85" s="475"/>
      <c r="AE85" s="475"/>
      <c r="AF85" s="475"/>
      <c r="AG85" s="475"/>
      <c r="AH85" s="475"/>
      <c r="AI85" s="475"/>
      <c r="AJ85" s="475"/>
      <c r="AK85" s="475"/>
      <c r="AL85" s="475" t="s">
        <v>1183</v>
      </c>
    </row>
    <row r="86" spans="1:38" s="430" customFormat="1" ht="25.95" customHeight="1">
      <c r="A86" s="180">
        <v>1</v>
      </c>
      <c r="B86" s="393" t="s">
        <v>617</v>
      </c>
      <c r="C86" s="393" t="s">
        <v>816</v>
      </c>
      <c r="D86" s="393" t="s">
        <v>817</v>
      </c>
      <c r="E86" s="245">
        <v>40</v>
      </c>
      <c r="F86" s="195" t="s">
        <v>11</v>
      </c>
      <c r="G86" s="156" t="s">
        <v>629</v>
      </c>
      <c r="H86" s="317">
        <v>46042</v>
      </c>
      <c r="I86" s="317">
        <v>46057</v>
      </c>
      <c r="J86" s="323">
        <v>46057</v>
      </c>
      <c r="K86" s="300">
        <f t="shared" si="1"/>
        <v>46237</v>
      </c>
      <c r="L86" s="425"/>
      <c r="M86" s="129" t="s">
        <v>965</v>
      </c>
      <c r="N86" s="129" t="s">
        <v>1038</v>
      </c>
      <c r="O86" s="129"/>
      <c r="P86" s="129"/>
      <c r="Q86" s="129"/>
      <c r="R86" s="178"/>
      <c r="S86" s="426" t="s">
        <v>1151</v>
      </c>
      <c r="T86" s="427" t="s">
        <v>1152</v>
      </c>
      <c r="U86" s="428"/>
      <c r="V86" s="425"/>
      <c r="W86" s="345">
        <v>1</v>
      </c>
      <c r="X86" s="429"/>
      <c r="Y86" s="429"/>
      <c r="Z86" s="429"/>
      <c r="AA86" s="429"/>
      <c r="AB86" s="428"/>
      <c r="AC86" s="428"/>
      <c r="AD86" s="428"/>
      <c r="AE86" s="428"/>
      <c r="AF86" s="428"/>
      <c r="AG86" s="428"/>
      <c r="AH86" s="428"/>
      <c r="AI86" s="428">
        <v>1</v>
      </c>
      <c r="AJ86" s="428"/>
      <c r="AK86" s="428"/>
      <c r="AL86" s="429"/>
    </row>
    <row r="87" spans="1:38" s="127" customFormat="1" ht="16.95" customHeight="1">
      <c r="A87" s="180">
        <v>1</v>
      </c>
      <c r="B87" s="159" t="s">
        <v>621</v>
      </c>
      <c r="C87" s="159" t="s">
        <v>1267</v>
      </c>
      <c r="D87" s="159" t="s">
        <v>818</v>
      </c>
      <c r="E87" s="173">
        <v>53</v>
      </c>
      <c r="F87" s="161" t="s">
        <v>29</v>
      </c>
      <c r="G87" s="254" t="s">
        <v>76</v>
      </c>
      <c r="H87" s="424">
        <v>46051</v>
      </c>
      <c r="I87" s="318"/>
      <c r="J87" s="302"/>
      <c r="K87" s="300">
        <f t="shared" si="1"/>
        <v>180</v>
      </c>
      <c r="L87" s="124"/>
      <c r="M87" s="63"/>
      <c r="N87" s="63"/>
      <c r="O87" s="63"/>
      <c r="P87" s="63"/>
      <c r="Q87" s="63"/>
      <c r="R87" s="204"/>
      <c r="S87" s="200" t="s">
        <v>1151</v>
      </c>
      <c r="T87" s="201" t="s">
        <v>1153</v>
      </c>
      <c r="U87" s="125"/>
      <c r="V87" s="124"/>
      <c r="W87" s="345"/>
      <c r="X87" s="126"/>
      <c r="Y87" s="126"/>
      <c r="Z87" s="126"/>
      <c r="AA87" s="126"/>
      <c r="AB87" s="146"/>
      <c r="AC87" s="146"/>
      <c r="AD87" s="146"/>
      <c r="AE87" s="146"/>
      <c r="AF87" s="146"/>
      <c r="AG87" s="146"/>
      <c r="AH87" s="146"/>
      <c r="AI87" s="146"/>
      <c r="AJ87" s="146"/>
      <c r="AK87" s="146"/>
      <c r="AL87" s="126"/>
    </row>
    <row r="88" spans="1:38" s="127" customFormat="1" ht="18" customHeight="1">
      <c r="A88" s="180">
        <v>1</v>
      </c>
      <c r="B88" s="252" t="s">
        <v>634</v>
      </c>
      <c r="C88" s="252" t="s">
        <v>829</v>
      </c>
      <c r="D88" s="252" t="s">
        <v>830</v>
      </c>
      <c r="E88" s="160">
        <v>38</v>
      </c>
      <c r="F88" s="163" t="s">
        <v>22</v>
      </c>
      <c r="G88" s="156" t="s">
        <v>629</v>
      </c>
      <c r="H88" s="318" t="s">
        <v>831</v>
      </c>
      <c r="I88" s="318">
        <v>46085</v>
      </c>
      <c r="J88" s="302">
        <v>46085</v>
      </c>
      <c r="K88" s="300">
        <f t="shared" si="1"/>
        <v>46265</v>
      </c>
      <c r="L88" s="124"/>
      <c r="M88" s="63" t="s">
        <v>971</v>
      </c>
      <c r="N88" s="63" t="s">
        <v>970</v>
      </c>
      <c r="O88" s="63" t="s">
        <v>974</v>
      </c>
      <c r="P88" s="63"/>
      <c r="Q88" s="63"/>
      <c r="R88" s="204"/>
      <c r="S88" s="200" t="s">
        <v>42</v>
      </c>
      <c r="T88" s="201"/>
      <c r="U88" s="125"/>
      <c r="V88" s="124"/>
      <c r="W88" s="345"/>
      <c r="X88" s="126"/>
      <c r="Y88" s="126"/>
      <c r="Z88" s="126"/>
      <c r="AA88" s="126"/>
      <c r="AB88" s="146"/>
      <c r="AC88" s="146"/>
      <c r="AD88" s="146"/>
      <c r="AE88" s="146"/>
      <c r="AF88" s="146"/>
      <c r="AG88" s="146"/>
      <c r="AH88" s="146"/>
      <c r="AI88" s="146"/>
      <c r="AJ88" s="146"/>
      <c r="AK88" s="146"/>
      <c r="AL88" s="126" t="s">
        <v>1095</v>
      </c>
    </row>
    <row r="89" spans="1:38" s="127" customFormat="1" ht="18" customHeight="1">
      <c r="A89" s="180">
        <v>1</v>
      </c>
      <c r="B89" s="121" t="s">
        <v>621</v>
      </c>
      <c r="C89" s="121" t="s">
        <v>1195</v>
      </c>
      <c r="D89" s="121" t="s">
        <v>1196</v>
      </c>
      <c r="E89" s="122">
        <v>50</v>
      </c>
      <c r="F89" s="123" t="s">
        <v>14</v>
      </c>
      <c r="G89" s="156" t="s">
        <v>629</v>
      </c>
      <c r="H89" s="388">
        <v>46106</v>
      </c>
      <c r="I89" s="388">
        <v>46153</v>
      </c>
      <c r="J89" s="302">
        <v>46153</v>
      </c>
      <c r="K89" s="300">
        <f t="shared" si="1"/>
        <v>46333</v>
      </c>
      <c r="L89" s="124"/>
      <c r="M89" s="63" t="s">
        <v>976</v>
      </c>
      <c r="N89" s="63"/>
      <c r="O89" s="63"/>
      <c r="P89" s="63"/>
      <c r="Q89" s="63"/>
      <c r="R89" s="204"/>
      <c r="S89" s="200" t="s">
        <v>39</v>
      </c>
      <c r="T89" s="201" t="s">
        <v>54</v>
      </c>
      <c r="U89" s="125"/>
      <c r="V89" s="124"/>
      <c r="W89" s="345"/>
      <c r="X89" s="126"/>
      <c r="Y89" s="126"/>
      <c r="Z89" s="126"/>
      <c r="AA89" s="126"/>
      <c r="AB89" s="146"/>
      <c r="AC89" s="146"/>
      <c r="AD89" s="146"/>
      <c r="AE89" s="146"/>
      <c r="AF89" s="146"/>
      <c r="AG89" s="146"/>
      <c r="AH89" s="146"/>
      <c r="AI89" s="146"/>
      <c r="AJ89" s="146"/>
      <c r="AK89" s="146"/>
      <c r="AL89" s="126" t="s">
        <v>1197</v>
      </c>
    </row>
    <row r="90" spans="1:38" s="476" customFormat="1" ht="18" customHeight="1">
      <c r="A90" s="180">
        <v>1</v>
      </c>
      <c r="B90" s="460" t="s">
        <v>634</v>
      </c>
      <c r="C90" s="460" t="s">
        <v>782</v>
      </c>
      <c r="D90" s="460" t="s">
        <v>783</v>
      </c>
      <c r="E90" s="461">
        <v>33</v>
      </c>
      <c r="F90" s="462"/>
      <c r="G90" s="463" t="s">
        <v>629</v>
      </c>
      <c r="H90" s="464">
        <v>45986</v>
      </c>
      <c r="I90" s="464">
        <v>46013</v>
      </c>
      <c r="J90" s="465"/>
      <c r="K90" s="466">
        <f>+J90+180</f>
        <v>180</v>
      </c>
      <c r="L90" s="467"/>
      <c r="M90" s="468" t="s">
        <v>1029</v>
      </c>
      <c r="N90" s="468"/>
      <c r="O90" s="468"/>
      <c r="P90" s="468"/>
      <c r="Q90" s="468"/>
      <c r="R90" s="469"/>
      <c r="S90" s="470" t="s">
        <v>42</v>
      </c>
      <c r="T90" s="471"/>
      <c r="U90" s="472"/>
      <c r="V90" s="473"/>
      <c r="W90" s="474"/>
      <c r="X90" s="475"/>
      <c r="Y90" s="475"/>
      <c r="Z90" s="475"/>
      <c r="AA90" s="475"/>
      <c r="AB90" s="475"/>
      <c r="AC90" s="475"/>
      <c r="AD90" s="475"/>
      <c r="AE90" s="475"/>
      <c r="AF90" s="475"/>
      <c r="AG90" s="475"/>
      <c r="AH90" s="475"/>
      <c r="AI90" s="475"/>
      <c r="AJ90" s="475"/>
      <c r="AK90" s="475"/>
      <c r="AL90" s="475" t="s">
        <v>1090</v>
      </c>
    </row>
    <row r="91" spans="1:38" s="127" customFormat="1" ht="18" customHeight="1">
      <c r="A91" s="180">
        <v>1</v>
      </c>
      <c r="B91" s="246" t="s">
        <v>634</v>
      </c>
      <c r="C91" s="246" t="s">
        <v>770</v>
      </c>
      <c r="D91" s="246" t="s">
        <v>771</v>
      </c>
      <c r="E91" s="247"/>
      <c r="F91" s="248"/>
      <c r="G91" s="249" t="s">
        <v>75</v>
      </c>
      <c r="H91" s="423"/>
      <c r="I91" s="423">
        <v>46006</v>
      </c>
      <c r="J91" s="302"/>
      <c r="K91" s="300">
        <f>+J91+180</f>
        <v>180</v>
      </c>
      <c r="L91" s="197"/>
      <c r="M91" s="63"/>
      <c r="N91" s="63"/>
      <c r="O91" s="63"/>
      <c r="P91" s="63"/>
      <c r="Q91" s="63"/>
      <c r="R91" s="204"/>
      <c r="S91" s="200" t="s">
        <v>42</v>
      </c>
      <c r="T91" s="201"/>
      <c r="U91" s="125"/>
      <c r="V91" s="124"/>
      <c r="W91" s="345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 t="s">
        <v>1086</v>
      </c>
    </row>
    <row r="92" spans="1:38" s="127" customFormat="1" ht="18" customHeight="1">
      <c r="A92" s="255">
        <v>1</v>
      </c>
      <c r="B92" s="159" t="s">
        <v>617</v>
      </c>
      <c r="C92" s="159" t="s">
        <v>810</v>
      </c>
      <c r="D92" s="159" t="s">
        <v>811</v>
      </c>
      <c r="E92" s="173">
        <v>26</v>
      </c>
      <c r="F92" s="161"/>
      <c r="G92" s="174" t="s">
        <v>629</v>
      </c>
      <c r="H92" s="318">
        <v>46036</v>
      </c>
      <c r="I92" s="318">
        <v>46048</v>
      </c>
      <c r="J92" s="302"/>
      <c r="K92" s="300">
        <f>+J92+180</f>
        <v>180</v>
      </c>
      <c r="L92" s="197"/>
      <c r="M92" s="63"/>
      <c r="N92" s="63"/>
      <c r="O92" s="63"/>
      <c r="P92" s="63"/>
      <c r="Q92" s="63"/>
      <c r="R92" s="204"/>
      <c r="S92" s="200" t="s">
        <v>39</v>
      </c>
      <c r="T92" s="201" t="s">
        <v>54</v>
      </c>
      <c r="U92" s="125"/>
      <c r="V92" s="124"/>
      <c r="W92" s="345"/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  <c r="AL92" s="126" t="s">
        <v>1094</v>
      </c>
    </row>
    <row r="93" spans="1:38" s="380" customFormat="1" ht="26.4">
      <c r="A93" s="483">
        <v>0</v>
      </c>
      <c r="B93" s="484" t="s">
        <v>634</v>
      </c>
      <c r="C93" s="484" t="s">
        <v>708</v>
      </c>
      <c r="D93" s="484" t="s">
        <v>709</v>
      </c>
      <c r="E93" s="485">
        <v>43</v>
      </c>
      <c r="F93" s="486" t="s">
        <v>710</v>
      </c>
      <c r="G93" s="487" t="s">
        <v>629</v>
      </c>
      <c r="H93" s="488">
        <v>45821</v>
      </c>
      <c r="I93" s="489">
        <v>45910</v>
      </c>
      <c r="J93" s="490">
        <v>45910</v>
      </c>
      <c r="K93" s="350">
        <f t="shared" ref="K93" si="2">+J93+180</f>
        <v>46090</v>
      </c>
      <c r="L93" s="351"/>
      <c r="M93" s="491" t="s">
        <v>962</v>
      </c>
      <c r="N93" s="491" t="s">
        <v>1001</v>
      </c>
      <c r="O93" s="491" t="s">
        <v>975</v>
      </c>
      <c r="P93" s="491"/>
      <c r="Q93" s="491"/>
      <c r="R93" s="374"/>
      <c r="S93" s="375"/>
      <c r="T93" s="376"/>
      <c r="U93" s="377"/>
      <c r="V93" s="378"/>
      <c r="W93" s="379" t="s">
        <v>1386</v>
      </c>
      <c r="X93" s="354"/>
      <c r="Y93" s="354"/>
      <c r="Z93" s="354"/>
      <c r="AA93" s="354"/>
      <c r="AB93" s="354"/>
      <c r="AC93" s="354"/>
      <c r="AD93" s="354"/>
      <c r="AE93" s="354"/>
      <c r="AF93" s="354"/>
      <c r="AG93" s="354"/>
      <c r="AH93" s="354"/>
      <c r="AI93" s="354"/>
      <c r="AJ93" s="354"/>
      <c r="AK93" s="354"/>
      <c r="AL93" s="354" t="s">
        <v>1069</v>
      </c>
    </row>
    <row r="94" spans="1:38" s="127" customFormat="1" ht="18" customHeight="1">
      <c r="A94" s="381"/>
      <c r="B94" s="243"/>
      <c r="C94" s="243"/>
      <c r="D94" s="243"/>
      <c r="E94" s="160"/>
      <c r="F94" s="161"/>
      <c r="G94" s="156"/>
      <c r="H94" s="318"/>
      <c r="I94" s="318"/>
      <c r="J94" s="302"/>
      <c r="K94" s="300">
        <f t="shared" ref="K94:K148" si="3">+J94+180</f>
        <v>180</v>
      </c>
      <c r="L94" s="197"/>
      <c r="M94" s="63"/>
      <c r="N94" s="63"/>
      <c r="O94" s="63"/>
      <c r="P94" s="63"/>
      <c r="Q94" s="63"/>
      <c r="R94" s="204"/>
      <c r="S94" s="200"/>
      <c r="T94" s="201"/>
      <c r="U94" s="125"/>
      <c r="V94" s="124"/>
      <c r="W94" s="345"/>
      <c r="X94" s="126"/>
      <c r="Y94" s="126"/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  <c r="AL94" s="126"/>
    </row>
    <row r="95" spans="1:38" s="127" customFormat="1" ht="18" customHeight="1">
      <c r="A95" s="381"/>
      <c r="B95" s="243"/>
      <c r="C95" s="243"/>
      <c r="D95" s="243"/>
      <c r="E95" s="160"/>
      <c r="F95" s="161"/>
      <c r="G95" s="156"/>
      <c r="H95" s="318"/>
      <c r="I95" s="318"/>
      <c r="J95" s="302"/>
      <c r="K95" s="300">
        <f t="shared" si="3"/>
        <v>180</v>
      </c>
      <c r="L95" s="197"/>
      <c r="M95" s="63"/>
      <c r="N95" s="63"/>
      <c r="O95" s="63"/>
      <c r="P95" s="63"/>
      <c r="Q95" s="63"/>
      <c r="R95" s="204"/>
      <c r="S95" s="200"/>
      <c r="T95" s="201"/>
      <c r="U95" s="125"/>
      <c r="V95" s="124"/>
      <c r="W95" s="345"/>
      <c r="X95" s="126"/>
      <c r="Y95" s="126"/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</row>
    <row r="96" spans="1:38" s="127" customFormat="1" ht="18" customHeight="1">
      <c r="A96" s="381"/>
      <c r="B96" s="243"/>
      <c r="C96" s="243"/>
      <c r="D96" s="243"/>
      <c r="E96" s="160"/>
      <c r="F96" s="161"/>
      <c r="G96" s="156"/>
      <c r="H96" s="318"/>
      <c r="I96" s="318"/>
      <c r="J96" s="302"/>
      <c r="K96" s="300">
        <f t="shared" si="3"/>
        <v>180</v>
      </c>
      <c r="L96" s="197"/>
      <c r="M96" s="63"/>
      <c r="N96" s="63"/>
      <c r="O96" s="63"/>
      <c r="P96" s="63"/>
      <c r="Q96" s="63"/>
      <c r="R96" s="204"/>
      <c r="S96" s="200"/>
      <c r="T96" s="201"/>
      <c r="U96" s="125"/>
      <c r="V96" s="124"/>
      <c r="W96" s="345"/>
      <c r="X96" s="126"/>
      <c r="Y96" s="126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</row>
    <row r="97" spans="1:38" s="127" customFormat="1" ht="18" customHeight="1">
      <c r="A97" s="381"/>
      <c r="B97" s="243"/>
      <c r="C97" s="243"/>
      <c r="D97" s="243"/>
      <c r="E97" s="160"/>
      <c r="F97" s="161"/>
      <c r="G97" s="156"/>
      <c r="H97" s="318"/>
      <c r="I97" s="318"/>
      <c r="J97" s="302"/>
      <c r="K97" s="300">
        <f t="shared" si="3"/>
        <v>180</v>
      </c>
      <c r="L97" s="197"/>
      <c r="M97" s="63"/>
      <c r="N97" s="63"/>
      <c r="O97" s="63"/>
      <c r="P97" s="63"/>
      <c r="Q97" s="63"/>
      <c r="R97" s="204"/>
      <c r="S97" s="200"/>
      <c r="T97" s="201"/>
      <c r="U97" s="125"/>
      <c r="V97" s="124"/>
      <c r="W97" s="345"/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</row>
    <row r="98" spans="1:38" s="127" customFormat="1" ht="18" customHeight="1">
      <c r="A98" s="381"/>
      <c r="B98" s="243"/>
      <c r="C98" s="243"/>
      <c r="D98" s="243"/>
      <c r="E98" s="160"/>
      <c r="F98" s="161"/>
      <c r="G98" s="156"/>
      <c r="H98" s="318"/>
      <c r="I98" s="318"/>
      <c r="J98" s="302"/>
      <c r="K98" s="300">
        <f t="shared" si="3"/>
        <v>180</v>
      </c>
      <c r="L98" s="197"/>
      <c r="M98" s="63"/>
      <c r="N98" s="63"/>
      <c r="O98" s="63"/>
      <c r="P98" s="63"/>
      <c r="Q98" s="63"/>
      <c r="R98" s="204"/>
      <c r="S98" s="200"/>
      <c r="T98" s="201"/>
      <c r="U98" s="125"/>
      <c r="V98" s="124"/>
      <c r="W98" s="345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</row>
    <row r="99" spans="1:38" s="127" customFormat="1" ht="18" customHeight="1">
      <c r="A99" s="381"/>
      <c r="B99" s="243"/>
      <c r="C99" s="243"/>
      <c r="D99" s="243"/>
      <c r="E99" s="160"/>
      <c r="F99" s="161"/>
      <c r="G99" s="156"/>
      <c r="H99" s="318"/>
      <c r="I99" s="318"/>
      <c r="J99" s="302"/>
      <c r="K99" s="300">
        <f t="shared" si="3"/>
        <v>180</v>
      </c>
      <c r="L99" s="197"/>
      <c r="M99" s="63"/>
      <c r="N99" s="63"/>
      <c r="O99" s="63"/>
      <c r="P99" s="63"/>
      <c r="Q99" s="63"/>
      <c r="R99" s="204"/>
      <c r="S99" s="200"/>
      <c r="T99" s="201"/>
      <c r="U99" s="125"/>
      <c r="V99" s="124"/>
      <c r="W99" s="345"/>
      <c r="X99" s="126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</row>
    <row r="100" spans="1:38" s="127" customFormat="1" ht="18" customHeight="1">
      <c r="A100" s="381"/>
      <c r="B100" s="243"/>
      <c r="C100" s="243"/>
      <c r="D100" s="243"/>
      <c r="E100" s="160"/>
      <c r="F100" s="161"/>
      <c r="G100" s="156"/>
      <c r="H100" s="318"/>
      <c r="I100" s="318"/>
      <c r="J100" s="302"/>
      <c r="K100" s="300">
        <f t="shared" si="3"/>
        <v>180</v>
      </c>
      <c r="L100" s="197"/>
      <c r="M100" s="63"/>
      <c r="N100" s="63"/>
      <c r="O100" s="63"/>
      <c r="P100" s="63"/>
      <c r="Q100" s="63"/>
      <c r="R100" s="204"/>
      <c r="S100" s="200"/>
      <c r="T100" s="201"/>
      <c r="U100" s="125"/>
      <c r="V100" s="124"/>
      <c r="W100" s="345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</row>
    <row r="101" spans="1:38" s="127" customFormat="1" ht="18" customHeight="1">
      <c r="A101" s="381"/>
      <c r="B101" s="243"/>
      <c r="C101" s="243"/>
      <c r="D101" s="243"/>
      <c r="E101" s="160"/>
      <c r="F101" s="161"/>
      <c r="G101" s="156"/>
      <c r="H101" s="318"/>
      <c r="I101" s="318"/>
      <c r="J101" s="302"/>
      <c r="K101" s="300">
        <f t="shared" si="3"/>
        <v>180</v>
      </c>
      <c r="L101" s="197"/>
      <c r="M101" s="63"/>
      <c r="N101" s="63"/>
      <c r="O101" s="63"/>
      <c r="P101" s="63"/>
      <c r="Q101" s="63"/>
      <c r="R101" s="204"/>
      <c r="S101" s="200"/>
      <c r="T101" s="201"/>
      <c r="U101" s="125"/>
      <c r="V101" s="124"/>
      <c r="W101" s="345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</row>
    <row r="102" spans="1:38" s="127" customFormat="1" ht="18" customHeight="1">
      <c r="A102" s="381"/>
      <c r="B102" s="243"/>
      <c r="C102" s="243"/>
      <c r="D102" s="243"/>
      <c r="E102" s="160"/>
      <c r="F102" s="161"/>
      <c r="G102" s="156"/>
      <c r="H102" s="318"/>
      <c r="I102" s="318"/>
      <c r="J102" s="302"/>
      <c r="K102" s="300">
        <f t="shared" si="3"/>
        <v>180</v>
      </c>
      <c r="L102" s="197"/>
      <c r="M102" s="63"/>
      <c r="N102" s="63"/>
      <c r="O102" s="63"/>
      <c r="P102" s="63"/>
      <c r="Q102" s="63"/>
      <c r="R102" s="204"/>
      <c r="S102" s="200"/>
      <c r="T102" s="201"/>
      <c r="U102" s="125"/>
      <c r="V102" s="124"/>
      <c r="W102" s="345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</row>
    <row r="103" spans="1:38" s="127" customFormat="1" ht="18" customHeight="1">
      <c r="A103" s="381"/>
      <c r="B103" s="243"/>
      <c r="C103" s="243"/>
      <c r="D103" s="243"/>
      <c r="E103" s="160"/>
      <c r="F103" s="161"/>
      <c r="G103" s="156"/>
      <c r="H103" s="318"/>
      <c r="I103" s="318"/>
      <c r="J103" s="302"/>
      <c r="K103" s="300">
        <f t="shared" si="3"/>
        <v>180</v>
      </c>
      <c r="L103" s="197"/>
      <c r="M103" s="63"/>
      <c r="N103" s="63"/>
      <c r="O103" s="63"/>
      <c r="P103" s="63"/>
      <c r="Q103" s="63"/>
      <c r="R103" s="204"/>
      <c r="S103" s="200"/>
      <c r="T103" s="201"/>
      <c r="U103" s="125"/>
      <c r="V103" s="124"/>
      <c r="W103" s="345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</row>
    <row r="104" spans="1:38" s="127" customFormat="1" ht="18" customHeight="1">
      <c r="A104" s="381"/>
      <c r="B104" s="243"/>
      <c r="C104" s="243"/>
      <c r="D104" s="243"/>
      <c r="E104" s="160"/>
      <c r="F104" s="161"/>
      <c r="G104" s="156"/>
      <c r="H104" s="318"/>
      <c r="I104" s="318"/>
      <c r="J104" s="302"/>
      <c r="K104" s="300">
        <f t="shared" si="3"/>
        <v>180</v>
      </c>
      <c r="L104" s="197"/>
      <c r="M104" s="63"/>
      <c r="N104" s="63"/>
      <c r="O104" s="63"/>
      <c r="P104" s="63"/>
      <c r="Q104" s="63"/>
      <c r="R104" s="204"/>
      <c r="S104" s="200"/>
      <c r="T104" s="201"/>
      <c r="U104" s="125"/>
      <c r="V104" s="124"/>
      <c r="W104" s="345"/>
      <c r="X104" s="126"/>
      <c r="Y104" s="126"/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  <c r="AL104" s="126"/>
    </row>
    <row r="105" spans="1:38" s="127" customFormat="1" ht="18" customHeight="1">
      <c r="A105" s="381"/>
      <c r="B105" s="243"/>
      <c r="C105" s="243"/>
      <c r="D105" s="243"/>
      <c r="E105" s="160"/>
      <c r="F105" s="161"/>
      <c r="G105" s="156"/>
      <c r="H105" s="318"/>
      <c r="I105" s="318"/>
      <c r="J105" s="302"/>
      <c r="K105" s="300">
        <f t="shared" si="3"/>
        <v>180</v>
      </c>
      <c r="L105" s="197"/>
      <c r="M105" s="63"/>
      <c r="N105" s="63"/>
      <c r="O105" s="63"/>
      <c r="P105" s="63"/>
      <c r="Q105" s="63"/>
      <c r="R105" s="204"/>
      <c r="S105" s="200"/>
      <c r="T105" s="201"/>
      <c r="U105" s="125"/>
      <c r="V105" s="124"/>
      <c r="W105" s="345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</row>
    <row r="106" spans="1:38" s="127" customFormat="1" ht="18" customHeight="1">
      <c r="A106" s="381"/>
      <c r="B106" s="243"/>
      <c r="C106" s="243"/>
      <c r="D106" s="243"/>
      <c r="E106" s="160"/>
      <c r="F106" s="161"/>
      <c r="G106" s="156"/>
      <c r="H106" s="318"/>
      <c r="I106" s="318"/>
      <c r="J106" s="302"/>
      <c r="K106" s="300">
        <f t="shared" si="3"/>
        <v>180</v>
      </c>
      <c r="L106" s="197"/>
      <c r="M106" s="63"/>
      <c r="N106" s="63"/>
      <c r="O106" s="63"/>
      <c r="P106" s="63"/>
      <c r="Q106" s="63"/>
      <c r="R106" s="204"/>
      <c r="S106" s="200"/>
      <c r="T106" s="201"/>
      <c r="U106" s="125"/>
      <c r="V106" s="124"/>
      <c r="W106" s="345"/>
      <c r="X106" s="126"/>
      <c r="Y106" s="126"/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  <c r="AL106" s="126"/>
    </row>
    <row r="107" spans="1:38" s="127" customFormat="1" ht="18" customHeight="1">
      <c r="A107" s="381"/>
      <c r="B107" s="243"/>
      <c r="C107" s="243"/>
      <c r="D107" s="243"/>
      <c r="E107" s="160"/>
      <c r="F107" s="161"/>
      <c r="G107" s="156"/>
      <c r="H107" s="318"/>
      <c r="I107" s="318"/>
      <c r="J107" s="302"/>
      <c r="K107" s="300">
        <f t="shared" si="3"/>
        <v>180</v>
      </c>
      <c r="L107" s="197"/>
      <c r="M107" s="63"/>
      <c r="N107" s="63"/>
      <c r="O107" s="63"/>
      <c r="P107" s="63"/>
      <c r="Q107" s="63"/>
      <c r="R107" s="204"/>
      <c r="S107" s="200"/>
      <c r="T107" s="201"/>
      <c r="U107" s="125"/>
      <c r="V107" s="124"/>
      <c r="W107" s="345"/>
      <c r="X107" s="126"/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</row>
    <row r="108" spans="1:38" s="127" customFormat="1" ht="18" customHeight="1">
      <c r="A108" s="381"/>
      <c r="B108" s="243"/>
      <c r="C108" s="243"/>
      <c r="D108" s="243"/>
      <c r="E108" s="160"/>
      <c r="F108" s="161"/>
      <c r="G108" s="156"/>
      <c r="H108" s="318"/>
      <c r="I108" s="318"/>
      <c r="J108" s="302"/>
      <c r="K108" s="300">
        <f t="shared" si="3"/>
        <v>180</v>
      </c>
      <c r="L108" s="197"/>
      <c r="M108" s="63"/>
      <c r="N108" s="63"/>
      <c r="O108" s="63"/>
      <c r="P108" s="63"/>
      <c r="Q108" s="63"/>
      <c r="R108" s="204"/>
      <c r="S108" s="200"/>
      <c r="T108" s="201"/>
      <c r="U108" s="125"/>
      <c r="V108" s="124"/>
      <c r="W108" s="345"/>
      <c r="X108" s="126"/>
      <c r="Y108" s="126"/>
      <c r="Z108" s="126"/>
      <c r="AA108" s="126"/>
      <c r="AB108" s="126"/>
      <c r="AC108" s="126"/>
      <c r="AD108" s="126"/>
      <c r="AE108" s="126"/>
      <c r="AF108" s="126"/>
      <c r="AG108" s="126"/>
      <c r="AH108" s="126"/>
      <c r="AI108" s="126"/>
      <c r="AJ108" s="126"/>
      <c r="AK108" s="126"/>
      <c r="AL108" s="126"/>
    </row>
    <row r="109" spans="1:38" s="127" customFormat="1" ht="18" customHeight="1">
      <c r="A109" s="381"/>
      <c r="B109" s="243"/>
      <c r="C109" s="243"/>
      <c r="D109" s="243"/>
      <c r="E109" s="160"/>
      <c r="F109" s="161"/>
      <c r="G109" s="156"/>
      <c r="H109" s="318"/>
      <c r="I109" s="318"/>
      <c r="J109" s="302"/>
      <c r="K109" s="300">
        <f t="shared" si="3"/>
        <v>180</v>
      </c>
      <c r="L109" s="197"/>
      <c r="M109" s="63"/>
      <c r="N109" s="63"/>
      <c r="O109" s="63"/>
      <c r="P109" s="63"/>
      <c r="Q109" s="63"/>
      <c r="R109" s="204"/>
      <c r="S109" s="200"/>
      <c r="T109" s="201"/>
      <c r="U109" s="125"/>
      <c r="V109" s="124"/>
      <c r="W109" s="345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</row>
    <row r="110" spans="1:38" s="127" customFormat="1" ht="18" customHeight="1">
      <c r="A110" s="381"/>
      <c r="B110" s="243"/>
      <c r="C110" s="243"/>
      <c r="D110" s="243"/>
      <c r="E110" s="160"/>
      <c r="F110" s="161"/>
      <c r="G110" s="156"/>
      <c r="H110" s="318"/>
      <c r="I110" s="318"/>
      <c r="J110" s="302"/>
      <c r="K110" s="300">
        <f t="shared" si="3"/>
        <v>180</v>
      </c>
      <c r="L110" s="197"/>
      <c r="M110" s="63"/>
      <c r="N110" s="63"/>
      <c r="O110" s="63"/>
      <c r="P110" s="63"/>
      <c r="Q110" s="63"/>
      <c r="R110" s="204"/>
      <c r="S110" s="200"/>
      <c r="T110" s="201"/>
      <c r="U110" s="125"/>
      <c r="V110" s="124"/>
      <c r="W110" s="345"/>
      <c r="X110" s="126"/>
      <c r="Y110" s="126"/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  <c r="AL110" s="126"/>
    </row>
    <row r="111" spans="1:38" s="127" customFormat="1" ht="18" customHeight="1">
      <c r="A111" s="381"/>
      <c r="B111" s="243"/>
      <c r="C111" s="243"/>
      <c r="D111" s="243"/>
      <c r="E111" s="160"/>
      <c r="F111" s="161"/>
      <c r="G111" s="156"/>
      <c r="H111" s="318"/>
      <c r="I111" s="318"/>
      <c r="J111" s="302"/>
      <c r="K111" s="300">
        <f t="shared" si="3"/>
        <v>180</v>
      </c>
      <c r="L111" s="197"/>
      <c r="M111" s="63"/>
      <c r="N111" s="63"/>
      <c r="O111" s="63"/>
      <c r="P111" s="63"/>
      <c r="Q111" s="63"/>
      <c r="R111" s="204"/>
      <c r="S111" s="200"/>
      <c r="T111" s="201"/>
      <c r="U111" s="125"/>
      <c r="V111" s="124"/>
      <c r="W111" s="345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</row>
    <row r="112" spans="1:38" s="127" customFormat="1" ht="18" customHeight="1">
      <c r="A112" s="381"/>
      <c r="B112" s="243"/>
      <c r="C112" s="243"/>
      <c r="D112" s="243"/>
      <c r="E112" s="160"/>
      <c r="F112" s="161"/>
      <c r="G112" s="156"/>
      <c r="H112" s="318"/>
      <c r="I112" s="318"/>
      <c r="J112" s="302"/>
      <c r="K112" s="300">
        <f t="shared" si="3"/>
        <v>180</v>
      </c>
      <c r="L112" s="197"/>
      <c r="M112" s="63"/>
      <c r="N112" s="63"/>
      <c r="O112" s="63"/>
      <c r="P112" s="63"/>
      <c r="Q112" s="63"/>
      <c r="R112" s="204"/>
      <c r="S112" s="200"/>
      <c r="T112" s="201"/>
      <c r="U112" s="125"/>
      <c r="V112" s="124"/>
      <c r="W112" s="345"/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</row>
    <row r="113" spans="1:38" s="127" customFormat="1" ht="18" customHeight="1">
      <c r="A113" s="381"/>
      <c r="B113" s="243"/>
      <c r="C113" s="243"/>
      <c r="D113" s="243"/>
      <c r="E113" s="160"/>
      <c r="F113" s="161"/>
      <c r="G113" s="156"/>
      <c r="H113" s="318"/>
      <c r="I113" s="318"/>
      <c r="J113" s="302"/>
      <c r="K113" s="300">
        <f t="shared" si="3"/>
        <v>180</v>
      </c>
      <c r="L113" s="197"/>
      <c r="M113" s="63"/>
      <c r="N113" s="63"/>
      <c r="O113" s="63"/>
      <c r="P113" s="63"/>
      <c r="Q113" s="63"/>
      <c r="R113" s="204"/>
      <c r="S113" s="200"/>
      <c r="T113" s="201"/>
      <c r="U113" s="125"/>
      <c r="V113" s="124"/>
      <c r="W113" s="345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</row>
    <row r="114" spans="1:38" s="127" customFormat="1" ht="18" customHeight="1">
      <c r="A114" s="381"/>
      <c r="B114" s="243"/>
      <c r="C114" s="243"/>
      <c r="D114" s="243"/>
      <c r="E114" s="160"/>
      <c r="F114" s="161"/>
      <c r="G114" s="156"/>
      <c r="H114" s="318"/>
      <c r="I114" s="318"/>
      <c r="J114" s="302"/>
      <c r="K114" s="300">
        <f t="shared" si="3"/>
        <v>180</v>
      </c>
      <c r="L114" s="197"/>
      <c r="M114" s="63"/>
      <c r="N114" s="63"/>
      <c r="O114" s="63"/>
      <c r="P114" s="63"/>
      <c r="Q114" s="63"/>
      <c r="R114" s="204"/>
      <c r="S114" s="200"/>
      <c r="T114" s="201"/>
      <c r="U114" s="125"/>
      <c r="V114" s="124"/>
      <c r="W114" s="345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  <c r="AL114" s="126"/>
    </row>
    <row r="115" spans="1:38" s="127" customFormat="1" ht="18" customHeight="1">
      <c r="A115" s="381"/>
      <c r="B115" s="243"/>
      <c r="C115" s="243"/>
      <c r="D115" s="243"/>
      <c r="E115" s="160"/>
      <c r="F115" s="161"/>
      <c r="G115" s="156"/>
      <c r="H115" s="318"/>
      <c r="I115" s="318"/>
      <c r="J115" s="302"/>
      <c r="K115" s="300">
        <f t="shared" si="3"/>
        <v>180</v>
      </c>
      <c r="L115" s="197"/>
      <c r="M115" s="63"/>
      <c r="N115" s="63"/>
      <c r="O115" s="63"/>
      <c r="P115" s="63"/>
      <c r="Q115" s="63"/>
      <c r="R115" s="204"/>
      <c r="S115" s="200"/>
      <c r="T115" s="201"/>
      <c r="U115" s="125"/>
      <c r="V115" s="124"/>
      <c r="W115" s="345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</row>
    <row r="116" spans="1:38" s="127" customFormat="1" ht="18" customHeight="1">
      <c r="A116" s="381"/>
      <c r="B116" s="243"/>
      <c r="C116" s="243"/>
      <c r="D116" s="243"/>
      <c r="E116" s="160"/>
      <c r="F116" s="161"/>
      <c r="G116" s="156"/>
      <c r="H116" s="318"/>
      <c r="I116" s="318"/>
      <c r="J116" s="302"/>
      <c r="K116" s="300">
        <f t="shared" si="3"/>
        <v>180</v>
      </c>
      <c r="L116" s="197"/>
      <c r="M116" s="63"/>
      <c r="N116" s="63"/>
      <c r="O116" s="63"/>
      <c r="P116" s="63"/>
      <c r="Q116" s="63"/>
      <c r="R116" s="204"/>
      <c r="S116" s="200"/>
      <c r="T116" s="201"/>
      <c r="U116" s="125"/>
      <c r="V116" s="124"/>
      <c r="W116" s="345"/>
      <c r="X116" s="126"/>
      <c r="Y116" s="126"/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26"/>
      <c r="AJ116" s="126"/>
      <c r="AK116" s="126"/>
      <c r="AL116" s="126"/>
    </row>
    <row r="117" spans="1:38" s="127" customFormat="1" ht="18" customHeight="1">
      <c r="A117" s="381"/>
      <c r="B117" s="243"/>
      <c r="C117" s="243"/>
      <c r="D117" s="243"/>
      <c r="E117" s="160"/>
      <c r="F117" s="161"/>
      <c r="G117" s="156"/>
      <c r="H117" s="318"/>
      <c r="I117" s="318"/>
      <c r="J117" s="302"/>
      <c r="K117" s="300">
        <f t="shared" si="3"/>
        <v>180</v>
      </c>
      <c r="L117" s="197"/>
      <c r="M117" s="63"/>
      <c r="N117" s="63"/>
      <c r="O117" s="63"/>
      <c r="P117" s="63"/>
      <c r="Q117" s="63"/>
      <c r="R117" s="204"/>
      <c r="S117" s="200"/>
      <c r="T117" s="201"/>
      <c r="U117" s="125"/>
      <c r="V117" s="124"/>
      <c r="W117" s="345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</row>
    <row r="118" spans="1:38" s="127" customFormat="1" ht="18" customHeight="1">
      <c r="A118" s="381"/>
      <c r="B118" s="243"/>
      <c r="C118" s="243"/>
      <c r="D118" s="243"/>
      <c r="E118" s="160"/>
      <c r="F118" s="161"/>
      <c r="G118" s="156"/>
      <c r="H118" s="318"/>
      <c r="I118" s="318"/>
      <c r="J118" s="302"/>
      <c r="K118" s="300">
        <f t="shared" si="3"/>
        <v>180</v>
      </c>
      <c r="L118" s="197"/>
      <c r="M118" s="63"/>
      <c r="N118" s="63"/>
      <c r="O118" s="63"/>
      <c r="P118" s="63"/>
      <c r="Q118" s="63"/>
      <c r="R118" s="204"/>
      <c r="S118" s="200"/>
      <c r="T118" s="201"/>
      <c r="U118" s="125"/>
      <c r="V118" s="124"/>
      <c r="W118" s="345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126"/>
      <c r="AH118" s="126"/>
      <c r="AI118" s="126"/>
      <c r="AJ118" s="126"/>
      <c r="AK118" s="126"/>
      <c r="AL118" s="126"/>
    </row>
    <row r="119" spans="1:38" s="127" customFormat="1" ht="18" customHeight="1">
      <c r="A119" s="381"/>
      <c r="B119" s="243"/>
      <c r="C119" s="243"/>
      <c r="D119" s="243"/>
      <c r="E119" s="160"/>
      <c r="F119" s="161"/>
      <c r="G119" s="156"/>
      <c r="H119" s="318"/>
      <c r="I119" s="318"/>
      <c r="J119" s="302"/>
      <c r="K119" s="300">
        <f t="shared" si="3"/>
        <v>180</v>
      </c>
      <c r="L119" s="197"/>
      <c r="M119" s="63"/>
      <c r="N119" s="63"/>
      <c r="O119" s="63"/>
      <c r="P119" s="63"/>
      <c r="Q119" s="63"/>
      <c r="R119" s="204"/>
      <c r="S119" s="200"/>
      <c r="T119" s="201"/>
      <c r="U119" s="125"/>
      <c r="V119" s="124"/>
      <c r="W119" s="345"/>
      <c r="X119" s="126"/>
      <c r="Y119" s="126"/>
      <c r="Z119" s="126"/>
      <c r="AA119" s="126"/>
      <c r="AB119" s="126"/>
      <c r="AC119" s="126"/>
      <c r="AD119" s="126"/>
      <c r="AE119" s="126"/>
      <c r="AF119" s="126"/>
      <c r="AG119" s="126"/>
      <c r="AH119" s="126"/>
      <c r="AI119" s="126"/>
      <c r="AJ119" s="126"/>
      <c r="AK119" s="126"/>
      <c r="AL119" s="126"/>
    </row>
    <row r="120" spans="1:38" s="127" customFormat="1" ht="18" customHeight="1">
      <c r="A120" s="381"/>
      <c r="B120" s="243"/>
      <c r="C120" s="243"/>
      <c r="D120" s="243"/>
      <c r="E120" s="160"/>
      <c r="F120" s="161"/>
      <c r="G120" s="156"/>
      <c r="H120" s="318"/>
      <c r="I120" s="318"/>
      <c r="J120" s="302"/>
      <c r="K120" s="300">
        <f t="shared" si="3"/>
        <v>180</v>
      </c>
      <c r="L120" s="197"/>
      <c r="M120" s="63"/>
      <c r="N120" s="63"/>
      <c r="O120" s="63"/>
      <c r="P120" s="63"/>
      <c r="Q120" s="63"/>
      <c r="R120" s="204"/>
      <c r="S120" s="200"/>
      <c r="T120" s="201"/>
      <c r="U120" s="125"/>
      <c r="V120" s="124"/>
      <c r="W120" s="345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  <c r="AL120" s="126"/>
    </row>
    <row r="121" spans="1:38" s="127" customFormat="1" ht="18" customHeight="1">
      <c r="A121" s="381"/>
      <c r="B121" s="243"/>
      <c r="C121" s="243"/>
      <c r="D121" s="243"/>
      <c r="E121" s="160"/>
      <c r="F121" s="161"/>
      <c r="G121" s="156"/>
      <c r="H121" s="318"/>
      <c r="I121" s="318"/>
      <c r="J121" s="302"/>
      <c r="K121" s="300">
        <f t="shared" si="3"/>
        <v>180</v>
      </c>
      <c r="L121" s="197"/>
      <c r="M121" s="63"/>
      <c r="N121" s="63"/>
      <c r="O121" s="63"/>
      <c r="P121" s="63"/>
      <c r="Q121" s="63"/>
      <c r="R121" s="204"/>
      <c r="S121" s="200"/>
      <c r="T121" s="201"/>
      <c r="U121" s="125"/>
      <c r="V121" s="124"/>
      <c r="W121" s="345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</row>
    <row r="122" spans="1:38" s="127" customFormat="1" ht="18" customHeight="1">
      <c r="A122" s="381"/>
      <c r="B122" s="243"/>
      <c r="C122" s="243"/>
      <c r="D122" s="243"/>
      <c r="E122" s="160"/>
      <c r="F122" s="161"/>
      <c r="G122" s="156"/>
      <c r="H122" s="318"/>
      <c r="I122" s="318"/>
      <c r="J122" s="302"/>
      <c r="K122" s="300">
        <f t="shared" si="3"/>
        <v>180</v>
      </c>
      <c r="L122" s="197"/>
      <c r="M122" s="63"/>
      <c r="N122" s="63"/>
      <c r="O122" s="63"/>
      <c r="P122" s="63"/>
      <c r="Q122" s="63"/>
      <c r="R122" s="204"/>
      <c r="S122" s="200"/>
      <c r="T122" s="201"/>
      <c r="U122" s="125"/>
      <c r="V122" s="124"/>
      <c r="W122" s="345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</row>
    <row r="123" spans="1:38" s="127" customFormat="1" ht="18" customHeight="1">
      <c r="A123" s="381"/>
      <c r="B123" s="243"/>
      <c r="C123" s="243"/>
      <c r="D123" s="243"/>
      <c r="E123" s="160"/>
      <c r="F123" s="161"/>
      <c r="G123" s="156"/>
      <c r="H123" s="318"/>
      <c r="I123" s="318"/>
      <c r="J123" s="302"/>
      <c r="K123" s="300">
        <f t="shared" si="3"/>
        <v>180</v>
      </c>
      <c r="L123" s="197"/>
      <c r="M123" s="63"/>
      <c r="N123" s="63"/>
      <c r="O123" s="63"/>
      <c r="P123" s="63"/>
      <c r="Q123" s="63"/>
      <c r="R123" s="204"/>
      <c r="S123" s="200"/>
      <c r="T123" s="201"/>
      <c r="U123" s="125"/>
      <c r="V123" s="124"/>
      <c r="W123" s="345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</row>
    <row r="124" spans="1:38" s="127" customFormat="1" ht="18" customHeight="1">
      <c r="A124" s="381"/>
      <c r="B124" s="243"/>
      <c r="C124" s="243"/>
      <c r="D124" s="243"/>
      <c r="E124" s="160"/>
      <c r="F124" s="161"/>
      <c r="G124" s="156"/>
      <c r="H124" s="318"/>
      <c r="I124" s="318"/>
      <c r="J124" s="302"/>
      <c r="K124" s="300">
        <f t="shared" si="3"/>
        <v>180</v>
      </c>
      <c r="L124" s="197"/>
      <c r="M124" s="63"/>
      <c r="N124" s="63"/>
      <c r="O124" s="63"/>
      <c r="P124" s="63"/>
      <c r="Q124" s="63"/>
      <c r="R124" s="204"/>
      <c r="S124" s="200"/>
      <c r="T124" s="201"/>
      <c r="U124" s="125"/>
      <c r="V124" s="124"/>
      <c r="W124" s="345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6"/>
      <c r="AH124" s="126"/>
      <c r="AI124" s="126"/>
      <c r="AJ124" s="126"/>
      <c r="AK124" s="126"/>
      <c r="AL124" s="126"/>
    </row>
    <row r="125" spans="1:38" s="127" customFormat="1" ht="18" customHeight="1">
      <c r="A125" s="381"/>
      <c r="B125" s="243"/>
      <c r="C125" s="243"/>
      <c r="D125" s="243"/>
      <c r="E125" s="160"/>
      <c r="F125" s="161"/>
      <c r="G125" s="156"/>
      <c r="H125" s="318"/>
      <c r="I125" s="318"/>
      <c r="J125" s="302"/>
      <c r="K125" s="300">
        <f t="shared" si="3"/>
        <v>180</v>
      </c>
      <c r="L125" s="197"/>
      <c r="M125" s="63"/>
      <c r="N125" s="63"/>
      <c r="O125" s="63"/>
      <c r="P125" s="63"/>
      <c r="Q125" s="63"/>
      <c r="R125" s="204"/>
      <c r="S125" s="200"/>
      <c r="T125" s="201"/>
      <c r="U125" s="125"/>
      <c r="V125" s="124"/>
      <c r="W125" s="345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</row>
    <row r="126" spans="1:38" s="127" customFormat="1" ht="18" customHeight="1">
      <c r="A126" s="381"/>
      <c r="B126" s="243"/>
      <c r="C126" s="243"/>
      <c r="D126" s="243"/>
      <c r="E126" s="160"/>
      <c r="F126" s="161"/>
      <c r="G126" s="156"/>
      <c r="H126" s="318"/>
      <c r="I126" s="318"/>
      <c r="J126" s="302"/>
      <c r="K126" s="300">
        <f t="shared" si="3"/>
        <v>180</v>
      </c>
      <c r="L126" s="197"/>
      <c r="M126" s="63"/>
      <c r="N126" s="63"/>
      <c r="O126" s="63"/>
      <c r="P126" s="63"/>
      <c r="Q126" s="63"/>
      <c r="R126" s="204"/>
      <c r="S126" s="200"/>
      <c r="T126" s="201"/>
      <c r="U126" s="125"/>
      <c r="V126" s="124"/>
      <c r="W126" s="345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  <c r="AK126" s="126"/>
      <c r="AL126" s="126"/>
    </row>
    <row r="127" spans="1:38" s="127" customFormat="1" ht="18" customHeight="1">
      <c r="A127" s="381"/>
      <c r="B127" s="243"/>
      <c r="C127" s="243"/>
      <c r="D127" s="243"/>
      <c r="E127" s="160"/>
      <c r="F127" s="161"/>
      <c r="G127" s="156"/>
      <c r="H127" s="318"/>
      <c r="I127" s="318"/>
      <c r="J127" s="302"/>
      <c r="K127" s="300">
        <f t="shared" si="3"/>
        <v>180</v>
      </c>
      <c r="L127" s="197"/>
      <c r="M127" s="63"/>
      <c r="N127" s="63"/>
      <c r="O127" s="63"/>
      <c r="P127" s="63"/>
      <c r="Q127" s="63"/>
      <c r="R127" s="204"/>
      <c r="S127" s="200"/>
      <c r="T127" s="201"/>
      <c r="U127" s="125"/>
      <c r="V127" s="124"/>
      <c r="W127" s="345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</row>
    <row r="128" spans="1:38" s="127" customFormat="1" ht="18" customHeight="1">
      <c r="A128" s="381"/>
      <c r="B128" s="243"/>
      <c r="C128" s="243"/>
      <c r="D128" s="243"/>
      <c r="E128" s="160"/>
      <c r="F128" s="161"/>
      <c r="G128" s="156"/>
      <c r="H128" s="318"/>
      <c r="I128" s="318"/>
      <c r="J128" s="302"/>
      <c r="K128" s="300">
        <f t="shared" si="3"/>
        <v>180</v>
      </c>
      <c r="L128" s="197"/>
      <c r="M128" s="63"/>
      <c r="N128" s="63"/>
      <c r="O128" s="63"/>
      <c r="P128" s="63"/>
      <c r="Q128" s="63"/>
      <c r="R128" s="204"/>
      <c r="S128" s="200"/>
      <c r="T128" s="201"/>
      <c r="U128" s="125"/>
      <c r="V128" s="124"/>
      <c r="W128" s="345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</row>
    <row r="129" spans="1:38" s="127" customFormat="1" ht="18" customHeight="1">
      <c r="A129" s="381"/>
      <c r="B129" s="243"/>
      <c r="C129" s="243"/>
      <c r="D129" s="243"/>
      <c r="E129" s="160"/>
      <c r="F129" s="161"/>
      <c r="G129" s="156"/>
      <c r="H129" s="318"/>
      <c r="I129" s="318"/>
      <c r="J129" s="302"/>
      <c r="K129" s="300">
        <f t="shared" si="3"/>
        <v>180</v>
      </c>
      <c r="L129" s="197"/>
      <c r="M129" s="63"/>
      <c r="N129" s="63"/>
      <c r="O129" s="63"/>
      <c r="P129" s="63"/>
      <c r="Q129" s="63"/>
      <c r="R129" s="204"/>
      <c r="S129" s="200"/>
      <c r="T129" s="201"/>
      <c r="U129" s="125"/>
      <c r="V129" s="124"/>
      <c r="W129" s="345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</row>
    <row r="130" spans="1:38" s="127" customFormat="1" ht="18" customHeight="1">
      <c r="A130" s="381"/>
      <c r="B130" s="243"/>
      <c r="C130" s="243"/>
      <c r="D130" s="243"/>
      <c r="E130" s="160"/>
      <c r="F130" s="161"/>
      <c r="G130" s="156"/>
      <c r="H130" s="318"/>
      <c r="I130" s="318"/>
      <c r="J130" s="302"/>
      <c r="K130" s="300">
        <f t="shared" si="3"/>
        <v>180</v>
      </c>
      <c r="L130" s="197"/>
      <c r="M130" s="63"/>
      <c r="N130" s="63"/>
      <c r="O130" s="63"/>
      <c r="P130" s="63"/>
      <c r="Q130" s="63"/>
      <c r="R130" s="204"/>
      <c r="S130" s="200"/>
      <c r="T130" s="201"/>
      <c r="U130" s="125"/>
      <c r="V130" s="124"/>
      <c r="W130" s="345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</row>
    <row r="131" spans="1:38" s="127" customFormat="1" ht="18" customHeight="1">
      <c r="A131" s="381"/>
      <c r="B131" s="243"/>
      <c r="C131" s="243"/>
      <c r="D131" s="243"/>
      <c r="E131" s="160"/>
      <c r="F131" s="161"/>
      <c r="G131" s="156"/>
      <c r="H131" s="318"/>
      <c r="I131" s="318"/>
      <c r="J131" s="302"/>
      <c r="K131" s="300">
        <f t="shared" si="3"/>
        <v>180</v>
      </c>
      <c r="L131" s="197"/>
      <c r="M131" s="63"/>
      <c r="N131" s="63"/>
      <c r="O131" s="63"/>
      <c r="P131" s="63"/>
      <c r="Q131" s="63"/>
      <c r="R131" s="204"/>
      <c r="S131" s="200"/>
      <c r="T131" s="201"/>
      <c r="U131" s="125"/>
      <c r="V131" s="124"/>
      <c r="W131" s="345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</row>
    <row r="132" spans="1:38" s="127" customFormat="1" ht="18" customHeight="1">
      <c r="A132" s="381"/>
      <c r="B132" s="243"/>
      <c r="C132" s="243"/>
      <c r="D132" s="243"/>
      <c r="E132" s="160"/>
      <c r="F132" s="161"/>
      <c r="G132" s="156"/>
      <c r="H132" s="318"/>
      <c r="I132" s="318"/>
      <c r="J132" s="302"/>
      <c r="K132" s="300">
        <f t="shared" si="3"/>
        <v>180</v>
      </c>
      <c r="L132" s="197"/>
      <c r="M132" s="63"/>
      <c r="N132" s="63"/>
      <c r="O132" s="63"/>
      <c r="P132" s="63"/>
      <c r="Q132" s="63"/>
      <c r="R132" s="204"/>
      <c r="S132" s="200"/>
      <c r="T132" s="201"/>
      <c r="U132" s="125"/>
      <c r="V132" s="124"/>
      <c r="W132" s="345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</row>
    <row r="133" spans="1:38" s="127" customFormat="1" ht="18" customHeight="1">
      <c r="A133" s="381"/>
      <c r="B133" s="243"/>
      <c r="C133" s="243"/>
      <c r="D133" s="243"/>
      <c r="E133" s="160"/>
      <c r="F133" s="161"/>
      <c r="G133" s="156"/>
      <c r="H133" s="318"/>
      <c r="I133" s="318"/>
      <c r="J133" s="302"/>
      <c r="K133" s="300">
        <f t="shared" si="3"/>
        <v>180</v>
      </c>
      <c r="L133" s="197"/>
      <c r="M133" s="63"/>
      <c r="N133" s="63"/>
      <c r="O133" s="63"/>
      <c r="P133" s="63"/>
      <c r="Q133" s="63"/>
      <c r="R133" s="204"/>
      <c r="S133" s="200"/>
      <c r="T133" s="201"/>
      <c r="U133" s="125"/>
      <c r="V133" s="124"/>
      <c r="W133" s="345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</row>
    <row r="134" spans="1:38" s="127" customFormat="1" ht="18" customHeight="1">
      <c r="A134" s="381"/>
      <c r="B134" s="243"/>
      <c r="C134" s="243"/>
      <c r="D134" s="243"/>
      <c r="E134" s="160"/>
      <c r="F134" s="161"/>
      <c r="G134" s="156"/>
      <c r="H134" s="318"/>
      <c r="I134" s="318"/>
      <c r="J134" s="302"/>
      <c r="K134" s="300">
        <f t="shared" si="3"/>
        <v>180</v>
      </c>
      <c r="L134" s="197"/>
      <c r="M134" s="63"/>
      <c r="N134" s="63"/>
      <c r="O134" s="63"/>
      <c r="P134" s="63"/>
      <c r="Q134" s="63"/>
      <c r="R134" s="204"/>
      <c r="S134" s="200"/>
      <c r="T134" s="201"/>
      <c r="U134" s="125"/>
      <c r="V134" s="124"/>
      <c r="W134" s="345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</row>
    <row r="135" spans="1:38" s="127" customFormat="1" ht="18" customHeight="1">
      <c r="A135" s="381"/>
      <c r="B135" s="243"/>
      <c r="C135" s="243"/>
      <c r="D135" s="243"/>
      <c r="E135" s="160"/>
      <c r="F135" s="161"/>
      <c r="G135" s="156"/>
      <c r="H135" s="318"/>
      <c r="I135" s="318"/>
      <c r="J135" s="302"/>
      <c r="K135" s="300">
        <f t="shared" si="3"/>
        <v>180</v>
      </c>
      <c r="L135" s="197"/>
      <c r="M135" s="63"/>
      <c r="N135" s="63"/>
      <c r="O135" s="63"/>
      <c r="P135" s="63"/>
      <c r="Q135" s="63"/>
      <c r="R135" s="204"/>
      <c r="S135" s="200"/>
      <c r="T135" s="201"/>
      <c r="U135" s="125"/>
      <c r="V135" s="124"/>
      <c r="W135" s="345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</row>
    <row r="136" spans="1:38" s="127" customFormat="1" ht="18" customHeight="1">
      <c r="A136" s="381"/>
      <c r="B136" s="243"/>
      <c r="C136" s="243"/>
      <c r="D136" s="243"/>
      <c r="E136" s="160"/>
      <c r="F136" s="161"/>
      <c r="G136" s="156"/>
      <c r="H136" s="318"/>
      <c r="I136" s="318"/>
      <c r="J136" s="302"/>
      <c r="K136" s="300">
        <f t="shared" si="3"/>
        <v>180</v>
      </c>
      <c r="L136" s="197"/>
      <c r="M136" s="63"/>
      <c r="N136" s="63"/>
      <c r="O136" s="63"/>
      <c r="P136" s="63"/>
      <c r="Q136" s="63"/>
      <c r="R136" s="204"/>
      <c r="S136" s="200"/>
      <c r="T136" s="201"/>
      <c r="U136" s="125"/>
      <c r="V136" s="124"/>
      <c r="W136" s="345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</row>
    <row r="137" spans="1:38" s="127" customFormat="1" ht="18" customHeight="1">
      <c r="A137" s="381"/>
      <c r="B137" s="243"/>
      <c r="C137" s="243"/>
      <c r="D137" s="243"/>
      <c r="E137" s="160"/>
      <c r="F137" s="161"/>
      <c r="G137" s="156"/>
      <c r="H137" s="318"/>
      <c r="I137" s="318"/>
      <c r="J137" s="302"/>
      <c r="K137" s="300">
        <f t="shared" si="3"/>
        <v>180</v>
      </c>
      <c r="L137" s="197"/>
      <c r="M137" s="63"/>
      <c r="N137" s="63"/>
      <c r="O137" s="63"/>
      <c r="P137" s="63"/>
      <c r="Q137" s="63"/>
      <c r="R137" s="204"/>
      <c r="S137" s="200"/>
      <c r="T137" s="201"/>
      <c r="U137" s="125"/>
      <c r="V137" s="124"/>
      <c r="W137" s="345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</row>
    <row r="138" spans="1:38" s="127" customFormat="1" ht="18" customHeight="1">
      <c r="A138" s="381"/>
      <c r="B138" s="243"/>
      <c r="C138" s="243"/>
      <c r="D138" s="243"/>
      <c r="E138" s="160"/>
      <c r="F138" s="161"/>
      <c r="G138" s="156"/>
      <c r="H138" s="318"/>
      <c r="I138" s="318"/>
      <c r="J138" s="302"/>
      <c r="K138" s="300">
        <f t="shared" si="3"/>
        <v>180</v>
      </c>
      <c r="L138" s="197"/>
      <c r="M138" s="63"/>
      <c r="N138" s="63"/>
      <c r="O138" s="63"/>
      <c r="P138" s="63"/>
      <c r="Q138" s="63"/>
      <c r="R138" s="204"/>
      <c r="S138" s="200"/>
      <c r="T138" s="201"/>
      <c r="U138" s="125"/>
      <c r="V138" s="124"/>
      <c r="W138" s="345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</row>
    <row r="139" spans="1:38" s="127" customFormat="1" ht="18" customHeight="1">
      <c r="A139" s="381"/>
      <c r="B139" s="243"/>
      <c r="C139" s="243"/>
      <c r="D139" s="243"/>
      <c r="E139" s="160"/>
      <c r="F139" s="161"/>
      <c r="G139" s="156"/>
      <c r="H139" s="318"/>
      <c r="I139" s="318"/>
      <c r="J139" s="302"/>
      <c r="K139" s="300">
        <f t="shared" si="3"/>
        <v>180</v>
      </c>
      <c r="L139" s="197"/>
      <c r="M139" s="63"/>
      <c r="N139" s="63"/>
      <c r="O139" s="63"/>
      <c r="P139" s="63"/>
      <c r="Q139" s="63"/>
      <c r="R139" s="204"/>
      <c r="S139" s="200"/>
      <c r="T139" s="201"/>
      <c r="U139" s="125"/>
      <c r="V139" s="124"/>
      <c r="W139" s="345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</row>
    <row r="140" spans="1:38" s="127" customFormat="1" ht="18" customHeight="1">
      <c r="A140" s="381"/>
      <c r="B140" s="243"/>
      <c r="C140" s="243"/>
      <c r="D140" s="243"/>
      <c r="E140" s="160"/>
      <c r="F140" s="161"/>
      <c r="G140" s="156"/>
      <c r="H140" s="318"/>
      <c r="I140" s="318"/>
      <c r="J140" s="302"/>
      <c r="K140" s="300">
        <f t="shared" si="3"/>
        <v>180</v>
      </c>
      <c r="L140" s="197"/>
      <c r="M140" s="63"/>
      <c r="N140" s="63"/>
      <c r="O140" s="63"/>
      <c r="P140" s="63"/>
      <c r="Q140" s="63"/>
      <c r="R140" s="204"/>
      <c r="S140" s="200"/>
      <c r="T140" s="201"/>
      <c r="U140" s="125"/>
      <c r="V140" s="124"/>
      <c r="W140" s="345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</row>
    <row r="141" spans="1:38" s="127" customFormat="1" ht="18" customHeight="1">
      <c r="A141" s="381"/>
      <c r="B141" s="243"/>
      <c r="C141" s="243"/>
      <c r="D141" s="243"/>
      <c r="E141" s="160"/>
      <c r="F141" s="161"/>
      <c r="G141" s="156"/>
      <c r="H141" s="318"/>
      <c r="I141" s="318"/>
      <c r="J141" s="302"/>
      <c r="K141" s="300">
        <f t="shared" si="3"/>
        <v>180</v>
      </c>
      <c r="L141" s="197"/>
      <c r="M141" s="63"/>
      <c r="N141" s="63"/>
      <c r="O141" s="63"/>
      <c r="P141" s="63"/>
      <c r="Q141" s="63"/>
      <c r="R141" s="204"/>
      <c r="S141" s="200"/>
      <c r="T141" s="201"/>
      <c r="U141" s="125"/>
      <c r="V141" s="124"/>
      <c r="W141" s="345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</row>
    <row r="142" spans="1:38" s="127" customFormat="1" ht="18" customHeight="1">
      <c r="A142" s="381"/>
      <c r="B142" s="243"/>
      <c r="C142" s="243"/>
      <c r="D142" s="243"/>
      <c r="E142" s="160"/>
      <c r="F142" s="161"/>
      <c r="G142" s="156"/>
      <c r="H142" s="318"/>
      <c r="I142" s="318"/>
      <c r="J142" s="302"/>
      <c r="K142" s="300">
        <f t="shared" si="3"/>
        <v>180</v>
      </c>
      <c r="L142" s="197"/>
      <c r="M142" s="63"/>
      <c r="N142" s="63"/>
      <c r="O142" s="63"/>
      <c r="P142" s="63"/>
      <c r="Q142" s="63"/>
      <c r="R142" s="204"/>
      <c r="S142" s="200"/>
      <c r="T142" s="201"/>
      <c r="U142" s="125"/>
      <c r="V142" s="124"/>
      <c r="W142" s="345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  <c r="AK142" s="126"/>
      <c r="AL142" s="126"/>
    </row>
    <row r="143" spans="1:38" s="127" customFormat="1" ht="18" customHeight="1">
      <c r="A143" s="381"/>
      <c r="B143" s="243"/>
      <c r="C143" s="243"/>
      <c r="D143" s="243"/>
      <c r="E143" s="160"/>
      <c r="F143" s="161"/>
      <c r="G143" s="156"/>
      <c r="H143" s="318"/>
      <c r="I143" s="318"/>
      <c r="J143" s="302"/>
      <c r="K143" s="300">
        <f t="shared" si="3"/>
        <v>180</v>
      </c>
      <c r="L143" s="197"/>
      <c r="M143" s="63"/>
      <c r="N143" s="63"/>
      <c r="O143" s="63"/>
      <c r="P143" s="63"/>
      <c r="Q143" s="63"/>
      <c r="R143" s="204"/>
      <c r="S143" s="200"/>
      <c r="T143" s="201"/>
      <c r="U143" s="125"/>
      <c r="V143" s="124"/>
      <c r="W143" s="345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  <c r="AL143" s="126"/>
    </row>
    <row r="144" spans="1:38" s="127" customFormat="1" ht="18" customHeight="1">
      <c r="A144" s="381"/>
      <c r="B144" s="243"/>
      <c r="C144" s="243"/>
      <c r="D144" s="243"/>
      <c r="E144" s="160"/>
      <c r="F144" s="161"/>
      <c r="G144" s="156"/>
      <c r="H144" s="318"/>
      <c r="I144" s="318"/>
      <c r="J144" s="302"/>
      <c r="K144" s="300">
        <f t="shared" si="3"/>
        <v>180</v>
      </c>
      <c r="L144" s="197"/>
      <c r="M144" s="63"/>
      <c r="N144" s="63"/>
      <c r="O144" s="63"/>
      <c r="P144" s="63"/>
      <c r="Q144" s="63"/>
      <c r="R144" s="204"/>
      <c r="S144" s="200"/>
      <c r="T144" s="201"/>
      <c r="U144" s="125"/>
      <c r="V144" s="124"/>
      <c r="W144" s="345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  <c r="AK144" s="126"/>
      <c r="AL144" s="126"/>
    </row>
    <row r="145" spans="1:38" s="127" customFormat="1" ht="18" customHeight="1">
      <c r="A145" s="381"/>
      <c r="B145" s="243"/>
      <c r="C145" s="243"/>
      <c r="D145" s="243"/>
      <c r="E145" s="160"/>
      <c r="F145" s="161"/>
      <c r="G145" s="156"/>
      <c r="H145" s="318"/>
      <c r="I145" s="318"/>
      <c r="J145" s="302"/>
      <c r="K145" s="300">
        <f t="shared" si="3"/>
        <v>180</v>
      </c>
      <c r="L145" s="197"/>
      <c r="M145" s="63"/>
      <c r="N145" s="63"/>
      <c r="O145" s="63"/>
      <c r="P145" s="63"/>
      <c r="Q145" s="63"/>
      <c r="R145" s="204"/>
      <c r="S145" s="200"/>
      <c r="T145" s="201"/>
      <c r="U145" s="125"/>
      <c r="V145" s="124"/>
      <c r="W145" s="345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  <c r="AL145" s="126"/>
    </row>
    <row r="146" spans="1:38" s="127" customFormat="1" ht="18" customHeight="1">
      <c r="A146" s="381"/>
      <c r="B146" s="243"/>
      <c r="C146" s="243"/>
      <c r="D146" s="243"/>
      <c r="E146" s="160"/>
      <c r="F146" s="161"/>
      <c r="G146" s="156"/>
      <c r="H146" s="318"/>
      <c r="I146" s="318"/>
      <c r="J146" s="302"/>
      <c r="K146" s="300">
        <f t="shared" si="3"/>
        <v>180</v>
      </c>
      <c r="L146" s="197"/>
      <c r="M146" s="63"/>
      <c r="N146" s="63"/>
      <c r="O146" s="63"/>
      <c r="P146" s="63"/>
      <c r="Q146" s="63"/>
      <c r="R146" s="204"/>
      <c r="S146" s="200"/>
      <c r="T146" s="201"/>
      <c r="U146" s="125"/>
      <c r="V146" s="124"/>
      <c r="W146" s="345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  <c r="AK146" s="126"/>
      <c r="AL146" s="126"/>
    </row>
    <row r="147" spans="1:38" s="127" customFormat="1" ht="18" customHeight="1">
      <c r="A147" s="381"/>
      <c r="B147" s="243"/>
      <c r="C147" s="243"/>
      <c r="D147" s="243"/>
      <c r="E147" s="160"/>
      <c r="F147" s="161"/>
      <c r="G147" s="156"/>
      <c r="H147" s="318"/>
      <c r="I147" s="318"/>
      <c r="J147" s="302"/>
      <c r="K147" s="300">
        <f t="shared" si="3"/>
        <v>180</v>
      </c>
      <c r="L147" s="197"/>
      <c r="M147" s="63"/>
      <c r="N147" s="63"/>
      <c r="O147" s="63"/>
      <c r="P147" s="63"/>
      <c r="Q147" s="63"/>
      <c r="R147" s="204"/>
      <c r="S147" s="200"/>
      <c r="T147" s="201"/>
      <c r="U147" s="125"/>
      <c r="V147" s="124"/>
      <c r="W147" s="345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</row>
    <row r="148" spans="1:38" s="127" customFormat="1" ht="18" customHeight="1">
      <c r="A148" s="381"/>
      <c r="B148" s="243"/>
      <c r="C148" s="243"/>
      <c r="D148" s="243"/>
      <c r="E148" s="160"/>
      <c r="F148" s="161"/>
      <c r="G148" s="156"/>
      <c r="H148" s="318"/>
      <c r="I148" s="318"/>
      <c r="J148" s="302"/>
      <c r="K148" s="300">
        <f t="shared" si="3"/>
        <v>180</v>
      </c>
      <c r="L148" s="197"/>
      <c r="M148" s="63"/>
      <c r="N148" s="63"/>
      <c r="O148" s="63"/>
      <c r="P148" s="63"/>
      <c r="Q148" s="63"/>
      <c r="R148" s="204"/>
      <c r="S148" s="200"/>
      <c r="T148" s="201"/>
      <c r="U148" s="125"/>
      <c r="V148" s="124"/>
      <c r="W148" s="345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</row>
  </sheetData>
  <autoFilter ref="A11:AN148" xr:uid="{183E55A8-1053-48ED-8C15-415ACFF7B951}"/>
  <mergeCells count="51">
    <mergeCell ref="AK10:AK11"/>
    <mergeCell ref="AL10:AL11"/>
    <mergeCell ref="AE10:AE11"/>
    <mergeCell ref="AF10:AF11"/>
    <mergeCell ref="AG10:AG11"/>
    <mergeCell ref="AH10:AH11"/>
    <mergeCell ref="AI10:AI11"/>
    <mergeCell ref="AJ10:AJ11"/>
    <mergeCell ref="Q10:Q11"/>
    <mergeCell ref="AD10:AD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L10:L11"/>
    <mergeCell ref="M10:M11"/>
    <mergeCell ref="N10:N11"/>
    <mergeCell ref="O10:O11"/>
    <mergeCell ref="P10:P11"/>
    <mergeCell ref="F10:F11"/>
    <mergeCell ref="A7:H7"/>
    <mergeCell ref="J7:P7"/>
    <mergeCell ref="T7:U7"/>
    <mergeCell ref="S8:V8"/>
    <mergeCell ref="A10:A11"/>
    <mergeCell ref="B10:B11"/>
    <mergeCell ref="C10:C11"/>
    <mergeCell ref="D10:D11"/>
    <mergeCell ref="E10:E11"/>
    <mergeCell ref="R10:R11"/>
    <mergeCell ref="G10:G11"/>
    <mergeCell ref="H10:H11"/>
    <mergeCell ref="I10:I11"/>
    <mergeCell ref="J10:J11"/>
    <mergeCell ref="K10:K11"/>
    <mergeCell ref="X8:AK8"/>
    <mergeCell ref="J9:K9"/>
    <mergeCell ref="M9:O9"/>
    <mergeCell ref="A2:H2"/>
    <mergeCell ref="A3:H3"/>
    <mergeCell ref="J3:P3"/>
    <mergeCell ref="A5:H5"/>
    <mergeCell ref="A6:H6"/>
    <mergeCell ref="J6:R6"/>
  </mergeCells>
  <pageMargins left="0.11811023622047245" right="0.31496062992125984" top="0.74803149606299213" bottom="0.74803149606299213" header="0.31496062992125984" footer="0.31496062992125984"/>
  <pageSetup paperSize="8" scale="46" fitToHeight="0" orientation="portrait" r:id="rId1"/>
  <headerFooter>
    <oddHeader xml:space="preserve">&amp;L&amp;"-,Gras"&amp;14Conseil Départemental de l'AinDGASDirection Cohésion et Développement socialService Insertion&amp;R&amp;"-,Gras"&amp;14NOM du Référent :&amp;"-,Normal"&amp;U                                                                                              </oddHeader>
  </headerFooter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92FA25CA-46E4-439C-A423-067E60B48E89}">
          <x14:formula1>
            <xm:f>'liste deroulante'!$J$2:$J$8</xm:f>
          </x14:formula1>
          <xm:sqref>U78:U148 X78:Z148</xm:sqref>
        </x14:dataValidation>
        <x14:dataValidation type="list" allowBlank="1" showInputMessage="1" showErrorMessage="1" xr:uid="{3EC45BB4-1DDC-443E-948E-9BE3544EEF0E}">
          <x14:formula1>
            <xm:f>'liste deroulante'!$H$2:$H$11</xm:f>
          </x14:formula1>
          <xm:sqref>S78:S148</xm:sqref>
        </x14:dataValidation>
        <x14:dataValidation type="list" allowBlank="1" showInputMessage="1" showErrorMessage="1" xr:uid="{A3FFD78D-8705-4F7F-92C2-42CC537E489E}">
          <x14:formula1>
            <xm:f>'liste deroulante'!$F$2:$F$11</xm:f>
          </x14:formula1>
          <xm:sqref>T78:T148</xm:sqref>
        </x14:dataValidation>
        <x14:dataValidation type="list" allowBlank="1" showInputMessage="1" showErrorMessage="1" xr:uid="{FACB9E0D-AF25-49FA-BFFF-3C25BE97F5C6}">
          <x14:formula1>
            <xm:f>'liste deroulante'!$B$2:$B$9</xm:f>
          </x14:formula1>
          <xm:sqref>F78 F89</xm:sqref>
        </x14:dataValidation>
        <x14:dataValidation type="list" allowBlank="1" showInputMessage="1" showErrorMessage="1" xr:uid="{7EC45555-F354-4D06-8B50-F271D5CFB322}">
          <x14:formula1>
            <xm:f>'E:\AMBERIEU\Codif\[ANNEXE 1  Tableau quantitatif Ainsertion +  2021 .xlsx]LISTE DEROULANTE'!#REF!</xm:f>
          </x14:formula1>
          <xm:sqref>F21</xm:sqref>
        </x14:dataValidation>
        <x14:dataValidation type="list" allowBlank="1" showInputMessage="1" showErrorMessage="1" xr:uid="{88166B25-0211-4BF7-A1FC-C609A9F0C816}">
          <x14:formula1>
            <xm:f>'Y:\Bourg-MIFE\1-Commun\CIP+\OUTILS COMMUN\Outils\Reporting\[reporting HELENE mars.xlsx]liste deroulante'!#REF!</xm:f>
          </x14:formula1>
          <xm:sqref>F76 F23:F32 F46:F50 F13:F20 F53:F57 F85:F88 F92</xm:sqref>
        </x14:dataValidation>
        <x14:dataValidation type="list" allowBlank="1" showInputMessage="1" showErrorMessage="1" xr:uid="{0046DF43-D770-4FDA-80E0-4B38FA59E575}">
          <x14:formula1>
            <xm:f>'liste deroulante'!$G$17:$G$19</xm:f>
          </x14:formula1>
          <xm:sqref>L79:L85 L89:L148</xm:sqref>
        </x14:dataValidation>
        <x14:dataValidation type="list" allowBlank="1" showInputMessage="1" showErrorMessage="1" xr:uid="{EFDF2F50-6A71-4FCF-B48A-ABE0CC6714EA}">
          <x14:formula1>
            <xm:f>'liste deroulante'!$D$12:$D$13</xm:f>
          </x14:formula1>
          <xm:sqref>R78 AA79:AK85 R89 AA89:AK148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D232"/>
  <sheetViews>
    <sheetView zoomScale="98" zoomScaleNormal="98" workbookViewId="0">
      <pane xSplit="2" ySplit="3" topLeftCell="R118" activePane="bottomRight" state="frozen"/>
      <selection pane="topRight" activeCell="C1" sqref="C1"/>
      <selection pane="bottomLeft" activeCell="A4" sqref="A4"/>
      <selection pane="bottomRight" activeCell="A113" sqref="A113"/>
    </sheetView>
  </sheetViews>
  <sheetFormatPr baseColWidth="10" defaultRowHeight="14.4"/>
  <cols>
    <col min="1" max="1" width="21.33203125" customWidth="1"/>
    <col min="2" max="4" width="11" customWidth="1"/>
    <col min="5" max="5" width="5.88671875" customWidth="1"/>
    <col min="6" max="16" width="6.6640625" customWidth="1"/>
    <col min="17" max="17" width="10.88671875" style="97" customWidth="1"/>
    <col min="18" max="18" width="10.6640625" style="12" customWidth="1"/>
    <col min="19" max="19" width="12.44140625" customWidth="1"/>
    <col min="20" max="20" width="12.33203125" customWidth="1"/>
    <col min="21" max="22" width="9.33203125" customWidth="1"/>
    <col min="23" max="23" width="12.33203125" customWidth="1"/>
    <col min="24" max="24" width="11.88671875" customWidth="1"/>
    <col min="25" max="25" width="19.6640625" customWidth="1"/>
    <col min="26" max="26" width="22.88671875" customWidth="1"/>
    <col min="27" max="27" width="14.44140625" customWidth="1"/>
    <col min="28" max="29" width="11.33203125" bestFit="1" customWidth="1"/>
  </cols>
  <sheetData>
    <row r="1" spans="1:30" ht="51.6" customHeight="1">
      <c r="A1" s="62"/>
      <c r="B1" s="62"/>
      <c r="C1" s="606" t="s">
        <v>606</v>
      </c>
      <c r="D1" s="607"/>
      <c r="E1" s="603" t="s">
        <v>609</v>
      </c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5"/>
      <c r="Q1" s="601" t="s">
        <v>548</v>
      </c>
      <c r="R1" s="601"/>
      <c r="S1" s="601"/>
      <c r="T1" s="601"/>
      <c r="U1" s="601"/>
      <c r="V1" s="601"/>
      <c r="W1" s="602" t="s">
        <v>549</v>
      </c>
      <c r="X1" s="602"/>
      <c r="Y1" s="602"/>
      <c r="Z1" s="88" t="s">
        <v>553</v>
      </c>
      <c r="AA1" s="599" t="s">
        <v>555</v>
      </c>
      <c r="AB1" s="600"/>
      <c r="AC1" s="600"/>
      <c r="AD1" s="600"/>
    </row>
    <row r="2" spans="1:30" s="141" customFormat="1">
      <c r="A2" s="597" t="s">
        <v>614</v>
      </c>
      <c r="B2" s="598"/>
      <c r="C2" s="137">
        <v>1</v>
      </c>
      <c r="D2" s="137"/>
      <c r="E2" s="136"/>
      <c r="F2" s="136"/>
      <c r="G2" s="136">
        <v>1</v>
      </c>
      <c r="H2" s="136"/>
      <c r="I2" s="136"/>
      <c r="J2" s="136"/>
      <c r="K2" s="136"/>
      <c r="L2" s="136"/>
      <c r="M2" s="136"/>
      <c r="N2" s="136"/>
      <c r="O2" s="136"/>
      <c r="P2" s="136"/>
      <c r="Q2" s="142">
        <v>1</v>
      </c>
      <c r="R2" s="143">
        <v>46084</v>
      </c>
      <c r="S2" s="145">
        <v>46089</v>
      </c>
      <c r="T2" s="144">
        <f>S2+15</f>
        <v>46104</v>
      </c>
      <c r="U2" s="138">
        <v>0</v>
      </c>
      <c r="V2" s="136">
        <v>1</v>
      </c>
      <c r="W2" s="144">
        <f>T2+35</f>
        <v>46139</v>
      </c>
      <c r="X2" s="139">
        <v>0</v>
      </c>
      <c r="Y2" s="139">
        <v>1</v>
      </c>
      <c r="Z2" s="145">
        <v>46147</v>
      </c>
      <c r="AA2" s="136"/>
      <c r="AB2" s="136"/>
      <c r="AC2" s="144">
        <f>AB2+35</f>
        <v>35</v>
      </c>
      <c r="AD2" s="140"/>
    </row>
    <row r="3" spans="1:30" s="93" customFormat="1" ht="57.6">
      <c r="A3" s="76" t="s">
        <v>496</v>
      </c>
      <c r="B3" s="76" t="s">
        <v>497</v>
      </c>
      <c r="C3" s="120" t="s">
        <v>607</v>
      </c>
      <c r="D3" s="120" t="s">
        <v>608</v>
      </c>
      <c r="E3" s="92" t="s">
        <v>479</v>
      </c>
      <c r="F3" s="92" t="s">
        <v>480</v>
      </c>
      <c r="G3" s="92" t="s">
        <v>481</v>
      </c>
      <c r="H3" s="92" t="s">
        <v>482</v>
      </c>
      <c r="I3" s="92" t="s">
        <v>483</v>
      </c>
      <c r="J3" s="92" t="s">
        <v>484</v>
      </c>
      <c r="K3" s="92" t="s">
        <v>485</v>
      </c>
      <c r="L3" s="92" t="s">
        <v>486</v>
      </c>
      <c r="M3" s="92" t="s">
        <v>487</v>
      </c>
      <c r="N3" s="92" t="s">
        <v>488</v>
      </c>
      <c r="O3" s="92" t="s">
        <v>489</v>
      </c>
      <c r="P3" s="92" t="s">
        <v>490</v>
      </c>
      <c r="Q3" s="98" t="s">
        <v>543</v>
      </c>
      <c r="R3" s="100" t="s">
        <v>498</v>
      </c>
      <c r="S3" s="86" t="s">
        <v>546</v>
      </c>
      <c r="T3" s="98" t="s">
        <v>547</v>
      </c>
      <c r="U3" s="100" t="s">
        <v>544</v>
      </c>
      <c r="V3" s="86" t="s">
        <v>545</v>
      </c>
      <c r="W3" s="87" t="s">
        <v>550</v>
      </c>
      <c r="X3" s="87" t="s">
        <v>551</v>
      </c>
      <c r="Y3" s="87" t="s">
        <v>552</v>
      </c>
      <c r="Z3" s="85" t="s">
        <v>554</v>
      </c>
      <c r="AA3" s="74" t="s">
        <v>556</v>
      </c>
      <c r="AB3" s="74" t="s">
        <v>557</v>
      </c>
      <c r="AC3" s="74" t="s">
        <v>558</v>
      </c>
      <c r="AD3" s="106" t="s">
        <v>559</v>
      </c>
    </row>
    <row r="4" spans="1:30" s="119" customFormat="1">
      <c r="A4" s="115" t="str">
        <f>+'AMBERIEU LAGNIEU'!C12</f>
        <v>CHAOU</v>
      </c>
      <c r="B4" s="115" t="str">
        <f>+'AMBERIEU LAGNIEU'!D12</f>
        <v>Bouchra</v>
      </c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6"/>
      <c r="R4" s="117"/>
      <c r="S4" s="118"/>
      <c r="T4" s="118">
        <f>S4+15</f>
        <v>15</v>
      </c>
      <c r="U4" s="115"/>
      <c r="V4" s="115"/>
      <c r="W4" s="118">
        <f>T4+35</f>
        <v>50</v>
      </c>
      <c r="X4" s="115"/>
      <c r="Y4" s="115"/>
      <c r="Z4" s="115"/>
      <c r="AA4" s="115"/>
      <c r="AB4" s="118"/>
      <c r="AC4" s="118">
        <f>AB4+35</f>
        <v>35</v>
      </c>
    </row>
    <row r="5" spans="1:30">
      <c r="A5" s="115" t="str">
        <f>+'AMBERIEU LAGNIEU'!C13</f>
        <v>KACZOROWSKI</v>
      </c>
      <c r="B5" s="115" t="str">
        <f>+'AMBERIEU LAGNIEU'!D13</f>
        <v>Gary</v>
      </c>
      <c r="C5" s="62">
        <v>1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94"/>
      <c r="R5" s="102"/>
      <c r="S5" s="65">
        <v>46225</v>
      </c>
      <c r="T5" s="99">
        <f t="shared" ref="T5:T23" si="0">S5+15</f>
        <v>46240</v>
      </c>
      <c r="U5" s="62"/>
      <c r="V5" s="62"/>
      <c r="W5" s="65">
        <f t="shared" ref="W5:W68" si="1">S5+50</f>
        <v>46275</v>
      </c>
      <c r="X5" s="62"/>
      <c r="Y5" s="62"/>
      <c r="Z5" s="62"/>
      <c r="AA5" s="62"/>
      <c r="AB5" s="62"/>
      <c r="AC5" s="65">
        <f t="shared" ref="AC5:AC68" si="2">AB5+35</f>
        <v>35</v>
      </c>
    </row>
    <row r="6" spans="1:30" s="79" customFormat="1">
      <c r="A6" s="115" t="str">
        <f>+'AMBERIEU LAGNIEU'!C14</f>
        <v xml:space="preserve">PILCH </v>
      </c>
      <c r="B6" s="115" t="str">
        <f>+'AMBERIEU LAGNIEU'!D14</f>
        <v>Jean-Christophe</v>
      </c>
      <c r="C6" s="77">
        <v>1</v>
      </c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95"/>
      <c r="R6" s="103"/>
      <c r="S6" s="78"/>
      <c r="T6" s="99">
        <f t="shared" si="0"/>
        <v>15</v>
      </c>
      <c r="U6" s="77"/>
      <c r="V6" s="77"/>
      <c r="W6" s="65">
        <f t="shared" si="1"/>
        <v>50</v>
      </c>
      <c r="X6" s="77"/>
      <c r="Y6" s="77"/>
      <c r="Z6" s="77"/>
      <c r="AA6" s="77"/>
      <c r="AB6" s="77"/>
      <c r="AC6" s="65">
        <f t="shared" si="2"/>
        <v>35</v>
      </c>
    </row>
    <row r="7" spans="1:30">
      <c r="A7" s="115" t="str">
        <f>+'AMBERIEU LAGNIEU'!C15</f>
        <v>CLOYER</v>
      </c>
      <c r="B7" s="115" t="str">
        <f>+'AMBERIEU LAGNIEU'!D15</f>
        <v>Jérémy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94"/>
      <c r="R7" s="102"/>
      <c r="S7" s="62"/>
      <c r="T7" s="99">
        <f t="shared" si="0"/>
        <v>15</v>
      </c>
      <c r="U7" s="62"/>
      <c r="V7" s="62"/>
      <c r="W7" s="65">
        <f t="shared" si="1"/>
        <v>50</v>
      </c>
      <c r="X7" s="62"/>
      <c r="Y7" s="62"/>
      <c r="Z7" s="62"/>
      <c r="AA7" s="62"/>
      <c r="AB7" s="62"/>
      <c r="AC7" s="65">
        <f t="shared" si="2"/>
        <v>35</v>
      </c>
    </row>
    <row r="8" spans="1:30">
      <c r="A8" s="115" t="str">
        <f>+'AMBERIEU LAGNIEU'!C16</f>
        <v>YILMAZ</v>
      </c>
      <c r="B8" s="115" t="str">
        <f>+'AMBERIEU LAGNIEU'!D16</f>
        <v>Mehmet</v>
      </c>
      <c r="C8" s="62">
        <v>1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94"/>
      <c r="R8" s="102"/>
      <c r="S8" s="62"/>
      <c r="T8" s="99">
        <f t="shared" si="0"/>
        <v>15</v>
      </c>
      <c r="U8" s="62"/>
      <c r="V8" s="62"/>
      <c r="W8" s="65">
        <f t="shared" si="1"/>
        <v>50</v>
      </c>
      <c r="X8" s="62"/>
      <c r="Y8" s="62"/>
      <c r="Z8" s="62"/>
      <c r="AA8" s="62"/>
      <c r="AB8" s="62"/>
      <c r="AC8" s="65">
        <f t="shared" si="2"/>
        <v>35</v>
      </c>
    </row>
    <row r="9" spans="1:30" s="82" customFormat="1">
      <c r="A9" s="115" t="str">
        <f>+'AMBERIEU LAGNIEU'!C17</f>
        <v>AL ALI</v>
      </c>
      <c r="B9" s="115" t="str">
        <f>+'AMBERIEU LAGNIEU'!D17</f>
        <v>Abdallah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96"/>
      <c r="R9" s="104"/>
      <c r="S9" s="81"/>
      <c r="T9" s="99">
        <f t="shared" si="0"/>
        <v>15</v>
      </c>
      <c r="U9" s="80"/>
      <c r="V9" s="80"/>
      <c r="W9" s="65">
        <f t="shared" si="1"/>
        <v>50</v>
      </c>
      <c r="X9" s="80"/>
      <c r="Y9" s="80"/>
      <c r="Z9" s="80"/>
      <c r="AA9" s="80"/>
      <c r="AB9" s="80"/>
      <c r="AC9" s="65">
        <f t="shared" si="2"/>
        <v>35</v>
      </c>
    </row>
    <row r="10" spans="1:30">
      <c r="A10" s="115" t="str">
        <f>+'AMBERIEU LAGNIEU'!C18</f>
        <v>ASLIMANI/LAAROUSSI</v>
      </c>
      <c r="B10" s="115" t="str">
        <f>+'AMBERIEU LAGNIEU'!D18</f>
        <v>Nasera</v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94"/>
      <c r="R10" s="102"/>
      <c r="S10" s="62"/>
      <c r="T10" s="99">
        <f t="shared" si="0"/>
        <v>15</v>
      </c>
      <c r="U10" s="62"/>
      <c r="V10" s="62"/>
      <c r="W10" s="65">
        <f t="shared" si="1"/>
        <v>50</v>
      </c>
      <c r="X10" s="62"/>
      <c r="Y10" s="62"/>
      <c r="Z10" s="62"/>
      <c r="AA10" s="62"/>
      <c r="AB10" s="62"/>
      <c r="AC10" s="65">
        <f t="shared" si="2"/>
        <v>35</v>
      </c>
    </row>
    <row r="11" spans="1:30">
      <c r="A11" s="115" t="str">
        <f>+'AMBERIEU LAGNIEU'!C18</f>
        <v>ASLIMANI/LAAROUSSI</v>
      </c>
      <c r="B11" s="115" t="str">
        <f>+'AMBERIEU LAGNIEU'!D18</f>
        <v>Nasera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94"/>
      <c r="R11" s="102"/>
      <c r="S11" s="62"/>
      <c r="T11" s="99">
        <f t="shared" si="0"/>
        <v>15</v>
      </c>
      <c r="U11" s="62"/>
      <c r="V11" s="62"/>
      <c r="W11" s="65">
        <f t="shared" si="1"/>
        <v>50</v>
      </c>
      <c r="X11" s="62"/>
      <c r="Y11" s="62"/>
      <c r="Z11" s="62"/>
      <c r="AA11" s="62"/>
      <c r="AB11" s="62"/>
      <c r="AC11" s="65">
        <f t="shared" si="2"/>
        <v>35</v>
      </c>
    </row>
    <row r="12" spans="1:30">
      <c r="A12" s="115" t="str">
        <f>+'AMBERIEU LAGNIEU'!C19</f>
        <v>BAJRAMOVA</v>
      </c>
      <c r="B12" s="115" t="str">
        <f>+'AMBERIEU LAGNIEU'!D19</f>
        <v>Juksela</v>
      </c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94"/>
      <c r="R12" s="102"/>
      <c r="S12" s="62"/>
      <c r="T12" s="99">
        <f t="shared" si="0"/>
        <v>15</v>
      </c>
      <c r="U12" s="62"/>
      <c r="V12" s="62"/>
      <c r="W12" s="65">
        <f t="shared" si="1"/>
        <v>50</v>
      </c>
      <c r="X12" s="62"/>
      <c r="Y12" s="62"/>
      <c r="Z12" s="62"/>
      <c r="AA12" s="62"/>
      <c r="AB12" s="62"/>
      <c r="AC12" s="65">
        <f t="shared" si="2"/>
        <v>35</v>
      </c>
    </row>
    <row r="13" spans="1:30">
      <c r="A13" s="115" t="str">
        <f>+'AMBERIEU LAGNIEU'!C20</f>
        <v>BERNARDIN</v>
      </c>
      <c r="B13" s="115" t="str">
        <f>+'AMBERIEU LAGNIEU'!D20</f>
        <v>Gaëlle</v>
      </c>
      <c r="C13" s="62">
        <v>1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94"/>
      <c r="R13" s="102"/>
      <c r="S13" s="62"/>
      <c r="T13" s="99">
        <f t="shared" si="0"/>
        <v>15</v>
      </c>
      <c r="U13" s="62"/>
      <c r="V13" s="62"/>
      <c r="W13" s="65">
        <f t="shared" si="1"/>
        <v>50</v>
      </c>
      <c r="X13" s="62"/>
      <c r="Y13" s="62"/>
      <c r="Z13" s="62"/>
      <c r="AA13" s="62"/>
      <c r="AB13" s="62"/>
      <c r="AC13" s="65">
        <f t="shared" si="2"/>
        <v>35</v>
      </c>
    </row>
    <row r="14" spans="1:30">
      <c r="A14" s="115" t="str">
        <f>+'AMBERIEU LAGNIEU'!C21</f>
        <v>BORKADI-KHALDI</v>
      </c>
      <c r="B14" s="115" t="str">
        <f>+'AMBERIEU LAGNIEU'!D21</f>
        <v>Cindy</v>
      </c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94"/>
      <c r="R14" s="102"/>
      <c r="S14" s="62"/>
      <c r="T14" s="99">
        <f t="shared" si="0"/>
        <v>15</v>
      </c>
      <c r="U14" s="62"/>
      <c r="V14" s="62"/>
      <c r="W14" s="65">
        <f t="shared" si="1"/>
        <v>50</v>
      </c>
      <c r="X14" s="62"/>
      <c r="Y14" s="62"/>
      <c r="Z14" s="62"/>
      <c r="AA14" s="62"/>
      <c r="AB14" s="62"/>
      <c r="AC14" s="65">
        <f t="shared" si="2"/>
        <v>35</v>
      </c>
    </row>
    <row r="15" spans="1:30">
      <c r="A15" s="115" t="str">
        <f>+'AMBERIEU LAGNIEU'!C22</f>
        <v>CLAIRET</v>
      </c>
      <c r="B15" s="115" t="str">
        <f>+'AMBERIEU LAGNIEU'!D22</f>
        <v>Patrice</v>
      </c>
      <c r="C15" s="62">
        <v>1</v>
      </c>
      <c r="D15" s="62">
        <v>1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94"/>
      <c r="R15" s="102"/>
      <c r="S15" s="62"/>
      <c r="T15" s="99">
        <f t="shared" si="0"/>
        <v>15</v>
      </c>
      <c r="U15" s="62"/>
      <c r="V15" s="62"/>
      <c r="W15" s="65">
        <f t="shared" si="1"/>
        <v>50</v>
      </c>
      <c r="X15" s="62"/>
      <c r="Y15" s="62"/>
      <c r="Z15" s="62"/>
      <c r="AA15" s="62"/>
      <c r="AB15" s="62"/>
      <c r="AC15" s="65">
        <f t="shared" si="2"/>
        <v>35</v>
      </c>
    </row>
    <row r="16" spans="1:30">
      <c r="A16" s="115" t="str">
        <f>+'AMBERIEU LAGNIEU'!C23</f>
        <v>CREPALDI</v>
      </c>
      <c r="B16" s="115" t="str">
        <f>+'AMBERIEU LAGNIEU'!D23</f>
        <v>David</v>
      </c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94"/>
      <c r="R16" s="102"/>
      <c r="S16" s="62"/>
      <c r="T16" s="99">
        <f t="shared" si="0"/>
        <v>15</v>
      </c>
      <c r="U16" s="62"/>
      <c r="V16" s="62"/>
      <c r="W16" s="65">
        <f t="shared" si="1"/>
        <v>50</v>
      </c>
      <c r="X16" s="62"/>
      <c r="Y16" s="62"/>
      <c r="Z16" s="62"/>
      <c r="AA16" s="62"/>
      <c r="AB16" s="62"/>
      <c r="AC16" s="65">
        <f t="shared" si="2"/>
        <v>35</v>
      </c>
    </row>
    <row r="17" spans="1:30">
      <c r="A17" s="115" t="str">
        <f>+'AMBERIEU LAGNIEU'!C24</f>
        <v>FARINA</v>
      </c>
      <c r="B17" s="115" t="str">
        <f>+'AMBERIEU LAGNIEU'!D24</f>
        <v>Yann</v>
      </c>
      <c r="C17" s="62">
        <v>1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94"/>
      <c r="R17" s="102"/>
      <c r="S17" s="62"/>
      <c r="T17" s="99">
        <f t="shared" si="0"/>
        <v>15</v>
      </c>
      <c r="U17" s="62"/>
      <c r="V17" s="62"/>
      <c r="W17" s="65">
        <f t="shared" si="1"/>
        <v>50</v>
      </c>
      <c r="X17" s="62"/>
      <c r="Y17" s="62"/>
      <c r="Z17" s="62"/>
      <c r="AA17" s="62"/>
      <c r="AB17" s="62"/>
      <c r="AC17" s="65">
        <f t="shared" si="2"/>
        <v>35</v>
      </c>
    </row>
    <row r="18" spans="1:30">
      <c r="A18" s="115" t="str">
        <f>+'AMBERIEU LAGNIEU'!C25</f>
        <v>FERNANDES</v>
      </c>
      <c r="B18" s="115" t="str">
        <f>+'AMBERIEU LAGNIEU'!D25</f>
        <v>Noemie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94"/>
      <c r="R18" s="102"/>
      <c r="S18" s="62"/>
      <c r="T18" s="99">
        <f t="shared" si="0"/>
        <v>15</v>
      </c>
      <c r="U18" s="62"/>
      <c r="V18" s="62"/>
      <c r="W18" s="65">
        <f t="shared" si="1"/>
        <v>50</v>
      </c>
      <c r="X18" s="62"/>
      <c r="Y18" s="62"/>
      <c r="Z18" s="62"/>
      <c r="AA18" s="62"/>
      <c r="AB18" s="62"/>
      <c r="AC18" s="65">
        <f t="shared" si="2"/>
        <v>35</v>
      </c>
    </row>
    <row r="19" spans="1:30" s="82" customFormat="1">
      <c r="A19" s="115" t="str">
        <f>+'AMBERIEU LAGNIEU'!C26</f>
        <v>FOFANA</v>
      </c>
      <c r="B19" s="115" t="str">
        <f>+'AMBERIEU LAGNIEU'!D26</f>
        <v>Fanta</v>
      </c>
      <c r="C19" s="80">
        <v>1</v>
      </c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96"/>
      <c r="R19" s="104"/>
      <c r="S19" s="81"/>
      <c r="T19" s="99">
        <f t="shared" si="0"/>
        <v>15</v>
      </c>
      <c r="U19" s="80"/>
      <c r="V19" s="80"/>
      <c r="W19" s="65">
        <f t="shared" si="1"/>
        <v>50</v>
      </c>
      <c r="X19" s="80"/>
      <c r="Y19" s="80"/>
      <c r="Z19" s="80"/>
      <c r="AA19" s="80"/>
      <c r="AB19" s="80"/>
      <c r="AC19" s="65">
        <f t="shared" si="2"/>
        <v>35</v>
      </c>
    </row>
    <row r="20" spans="1:30">
      <c r="A20" s="115" t="str">
        <f>+'AMBERIEU LAGNIEU'!C27</f>
        <v>HAMOT</v>
      </c>
      <c r="B20" s="115" t="str">
        <f>+'AMBERIEU LAGNIEU'!D27</f>
        <v>Whitney</v>
      </c>
      <c r="C20" s="62">
        <v>1</v>
      </c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94"/>
      <c r="R20" s="102"/>
      <c r="S20" s="62"/>
      <c r="T20" s="99">
        <f t="shared" si="0"/>
        <v>15</v>
      </c>
      <c r="U20" s="62"/>
      <c r="V20" s="62"/>
      <c r="W20" s="65">
        <f t="shared" si="1"/>
        <v>50</v>
      </c>
      <c r="X20" s="62"/>
      <c r="Y20" s="62"/>
      <c r="Z20" s="62"/>
      <c r="AA20" s="62"/>
      <c r="AB20" s="62"/>
      <c r="AC20" s="65">
        <f t="shared" si="2"/>
        <v>35</v>
      </c>
    </row>
    <row r="21" spans="1:30">
      <c r="A21" s="115" t="str">
        <f>+'AMBERIEU LAGNIEU'!C28</f>
        <v>JUVENAL</v>
      </c>
      <c r="B21" s="115" t="str">
        <f>+'AMBERIEU LAGNIEU'!D28</f>
        <v>Cédric</v>
      </c>
      <c r="C21" s="62">
        <v>1</v>
      </c>
      <c r="D21" s="62">
        <v>1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94"/>
      <c r="R21" s="102"/>
      <c r="S21" s="62"/>
      <c r="T21" s="99">
        <f t="shared" si="0"/>
        <v>15</v>
      </c>
      <c r="U21" s="62"/>
      <c r="V21" s="62"/>
      <c r="W21" s="65">
        <f t="shared" si="1"/>
        <v>50</v>
      </c>
      <c r="X21" s="62"/>
      <c r="Y21" s="62"/>
      <c r="Z21" s="62"/>
      <c r="AA21" s="62"/>
      <c r="AB21" s="62"/>
      <c r="AC21" s="65">
        <f t="shared" si="2"/>
        <v>35</v>
      </c>
    </row>
    <row r="22" spans="1:30" s="82" customFormat="1">
      <c r="A22" s="663" t="str">
        <f>+'AMBERIEU LAGNIEU'!C29</f>
        <v>KHALO / OMAR</v>
      </c>
      <c r="B22" s="115" t="str">
        <f>+'AMBERIEU LAGNIEU'!D29</f>
        <v>Hanifa</v>
      </c>
      <c r="C22" s="80">
        <v>1</v>
      </c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96"/>
      <c r="R22" s="104"/>
      <c r="S22" s="81"/>
      <c r="T22" s="99">
        <f t="shared" si="0"/>
        <v>15</v>
      </c>
      <c r="U22" s="80"/>
      <c r="V22" s="80"/>
      <c r="W22" s="65">
        <f t="shared" si="1"/>
        <v>50</v>
      </c>
      <c r="X22" s="80"/>
      <c r="Y22" s="80"/>
      <c r="Z22" s="80"/>
      <c r="AA22" s="80"/>
      <c r="AB22" s="81"/>
      <c r="AC22" s="65">
        <f t="shared" si="2"/>
        <v>35</v>
      </c>
      <c r="AD22" s="662">
        <v>46266</v>
      </c>
    </row>
    <row r="23" spans="1:30">
      <c r="A23" s="115" t="str">
        <f>+'AMBERIEU LAGNIEU'!C30</f>
        <v>KOUASSI</v>
      </c>
      <c r="B23" s="115" t="str">
        <f>+'AMBERIEU LAGNIEU'!D30</f>
        <v>Amoin Désirée Prudence</v>
      </c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94"/>
      <c r="R23" s="102"/>
      <c r="S23" s="62"/>
      <c r="T23" s="99">
        <f t="shared" si="0"/>
        <v>15</v>
      </c>
      <c r="U23" s="62"/>
      <c r="V23" s="62"/>
      <c r="W23" s="65">
        <f t="shared" si="1"/>
        <v>50</v>
      </c>
      <c r="X23" s="62"/>
      <c r="Y23" s="62"/>
      <c r="Z23" s="62"/>
      <c r="AA23" s="62"/>
      <c r="AB23" s="62"/>
      <c r="AC23" s="65">
        <f t="shared" si="2"/>
        <v>35</v>
      </c>
    </row>
    <row r="24" spans="1:30" s="82" customFormat="1">
      <c r="A24" s="115" t="str">
        <f>+'AMBERIEU LAGNIEU'!C31</f>
        <v>LAHURE</v>
      </c>
      <c r="B24" s="115" t="str">
        <f>+'AMBERIEU LAGNIEU'!D31</f>
        <v>Belinda</v>
      </c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96"/>
      <c r="R24" s="104"/>
      <c r="S24" s="81"/>
      <c r="T24" s="101">
        <f t="shared" ref="T24:T68" si="3">S24+15</f>
        <v>15</v>
      </c>
      <c r="U24" s="80"/>
      <c r="V24" s="80"/>
      <c r="W24" s="65">
        <f t="shared" si="1"/>
        <v>50</v>
      </c>
      <c r="X24" s="80"/>
      <c r="Y24" s="80"/>
      <c r="Z24" s="80"/>
      <c r="AA24" s="80"/>
      <c r="AB24" s="80"/>
      <c r="AC24" s="65">
        <f t="shared" si="2"/>
        <v>35</v>
      </c>
    </row>
    <row r="25" spans="1:30">
      <c r="A25" s="115" t="str">
        <f>+'AMBERIEU LAGNIEU'!C32</f>
        <v>LYONNET</v>
      </c>
      <c r="B25" s="115" t="str">
        <f>+'AMBERIEU LAGNIEU'!D32</f>
        <v>Sandrine</v>
      </c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94"/>
      <c r="R25" s="105"/>
      <c r="S25" s="65"/>
      <c r="T25" s="101">
        <f t="shared" si="3"/>
        <v>15</v>
      </c>
      <c r="U25" s="62"/>
      <c r="V25" s="62"/>
      <c r="W25" s="65">
        <f t="shared" si="1"/>
        <v>50</v>
      </c>
      <c r="X25" s="62"/>
      <c r="Y25" s="62"/>
      <c r="Z25" s="62"/>
      <c r="AA25" s="62"/>
      <c r="AB25" s="62"/>
      <c r="AC25" s="65">
        <f t="shared" si="2"/>
        <v>35</v>
      </c>
    </row>
    <row r="26" spans="1:30">
      <c r="A26" s="115" t="str">
        <f>+'AMBERIEU LAGNIEU'!C33</f>
        <v>MAHAMADOU</v>
      </c>
      <c r="B26" s="115" t="str">
        <f>+'AMBERIEU LAGNIEU'!D33</f>
        <v>Haoua</v>
      </c>
      <c r="C26" s="62">
        <v>1</v>
      </c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94"/>
      <c r="R26" s="102"/>
      <c r="S26" s="62"/>
      <c r="T26" s="101">
        <f t="shared" si="3"/>
        <v>15</v>
      </c>
      <c r="U26" s="62"/>
      <c r="V26" s="62"/>
      <c r="W26" s="65">
        <f t="shared" si="1"/>
        <v>50</v>
      </c>
      <c r="X26" s="62"/>
      <c r="Y26" s="62"/>
      <c r="Z26" s="62"/>
      <c r="AA26" s="62"/>
      <c r="AB26" s="62"/>
      <c r="AC26" s="65">
        <f t="shared" si="2"/>
        <v>35</v>
      </c>
    </row>
    <row r="27" spans="1:30">
      <c r="A27" s="115" t="str">
        <f>+'AMBERIEU LAGNIEU'!C34</f>
        <v>MAHESHE NKUBONAGE</v>
      </c>
      <c r="B27" s="115" t="str">
        <f>+'AMBERIEU LAGNIEU'!D34</f>
        <v>Nicole</v>
      </c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94"/>
      <c r="R27" s="102"/>
      <c r="S27" s="62"/>
      <c r="T27" s="101">
        <f t="shared" si="3"/>
        <v>15</v>
      </c>
      <c r="U27" s="62"/>
      <c r="V27" s="62"/>
      <c r="W27" s="65">
        <f t="shared" si="1"/>
        <v>50</v>
      </c>
      <c r="X27" s="62"/>
      <c r="Y27" s="62"/>
      <c r="Z27" s="62"/>
      <c r="AA27" s="62"/>
      <c r="AB27" s="62"/>
      <c r="AC27" s="65">
        <f t="shared" si="2"/>
        <v>35</v>
      </c>
    </row>
    <row r="28" spans="1:30">
      <c r="A28" s="115" t="str">
        <f>+'AMBERIEU LAGNIEU'!C35</f>
        <v>MIGUEL</v>
      </c>
      <c r="B28" s="115" t="str">
        <f>+'AMBERIEU LAGNIEU'!D35</f>
        <v>Herve</v>
      </c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94"/>
      <c r="R28" s="102"/>
      <c r="S28" s="62"/>
      <c r="T28" s="101">
        <f t="shared" si="3"/>
        <v>15</v>
      </c>
      <c r="U28" s="62"/>
      <c r="V28" s="62"/>
      <c r="W28" s="65">
        <f t="shared" si="1"/>
        <v>50</v>
      </c>
      <c r="X28" s="62"/>
      <c r="Y28" s="62"/>
      <c r="Z28" s="62"/>
      <c r="AA28" s="62"/>
      <c r="AB28" s="62"/>
      <c r="AC28" s="65">
        <f t="shared" si="2"/>
        <v>35</v>
      </c>
    </row>
    <row r="29" spans="1:30">
      <c r="A29" s="115" t="str">
        <f>+'AMBERIEU LAGNIEU'!C36</f>
        <v>MOHAMAD</v>
      </c>
      <c r="B29" s="115" t="str">
        <f>+'AMBERIEU LAGNIEU'!D36</f>
        <v>Shirin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94"/>
      <c r="R29" s="102"/>
      <c r="S29" s="62"/>
      <c r="T29" s="101">
        <f t="shared" si="3"/>
        <v>15</v>
      </c>
      <c r="U29" s="62"/>
      <c r="V29" s="62"/>
      <c r="W29" s="65">
        <f t="shared" si="1"/>
        <v>50</v>
      </c>
      <c r="X29" s="62"/>
      <c r="Y29" s="62"/>
      <c r="Z29" s="62"/>
      <c r="AA29" s="62"/>
      <c r="AB29" s="62"/>
      <c r="AC29" s="65">
        <f t="shared" si="2"/>
        <v>35</v>
      </c>
    </row>
    <row r="30" spans="1:30">
      <c r="A30" s="115" t="str">
        <f>+'AMBERIEU LAGNIEU'!C37</f>
        <v>MOTA</v>
      </c>
      <c r="B30" s="115" t="str">
        <f>+'AMBERIEU LAGNIEU'!D37</f>
        <v>Jean Michel</v>
      </c>
      <c r="C30" s="62">
        <v>1</v>
      </c>
      <c r="D30" s="62">
        <v>1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94"/>
      <c r="R30" s="102"/>
      <c r="S30" s="62"/>
      <c r="T30" s="101">
        <f t="shared" si="3"/>
        <v>15</v>
      </c>
      <c r="U30" s="62"/>
      <c r="V30" s="62"/>
      <c r="W30" s="65">
        <f t="shared" si="1"/>
        <v>50</v>
      </c>
      <c r="X30" s="62"/>
      <c r="Y30" s="62"/>
      <c r="Z30" s="62"/>
      <c r="AA30" s="62"/>
      <c r="AB30" s="62"/>
      <c r="AC30" s="65">
        <f t="shared" si="2"/>
        <v>35</v>
      </c>
    </row>
    <row r="31" spans="1:30">
      <c r="A31" s="115" t="str">
        <f>+'AMBERIEU LAGNIEU'!C38</f>
        <v>PIEDBOIS</v>
      </c>
      <c r="B31" s="115" t="str">
        <f>+'AMBERIEU LAGNIEU'!D38</f>
        <v>Youri</v>
      </c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94"/>
      <c r="R31" s="102"/>
      <c r="S31" s="62"/>
      <c r="T31" s="101">
        <f t="shared" si="3"/>
        <v>15</v>
      </c>
      <c r="U31" s="62"/>
      <c r="V31" s="62"/>
      <c r="W31" s="65">
        <f t="shared" si="1"/>
        <v>50</v>
      </c>
      <c r="X31" s="62"/>
      <c r="Y31" s="62"/>
      <c r="Z31" s="62"/>
      <c r="AA31" s="62"/>
      <c r="AB31" s="62"/>
      <c r="AC31" s="65">
        <f t="shared" si="2"/>
        <v>35</v>
      </c>
    </row>
    <row r="32" spans="1:30">
      <c r="A32" s="115" t="str">
        <f>+'AMBERIEU LAGNIEU'!C39</f>
        <v>POTENZIANI</v>
      </c>
      <c r="B32" s="115" t="str">
        <f>+'AMBERIEU LAGNIEU'!D39</f>
        <v>Nicolas</v>
      </c>
      <c r="C32" s="62">
        <v>1</v>
      </c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94"/>
      <c r="R32" s="102"/>
      <c r="S32" s="62"/>
      <c r="T32" s="101">
        <f t="shared" si="3"/>
        <v>15</v>
      </c>
      <c r="U32" s="62"/>
      <c r="V32" s="62"/>
      <c r="W32" s="65">
        <f t="shared" si="1"/>
        <v>50</v>
      </c>
      <c r="X32" s="62"/>
      <c r="Y32" s="62"/>
      <c r="Z32" s="62"/>
      <c r="AA32" s="62"/>
      <c r="AB32" s="62"/>
      <c r="AC32" s="65">
        <f t="shared" si="2"/>
        <v>35</v>
      </c>
    </row>
    <row r="33" spans="1:29" s="82" customFormat="1">
      <c r="A33" s="115" t="str">
        <f>+'AMBERIEU LAGNIEU'!C40</f>
        <v>PUVILLAN</v>
      </c>
      <c r="B33" s="115" t="str">
        <f>+'AMBERIEU LAGNIEU'!D40</f>
        <v>Cédric</v>
      </c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96"/>
      <c r="R33" s="104"/>
      <c r="S33" s="81"/>
      <c r="T33" s="101">
        <f t="shared" si="3"/>
        <v>15</v>
      </c>
      <c r="U33" s="80"/>
      <c r="V33" s="80"/>
      <c r="W33" s="65">
        <f t="shared" si="1"/>
        <v>50</v>
      </c>
      <c r="X33" s="80"/>
      <c r="Y33" s="80"/>
      <c r="Z33" s="80"/>
      <c r="AA33" s="80"/>
      <c r="AB33" s="80"/>
      <c r="AC33" s="65">
        <f t="shared" si="2"/>
        <v>35</v>
      </c>
    </row>
    <row r="34" spans="1:29">
      <c r="A34" s="115" t="str">
        <f>+'AMBERIEU LAGNIEU'!C41</f>
        <v>RAMDANI</v>
      </c>
      <c r="B34" s="115" t="str">
        <f>+'AMBERIEU LAGNIEU'!D41</f>
        <v>Ikram</v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94"/>
      <c r="R34" s="102"/>
      <c r="S34" s="62"/>
      <c r="T34" s="101">
        <f t="shared" si="3"/>
        <v>15</v>
      </c>
      <c r="U34" s="62"/>
      <c r="V34" s="62"/>
      <c r="W34" s="65">
        <f t="shared" si="1"/>
        <v>50</v>
      </c>
      <c r="X34" s="62"/>
      <c r="Y34" s="62"/>
      <c r="Z34" s="62"/>
      <c r="AA34" s="62"/>
      <c r="AB34" s="62"/>
      <c r="AC34" s="65">
        <f t="shared" si="2"/>
        <v>35</v>
      </c>
    </row>
    <row r="35" spans="1:29">
      <c r="A35" s="115" t="str">
        <f>+'AMBERIEU LAGNIEU'!C42</f>
        <v>RAMOS</v>
      </c>
      <c r="B35" s="115" t="str">
        <f>+'AMBERIEU LAGNIEU'!D42</f>
        <v>Audrey</v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94"/>
      <c r="R35" s="102"/>
      <c r="S35" s="62"/>
      <c r="T35" s="101">
        <f t="shared" si="3"/>
        <v>15</v>
      </c>
      <c r="U35" s="62"/>
      <c r="V35" s="62"/>
      <c r="W35" s="65">
        <f t="shared" si="1"/>
        <v>50</v>
      </c>
      <c r="X35" s="62"/>
      <c r="Y35" s="62"/>
      <c r="Z35" s="62"/>
      <c r="AA35" s="62"/>
      <c r="AB35" s="62"/>
      <c r="AC35" s="65">
        <f t="shared" si="2"/>
        <v>35</v>
      </c>
    </row>
    <row r="36" spans="1:29">
      <c r="A36" s="115" t="str">
        <f>+'AMBERIEU LAGNIEU'!C43</f>
        <v>RONGIER</v>
      </c>
      <c r="B36" s="115" t="str">
        <f>+'AMBERIEU LAGNIEU'!D43</f>
        <v>Marine</v>
      </c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94"/>
      <c r="R36" s="102"/>
      <c r="S36" s="62"/>
      <c r="T36" s="101">
        <f t="shared" si="3"/>
        <v>15</v>
      </c>
      <c r="U36" s="62"/>
      <c r="V36" s="62"/>
      <c r="W36" s="65">
        <f t="shared" si="1"/>
        <v>50</v>
      </c>
      <c r="X36" s="62"/>
      <c r="Y36" s="62"/>
      <c r="Z36" s="62"/>
      <c r="AA36" s="62"/>
      <c r="AB36" s="62"/>
      <c r="AC36" s="65">
        <f t="shared" si="2"/>
        <v>35</v>
      </c>
    </row>
    <row r="37" spans="1:29">
      <c r="A37" s="115" t="str">
        <f>+'AMBERIEU LAGNIEU'!C44</f>
        <v>ROUSSEL</v>
      </c>
      <c r="B37" s="115" t="str">
        <f>+'AMBERIEU LAGNIEU'!D44</f>
        <v>Joanna</v>
      </c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94"/>
      <c r="R37" s="102"/>
      <c r="S37" s="62"/>
      <c r="T37" s="101">
        <f t="shared" si="3"/>
        <v>15</v>
      </c>
      <c r="U37" s="62"/>
      <c r="V37" s="62"/>
      <c r="W37" s="65">
        <f t="shared" si="1"/>
        <v>50</v>
      </c>
      <c r="X37" s="62"/>
      <c r="Y37" s="62"/>
      <c r="Z37" s="62"/>
      <c r="AA37" s="62"/>
      <c r="AB37" s="62"/>
      <c r="AC37" s="65">
        <f t="shared" si="2"/>
        <v>35</v>
      </c>
    </row>
    <row r="38" spans="1:29">
      <c r="A38" s="115" t="str">
        <f>+'AMBERIEU LAGNIEU'!C45</f>
        <v>SANTANA</v>
      </c>
      <c r="B38" s="115" t="str">
        <f>+'AMBERIEU LAGNIEU'!D45</f>
        <v>Alexis</v>
      </c>
      <c r="C38" s="62">
        <v>1</v>
      </c>
      <c r="D38" s="62">
        <v>1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94"/>
      <c r="R38" s="102"/>
      <c r="S38" s="62"/>
      <c r="T38" s="101">
        <f t="shared" si="3"/>
        <v>15</v>
      </c>
      <c r="U38" s="62"/>
      <c r="V38" s="62"/>
      <c r="W38" s="65">
        <f t="shared" si="1"/>
        <v>50</v>
      </c>
      <c r="X38" s="62"/>
      <c r="Y38" s="62"/>
      <c r="Z38" s="62"/>
      <c r="AA38" s="62"/>
      <c r="AB38" s="62"/>
      <c r="AC38" s="65">
        <f t="shared" si="2"/>
        <v>35</v>
      </c>
    </row>
    <row r="39" spans="1:29">
      <c r="A39" s="115" t="str">
        <f>+'AMBERIEU LAGNIEU'!C46</f>
        <v>SCHEID</v>
      </c>
      <c r="B39" s="115" t="str">
        <f>+'AMBERIEU LAGNIEU'!D46</f>
        <v>Marie</v>
      </c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94"/>
      <c r="R39" s="102"/>
      <c r="S39" s="62"/>
      <c r="T39" s="101">
        <f t="shared" si="3"/>
        <v>15</v>
      </c>
      <c r="U39" s="62"/>
      <c r="V39" s="62"/>
      <c r="W39" s="65">
        <f t="shared" si="1"/>
        <v>50</v>
      </c>
      <c r="X39" s="62"/>
      <c r="Y39" s="62"/>
      <c r="Z39" s="62"/>
      <c r="AA39" s="62"/>
      <c r="AB39" s="62"/>
      <c r="AC39" s="65">
        <f t="shared" si="2"/>
        <v>35</v>
      </c>
    </row>
    <row r="40" spans="1:29">
      <c r="A40" s="115" t="str">
        <f>+'AMBERIEU LAGNIEU'!C47</f>
        <v>SEYE</v>
      </c>
      <c r="B40" s="115" t="str">
        <f>+'AMBERIEU LAGNIEU'!D47</f>
        <v>Mohamed</v>
      </c>
      <c r="C40" s="62" t="s">
        <v>1137</v>
      </c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94"/>
      <c r="R40" s="102"/>
      <c r="S40" s="62"/>
      <c r="T40" s="101">
        <f t="shared" si="3"/>
        <v>15</v>
      </c>
      <c r="U40" s="62"/>
      <c r="V40" s="62"/>
      <c r="W40" s="65">
        <f t="shared" si="1"/>
        <v>50</v>
      </c>
      <c r="X40" s="62"/>
      <c r="Y40" s="62"/>
      <c r="Z40" s="62"/>
      <c r="AA40" s="62"/>
      <c r="AB40" s="62"/>
      <c r="AC40" s="65">
        <f t="shared" si="2"/>
        <v>35</v>
      </c>
    </row>
    <row r="41" spans="1:29">
      <c r="A41" s="115" t="str">
        <f>+'AMBERIEU LAGNIEU'!C48</f>
        <v>SOUADIA</v>
      </c>
      <c r="B41" s="115" t="str">
        <f>+'AMBERIEU LAGNIEU'!D48</f>
        <v>Sandrine</v>
      </c>
      <c r="C41" s="62">
        <v>1</v>
      </c>
      <c r="D41" s="62">
        <v>1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94"/>
      <c r="R41" s="102"/>
      <c r="S41" s="62"/>
      <c r="T41" s="101">
        <f t="shared" si="3"/>
        <v>15</v>
      </c>
      <c r="U41" s="62"/>
      <c r="V41" s="62"/>
      <c r="W41" s="65">
        <f t="shared" si="1"/>
        <v>50</v>
      </c>
      <c r="X41" s="62"/>
      <c r="Y41" s="62"/>
      <c r="Z41" s="62"/>
      <c r="AA41" s="62"/>
      <c r="AB41" s="62"/>
      <c r="AC41" s="65">
        <f t="shared" si="2"/>
        <v>35</v>
      </c>
    </row>
    <row r="42" spans="1:29">
      <c r="A42" s="115" t="str">
        <f>+'AMBERIEU LAGNIEU'!C49</f>
        <v>TAHIRI</v>
      </c>
      <c r="B42" s="115" t="str">
        <f>+'AMBERIEU LAGNIEU'!D49</f>
        <v>Marsela</v>
      </c>
      <c r="C42" s="62">
        <v>1</v>
      </c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94"/>
      <c r="R42" s="102"/>
      <c r="S42" s="62"/>
      <c r="T42" s="101">
        <f t="shared" si="3"/>
        <v>15</v>
      </c>
      <c r="U42" s="62"/>
      <c r="V42" s="62"/>
      <c r="W42" s="65">
        <f t="shared" si="1"/>
        <v>50</v>
      </c>
      <c r="X42" s="62"/>
      <c r="Y42" s="62"/>
      <c r="Z42" s="62"/>
      <c r="AA42" s="62"/>
      <c r="AB42" s="62"/>
      <c r="AC42" s="65">
        <f t="shared" si="2"/>
        <v>35</v>
      </c>
    </row>
    <row r="43" spans="1:29">
      <c r="A43" s="115" t="str">
        <f>+'AMBERIEU LAGNIEU'!C50</f>
        <v>TALASH</v>
      </c>
      <c r="B43" s="115" t="str">
        <f>+'AMBERIEU LAGNIEU'!D50</f>
        <v>Mohamad</v>
      </c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94"/>
      <c r="R43" s="102"/>
      <c r="S43" s="62"/>
      <c r="T43" s="101">
        <f t="shared" si="3"/>
        <v>15</v>
      </c>
      <c r="U43" s="62"/>
      <c r="V43" s="62"/>
      <c r="W43" s="65">
        <f t="shared" si="1"/>
        <v>50</v>
      </c>
      <c r="X43" s="62"/>
      <c r="Y43" s="62"/>
      <c r="Z43" s="62"/>
      <c r="AA43" s="62"/>
      <c r="AB43" s="62"/>
      <c r="AC43" s="65">
        <f t="shared" si="2"/>
        <v>35</v>
      </c>
    </row>
    <row r="44" spans="1:29">
      <c r="A44" s="115" t="str">
        <f>+'AMBERIEU LAGNIEU'!C51</f>
        <v>THEVENON-DANIERE</v>
      </c>
      <c r="B44" s="115" t="str">
        <f>+'AMBERIEU LAGNIEU'!D51</f>
        <v>Géraldine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94"/>
      <c r="R44" s="102"/>
      <c r="S44" s="62"/>
      <c r="T44" s="101">
        <f t="shared" si="3"/>
        <v>15</v>
      </c>
      <c r="U44" s="62"/>
      <c r="V44" s="62"/>
      <c r="W44" s="65">
        <f t="shared" si="1"/>
        <v>50</v>
      </c>
      <c r="X44" s="62"/>
      <c r="Y44" s="62"/>
      <c r="Z44" s="62"/>
      <c r="AA44" s="62"/>
      <c r="AB44" s="62"/>
      <c r="AC44" s="65">
        <f t="shared" si="2"/>
        <v>35</v>
      </c>
    </row>
    <row r="45" spans="1:29">
      <c r="A45" s="115" t="str">
        <f>+'AMBERIEU LAGNIEU'!C52</f>
        <v>THOMASSON</v>
      </c>
      <c r="B45" s="115" t="str">
        <f>+'AMBERIEU LAGNIEU'!D52</f>
        <v>Amélie</v>
      </c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94"/>
      <c r="R45" s="102"/>
      <c r="S45" s="62"/>
      <c r="T45" s="101">
        <f t="shared" si="3"/>
        <v>15</v>
      </c>
      <c r="U45" s="62"/>
      <c r="V45" s="62"/>
      <c r="W45" s="65">
        <f t="shared" si="1"/>
        <v>50</v>
      </c>
      <c r="X45" s="62"/>
      <c r="Y45" s="62"/>
      <c r="Z45" s="62"/>
      <c r="AA45" s="62"/>
      <c r="AB45" s="62"/>
      <c r="AC45" s="65">
        <f t="shared" si="2"/>
        <v>35</v>
      </c>
    </row>
    <row r="46" spans="1:29">
      <c r="A46" s="115" t="str">
        <f>+'AMBERIEU LAGNIEU'!C53</f>
        <v>TOURE</v>
      </c>
      <c r="B46" s="115" t="str">
        <f>+'AMBERIEU LAGNIEU'!D53</f>
        <v>Marie Agnes</v>
      </c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94">
        <v>1</v>
      </c>
      <c r="R46" s="105">
        <v>46189</v>
      </c>
      <c r="S46" s="65">
        <v>46204</v>
      </c>
      <c r="T46" s="101">
        <f t="shared" si="3"/>
        <v>46219</v>
      </c>
      <c r="U46" s="62"/>
      <c r="V46" s="62"/>
      <c r="W46" s="65">
        <f t="shared" si="1"/>
        <v>46254</v>
      </c>
      <c r="X46" s="62"/>
      <c r="Y46" s="62"/>
      <c r="Z46" s="65">
        <v>46241</v>
      </c>
      <c r="AA46" s="62"/>
      <c r="AB46" s="62"/>
      <c r="AC46" s="65">
        <f t="shared" si="2"/>
        <v>35</v>
      </c>
    </row>
    <row r="47" spans="1:29" s="82" customFormat="1">
      <c r="A47" s="115" t="str">
        <f>+'AMBERIEU LAGNIEU'!C54</f>
        <v>TRONQUART</v>
      </c>
      <c r="B47" s="115" t="str">
        <f>+'AMBERIEU LAGNIEU'!D54</f>
        <v>Marie-Christine</v>
      </c>
      <c r="C47" s="80">
        <v>1</v>
      </c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96"/>
      <c r="R47" s="104"/>
      <c r="S47" s="80"/>
      <c r="T47" s="101">
        <f t="shared" si="3"/>
        <v>15</v>
      </c>
      <c r="U47" s="80"/>
      <c r="V47" s="80"/>
      <c r="W47" s="65">
        <f t="shared" si="1"/>
        <v>50</v>
      </c>
      <c r="X47" s="80"/>
      <c r="Y47" s="80"/>
      <c r="Z47" s="80"/>
      <c r="AA47" s="80"/>
      <c r="AB47" s="80"/>
      <c r="AC47" s="65">
        <f t="shared" si="2"/>
        <v>35</v>
      </c>
    </row>
    <row r="48" spans="1:29">
      <c r="A48" s="115" t="str">
        <f>+'AMBERIEU LAGNIEU'!C55</f>
        <v>TUNCAY</v>
      </c>
      <c r="B48" s="115" t="str">
        <f>+'AMBERIEU LAGNIEU'!D55</f>
        <v>Esira</v>
      </c>
      <c r="C48" s="62" t="s">
        <v>1137</v>
      </c>
      <c r="D48" s="62"/>
      <c r="E48" s="62"/>
      <c r="F48" s="62"/>
      <c r="G48" s="62"/>
      <c r="H48" s="62"/>
      <c r="I48" s="62">
        <v>1</v>
      </c>
      <c r="J48" s="62">
        <v>1</v>
      </c>
      <c r="K48" s="62"/>
      <c r="L48" s="62"/>
      <c r="M48" s="62"/>
      <c r="N48" s="62"/>
      <c r="O48" s="62"/>
      <c r="P48" s="62"/>
      <c r="Q48" s="94">
        <v>1</v>
      </c>
      <c r="R48" s="105">
        <v>46185</v>
      </c>
      <c r="S48" s="62"/>
      <c r="T48" s="101">
        <f t="shared" si="3"/>
        <v>15</v>
      </c>
      <c r="U48" s="62"/>
      <c r="V48" s="62"/>
      <c r="W48" s="65">
        <f t="shared" si="1"/>
        <v>50</v>
      </c>
      <c r="X48" s="62"/>
      <c r="Y48" s="62"/>
      <c r="Z48" s="62"/>
      <c r="AA48" s="62"/>
      <c r="AB48" s="62"/>
      <c r="AC48" s="65">
        <f t="shared" si="2"/>
        <v>35</v>
      </c>
    </row>
    <row r="49" spans="1:29" s="82" customFormat="1">
      <c r="A49" s="115" t="str">
        <f>+'AMBERIEU LAGNIEU'!C56</f>
        <v>VOGELSGSANG</v>
      </c>
      <c r="B49" s="115" t="str">
        <f>+'AMBERIEU LAGNIEU'!D56</f>
        <v>Emilie</v>
      </c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96"/>
      <c r="R49" s="104"/>
      <c r="S49" s="81"/>
      <c r="T49" s="101">
        <f t="shared" si="3"/>
        <v>15</v>
      </c>
      <c r="U49" s="80"/>
      <c r="V49" s="80"/>
      <c r="W49" s="65">
        <f t="shared" si="1"/>
        <v>50</v>
      </c>
      <c r="X49" s="80"/>
      <c r="Y49" s="80"/>
      <c r="Z49" s="80"/>
      <c r="AA49" s="80"/>
      <c r="AB49" s="80"/>
      <c r="AC49" s="65">
        <f t="shared" si="2"/>
        <v>35</v>
      </c>
    </row>
    <row r="50" spans="1:29">
      <c r="A50" s="115" t="str">
        <f>+'AMBERIEU LAGNIEU'!C57</f>
        <v>YOUNES</v>
      </c>
      <c r="B50" s="115" t="str">
        <f>+'AMBERIEU LAGNIEU'!D57</f>
        <v>Sarah</v>
      </c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94"/>
      <c r="R50" s="102"/>
      <c r="S50" s="62"/>
      <c r="T50" s="101">
        <f t="shared" si="3"/>
        <v>15</v>
      </c>
      <c r="U50" s="62"/>
      <c r="V50" s="62"/>
      <c r="W50" s="65">
        <f t="shared" si="1"/>
        <v>50</v>
      </c>
      <c r="X50" s="62"/>
      <c r="Y50" s="62"/>
      <c r="Z50" s="62"/>
      <c r="AA50" s="62"/>
      <c r="AB50" s="62"/>
      <c r="AC50" s="65">
        <f t="shared" si="2"/>
        <v>35</v>
      </c>
    </row>
    <row r="51" spans="1:29">
      <c r="A51" s="115" t="str">
        <f>+'AMBERIEU LAGNIEU'!C58</f>
        <v>ZABLOT</v>
      </c>
      <c r="B51" s="115" t="str">
        <f>+'AMBERIEU LAGNIEU'!D58</f>
        <v>Arthur</v>
      </c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94"/>
      <c r="R51" s="102"/>
      <c r="S51" s="62"/>
      <c r="T51" s="101">
        <f t="shared" si="3"/>
        <v>15</v>
      </c>
      <c r="U51" s="62"/>
      <c r="V51" s="62"/>
      <c r="W51" s="65">
        <f t="shared" si="1"/>
        <v>50</v>
      </c>
      <c r="X51" s="62"/>
      <c r="Y51" s="62"/>
      <c r="Z51" s="62"/>
      <c r="AA51" s="62"/>
      <c r="AB51" s="62"/>
      <c r="AC51" s="65">
        <f t="shared" si="2"/>
        <v>35</v>
      </c>
    </row>
    <row r="52" spans="1:29">
      <c r="A52" s="115" t="str">
        <f>+'AMBERIEU LAGNIEU'!C59</f>
        <v>CHEKKI</v>
      </c>
      <c r="B52" s="115" t="str">
        <f>+'AMBERIEU LAGNIEU'!D59</f>
        <v>Islam</v>
      </c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94"/>
      <c r="R52" s="102"/>
      <c r="S52" s="62"/>
      <c r="T52" s="101">
        <f t="shared" si="3"/>
        <v>15</v>
      </c>
      <c r="U52" s="62"/>
      <c r="V52" s="62"/>
      <c r="W52" s="65">
        <f t="shared" si="1"/>
        <v>50</v>
      </c>
      <c r="X52" s="62"/>
      <c r="Y52" s="62"/>
      <c r="Z52" s="62"/>
      <c r="AA52" s="62"/>
      <c r="AB52" s="62"/>
      <c r="AC52" s="65">
        <f t="shared" si="2"/>
        <v>35</v>
      </c>
    </row>
    <row r="53" spans="1:29" s="82" customFormat="1">
      <c r="A53" s="115" t="str">
        <f>+'AMBERIEU LAGNIEU'!C60</f>
        <v>LAMANCHE</v>
      </c>
      <c r="B53" s="115" t="str">
        <f>+'AMBERIEU LAGNIEU'!D60</f>
        <v>Steve</v>
      </c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96"/>
      <c r="R53" s="104"/>
      <c r="S53" s="81"/>
      <c r="T53" s="101">
        <f t="shared" si="3"/>
        <v>15</v>
      </c>
      <c r="U53" s="80"/>
      <c r="V53" s="80"/>
      <c r="W53" s="65">
        <f t="shared" si="1"/>
        <v>50</v>
      </c>
      <c r="X53" s="80"/>
      <c r="Y53" s="80"/>
      <c r="Z53" s="80"/>
      <c r="AA53" s="80"/>
      <c r="AB53" s="80"/>
      <c r="AC53" s="65">
        <f t="shared" si="2"/>
        <v>35</v>
      </c>
    </row>
    <row r="54" spans="1:29">
      <c r="A54" s="115" t="str">
        <f>+'AMBERIEU LAGNIEU'!C61</f>
        <v>SLIMANI</v>
      </c>
      <c r="B54" s="115" t="str">
        <f>+'AMBERIEU LAGNIEU'!D61</f>
        <v>Lahouaria</v>
      </c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94"/>
      <c r="R54" s="102"/>
      <c r="S54" s="62"/>
      <c r="T54" s="101">
        <f t="shared" si="3"/>
        <v>15</v>
      </c>
      <c r="U54" s="62"/>
      <c r="V54" s="62"/>
      <c r="W54" s="65">
        <f t="shared" si="1"/>
        <v>50</v>
      </c>
      <c r="X54" s="62"/>
      <c r="Y54" s="62"/>
      <c r="Z54" s="62"/>
      <c r="AA54" s="62"/>
      <c r="AB54" s="62"/>
      <c r="AC54" s="65">
        <f t="shared" si="2"/>
        <v>35</v>
      </c>
    </row>
    <row r="55" spans="1:29">
      <c r="A55" s="115" t="e">
        <f>+'AMBERIEU LAGNIEU'!#REF!</f>
        <v>#REF!</v>
      </c>
      <c r="B55" s="115" t="e">
        <f>+'AMBERIEU LAGNIEU'!#REF!</f>
        <v>#REF!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94">
        <v>1</v>
      </c>
      <c r="R55" s="105">
        <v>46116</v>
      </c>
      <c r="S55" s="65">
        <v>46128</v>
      </c>
      <c r="T55" s="101">
        <f t="shared" si="3"/>
        <v>46143</v>
      </c>
      <c r="U55" s="62">
        <v>0</v>
      </c>
      <c r="V55" s="62">
        <v>1</v>
      </c>
      <c r="W55" s="65">
        <f t="shared" si="1"/>
        <v>46178</v>
      </c>
      <c r="X55" s="62"/>
      <c r="Y55" s="62"/>
      <c r="Z55" s="62"/>
      <c r="AA55" s="62"/>
      <c r="AB55" s="62"/>
      <c r="AC55" s="65">
        <f t="shared" si="2"/>
        <v>35</v>
      </c>
    </row>
    <row r="56" spans="1:29">
      <c r="A56" s="115" t="str">
        <f>+'AMBERIEU LAGNIEU'!C62</f>
        <v>MALIQI</v>
      </c>
      <c r="B56" s="115" t="str">
        <f>+'AMBERIEU LAGNIEU'!D62</f>
        <v>Qendrese</v>
      </c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94"/>
      <c r="R56" s="102"/>
      <c r="S56" s="62"/>
      <c r="T56" s="101">
        <f t="shared" si="3"/>
        <v>15</v>
      </c>
      <c r="U56" s="62"/>
      <c r="V56" s="62"/>
      <c r="W56" s="65">
        <f t="shared" si="1"/>
        <v>50</v>
      </c>
      <c r="X56" s="62"/>
      <c r="Y56" s="62"/>
      <c r="Z56" s="62"/>
      <c r="AA56" s="62"/>
      <c r="AB56" s="62"/>
      <c r="AC56" s="65">
        <f t="shared" si="2"/>
        <v>35</v>
      </c>
    </row>
    <row r="57" spans="1:29">
      <c r="A57" s="115" t="str">
        <f>+'AMBERIEU LAGNIEU'!C63</f>
        <v>MULLAEVA</v>
      </c>
      <c r="B57" s="115" t="str">
        <f>+'AMBERIEU LAGNIEU'!D63</f>
        <v>Malvina</v>
      </c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94"/>
      <c r="R57" s="102"/>
      <c r="S57" s="62"/>
      <c r="T57" s="101">
        <f t="shared" si="3"/>
        <v>15</v>
      </c>
      <c r="U57" s="62"/>
      <c r="V57" s="62"/>
      <c r="W57" s="65">
        <f t="shared" si="1"/>
        <v>50</v>
      </c>
      <c r="X57" s="62"/>
      <c r="Y57" s="62"/>
      <c r="Z57" s="62"/>
      <c r="AA57" s="62"/>
      <c r="AB57" s="62"/>
      <c r="AC57" s="65">
        <f t="shared" si="2"/>
        <v>35</v>
      </c>
    </row>
    <row r="58" spans="1:29">
      <c r="A58" s="115" t="e">
        <f>+'AMBERIEU LAGNIEU'!#REF!</f>
        <v>#REF!</v>
      </c>
      <c r="B58" s="115" t="e">
        <f>+'AMBERIEU LAGNIEU'!#REF!</f>
        <v>#REF!</v>
      </c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94"/>
      <c r="R58" s="102"/>
      <c r="S58" s="62"/>
      <c r="T58" s="101">
        <f t="shared" si="3"/>
        <v>15</v>
      </c>
      <c r="U58" s="62"/>
      <c r="V58" s="62"/>
      <c r="W58" s="65">
        <f t="shared" si="1"/>
        <v>50</v>
      </c>
      <c r="X58" s="62"/>
      <c r="Y58" s="62"/>
      <c r="Z58" s="62"/>
      <c r="AA58" s="62"/>
      <c r="AB58" s="62"/>
      <c r="AC58" s="65">
        <f t="shared" si="2"/>
        <v>35</v>
      </c>
    </row>
    <row r="59" spans="1:29">
      <c r="A59" s="115" t="str">
        <f>+'AMBERIEU LAGNIEU'!C64</f>
        <v>MICHALET</v>
      </c>
      <c r="B59" s="115" t="str">
        <f>+'AMBERIEU LAGNIEU'!D64</f>
        <v>Jean Louis</v>
      </c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94"/>
      <c r="R59" s="102"/>
      <c r="S59" s="62"/>
      <c r="T59" s="101">
        <f t="shared" si="3"/>
        <v>15</v>
      </c>
      <c r="U59" s="62"/>
      <c r="V59" s="62"/>
      <c r="W59" s="65">
        <f t="shared" si="1"/>
        <v>50</v>
      </c>
      <c r="X59" s="62"/>
      <c r="Y59" s="62"/>
      <c r="Z59" s="62"/>
      <c r="AA59" s="62"/>
      <c r="AB59" s="62"/>
      <c r="AC59" s="65">
        <f t="shared" si="2"/>
        <v>35</v>
      </c>
    </row>
    <row r="60" spans="1:29">
      <c r="A60" s="115" t="str">
        <f>+'AMBERIEU LAGNIEU'!C65</f>
        <v>LOMBARD</v>
      </c>
      <c r="B60" s="115" t="str">
        <f>+'AMBERIEU LAGNIEU'!D65</f>
        <v>Aurelia</v>
      </c>
      <c r="C60" s="62">
        <v>1</v>
      </c>
      <c r="D60" s="62">
        <v>1</v>
      </c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94"/>
      <c r="R60" s="102"/>
      <c r="S60" s="62"/>
      <c r="T60" s="101">
        <f t="shared" si="3"/>
        <v>15</v>
      </c>
      <c r="U60" s="62"/>
      <c r="V60" s="62"/>
      <c r="W60" s="65">
        <f t="shared" si="1"/>
        <v>50</v>
      </c>
      <c r="X60" s="62"/>
      <c r="Y60" s="62"/>
      <c r="Z60" s="62"/>
      <c r="AA60" s="62"/>
      <c r="AB60" s="62"/>
      <c r="AC60" s="65">
        <f t="shared" si="2"/>
        <v>35</v>
      </c>
    </row>
    <row r="61" spans="1:29">
      <c r="A61" s="115" t="str">
        <f>+'AMBERIEU LAGNIEU'!C66</f>
        <v>TEKIN</v>
      </c>
      <c r="B61" s="115" t="str">
        <f>+'AMBERIEU LAGNIEU'!D66</f>
        <v>Vural</v>
      </c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94"/>
      <c r="R61" s="105"/>
      <c r="S61" s="62"/>
      <c r="T61" s="101">
        <f t="shared" si="3"/>
        <v>15</v>
      </c>
      <c r="U61" s="62"/>
      <c r="V61" s="62"/>
      <c r="W61" s="65">
        <f t="shared" si="1"/>
        <v>50</v>
      </c>
      <c r="X61" s="62"/>
      <c r="Y61" s="62"/>
      <c r="Z61" s="62"/>
      <c r="AA61" s="62"/>
      <c r="AB61" s="62"/>
      <c r="AC61" s="65">
        <f t="shared" si="2"/>
        <v>35</v>
      </c>
    </row>
    <row r="62" spans="1:29">
      <c r="A62" s="115" t="str">
        <f>+'AMBERIEU LAGNIEU'!C67</f>
        <v>VANEENOO</v>
      </c>
      <c r="B62" s="115" t="str">
        <f>+'AMBERIEU LAGNIEU'!D67</f>
        <v>Cedric</v>
      </c>
      <c r="C62" s="62">
        <v>1</v>
      </c>
      <c r="D62" s="62">
        <v>1</v>
      </c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94"/>
      <c r="R62" s="102"/>
      <c r="S62" s="62"/>
      <c r="T62" s="101">
        <f t="shared" si="3"/>
        <v>15</v>
      </c>
      <c r="U62" s="62"/>
      <c r="V62" s="62"/>
      <c r="W62" s="65">
        <f t="shared" si="1"/>
        <v>50</v>
      </c>
      <c r="X62" s="62"/>
      <c r="Y62" s="62"/>
      <c r="Z62" s="62"/>
      <c r="AA62" s="62"/>
      <c r="AB62" s="62"/>
      <c r="AC62" s="65">
        <f t="shared" si="2"/>
        <v>35</v>
      </c>
    </row>
    <row r="63" spans="1:29">
      <c r="A63" s="115" t="str">
        <f>+'AMBERIEU LAGNIEU'!C68</f>
        <v>YOUSEF</v>
      </c>
      <c r="B63" s="115" t="str">
        <f>+'AMBERIEU LAGNIEU'!D68</f>
        <v>Siraj</v>
      </c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94"/>
      <c r="R63" s="102"/>
      <c r="S63" s="62"/>
      <c r="T63" s="101">
        <f t="shared" si="3"/>
        <v>15</v>
      </c>
      <c r="U63" s="62"/>
      <c r="V63" s="62"/>
      <c r="W63" s="65">
        <f t="shared" si="1"/>
        <v>50</v>
      </c>
      <c r="X63" s="62"/>
      <c r="Y63" s="62"/>
      <c r="Z63" s="62"/>
      <c r="AA63" s="62"/>
      <c r="AB63" s="62"/>
      <c r="AC63" s="65">
        <f t="shared" si="2"/>
        <v>35</v>
      </c>
    </row>
    <row r="64" spans="1:29" s="82" customFormat="1">
      <c r="A64" s="115" t="str">
        <f>+'AMBERIEU LAGNIEU'!C69</f>
        <v>OLRY</v>
      </c>
      <c r="B64" s="115" t="str">
        <f>+'AMBERIEU LAGNIEU'!D69</f>
        <v>Florence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96"/>
      <c r="R64" s="104"/>
      <c r="S64" s="81"/>
      <c r="T64" s="101">
        <f t="shared" si="3"/>
        <v>15</v>
      </c>
      <c r="U64" s="80"/>
      <c r="V64" s="80"/>
      <c r="W64" s="65">
        <f t="shared" si="1"/>
        <v>50</v>
      </c>
      <c r="X64" s="80"/>
      <c r="Y64" s="80"/>
      <c r="Z64" s="80"/>
      <c r="AA64" s="80"/>
      <c r="AB64" s="80"/>
      <c r="AC64" s="65">
        <f t="shared" si="2"/>
        <v>35</v>
      </c>
    </row>
    <row r="65" spans="1:29">
      <c r="A65" s="115" t="e">
        <f>+'AMBERIEU LAGNIEU'!#REF!</f>
        <v>#REF!</v>
      </c>
      <c r="B65" s="115" t="e">
        <f>+'AMBERIEU LAGNIEU'!#REF!</f>
        <v>#REF!</v>
      </c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94"/>
      <c r="R65" s="102"/>
      <c r="S65" s="62"/>
      <c r="T65" s="101">
        <f t="shared" si="3"/>
        <v>15</v>
      </c>
      <c r="U65" s="62"/>
      <c r="V65" s="62"/>
      <c r="W65" s="65">
        <f t="shared" si="1"/>
        <v>50</v>
      </c>
      <c r="X65" s="62"/>
      <c r="Y65" s="62"/>
      <c r="Z65" s="62"/>
      <c r="AA65" s="62"/>
      <c r="AB65" s="62"/>
      <c r="AC65" s="65">
        <f t="shared" si="2"/>
        <v>35</v>
      </c>
    </row>
    <row r="66" spans="1:29">
      <c r="A66" s="115" t="str">
        <f>+'AMBERIEU LAGNIEU'!C70</f>
        <v>TURPIN</v>
      </c>
      <c r="B66" s="115" t="str">
        <f>+'AMBERIEU LAGNIEU'!D70</f>
        <v>Océane</v>
      </c>
      <c r="C66" s="62">
        <v>1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94"/>
      <c r="R66" s="102"/>
      <c r="S66" s="62"/>
      <c r="T66" s="101">
        <f t="shared" si="3"/>
        <v>15</v>
      </c>
      <c r="U66" s="62"/>
      <c r="V66" s="62"/>
      <c r="W66" s="65">
        <f t="shared" si="1"/>
        <v>50</v>
      </c>
      <c r="X66" s="62"/>
      <c r="Y66" s="62"/>
      <c r="Z66" s="62"/>
      <c r="AA66" s="62"/>
      <c r="AB66" s="62"/>
      <c r="AC66" s="65">
        <f t="shared" si="2"/>
        <v>35</v>
      </c>
    </row>
    <row r="67" spans="1:29">
      <c r="A67" s="115" t="e">
        <f>+'AMBERIEU LAGNIEU'!#REF!</f>
        <v>#REF!</v>
      </c>
      <c r="B67" s="115" t="e">
        <f>+'AMBERIEU LAGNIEU'!#REF!</f>
        <v>#REF!</v>
      </c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94"/>
      <c r="R67" s="102"/>
      <c r="S67" s="62"/>
      <c r="T67" s="101">
        <f t="shared" si="3"/>
        <v>15</v>
      </c>
      <c r="U67" s="62"/>
      <c r="V67" s="62"/>
      <c r="W67" s="65">
        <f t="shared" si="1"/>
        <v>50</v>
      </c>
      <c r="X67" s="62"/>
      <c r="Y67" s="62"/>
      <c r="Z67" s="62"/>
      <c r="AA67" s="62"/>
      <c r="AB67" s="62"/>
      <c r="AC67" s="65">
        <f t="shared" si="2"/>
        <v>35</v>
      </c>
    </row>
    <row r="68" spans="1:29">
      <c r="A68" s="115" t="str">
        <f>+'AMBERIEU LAGNIEU'!C71</f>
        <v>CHERON</v>
      </c>
      <c r="B68" s="115" t="str">
        <f>+'AMBERIEU LAGNIEU'!D71</f>
        <v>Carine</v>
      </c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94"/>
      <c r="R68" s="102"/>
      <c r="S68" s="62"/>
      <c r="T68" s="101">
        <f t="shared" si="3"/>
        <v>15</v>
      </c>
      <c r="U68" s="62"/>
      <c r="V68" s="62"/>
      <c r="W68" s="65">
        <f t="shared" si="1"/>
        <v>50</v>
      </c>
      <c r="X68" s="62"/>
      <c r="Y68" s="62"/>
      <c r="Z68" s="62"/>
      <c r="AA68" s="62"/>
      <c r="AB68" s="62"/>
      <c r="AC68" s="65">
        <f t="shared" si="2"/>
        <v>35</v>
      </c>
    </row>
    <row r="69" spans="1:29">
      <c r="A69" s="115" t="str">
        <f>+'AMBERIEU LAGNIEU'!C72</f>
        <v>BEN BRAHIM</v>
      </c>
      <c r="B69" s="115" t="str">
        <f>+'AMBERIEU LAGNIEU'!D72</f>
        <v>Ridha</v>
      </c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94"/>
      <c r="R69" s="102"/>
      <c r="S69" s="62"/>
      <c r="T69" s="101">
        <f t="shared" ref="T69:T111" si="4">S69+15</f>
        <v>15</v>
      </c>
      <c r="U69" s="62"/>
      <c r="V69" s="62"/>
      <c r="W69" s="65">
        <f t="shared" ref="W69:W111" si="5">S69+50</f>
        <v>50</v>
      </c>
      <c r="X69" s="62"/>
      <c r="Y69" s="62"/>
      <c r="Z69" s="62"/>
      <c r="AA69" s="62"/>
      <c r="AB69" s="62"/>
      <c r="AC69" s="65">
        <f t="shared" ref="AC69:AC111" si="6">AB69+35</f>
        <v>35</v>
      </c>
    </row>
    <row r="70" spans="1:29">
      <c r="A70" s="115" t="str">
        <f>+'AMBERIEU LAGNIEU'!C73</f>
        <v>MESSAI/RIBEIRO</v>
      </c>
      <c r="B70" s="115" t="str">
        <f>+'AMBERIEU LAGNIEU'!D73</f>
        <v>Hadda</v>
      </c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94"/>
      <c r="R70" s="102"/>
      <c r="S70" s="62"/>
      <c r="T70" s="101">
        <f t="shared" si="4"/>
        <v>15</v>
      </c>
      <c r="U70" s="62"/>
      <c r="V70" s="62"/>
      <c r="W70" s="65">
        <f t="shared" si="5"/>
        <v>50</v>
      </c>
      <c r="X70" s="62"/>
      <c r="Y70" s="62"/>
      <c r="Z70" s="62"/>
      <c r="AA70" s="62"/>
      <c r="AB70" s="62"/>
      <c r="AC70" s="65">
        <f t="shared" si="6"/>
        <v>35</v>
      </c>
    </row>
    <row r="71" spans="1:29">
      <c r="A71" s="115" t="str">
        <f>+'AMBERIEU LAGNIEU'!C74</f>
        <v>VEUGLE</v>
      </c>
      <c r="B71" s="115" t="str">
        <f>+'AMBERIEU LAGNIEU'!D74</f>
        <v>Alison</v>
      </c>
      <c r="C71" s="62">
        <v>1</v>
      </c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94"/>
      <c r="R71" s="102"/>
      <c r="S71" s="62"/>
      <c r="T71" s="101">
        <f t="shared" si="4"/>
        <v>15</v>
      </c>
      <c r="U71" s="62"/>
      <c r="V71" s="62"/>
      <c r="W71" s="65">
        <f t="shared" si="5"/>
        <v>50</v>
      </c>
      <c r="X71" s="62"/>
      <c r="Y71" s="62"/>
      <c r="Z71" s="62"/>
      <c r="AA71" s="62"/>
      <c r="AB71" s="62"/>
      <c r="AC71" s="65">
        <f t="shared" si="6"/>
        <v>35</v>
      </c>
    </row>
    <row r="72" spans="1:29">
      <c r="A72" s="115" t="str">
        <f>+'AMBERIEU LAGNIEU'!C75</f>
        <v>BLIN</v>
      </c>
      <c r="B72" s="115" t="str">
        <f>+'AMBERIEU LAGNIEU'!D75</f>
        <v>Françoise</v>
      </c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94"/>
      <c r="R72" s="102"/>
      <c r="S72" s="62"/>
      <c r="T72" s="101">
        <f t="shared" si="4"/>
        <v>15</v>
      </c>
      <c r="U72" s="62"/>
      <c r="V72" s="62"/>
      <c r="W72" s="65">
        <f t="shared" si="5"/>
        <v>50</v>
      </c>
      <c r="X72" s="62"/>
      <c r="Y72" s="62"/>
      <c r="Z72" s="62"/>
      <c r="AA72" s="62"/>
      <c r="AB72" s="62"/>
      <c r="AC72" s="65">
        <f t="shared" si="6"/>
        <v>35</v>
      </c>
    </row>
    <row r="73" spans="1:29">
      <c r="A73" s="115" t="str">
        <f>+'AMBERIEU LAGNIEU'!C76</f>
        <v>MARNY</v>
      </c>
      <c r="B73" s="115" t="str">
        <f>+'AMBERIEU LAGNIEU'!D76</f>
        <v>Christopher</v>
      </c>
      <c r="C73" s="62"/>
      <c r="D73" s="62"/>
      <c r="E73" s="62"/>
      <c r="F73" s="62"/>
      <c r="G73" s="62"/>
      <c r="H73" s="62"/>
      <c r="I73" s="62"/>
      <c r="J73" s="62">
        <v>1</v>
      </c>
      <c r="K73" s="62"/>
      <c r="L73" s="62"/>
      <c r="M73" s="62"/>
      <c r="N73" s="62"/>
      <c r="O73" s="62"/>
      <c r="P73" s="62"/>
      <c r="Q73" s="94"/>
      <c r="R73" s="102"/>
      <c r="S73" s="62"/>
      <c r="T73" s="101">
        <f t="shared" si="4"/>
        <v>15</v>
      </c>
      <c r="U73" s="62"/>
      <c r="V73" s="62"/>
      <c r="W73" s="65">
        <f t="shared" si="5"/>
        <v>50</v>
      </c>
      <c r="X73" s="62"/>
      <c r="Y73" s="62"/>
      <c r="Z73" s="62"/>
      <c r="AA73" s="62"/>
      <c r="AB73" s="62"/>
      <c r="AC73" s="65">
        <f t="shared" si="6"/>
        <v>35</v>
      </c>
    </row>
    <row r="74" spans="1:29">
      <c r="A74" s="115" t="str">
        <f>+'AMBERIEU LAGNIEU'!C77</f>
        <v>PIOLAT</v>
      </c>
      <c r="B74" s="115" t="str">
        <f>+'AMBERIEU LAGNIEU'!D77</f>
        <v>Virginie</v>
      </c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94"/>
      <c r="R74" s="102"/>
      <c r="S74" s="62"/>
      <c r="T74" s="101">
        <f t="shared" si="4"/>
        <v>15</v>
      </c>
      <c r="U74" s="62"/>
      <c r="V74" s="62"/>
      <c r="W74" s="65">
        <f t="shared" si="5"/>
        <v>50</v>
      </c>
      <c r="X74" s="62"/>
      <c r="Y74" s="62"/>
      <c r="Z74" s="62"/>
      <c r="AA74" s="62"/>
      <c r="AB74" s="62"/>
      <c r="AC74" s="65">
        <f t="shared" si="6"/>
        <v>35</v>
      </c>
    </row>
    <row r="75" spans="1:29">
      <c r="A75" s="115" t="e">
        <f>+'AMBERIEU LAGNIEU'!#REF!</f>
        <v>#REF!</v>
      </c>
      <c r="B75" s="115" t="e">
        <f>+'AMBERIEU LAGNIEU'!#REF!</f>
        <v>#REF!</v>
      </c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94"/>
      <c r="R75" s="102"/>
      <c r="S75" s="62"/>
      <c r="T75" s="101">
        <f t="shared" si="4"/>
        <v>15</v>
      </c>
      <c r="U75" s="62"/>
      <c r="V75" s="62"/>
      <c r="W75" s="65">
        <f t="shared" si="5"/>
        <v>50</v>
      </c>
      <c r="X75" s="62"/>
      <c r="Y75" s="62"/>
      <c r="Z75" s="62"/>
      <c r="AA75" s="62"/>
      <c r="AB75" s="62"/>
      <c r="AC75" s="65">
        <f t="shared" si="6"/>
        <v>35</v>
      </c>
    </row>
    <row r="76" spans="1:29">
      <c r="A76" s="115" t="str">
        <f>+'AMBERIEU LAGNIEU'!C78</f>
        <v>CHARLIER</v>
      </c>
      <c r="B76" s="115" t="str">
        <f>+'AMBERIEU LAGNIEU'!D78</f>
        <v>William</v>
      </c>
      <c r="C76" s="62">
        <v>1</v>
      </c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94"/>
      <c r="R76" s="102"/>
      <c r="S76" s="62"/>
      <c r="T76" s="101">
        <f t="shared" si="4"/>
        <v>15</v>
      </c>
      <c r="U76" s="62"/>
      <c r="V76" s="62"/>
      <c r="W76" s="65">
        <f t="shared" si="5"/>
        <v>50</v>
      </c>
      <c r="X76" s="62"/>
      <c r="Y76" s="62"/>
      <c r="Z76" s="62"/>
      <c r="AA76" s="62"/>
      <c r="AB76" s="62"/>
      <c r="AC76" s="65">
        <f t="shared" si="6"/>
        <v>35</v>
      </c>
    </row>
    <row r="77" spans="1:29">
      <c r="A77" s="115" t="e">
        <f>+'AMBERIEU LAGNIEU'!#REF!</f>
        <v>#REF!</v>
      </c>
      <c r="B77" s="115" t="e">
        <f>+'AMBERIEU LAGNIEU'!#REF!</f>
        <v>#REF!</v>
      </c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94"/>
      <c r="R77" s="102"/>
      <c r="S77" s="62"/>
      <c r="T77" s="101">
        <f t="shared" si="4"/>
        <v>15</v>
      </c>
      <c r="U77" s="62"/>
      <c r="V77" s="62"/>
      <c r="W77" s="65">
        <f t="shared" si="5"/>
        <v>50</v>
      </c>
      <c r="X77" s="62"/>
      <c r="Y77" s="62"/>
      <c r="Z77" s="62"/>
      <c r="AA77" s="62"/>
      <c r="AB77" s="62"/>
      <c r="AC77" s="65">
        <f t="shared" si="6"/>
        <v>35</v>
      </c>
    </row>
    <row r="78" spans="1:29">
      <c r="A78" s="115" t="str">
        <f>+'AMBERIEU LAGNIEU'!C79</f>
        <v>HAMM</v>
      </c>
      <c r="B78" s="115" t="str">
        <f>+'AMBERIEU LAGNIEU'!D79</f>
        <v>Alexandre</v>
      </c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94"/>
      <c r="R78" s="102"/>
      <c r="S78" s="62"/>
      <c r="T78" s="101">
        <f t="shared" si="4"/>
        <v>15</v>
      </c>
      <c r="U78" s="62"/>
      <c r="V78" s="62"/>
      <c r="W78" s="65">
        <f t="shared" si="5"/>
        <v>50</v>
      </c>
      <c r="X78" s="62"/>
      <c r="Y78" s="62"/>
      <c r="Z78" s="62"/>
      <c r="AA78" s="62"/>
      <c r="AB78" s="62"/>
      <c r="AC78" s="65">
        <f t="shared" si="6"/>
        <v>35</v>
      </c>
    </row>
    <row r="79" spans="1:29">
      <c r="A79" s="115" t="str">
        <f>+'AMBERIEU LAGNIEU'!C80</f>
        <v>BOISMENU</v>
      </c>
      <c r="B79" s="115" t="str">
        <f>+'AMBERIEU LAGNIEU'!D80</f>
        <v>David</v>
      </c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94"/>
      <c r="R79" s="102"/>
      <c r="S79" s="62"/>
      <c r="T79" s="101">
        <f t="shared" si="4"/>
        <v>15</v>
      </c>
      <c r="U79" s="62"/>
      <c r="V79" s="62"/>
      <c r="W79" s="65">
        <f t="shared" si="5"/>
        <v>50</v>
      </c>
      <c r="X79" s="62"/>
      <c r="Y79" s="62"/>
      <c r="Z79" s="62"/>
      <c r="AA79" s="62"/>
      <c r="AB79" s="62"/>
      <c r="AC79" s="65">
        <f t="shared" si="6"/>
        <v>35</v>
      </c>
    </row>
    <row r="80" spans="1:29">
      <c r="A80" s="115" t="str">
        <f>+'AMBERIEU LAGNIEU'!C81</f>
        <v>TOURNU</v>
      </c>
      <c r="B80" s="115" t="str">
        <f>+'AMBERIEU LAGNIEU'!D81</f>
        <v>Marie-Claude</v>
      </c>
      <c r="C80" s="62"/>
      <c r="D80" s="62"/>
      <c r="E80" s="62"/>
      <c r="F80" s="62"/>
      <c r="G80" s="62"/>
      <c r="H80" s="62"/>
      <c r="I80" s="62">
        <v>1</v>
      </c>
      <c r="J80" s="62"/>
      <c r="K80" s="62"/>
      <c r="L80" s="62"/>
      <c r="M80" s="62"/>
      <c r="N80" s="62"/>
      <c r="O80" s="62"/>
      <c r="P80" s="62"/>
      <c r="Q80" s="94"/>
      <c r="R80" s="102"/>
      <c r="S80" s="62"/>
      <c r="T80" s="101">
        <f t="shared" si="4"/>
        <v>15</v>
      </c>
      <c r="U80" s="62"/>
      <c r="V80" s="62"/>
      <c r="W80" s="65">
        <f t="shared" si="5"/>
        <v>50</v>
      </c>
      <c r="X80" s="62"/>
      <c r="Y80" s="62"/>
      <c r="Z80" s="62"/>
      <c r="AA80" s="62"/>
      <c r="AB80" s="62"/>
      <c r="AC80" s="65">
        <f t="shared" si="6"/>
        <v>35</v>
      </c>
    </row>
    <row r="81" spans="1:29">
      <c r="A81" s="115" t="e">
        <f>+'AMBERIEU LAGNIEU'!#REF!</f>
        <v>#REF!</v>
      </c>
      <c r="B81" s="115" t="e">
        <f>+'AMBERIEU LAGNIEU'!#REF!</f>
        <v>#REF!</v>
      </c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94"/>
      <c r="R81" s="102"/>
      <c r="S81" s="62"/>
      <c r="T81" s="101">
        <f t="shared" si="4"/>
        <v>15</v>
      </c>
      <c r="U81" s="62"/>
      <c r="V81" s="62"/>
      <c r="W81" s="65">
        <f t="shared" si="5"/>
        <v>50</v>
      </c>
      <c r="X81" s="62"/>
      <c r="Y81" s="62"/>
      <c r="Z81" s="62"/>
      <c r="AA81" s="62"/>
      <c r="AB81" s="62"/>
      <c r="AC81" s="65">
        <f t="shared" si="6"/>
        <v>35</v>
      </c>
    </row>
    <row r="82" spans="1:29">
      <c r="A82" s="115" t="str">
        <f>+'AMBERIEU LAGNIEU'!C82</f>
        <v>VULCAIN</v>
      </c>
      <c r="B82" s="115" t="str">
        <f>+'AMBERIEU LAGNIEU'!D82</f>
        <v>Alexandrine</v>
      </c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94"/>
      <c r="R82" s="102"/>
      <c r="S82" s="62"/>
      <c r="T82" s="101">
        <f t="shared" si="4"/>
        <v>15</v>
      </c>
      <c r="U82" s="62"/>
      <c r="V82" s="62"/>
      <c r="W82" s="65">
        <f t="shared" si="5"/>
        <v>50</v>
      </c>
      <c r="X82" s="62"/>
      <c r="Y82" s="62"/>
      <c r="Z82" s="62"/>
      <c r="AA82" s="62"/>
      <c r="AB82" s="62"/>
      <c r="AC82" s="65">
        <f t="shared" si="6"/>
        <v>35</v>
      </c>
    </row>
    <row r="83" spans="1:29">
      <c r="A83" s="115" t="str">
        <f>+'AMBERIEU LAGNIEU'!C83</f>
        <v>JUPITER</v>
      </c>
      <c r="B83" s="115" t="str">
        <f>+'AMBERIEU LAGNIEU'!D83</f>
        <v>Tanya</v>
      </c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94"/>
      <c r="R83" s="102"/>
      <c r="S83" s="62"/>
      <c r="T83" s="101">
        <f t="shared" si="4"/>
        <v>15</v>
      </c>
      <c r="U83" s="62"/>
      <c r="V83" s="62"/>
      <c r="W83" s="65">
        <f t="shared" si="5"/>
        <v>50</v>
      </c>
      <c r="X83" s="62"/>
      <c r="Y83" s="62"/>
      <c r="Z83" s="62"/>
      <c r="AA83" s="62"/>
      <c r="AB83" s="62"/>
      <c r="AC83" s="65">
        <f t="shared" si="6"/>
        <v>35</v>
      </c>
    </row>
    <row r="84" spans="1:29">
      <c r="A84" s="115" t="str">
        <f>+'AMBERIEU LAGNIEU'!C84</f>
        <v>GASHI</v>
      </c>
      <c r="B84" s="115" t="str">
        <f>+'AMBERIEU LAGNIEU'!D84</f>
        <v>Ramize</v>
      </c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94"/>
      <c r="R84" s="102"/>
      <c r="S84" s="62"/>
      <c r="T84" s="101">
        <f t="shared" si="4"/>
        <v>15</v>
      </c>
      <c r="U84" s="62"/>
      <c r="V84" s="62"/>
      <c r="W84" s="65">
        <f t="shared" si="5"/>
        <v>50</v>
      </c>
      <c r="X84" s="62"/>
      <c r="Y84" s="62"/>
      <c r="Z84" s="62"/>
      <c r="AA84" s="62"/>
      <c r="AB84" s="62"/>
      <c r="AC84" s="65">
        <f t="shared" si="6"/>
        <v>35</v>
      </c>
    </row>
    <row r="85" spans="1:29">
      <c r="A85" s="115" t="e">
        <f>+'AMBERIEU LAGNIEU'!#REF!</f>
        <v>#REF!</v>
      </c>
      <c r="B85" s="115" t="e">
        <f>+'AMBERIEU LAGNIEU'!#REF!</f>
        <v>#REF!</v>
      </c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94"/>
      <c r="R85" s="102"/>
      <c r="S85" s="62"/>
      <c r="T85" s="65">
        <f t="shared" si="4"/>
        <v>15</v>
      </c>
      <c r="U85" s="62"/>
      <c r="V85" s="62"/>
      <c r="W85" s="65">
        <f t="shared" si="5"/>
        <v>50</v>
      </c>
      <c r="X85" s="62"/>
      <c r="Y85" s="62"/>
      <c r="Z85" s="62"/>
      <c r="AA85" s="62"/>
      <c r="AB85" s="62"/>
      <c r="AC85" s="65">
        <f t="shared" si="6"/>
        <v>35</v>
      </c>
    </row>
    <row r="86" spans="1:29">
      <c r="A86" s="115" t="str">
        <f>+'AMBERIEU LAGNIEU'!C85</f>
        <v>KAHLAOUI</v>
      </c>
      <c r="B86" s="115" t="str">
        <f>+'AMBERIEU LAGNIEU'!D85</f>
        <v>Samira</v>
      </c>
      <c r="C86" s="62"/>
      <c r="D86" s="62"/>
      <c r="E86" s="62"/>
      <c r="F86" s="62"/>
      <c r="G86" s="62"/>
      <c r="H86" s="62"/>
      <c r="I86" s="62"/>
      <c r="J86" s="62">
        <v>1</v>
      </c>
      <c r="K86" s="62"/>
      <c r="L86" s="62"/>
      <c r="M86" s="62"/>
      <c r="N86" s="62"/>
      <c r="O86" s="62"/>
      <c r="P86" s="62"/>
      <c r="Q86" s="94"/>
      <c r="R86" s="102"/>
      <c r="S86" s="62"/>
      <c r="T86" s="65">
        <f t="shared" si="4"/>
        <v>15</v>
      </c>
      <c r="U86" s="62"/>
      <c r="V86" s="62"/>
      <c r="W86" s="65">
        <f t="shared" si="5"/>
        <v>50</v>
      </c>
      <c r="X86" s="62"/>
      <c r="Y86" s="62"/>
      <c r="Z86" s="62"/>
      <c r="AA86" s="62"/>
      <c r="AB86" s="62"/>
      <c r="AC86" s="65">
        <f t="shared" si="6"/>
        <v>35</v>
      </c>
    </row>
    <row r="87" spans="1:29">
      <c r="A87" s="115" t="str">
        <f>+'AMBERIEU LAGNIEU'!C86</f>
        <v>VESPAZIANI</v>
      </c>
      <c r="B87" s="115" t="str">
        <f>+'AMBERIEU LAGNIEU'!D86</f>
        <v>Vincent</v>
      </c>
      <c r="C87" s="62">
        <v>1</v>
      </c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94"/>
      <c r="R87" s="102"/>
      <c r="S87" s="62"/>
      <c r="T87" s="65">
        <f t="shared" si="4"/>
        <v>15</v>
      </c>
      <c r="U87" s="62"/>
      <c r="V87" s="62"/>
      <c r="W87" s="65">
        <f t="shared" si="5"/>
        <v>50</v>
      </c>
      <c r="X87" s="62"/>
      <c r="Y87" s="62"/>
      <c r="Z87" s="62"/>
      <c r="AA87" s="62"/>
      <c r="AB87" s="62"/>
      <c r="AC87" s="65">
        <f t="shared" si="6"/>
        <v>35</v>
      </c>
    </row>
    <row r="88" spans="1:29">
      <c r="A88" s="115" t="e">
        <f>+'AMBERIEU LAGNIEU'!#REF!</f>
        <v>#REF!</v>
      </c>
      <c r="B88" s="115" t="e">
        <f>+'AMBERIEU LAGNIEU'!#REF!</f>
        <v>#REF!</v>
      </c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94"/>
      <c r="R88" s="102"/>
      <c r="S88" s="62"/>
      <c r="T88" s="65">
        <f t="shared" si="4"/>
        <v>15</v>
      </c>
      <c r="U88" s="62"/>
      <c r="V88" s="62"/>
      <c r="W88" s="65">
        <f t="shared" si="5"/>
        <v>50</v>
      </c>
      <c r="X88" s="62"/>
      <c r="Y88" s="62"/>
      <c r="Z88" s="62"/>
      <c r="AA88" s="62"/>
      <c r="AB88" s="62"/>
      <c r="AC88" s="65">
        <f t="shared" si="6"/>
        <v>35</v>
      </c>
    </row>
    <row r="89" spans="1:29">
      <c r="A89" s="115" t="e">
        <f>+'AMBERIEU LAGNIEU'!#REF!</f>
        <v>#REF!</v>
      </c>
      <c r="B89" s="115" t="e">
        <f>+'AMBERIEU LAGNIEU'!#REF!</f>
        <v>#REF!</v>
      </c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94"/>
      <c r="R89" s="102"/>
      <c r="S89" s="62"/>
      <c r="T89" s="65">
        <f t="shared" si="4"/>
        <v>15</v>
      </c>
      <c r="U89" s="62"/>
      <c r="V89" s="62"/>
      <c r="W89" s="65">
        <f t="shared" si="5"/>
        <v>50</v>
      </c>
      <c r="X89" s="62"/>
      <c r="Y89" s="62"/>
      <c r="Z89" s="62"/>
      <c r="AA89" s="62"/>
      <c r="AB89" s="62"/>
      <c r="AC89" s="65">
        <f t="shared" si="6"/>
        <v>35</v>
      </c>
    </row>
    <row r="90" spans="1:29">
      <c r="A90" s="115" t="str">
        <f>+'AMBERIEU LAGNIEU'!C87</f>
        <v>BASILE</v>
      </c>
      <c r="B90" s="115" t="str">
        <f>+'AMBERIEU LAGNIEU'!D87</f>
        <v>Kévin</v>
      </c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94"/>
      <c r="R90" s="102"/>
      <c r="S90" s="62"/>
      <c r="T90" s="65">
        <f t="shared" si="4"/>
        <v>15</v>
      </c>
      <c r="U90" s="62"/>
      <c r="V90" s="62"/>
      <c r="W90" s="65">
        <f t="shared" si="5"/>
        <v>50</v>
      </c>
      <c r="X90" s="62"/>
      <c r="Y90" s="62"/>
      <c r="Z90" s="62"/>
      <c r="AA90" s="62"/>
      <c r="AB90" s="62"/>
      <c r="AC90" s="65">
        <f t="shared" si="6"/>
        <v>35</v>
      </c>
    </row>
    <row r="91" spans="1:29">
      <c r="A91" s="115" t="str">
        <f>+'AMBERIEU LAGNIEU'!C88</f>
        <v>BLONDEAU</v>
      </c>
      <c r="B91" s="115" t="str">
        <f>+'AMBERIEU LAGNIEU'!D88</f>
        <v>Mandy</v>
      </c>
      <c r="C91" s="62">
        <v>1</v>
      </c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94"/>
      <c r="R91" s="102"/>
      <c r="S91" s="62"/>
      <c r="T91" s="65">
        <f t="shared" si="4"/>
        <v>15</v>
      </c>
      <c r="U91" s="62"/>
      <c r="V91" s="62"/>
      <c r="W91" s="65">
        <f t="shared" si="5"/>
        <v>50</v>
      </c>
      <c r="X91" s="62"/>
      <c r="Y91" s="62"/>
      <c r="Z91" s="62"/>
      <c r="AA91" s="62"/>
      <c r="AB91" s="62"/>
      <c r="AC91" s="65">
        <f t="shared" si="6"/>
        <v>35</v>
      </c>
    </row>
    <row r="92" spans="1:29">
      <c r="A92" s="115" t="str">
        <f>+'AMBERIEU LAGNIEU'!C89</f>
        <v>GUICHARD</v>
      </c>
      <c r="B92" s="115" t="str">
        <f>+'AMBERIEU LAGNIEU'!D89</f>
        <v>Marie</v>
      </c>
      <c r="C92" s="62">
        <v>1</v>
      </c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94"/>
      <c r="R92" s="102"/>
      <c r="S92" s="62"/>
      <c r="T92" s="65">
        <f t="shared" si="4"/>
        <v>15</v>
      </c>
      <c r="U92" s="62"/>
      <c r="V92" s="62"/>
      <c r="W92" s="65">
        <f t="shared" si="5"/>
        <v>50</v>
      </c>
      <c r="X92" s="62"/>
      <c r="Y92" s="62"/>
      <c r="Z92" s="62"/>
      <c r="AA92" s="62"/>
      <c r="AB92" s="62"/>
      <c r="AC92" s="65">
        <f t="shared" si="6"/>
        <v>35</v>
      </c>
    </row>
    <row r="93" spans="1:29">
      <c r="A93" s="115" t="str">
        <f>+'AMBERIEU LAGNIEU'!C90</f>
        <v>MANACH</v>
      </c>
      <c r="B93" s="115" t="str">
        <f>+'AMBERIEU LAGNIEU'!D90</f>
        <v>Victor</v>
      </c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94"/>
      <c r="R93" s="102"/>
      <c r="S93" s="62"/>
      <c r="T93" s="65">
        <f t="shared" si="4"/>
        <v>15</v>
      </c>
      <c r="U93" s="62"/>
      <c r="V93" s="62"/>
      <c r="W93" s="65">
        <f t="shared" si="5"/>
        <v>50</v>
      </c>
      <c r="X93" s="62"/>
      <c r="Y93" s="62"/>
      <c r="Z93" s="62"/>
      <c r="AA93" s="62"/>
      <c r="AB93" s="62"/>
      <c r="AC93" s="65">
        <f t="shared" si="6"/>
        <v>35</v>
      </c>
    </row>
    <row r="94" spans="1:29">
      <c r="A94" s="115" t="str">
        <f>+'AMBERIEU LAGNIEU'!C91</f>
        <v>LEBEAU</v>
      </c>
      <c r="B94" s="115" t="str">
        <f>+'AMBERIEU LAGNIEU'!D91</f>
        <v>Jonathan</v>
      </c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94"/>
      <c r="R94" s="102"/>
      <c r="S94" s="62"/>
      <c r="T94" s="65">
        <f t="shared" si="4"/>
        <v>15</v>
      </c>
      <c r="U94" s="62"/>
      <c r="V94" s="62"/>
      <c r="W94" s="65">
        <f t="shared" si="5"/>
        <v>50</v>
      </c>
      <c r="X94" s="62"/>
      <c r="Y94" s="62"/>
      <c r="Z94" s="62"/>
      <c r="AA94" s="62"/>
      <c r="AB94" s="62"/>
      <c r="AC94" s="65">
        <f t="shared" si="6"/>
        <v>35</v>
      </c>
    </row>
    <row r="95" spans="1:29">
      <c r="A95" s="115" t="str">
        <f>+'AMBERIEU LAGNIEU'!C92</f>
        <v>GOUVERNEUR</v>
      </c>
      <c r="B95" s="115" t="str">
        <f>+'AMBERIEU LAGNIEU'!D92</f>
        <v>Nicolas</v>
      </c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94"/>
      <c r="R95" s="102"/>
      <c r="S95" s="62"/>
      <c r="T95" s="65">
        <f t="shared" si="4"/>
        <v>15</v>
      </c>
      <c r="U95" s="62"/>
      <c r="V95" s="62"/>
      <c r="W95" s="65">
        <f t="shared" si="5"/>
        <v>50</v>
      </c>
      <c r="X95" s="62"/>
      <c r="Y95" s="62"/>
      <c r="Z95" s="62"/>
      <c r="AA95" s="62"/>
      <c r="AB95" s="62"/>
      <c r="AC95" s="65">
        <f t="shared" si="6"/>
        <v>35</v>
      </c>
    </row>
    <row r="96" spans="1:29">
      <c r="A96" s="115" t="e">
        <f>+'AMBERIEU LAGNIEU'!#REF!</f>
        <v>#REF!</v>
      </c>
      <c r="B96" s="115" t="e">
        <f>+'AMBERIEU LAGNIEU'!#REF!</f>
        <v>#REF!</v>
      </c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94"/>
      <c r="R96" s="102"/>
      <c r="S96" s="62"/>
      <c r="T96" s="65">
        <f t="shared" si="4"/>
        <v>15</v>
      </c>
      <c r="U96" s="62"/>
      <c r="V96" s="62"/>
      <c r="W96" s="65">
        <f t="shared" si="5"/>
        <v>50</v>
      </c>
      <c r="X96" s="62"/>
      <c r="Y96" s="62"/>
      <c r="Z96" s="62"/>
      <c r="AA96" s="62"/>
      <c r="AB96" s="62"/>
      <c r="AC96" s="65">
        <f t="shared" si="6"/>
        <v>35</v>
      </c>
    </row>
    <row r="97" spans="1:29">
      <c r="A97" s="115" t="str">
        <f>+'AMBERIEU LAGNIEU'!C93</f>
        <v>TAOUCHE</v>
      </c>
      <c r="B97" s="115" t="str">
        <f>+'AMBERIEU LAGNIEU'!D93</f>
        <v>Malika</v>
      </c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94"/>
      <c r="R97" s="102"/>
      <c r="S97" s="62"/>
      <c r="T97" s="65">
        <f t="shared" si="4"/>
        <v>15</v>
      </c>
      <c r="U97" s="62"/>
      <c r="V97" s="62"/>
      <c r="W97" s="65">
        <f t="shared" si="5"/>
        <v>50</v>
      </c>
      <c r="X97" s="62"/>
      <c r="Y97" s="62"/>
      <c r="Z97" s="62"/>
      <c r="AA97" s="62"/>
      <c r="AB97" s="62"/>
      <c r="AC97" s="65">
        <f t="shared" si="6"/>
        <v>35</v>
      </c>
    </row>
    <row r="98" spans="1:29">
      <c r="A98" s="115" t="str">
        <f>+'AMBERIEU LAGNIEU'!C94</f>
        <v>THOLLOT</v>
      </c>
      <c r="B98" s="115" t="str">
        <f>+'AMBERIEU LAGNIEU'!D94</f>
        <v>Florian</v>
      </c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94"/>
      <c r="R98" s="102"/>
      <c r="S98" s="62"/>
      <c r="T98" s="65">
        <f t="shared" si="4"/>
        <v>15</v>
      </c>
      <c r="U98" s="62"/>
      <c r="V98" s="62"/>
      <c r="W98" s="65">
        <f t="shared" si="5"/>
        <v>50</v>
      </c>
      <c r="X98" s="62"/>
      <c r="Y98" s="62"/>
      <c r="Z98" s="62"/>
      <c r="AA98" s="62"/>
      <c r="AB98" s="62"/>
      <c r="AC98" s="65">
        <f t="shared" si="6"/>
        <v>35</v>
      </c>
    </row>
    <row r="99" spans="1:29">
      <c r="A99" s="115" t="e">
        <f>+'AMBERIEU LAGNIEU'!#REF!</f>
        <v>#REF!</v>
      </c>
      <c r="B99" s="115" t="e">
        <f>+'AMBERIEU LAGNIEU'!#REF!</f>
        <v>#REF!</v>
      </c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94"/>
      <c r="R99" s="102"/>
      <c r="S99" s="62"/>
      <c r="T99" s="65">
        <f t="shared" si="4"/>
        <v>15</v>
      </c>
      <c r="U99" s="62"/>
      <c r="V99" s="62"/>
      <c r="W99" s="65">
        <f t="shared" si="5"/>
        <v>50</v>
      </c>
      <c r="X99" s="62"/>
      <c r="Y99" s="62"/>
      <c r="Z99" s="62"/>
      <c r="AA99" s="62"/>
      <c r="AB99" s="62"/>
      <c r="AC99" s="65">
        <f t="shared" si="6"/>
        <v>35</v>
      </c>
    </row>
    <row r="100" spans="1:29">
      <c r="A100" s="115" t="e">
        <f>+'AMBERIEU LAGNIEU'!#REF!</f>
        <v>#REF!</v>
      </c>
      <c r="B100" s="115" t="e">
        <f>+'AMBERIEU LAGNIEU'!#REF!</f>
        <v>#REF!</v>
      </c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94"/>
      <c r="R100" s="102"/>
      <c r="S100" s="62"/>
      <c r="T100" s="65">
        <f t="shared" si="4"/>
        <v>15</v>
      </c>
      <c r="U100" s="62"/>
      <c r="V100" s="62"/>
      <c r="W100" s="65">
        <f t="shared" si="5"/>
        <v>50</v>
      </c>
      <c r="X100" s="62"/>
      <c r="Y100" s="62"/>
      <c r="Z100" s="62"/>
      <c r="AA100" s="62"/>
      <c r="AB100" s="62"/>
      <c r="AC100" s="65">
        <f t="shared" si="6"/>
        <v>35</v>
      </c>
    </row>
    <row r="101" spans="1:29">
      <c r="A101" s="115" t="str">
        <f>+'AMBERIEU LAGNIEU'!C95</f>
        <v>LABARRIERE</v>
      </c>
      <c r="B101" s="115" t="str">
        <f>+'AMBERIEU LAGNIEU'!D95</f>
        <v>Paul Emile</v>
      </c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94"/>
      <c r="R101" s="102"/>
      <c r="S101" s="62"/>
      <c r="T101" s="65">
        <f t="shared" si="4"/>
        <v>15</v>
      </c>
      <c r="U101" s="62"/>
      <c r="V101" s="62"/>
      <c r="W101" s="65">
        <f t="shared" si="5"/>
        <v>50</v>
      </c>
      <c r="X101" s="62"/>
      <c r="Y101" s="62"/>
      <c r="Z101" s="62"/>
      <c r="AA101" s="62"/>
      <c r="AB101" s="62"/>
      <c r="AC101" s="65">
        <f t="shared" si="6"/>
        <v>35</v>
      </c>
    </row>
    <row r="102" spans="1:29">
      <c r="A102" s="115" t="str">
        <f>+'AMBERIEU LAGNIEU'!C96</f>
        <v>GUEPRATTE</v>
      </c>
      <c r="B102" s="115" t="str">
        <f>+'AMBERIEU LAGNIEU'!D96</f>
        <v>Ronny</v>
      </c>
      <c r="C102" s="62">
        <v>1</v>
      </c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94"/>
      <c r="R102" s="102"/>
      <c r="S102" s="62"/>
      <c r="T102" s="65">
        <f t="shared" si="4"/>
        <v>15</v>
      </c>
      <c r="U102" s="62"/>
      <c r="V102" s="62"/>
      <c r="W102" s="65">
        <f t="shared" si="5"/>
        <v>50</v>
      </c>
      <c r="X102" s="62"/>
      <c r="Y102" s="62"/>
      <c r="Z102" s="62"/>
      <c r="AA102" s="62"/>
      <c r="AB102" s="62"/>
      <c r="AC102" s="65">
        <f t="shared" si="6"/>
        <v>35</v>
      </c>
    </row>
    <row r="103" spans="1:29">
      <c r="A103" s="115" t="str">
        <f>+'AMBERIEU LAGNIEU'!C97</f>
        <v>GABORIT</v>
      </c>
      <c r="B103" s="115" t="str">
        <f>+'AMBERIEU LAGNIEU'!D97</f>
        <v>Edwige</v>
      </c>
      <c r="C103" s="62">
        <v>1</v>
      </c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94"/>
      <c r="R103" s="102"/>
      <c r="S103" s="62"/>
      <c r="T103" s="65">
        <f t="shared" si="4"/>
        <v>15</v>
      </c>
      <c r="U103" s="62"/>
      <c r="V103" s="62"/>
      <c r="W103" s="65">
        <f t="shared" si="5"/>
        <v>50</v>
      </c>
      <c r="X103" s="62"/>
      <c r="Y103" s="62"/>
      <c r="Z103" s="62"/>
      <c r="AA103" s="62"/>
      <c r="AB103" s="62"/>
      <c r="AC103" s="65">
        <f t="shared" si="6"/>
        <v>35</v>
      </c>
    </row>
    <row r="104" spans="1:29">
      <c r="A104" s="115" t="str">
        <f>+'AMBERIEU LAGNIEU'!C98</f>
        <v>KHAN</v>
      </c>
      <c r="B104" s="115" t="str">
        <f>+'AMBERIEU LAGNIEU'!D98</f>
        <v>Tahira</v>
      </c>
      <c r="C104" s="62">
        <v>1</v>
      </c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94"/>
      <c r="R104" s="102"/>
      <c r="S104" s="62"/>
      <c r="T104" s="65">
        <f t="shared" si="4"/>
        <v>15</v>
      </c>
      <c r="U104" s="62"/>
      <c r="V104" s="62"/>
      <c r="W104" s="65">
        <f t="shared" si="5"/>
        <v>50</v>
      </c>
      <c r="X104" s="62"/>
      <c r="Y104" s="62"/>
      <c r="Z104" s="62"/>
      <c r="AA104" s="62"/>
      <c r="AB104" s="62"/>
      <c r="AC104" s="65">
        <f t="shared" si="6"/>
        <v>35</v>
      </c>
    </row>
    <row r="105" spans="1:29">
      <c r="A105" s="115" t="str">
        <f>+'AMBERIEU LAGNIEU'!C99</f>
        <v>NDOJ</v>
      </c>
      <c r="B105" s="115" t="str">
        <f>+'AMBERIEU LAGNIEU'!D99</f>
        <v>Dava</v>
      </c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94"/>
      <c r="R105" s="105"/>
      <c r="S105" s="65"/>
      <c r="T105" s="65">
        <f t="shared" si="4"/>
        <v>15</v>
      </c>
      <c r="U105" s="62"/>
      <c r="V105" s="62"/>
      <c r="W105" s="65">
        <f t="shared" si="5"/>
        <v>50</v>
      </c>
      <c r="X105" s="62"/>
      <c r="Y105" s="62"/>
      <c r="Z105" s="62"/>
      <c r="AA105" s="62"/>
      <c r="AB105" s="62"/>
      <c r="AC105" s="65">
        <f t="shared" si="6"/>
        <v>35</v>
      </c>
    </row>
    <row r="106" spans="1:29">
      <c r="A106" s="115" t="e">
        <f>+'AMBERIEU LAGNIEU'!#REF!</f>
        <v>#REF!</v>
      </c>
      <c r="B106" s="115" t="e">
        <f>+'AMBERIEU LAGNIEU'!#REF!</f>
        <v>#REF!</v>
      </c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94"/>
      <c r="R106" s="102"/>
      <c r="S106" s="62"/>
      <c r="T106" s="65">
        <f t="shared" si="4"/>
        <v>15</v>
      </c>
      <c r="U106" s="62"/>
      <c r="V106" s="62"/>
      <c r="W106" s="65">
        <f t="shared" si="5"/>
        <v>50</v>
      </c>
      <c r="X106" s="62"/>
      <c r="Y106" s="62"/>
      <c r="Z106" s="62"/>
      <c r="AA106" s="62"/>
      <c r="AB106" s="62"/>
      <c r="AC106" s="65">
        <f t="shared" si="6"/>
        <v>35</v>
      </c>
    </row>
    <row r="107" spans="1:29">
      <c r="A107" s="115" t="str">
        <f>+'AMBERIEU LAGNIEU'!C100</f>
        <v>VANEENOO</v>
      </c>
      <c r="B107" s="115" t="str">
        <f>+'AMBERIEU LAGNIEU'!D100</f>
        <v>Jérémy</v>
      </c>
      <c r="C107" s="62">
        <v>1</v>
      </c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94"/>
      <c r="R107" s="102"/>
      <c r="S107" s="62"/>
      <c r="T107" s="65">
        <f t="shared" si="4"/>
        <v>15</v>
      </c>
      <c r="U107" s="62"/>
      <c r="V107" s="62"/>
      <c r="W107" s="65">
        <f t="shared" si="5"/>
        <v>50</v>
      </c>
      <c r="X107" s="62"/>
      <c r="Y107" s="62"/>
      <c r="Z107" s="62"/>
      <c r="AA107" s="62"/>
      <c r="AB107" s="62"/>
      <c r="AC107" s="65">
        <f t="shared" si="6"/>
        <v>35</v>
      </c>
    </row>
    <row r="108" spans="1:29">
      <c r="A108" s="115" t="str">
        <f>+'AMBERIEU LAGNIEU'!C101</f>
        <v>GALLE</v>
      </c>
      <c r="B108" s="115" t="str">
        <f>+'AMBERIEU LAGNIEU'!D101</f>
        <v>Aurélie</v>
      </c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94"/>
      <c r="R108" s="102"/>
      <c r="S108" s="62"/>
      <c r="T108" s="65">
        <f t="shared" si="4"/>
        <v>15</v>
      </c>
      <c r="U108" s="62"/>
      <c r="V108" s="62"/>
      <c r="W108" s="65">
        <f t="shared" si="5"/>
        <v>50</v>
      </c>
      <c r="X108" s="62"/>
      <c r="Y108" s="62"/>
      <c r="Z108" s="62"/>
      <c r="AA108" s="62"/>
      <c r="AB108" s="62"/>
      <c r="AC108" s="65">
        <f t="shared" si="6"/>
        <v>35</v>
      </c>
    </row>
    <row r="109" spans="1:29">
      <c r="A109" s="115" t="str">
        <f>+'AMBERIEU LAGNIEU'!C102</f>
        <v>AROUMOUGAM</v>
      </c>
      <c r="B109" s="115" t="str">
        <f>+'AMBERIEU LAGNIEU'!D102</f>
        <v>Selvaperoumal</v>
      </c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94"/>
      <c r="R109" s="102"/>
      <c r="S109" s="62"/>
      <c r="T109" s="65">
        <f t="shared" si="4"/>
        <v>15</v>
      </c>
      <c r="U109" s="62"/>
      <c r="V109" s="62"/>
      <c r="W109" s="65">
        <f t="shared" si="5"/>
        <v>50</v>
      </c>
      <c r="X109" s="62"/>
      <c r="Y109" s="62"/>
      <c r="Z109" s="62"/>
      <c r="AA109" s="62"/>
      <c r="AB109" s="62"/>
      <c r="AC109" s="65">
        <f t="shared" si="6"/>
        <v>35</v>
      </c>
    </row>
    <row r="110" spans="1:29">
      <c r="A110" s="115" t="str">
        <f>+'AMBERIEU LAGNIEU'!C103</f>
        <v>GROSSEPIECE</v>
      </c>
      <c r="B110" s="115" t="str">
        <f>+'AMBERIEU LAGNIEU'!D103</f>
        <v>Laetitia</v>
      </c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94"/>
      <c r="R110" s="102"/>
      <c r="S110" s="62"/>
      <c r="T110" s="65">
        <f t="shared" si="4"/>
        <v>15</v>
      </c>
      <c r="U110" s="62"/>
      <c r="V110" s="62"/>
      <c r="W110" s="65">
        <f t="shared" si="5"/>
        <v>50</v>
      </c>
      <c r="X110" s="62"/>
      <c r="Y110" s="62"/>
      <c r="Z110" s="62"/>
      <c r="AA110" s="62"/>
      <c r="AB110" s="62"/>
      <c r="AC110" s="65">
        <f t="shared" si="6"/>
        <v>35</v>
      </c>
    </row>
    <row r="111" spans="1:29">
      <c r="A111" s="115" t="str">
        <f>+'AMBERIEU LAGNIEU'!C104</f>
        <v>MESSAHEL</v>
      </c>
      <c r="B111" s="115" t="str">
        <f>+'AMBERIEU LAGNIEU'!D104</f>
        <v>Malika</v>
      </c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94"/>
      <c r="R111" s="102"/>
      <c r="S111" s="62"/>
      <c r="T111" s="65">
        <f t="shared" si="4"/>
        <v>15</v>
      </c>
      <c r="U111" s="62"/>
      <c r="V111" s="62"/>
      <c r="W111" s="65">
        <f t="shared" si="5"/>
        <v>50</v>
      </c>
      <c r="X111" s="62"/>
      <c r="Y111" s="62"/>
      <c r="Z111" s="62"/>
      <c r="AA111" s="62"/>
      <c r="AB111" s="62"/>
      <c r="AC111" s="65">
        <f t="shared" si="6"/>
        <v>35</v>
      </c>
    </row>
    <row r="112" spans="1:29">
      <c r="A112" s="115" t="str">
        <f>+'AMBERIEU LAGNIEU'!C105</f>
        <v>CHTOPCZYK</v>
      </c>
      <c r="B112" s="115" t="str">
        <f>+'AMBERIEU LAGNIEU'!D105</f>
        <v>Johan</v>
      </c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94"/>
      <c r="R112" s="102"/>
      <c r="S112" s="62"/>
      <c r="T112" s="65">
        <f t="shared" ref="T112:T184" si="7">S112+15</f>
        <v>15</v>
      </c>
      <c r="U112" s="62"/>
      <c r="V112" s="62"/>
      <c r="W112" s="65">
        <f t="shared" ref="W112:W184" si="8">S112+50</f>
        <v>50</v>
      </c>
      <c r="X112" s="62"/>
      <c r="Y112" s="62"/>
      <c r="Z112" s="62"/>
      <c r="AA112" s="62"/>
      <c r="AB112" s="62"/>
      <c r="AC112" s="65">
        <f t="shared" ref="AC112:AC184" si="9">AB112+35</f>
        <v>35</v>
      </c>
    </row>
    <row r="113" spans="1:29">
      <c r="A113" s="115" t="str">
        <f>+'AMBERIEU LAGNIEU'!C106</f>
        <v>CHAPUIS</v>
      </c>
      <c r="B113" s="115" t="str">
        <f>+'AMBERIEU LAGNIEU'!D106</f>
        <v>Hervé</v>
      </c>
      <c r="C113" s="62">
        <v>1</v>
      </c>
      <c r="D113" s="62">
        <v>1</v>
      </c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94">
        <v>1</v>
      </c>
      <c r="R113" s="105">
        <v>46160</v>
      </c>
      <c r="S113" s="65">
        <v>46161</v>
      </c>
      <c r="T113" s="65">
        <f t="shared" si="7"/>
        <v>46176</v>
      </c>
      <c r="U113" s="62">
        <v>0</v>
      </c>
      <c r="V113" s="62">
        <v>1</v>
      </c>
      <c r="W113" s="65">
        <f t="shared" si="8"/>
        <v>46211</v>
      </c>
      <c r="X113" s="62">
        <v>1</v>
      </c>
      <c r="Y113" s="62">
        <v>1</v>
      </c>
      <c r="Z113" s="65">
        <v>46220</v>
      </c>
      <c r="AA113" s="62"/>
      <c r="AB113" s="62"/>
      <c r="AC113" s="65">
        <f t="shared" si="9"/>
        <v>35</v>
      </c>
    </row>
    <row r="114" spans="1:29">
      <c r="A114" s="115" t="str">
        <f>+'AMBERIEU LAGNIEU'!C107</f>
        <v>Mendes Vaz Amarante</v>
      </c>
      <c r="B114" s="115" t="str">
        <f>+'AMBERIEU LAGNIEU'!D107</f>
        <v>Kévin</v>
      </c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94"/>
      <c r="R114" s="105"/>
      <c r="S114" s="65"/>
      <c r="T114" s="65">
        <f t="shared" si="7"/>
        <v>15</v>
      </c>
      <c r="U114" s="62"/>
      <c r="V114" s="62"/>
      <c r="W114" s="65">
        <f t="shared" si="8"/>
        <v>50</v>
      </c>
      <c r="X114" s="62"/>
      <c r="Y114" s="62"/>
      <c r="Z114" s="65"/>
      <c r="AA114" s="62"/>
      <c r="AB114" s="62"/>
      <c r="AC114" s="65">
        <f t="shared" si="9"/>
        <v>35</v>
      </c>
    </row>
    <row r="115" spans="1:29">
      <c r="A115" s="115" t="str">
        <f>+'AMBERIEU LAGNIEU'!C108</f>
        <v>SONTHONNAX</v>
      </c>
      <c r="B115" s="115" t="str">
        <f>+'AMBERIEU LAGNIEU'!D108</f>
        <v>Alexandre</v>
      </c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94"/>
      <c r="R115" s="102"/>
      <c r="S115" s="62"/>
      <c r="T115" s="65">
        <f t="shared" si="7"/>
        <v>15</v>
      </c>
      <c r="U115" s="62"/>
      <c r="V115" s="62"/>
      <c r="W115" s="65">
        <f t="shared" si="8"/>
        <v>50</v>
      </c>
      <c r="X115" s="62"/>
      <c r="Y115" s="62"/>
      <c r="Z115" s="62"/>
      <c r="AA115" s="62"/>
      <c r="AB115" s="62"/>
      <c r="AC115" s="65">
        <f t="shared" si="9"/>
        <v>35</v>
      </c>
    </row>
    <row r="116" spans="1:29">
      <c r="A116" s="115" t="str">
        <f>+'AMBERIEU LAGNIEU'!C109</f>
        <v>LAROUI</v>
      </c>
      <c r="B116" s="115" t="str">
        <f>+'AMBERIEU LAGNIEU'!D109</f>
        <v>Nadia</v>
      </c>
      <c r="C116" s="62"/>
      <c r="D116" s="62"/>
      <c r="E116" s="62">
        <v>1</v>
      </c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94"/>
      <c r="R116" s="102"/>
      <c r="S116" s="62"/>
      <c r="T116" s="65">
        <f t="shared" si="7"/>
        <v>15</v>
      </c>
      <c r="U116" s="62"/>
      <c r="V116" s="62"/>
      <c r="W116" s="65">
        <f t="shared" si="8"/>
        <v>50</v>
      </c>
      <c r="X116" s="62"/>
      <c r="Y116" s="62"/>
      <c r="Z116" s="62"/>
      <c r="AA116" s="62"/>
      <c r="AB116" s="62"/>
      <c r="AC116" s="65">
        <f t="shared" si="9"/>
        <v>35</v>
      </c>
    </row>
    <row r="117" spans="1:29">
      <c r="A117" s="115" t="str">
        <f>+'AMBERIEU LAGNIEU'!C109</f>
        <v>LAROUI</v>
      </c>
      <c r="B117" s="115" t="str">
        <f>+'AMBERIEU LAGNIEU'!D109</f>
        <v>Nadia</v>
      </c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94"/>
      <c r="R117" s="102"/>
      <c r="S117" s="62"/>
      <c r="T117" s="65">
        <f t="shared" si="7"/>
        <v>15</v>
      </c>
      <c r="U117" s="62"/>
      <c r="V117" s="62"/>
      <c r="W117" s="65">
        <f t="shared" si="8"/>
        <v>50</v>
      </c>
      <c r="X117" s="62"/>
      <c r="Y117" s="62"/>
      <c r="Z117" s="62"/>
      <c r="AA117" s="62"/>
      <c r="AB117" s="62"/>
      <c r="AC117" s="65">
        <f t="shared" si="9"/>
        <v>35</v>
      </c>
    </row>
    <row r="118" spans="1:29">
      <c r="A118" s="115" t="str">
        <f>+'AMBERIEU LAGNIEU'!C110</f>
        <v>KHENDOUDI</v>
      </c>
      <c r="B118" s="115" t="str">
        <f>+'AMBERIEU LAGNIEU'!D110</f>
        <v>Samera</v>
      </c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94"/>
      <c r="R118" s="102"/>
      <c r="S118" s="62"/>
      <c r="T118" s="65">
        <f t="shared" si="7"/>
        <v>15</v>
      </c>
      <c r="U118" s="62"/>
      <c r="V118" s="62"/>
      <c r="W118" s="65">
        <f t="shared" si="8"/>
        <v>50</v>
      </c>
      <c r="X118" s="62"/>
      <c r="Y118" s="62"/>
      <c r="Z118" s="62"/>
      <c r="AA118" s="62"/>
      <c r="AB118" s="62"/>
      <c r="AC118" s="65">
        <f t="shared" si="9"/>
        <v>35</v>
      </c>
    </row>
    <row r="119" spans="1:29">
      <c r="A119" s="115" t="str">
        <f>+'AMBERIEU LAGNIEU'!C111</f>
        <v>POGGI</v>
      </c>
      <c r="B119" s="115" t="str">
        <f>+'AMBERIEU LAGNIEU'!D111</f>
        <v>Melvin</v>
      </c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94"/>
      <c r="R119" s="102"/>
      <c r="S119" s="62"/>
      <c r="T119" s="65">
        <f t="shared" si="7"/>
        <v>15</v>
      </c>
      <c r="U119" s="62"/>
      <c r="V119" s="62"/>
      <c r="W119" s="65">
        <f t="shared" si="8"/>
        <v>50</v>
      </c>
      <c r="X119" s="62"/>
      <c r="Y119" s="62"/>
      <c r="Z119" s="62"/>
      <c r="AA119" s="62"/>
      <c r="AB119" s="62"/>
      <c r="AC119" s="65">
        <f t="shared" si="9"/>
        <v>35</v>
      </c>
    </row>
    <row r="120" spans="1:29">
      <c r="A120" s="115" t="e">
        <f>+'AMBERIEU LAGNIEU'!#REF!</f>
        <v>#REF!</v>
      </c>
      <c r="B120" s="115" t="e">
        <f>+'AMBERIEU LAGNIEU'!#REF!</f>
        <v>#REF!</v>
      </c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94"/>
      <c r="R120" s="102"/>
      <c r="S120" s="62"/>
      <c r="T120" s="65">
        <f t="shared" si="7"/>
        <v>15</v>
      </c>
      <c r="U120" s="62"/>
      <c r="V120" s="62"/>
      <c r="W120" s="65">
        <f t="shared" si="8"/>
        <v>50</v>
      </c>
      <c r="X120" s="62"/>
      <c r="Y120" s="62"/>
      <c r="Z120" s="62"/>
      <c r="AA120" s="62"/>
      <c r="AB120" s="62"/>
      <c r="AC120" s="65">
        <f t="shared" si="9"/>
        <v>35</v>
      </c>
    </row>
    <row r="121" spans="1:29">
      <c r="A121" s="115" t="str">
        <f>+'AMBERIEU LAGNIEU'!C112</f>
        <v>DONER</v>
      </c>
      <c r="B121" s="115" t="str">
        <f>+'AMBERIEU LAGNIEU'!D112</f>
        <v>Zehra</v>
      </c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94"/>
      <c r="R121" s="102"/>
      <c r="S121" s="62"/>
      <c r="T121" s="65">
        <f t="shared" si="7"/>
        <v>15</v>
      </c>
      <c r="U121" s="62"/>
      <c r="V121" s="62"/>
      <c r="W121" s="65">
        <f t="shared" si="8"/>
        <v>50</v>
      </c>
      <c r="X121" s="62"/>
      <c r="Y121" s="62"/>
      <c r="Z121" s="62"/>
      <c r="AA121" s="62"/>
      <c r="AB121" s="62"/>
      <c r="AC121" s="65">
        <f t="shared" si="9"/>
        <v>35</v>
      </c>
    </row>
    <row r="122" spans="1:29">
      <c r="A122" s="115" t="str">
        <f>+'AMBERIEU LAGNIEU'!C113</f>
        <v>CORNIGLION</v>
      </c>
      <c r="B122" s="115" t="str">
        <f>+'AMBERIEU LAGNIEU'!D113</f>
        <v>Didier</v>
      </c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94"/>
      <c r="R122" s="102"/>
      <c r="S122" s="62"/>
      <c r="T122" s="65">
        <f t="shared" si="7"/>
        <v>15</v>
      </c>
      <c r="U122" s="62"/>
      <c r="V122" s="62"/>
      <c r="W122" s="65">
        <f t="shared" si="8"/>
        <v>50</v>
      </c>
      <c r="X122" s="62"/>
      <c r="Y122" s="62"/>
      <c r="Z122" s="62"/>
      <c r="AA122" s="62"/>
      <c r="AB122" s="62"/>
      <c r="AC122" s="65">
        <f t="shared" si="9"/>
        <v>35</v>
      </c>
    </row>
    <row r="123" spans="1:29">
      <c r="A123" s="115" t="str">
        <f>+'AMBERIEU LAGNIEU'!C114</f>
        <v>DESORMAIS</v>
      </c>
      <c r="B123" s="115" t="str">
        <f>+'AMBERIEU LAGNIEU'!D114</f>
        <v>Dorian</v>
      </c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94"/>
      <c r="R123" s="102"/>
      <c r="S123" s="62"/>
      <c r="T123" s="65">
        <f t="shared" si="7"/>
        <v>15</v>
      </c>
      <c r="U123" s="62"/>
      <c r="V123" s="62"/>
      <c r="W123" s="65">
        <f t="shared" si="8"/>
        <v>50</v>
      </c>
      <c r="X123" s="62"/>
      <c r="Y123" s="62"/>
      <c r="Z123" s="62"/>
      <c r="AA123" s="62"/>
      <c r="AB123" s="62"/>
      <c r="AC123" s="65">
        <f t="shared" si="9"/>
        <v>35</v>
      </c>
    </row>
    <row r="124" spans="1:29">
      <c r="A124" s="115" t="str">
        <f>+'AMBERIEU LAGNIEU'!C115</f>
        <v>ARMAND</v>
      </c>
      <c r="B124" s="115" t="str">
        <f>+'AMBERIEU LAGNIEU'!D115</f>
        <v>Jérémy</v>
      </c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94"/>
      <c r="R124" s="102"/>
      <c r="S124" s="62"/>
      <c r="T124" s="65">
        <f t="shared" si="7"/>
        <v>15</v>
      </c>
      <c r="U124" s="62"/>
      <c r="V124" s="62"/>
      <c r="W124" s="65">
        <f t="shared" si="8"/>
        <v>50</v>
      </c>
      <c r="X124" s="62"/>
      <c r="Y124" s="62"/>
      <c r="Z124" s="62"/>
      <c r="AA124" s="62"/>
      <c r="AB124" s="62"/>
      <c r="AC124" s="65">
        <f t="shared" si="9"/>
        <v>35</v>
      </c>
    </row>
    <row r="125" spans="1:29">
      <c r="A125" s="115" t="str">
        <f>+'AMBERIEU LAGNIEU'!C116</f>
        <v>GUEDES</v>
      </c>
      <c r="B125" s="115" t="str">
        <f>+'AMBERIEU LAGNIEU'!D116</f>
        <v>José</v>
      </c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94"/>
      <c r="R125" s="102"/>
      <c r="S125" s="62"/>
      <c r="T125" s="65">
        <f t="shared" si="7"/>
        <v>15</v>
      </c>
      <c r="U125" s="62"/>
      <c r="V125" s="62"/>
      <c r="W125" s="65">
        <f t="shared" si="8"/>
        <v>50</v>
      </c>
      <c r="X125" s="62"/>
      <c r="Y125" s="62"/>
      <c r="Z125" s="62"/>
      <c r="AA125" s="62"/>
      <c r="AB125" s="62"/>
      <c r="AC125" s="65">
        <f t="shared" si="9"/>
        <v>35</v>
      </c>
    </row>
    <row r="126" spans="1:29">
      <c r="A126" s="115" t="str">
        <f>+'AMBERIEU LAGNIEU'!C117</f>
        <v>DONATO</v>
      </c>
      <c r="B126" s="115" t="str">
        <f>+'AMBERIEU LAGNIEU'!D117</f>
        <v>Ludivine</v>
      </c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94"/>
      <c r="R126" s="102"/>
      <c r="S126" s="62"/>
      <c r="T126" s="65">
        <f t="shared" si="7"/>
        <v>15</v>
      </c>
      <c r="U126" s="62"/>
      <c r="V126" s="62"/>
      <c r="W126" s="65">
        <f t="shared" si="8"/>
        <v>50</v>
      </c>
      <c r="X126" s="62"/>
      <c r="Y126" s="62"/>
      <c r="Z126" s="62"/>
      <c r="AA126" s="62"/>
      <c r="AB126" s="62"/>
      <c r="AC126" s="65">
        <f t="shared" si="9"/>
        <v>35</v>
      </c>
    </row>
    <row r="127" spans="1:29">
      <c r="A127" s="115" t="str">
        <f>+'AMBERIEU LAGNIEU'!C118</f>
        <v>TABOURET</v>
      </c>
      <c r="B127" s="115" t="str">
        <f>+'AMBERIEU LAGNIEU'!D118</f>
        <v>Séverine</v>
      </c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94"/>
      <c r="R127" s="102"/>
      <c r="S127" s="62"/>
      <c r="T127" s="65">
        <f t="shared" si="7"/>
        <v>15</v>
      </c>
      <c r="U127" s="62"/>
      <c r="V127" s="62"/>
      <c r="W127" s="65">
        <f t="shared" si="8"/>
        <v>50</v>
      </c>
      <c r="X127" s="62"/>
      <c r="Y127" s="62"/>
      <c r="Z127" s="62"/>
      <c r="AA127" s="62"/>
      <c r="AB127" s="62"/>
      <c r="AC127" s="65">
        <f t="shared" si="9"/>
        <v>35</v>
      </c>
    </row>
    <row r="128" spans="1:29">
      <c r="A128" s="115" t="str">
        <f>+'AMBERIEU LAGNIEU'!C119</f>
        <v>ZAHEDI</v>
      </c>
      <c r="B128" s="115" t="str">
        <f>+'AMBERIEU LAGNIEU'!D119</f>
        <v>Shahrzad</v>
      </c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94"/>
      <c r="R128" s="102"/>
      <c r="S128" s="62"/>
      <c r="T128" s="65">
        <f t="shared" si="7"/>
        <v>15</v>
      </c>
      <c r="U128" s="62"/>
      <c r="V128" s="62"/>
      <c r="W128" s="65">
        <f t="shared" si="8"/>
        <v>50</v>
      </c>
      <c r="X128" s="62"/>
      <c r="Y128" s="62"/>
      <c r="Z128" s="62"/>
      <c r="AA128" s="62"/>
      <c r="AB128" s="62"/>
      <c r="AC128" s="65">
        <f t="shared" si="9"/>
        <v>35</v>
      </c>
    </row>
    <row r="129" spans="1:29">
      <c r="A129" s="115" t="str">
        <f>+'AMBERIEU LAGNIEU'!C118</f>
        <v>TABOURET</v>
      </c>
      <c r="B129" s="115" t="str">
        <f>+'AMBERIEU LAGNIEU'!D118</f>
        <v>Séverine</v>
      </c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94"/>
      <c r="R129" s="102"/>
      <c r="S129" s="62"/>
      <c r="T129" s="65">
        <f t="shared" si="7"/>
        <v>15</v>
      </c>
      <c r="U129" s="62"/>
      <c r="V129" s="62"/>
      <c r="W129" s="65">
        <f t="shared" si="8"/>
        <v>50</v>
      </c>
      <c r="X129" s="62"/>
      <c r="Y129" s="62"/>
      <c r="Z129" s="62"/>
      <c r="AA129" s="62"/>
      <c r="AB129" s="62"/>
      <c r="AC129" s="65">
        <f t="shared" si="9"/>
        <v>35</v>
      </c>
    </row>
    <row r="130" spans="1:29">
      <c r="A130" s="115" t="str">
        <f>+'AMBERIEU LAGNIEU'!C119</f>
        <v>ZAHEDI</v>
      </c>
      <c r="B130" s="115" t="str">
        <f>+'AMBERIEU LAGNIEU'!D119</f>
        <v>Shahrzad</v>
      </c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94"/>
      <c r="R130" s="102"/>
      <c r="S130" s="62"/>
      <c r="T130" s="65">
        <f t="shared" si="7"/>
        <v>15</v>
      </c>
      <c r="U130" s="62"/>
      <c r="V130" s="62"/>
      <c r="W130" s="65">
        <f t="shared" si="8"/>
        <v>50</v>
      </c>
      <c r="X130" s="62"/>
      <c r="Y130" s="62"/>
      <c r="Z130" s="62"/>
      <c r="AA130" s="62"/>
      <c r="AB130" s="62"/>
      <c r="AC130" s="65">
        <f t="shared" si="9"/>
        <v>35</v>
      </c>
    </row>
    <row r="131" spans="1:29">
      <c r="A131" s="115" t="str">
        <f>+'AMBERIEU LAGNIEU'!C120</f>
        <v>ARBOUCHE</v>
      </c>
      <c r="B131" s="115" t="str">
        <f>+'AMBERIEU LAGNIEU'!D120</f>
        <v>Francis</v>
      </c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94"/>
      <c r="R131" s="102"/>
      <c r="S131" s="62"/>
      <c r="T131" s="65">
        <f t="shared" si="7"/>
        <v>15</v>
      </c>
      <c r="U131" s="62"/>
      <c r="V131" s="62"/>
      <c r="W131" s="65">
        <f t="shared" si="8"/>
        <v>50</v>
      </c>
      <c r="X131" s="62"/>
      <c r="Y131" s="62"/>
      <c r="Z131" s="62"/>
      <c r="AA131" s="62"/>
      <c r="AB131" s="62"/>
      <c r="AC131" s="65">
        <f t="shared" si="9"/>
        <v>35</v>
      </c>
    </row>
    <row r="132" spans="1:29">
      <c r="A132" s="115" t="e">
        <f>+'AMBERIEU LAGNIEU'!#REF!</f>
        <v>#REF!</v>
      </c>
      <c r="B132" s="115" t="e">
        <f>+'AMBERIEU LAGNIEU'!#REF!</f>
        <v>#REF!</v>
      </c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94"/>
      <c r="R132" s="102"/>
      <c r="S132" s="62"/>
      <c r="T132" s="65">
        <f t="shared" si="7"/>
        <v>15</v>
      </c>
      <c r="U132" s="62"/>
      <c r="V132" s="62"/>
      <c r="W132" s="65">
        <f t="shared" si="8"/>
        <v>50</v>
      </c>
      <c r="X132" s="62"/>
      <c r="Y132" s="62"/>
      <c r="Z132" s="62"/>
      <c r="AA132" s="62"/>
      <c r="AB132" s="62"/>
      <c r="AC132" s="65">
        <f t="shared" si="9"/>
        <v>35</v>
      </c>
    </row>
    <row r="133" spans="1:29">
      <c r="A133" s="115" t="str">
        <f>+'AMBERIEU LAGNIEU'!C121</f>
        <v>REYDELLET</v>
      </c>
      <c r="B133" s="115" t="str">
        <f>+'AMBERIEU LAGNIEU'!D121</f>
        <v>Sylvie</v>
      </c>
      <c r="C133" s="62">
        <v>1</v>
      </c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94"/>
      <c r="R133" s="102"/>
      <c r="S133" s="62"/>
      <c r="T133" s="65">
        <f t="shared" si="7"/>
        <v>15</v>
      </c>
      <c r="U133" s="62"/>
      <c r="V133" s="62"/>
      <c r="W133" s="65">
        <f t="shared" si="8"/>
        <v>50</v>
      </c>
      <c r="X133" s="62"/>
      <c r="Y133" s="62"/>
      <c r="Z133" s="62"/>
      <c r="AA133" s="62"/>
      <c r="AB133" s="62"/>
      <c r="AC133" s="65">
        <f t="shared" si="9"/>
        <v>35</v>
      </c>
    </row>
    <row r="134" spans="1:29">
      <c r="A134" s="115" t="str">
        <f>+'AMBERIEU LAGNIEU'!C122</f>
        <v>BAZENVAL</v>
      </c>
      <c r="B134" s="115" t="str">
        <f>+'AMBERIEU LAGNIEU'!D122</f>
        <v>Gaetan</v>
      </c>
      <c r="C134" s="62">
        <v>1</v>
      </c>
      <c r="D134" s="62">
        <v>1</v>
      </c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94">
        <v>1</v>
      </c>
      <c r="R134" s="105">
        <v>46175</v>
      </c>
      <c r="S134" s="65">
        <v>46176</v>
      </c>
      <c r="T134" s="65">
        <f t="shared" si="7"/>
        <v>46191</v>
      </c>
      <c r="U134" s="62"/>
      <c r="V134" s="62"/>
      <c r="W134" s="65">
        <f t="shared" si="8"/>
        <v>46226</v>
      </c>
      <c r="X134" s="62"/>
      <c r="Y134" s="62"/>
      <c r="Z134" s="62"/>
      <c r="AA134" s="62"/>
      <c r="AB134" s="62"/>
      <c r="AC134" s="65">
        <f t="shared" si="9"/>
        <v>35</v>
      </c>
    </row>
    <row r="135" spans="1:29">
      <c r="A135" s="115" t="str">
        <f>+'AMBERIEU LAGNIEU'!C123</f>
        <v>LAURENT</v>
      </c>
      <c r="B135" s="115" t="str">
        <f>+'AMBERIEU LAGNIEU'!D123</f>
        <v>Nathalie</v>
      </c>
      <c r="C135" s="62">
        <v>1</v>
      </c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94"/>
      <c r="R135" s="102"/>
      <c r="S135" s="62"/>
      <c r="T135" s="65">
        <f t="shared" si="7"/>
        <v>15</v>
      </c>
      <c r="U135" s="62"/>
      <c r="V135" s="62"/>
      <c r="W135" s="65">
        <f t="shared" si="8"/>
        <v>50</v>
      </c>
      <c r="X135" s="62"/>
      <c r="Y135" s="62"/>
      <c r="Z135" s="62"/>
      <c r="AA135" s="62"/>
      <c r="AB135" s="62"/>
      <c r="AC135" s="65">
        <f t="shared" si="9"/>
        <v>35</v>
      </c>
    </row>
    <row r="136" spans="1:29">
      <c r="A136" s="115" t="e">
        <f>+'AMBERIEU LAGNIEU'!#REF!</f>
        <v>#REF!</v>
      </c>
      <c r="B136" s="115" t="e">
        <f>+'AMBERIEU LAGNIEU'!#REF!</f>
        <v>#REF!</v>
      </c>
      <c r="C136" s="62">
        <v>1</v>
      </c>
      <c r="D136" s="62">
        <v>1</v>
      </c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94"/>
      <c r="R136" s="102"/>
      <c r="S136" s="62"/>
      <c r="T136" s="65">
        <f t="shared" si="7"/>
        <v>15</v>
      </c>
      <c r="U136" s="62"/>
      <c r="V136" s="62"/>
      <c r="W136" s="65">
        <f t="shared" si="8"/>
        <v>50</v>
      </c>
      <c r="X136" s="62"/>
      <c r="Y136" s="62"/>
      <c r="Z136" s="62"/>
      <c r="AA136" s="62"/>
      <c r="AB136" s="62"/>
      <c r="AC136" s="65">
        <f t="shared" si="9"/>
        <v>35</v>
      </c>
    </row>
    <row r="137" spans="1:29">
      <c r="A137" s="115" t="str">
        <f>+'AMBERIEU LAGNIEU'!C124</f>
        <v>LENOIR</v>
      </c>
      <c r="B137" s="115" t="str">
        <f>+'AMBERIEU LAGNIEU'!D124</f>
        <v>Kévin</v>
      </c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94"/>
      <c r="R137" s="102"/>
      <c r="S137" s="62"/>
      <c r="T137" s="65">
        <f t="shared" si="7"/>
        <v>15</v>
      </c>
      <c r="U137" s="62"/>
      <c r="V137" s="62"/>
      <c r="W137" s="65">
        <f t="shared" si="8"/>
        <v>50</v>
      </c>
      <c r="X137" s="62"/>
      <c r="Y137" s="62"/>
      <c r="Z137" s="62"/>
      <c r="AA137" s="62"/>
      <c r="AB137" s="62"/>
      <c r="AC137" s="65">
        <f t="shared" si="9"/>
        <v>35</v>
      </c>
    </row>
    <row r="138" spans="1:29">
      <c r="A138" s="115" t="str">
        <f>+'AMBERIEU LAGNIEU'!C125</f>
        <v>ALVAREZ</v>
      </c>
      <c r="B138" s="115" t="str">
        <f>+'AMBERIEU LAGNIEU'!D125</f>
        <v>Marie-Hélène</v>
      </c>
      <c r="C138" s="62">
        <v>1</v>
      </c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94"/>
      <c r="R138" s="102"/>
      <c r="S138" s="62"/>
      <c r="T138" s="65">
        <f t="shared" si="7"/>
        <v>15</v>
      </c>
      <c r="U138" s="62"/>
      <c r="V138" s="62"/>
      <c r="W138" s="65">
        <f t="shared" si="8"/>
        <v>50</v>
      </c>
      <c r="X138" s="62"/>
      <c r="Y138" s="62"/>
      <c r="Z138" s="62"/>
      <c r="AA138" s="62"/>
      <c r="AB138" s="62"/>
      <c r="AC138" s="65">
        <f t="shared" si="9"/>
        <v>35</v>
      </c>
    </row>
    <row r="139" spans="1:29">
      <c r="A139" s="115" t="str">
        <f>+'AMBERIEU LAGNIEU'!C126</f>
        <v xml:space="preserve">VIDARD ROUSSEAU </v>
      </c>
      <c r="B139" s="115" t="str">
        <f>+'AMBERIEU LAGNIEU'!D126</f>
        <v>Marina</v>
      </c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94"/>
      <c r="R139" s="102"/>
      <c r="S139" s="62"/>
      <c r="T139" s="65">
        <f t="shared" si="7"/>
        <v>15</v>
      </c>
      <c r="U139" s="62"/>
      <c r="V139" s="62"/>
      <c r="W139" s="65">
        <f t="shared" si="8"/>
        <v>50</v>
      </c>
      <c r="X139" s="62"/>
      <c r="Y139" s="62"/>
      <c r="Z139" s="62"/>
      <c r="AA139" s="62"/>
      <c r="AB139" s="62"/>
      <c r="AC139" s="65">
        <f t="shared" si="9"/>
        <v>35</v>
      </c>
    </row>
    <row r="140" spans="1:29">
      <c r="A140" s="115" t="str">
        <f>+'AMBERIEU LAGNIEU'!C127</f>
        <v>DUWAT</v>
      </c>
      <c r="B140" s="115" t="str">
        <f>+'AMBERIEU LAGNIEU'!D127</f>
        <v>Grégory</v>
      </c>
      <c r="C140" s="62"/>
      <c r="D140" s="62"/>
      <c r="E140" s="62">
        <v>1</v>
      </c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94"/>
      <c r="R140" s="102"/>
      <c r="S140" s="62"/>
      <c r="T140" s="65">
        <f t="shared" si="7"/>
        <v>15</v>
      </c>
      <c r="U140" s="62"/>
      <c r="V140" s="62"/>
      <c r="W140" s="65">
        <f t="shared" si="8"/>
        <v>50</v>
      </c>
      <c r="X140" s="62"/>
      <c r="Y140" s="62"/>
      <c r="Z140" s="62"/>
      <c r="AA140" s="62"/>
      <c r="AB140" s="62"/>
      <c r="AC140" s="65">
        <f t="shared" si="9"/>
        <v>35</v>
      </c>
    </row>
    <row r="141" spans="1:29">
      <c r="A141" s="115" t="str">
        <f>+'AMBERIEU LAGNIEU'!C128</f>
        <v>GROUX</v>
      </c>
      <c r="B141" s="115" t="str">
        <f>+'AMBERIEU LAGNIEU'!D128</f>
        <v>Séverine</v>
      </c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94"/>
      <c r="R141" s="102"/>
      <c r="S141" s="62"/>
      <c r="T141" s="65">
        <f t="shared" si="7"/>
        <v>15</v>
      </c>
      <c r="U141" s="62"/>
      <c r="V141" s="62"/>
      <c r="W141" s="65">
        <f t="shared" si="8"/>
        <v>50</v>
      </c>
      <c r="X141" s="62"/>
      <c r="Y141" s="62"/>
      <c r="Z141" s="62"/>
      <c r="AA141" s="62"/>
      <c r="AB141" s="62"/>
      <c r="AC141" s="65">
        <f t="shared" si="9"/>
        <v>35</v>
      </c>
    </row>
    <row r="142" spans="1:29">
      <c r="A142" s="115" t="str">
        <f>+'AMBERIEU LAGNIEU'!C134</f>
        <v>DUROSIER</v>
      </c>
      <c r="B142" s="115" t="str">
        <f>+'AMBERIEU LAGNIEU'!D134</f>
        <v>Noella</v>
      </c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94"/>
      <c r="R142" s="102"/>
      <c r="S142" s="62"/>
      <c r="T142" s="65">
        <f t="shared" si="7"/>
        <v>15</v>
      </c>
      <c r="U142" s="62"/>
      <c r="V142" s="62"/>
      <c r="W142" s="65">
        <f t="shared" si="8"/>
        <v>50</v>
      </c>
      <c r="X142" s="62"/>
      <c r="Y142" s="62"/>
      <c r="Z142" s="62"/>
      <c r="AA142" s="62"/>
      <c r="AB142" s="62"/>
      <c r="AC142" s="65">
        <f t="shared" si="9"/>
        <v>35</v>
      </c>
    </row>
    <row r="143" spans="1:29">
      <c r="A143" s="115" t="str">
        <f>+'AMBERIEU LAGNIEU'!C135</f>
        <v>ALCINA</v>
      </c>
      <c r="B143" s="115" t="str">
        <f>+'AMBERIEU LAGNIEU'!D135</f>
        <v>Amélie</v>
      </c>
      <c r="C143" s="62">
        <v>1</v>
      </c>
      <c r="D143" s="62">
        <v>1</v>
      </c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94"/>
      <c r="R143" s="105">
        <v>46212</v>
      </c>
      <c r="S143" s="65">
        <v>46223</v>
      </c>
      <c r="T143" s="65">
        <f t="shared" ref="T143:T153" si="10">S143+15</f>
        <v>46238</v>
      </c>
      <c r="U143" s="62">
        <v>1</v>
      </c>
      <c r="V143" s="62"/>
      <c r="W143" s="65">
        <f t="shared" ref="W143:W153" si="11">S143+50</f>
        <v>46273</v>
      </c>
      <c r="X143" s="62"/>
      <c r="Y143" s="62"/>
      <c r="Z143" s="62"/>
      <c r="AA143" s="62"/>
      <c r="AB143" s="62"/>
      <c r="AC143" s="65">
        <f t="shared" ref="AC143:AC153" si="12">AB143+35</f>
        <v>35</v>
      </c>
    </row>
    <row r="144" spans="1:29">
      <c r="A144" s="115" t="str">
        <f>+'AMBERIEU LAGNIEU'!C136</f>
        <v>ALONSO</v>
      </c>
      <c r="B144" s="115" t="str">
        <f>+'AMBERIEU LAGNIEU'!D136</f>
        <v>Anthony</v>
      </c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94"/>
      <c r="R144" s="102"/>
      <c r="S144" s="62"/>
      <c r="T144" s="65">
        <f t="shared" si="10"/>
        <v>15</v>
      </c>
      <c r="U144" s="62"/>
      <c r="V144" s="62"/>
      <c r="W144" s="65">
        <f t="shared" si="11"/>
        <v>50</v>
      </c>
      <c r="X144" s="62"/>
      <c r="Y144" s="62"/>
      <c r="Z144" s="62"/>
      <c r="AA144" s="62"/>
      <c r="AB144" s="62"/>
      <c r="AC144" s="65">
        <f t="shared" si="12"/>
        <v>35</v>
      </c>
    </row>
    <row r="145" spans="1:29">
      <c r="A145" s="115" t="str">
        <f>+'AMBERIEU LAGNIEU'!C137</f>
        <v>LAZZARO</v>
      </c>
      <c r="B145" s="115" t="str">
        <f>+'AMBERIEU LAGNIEU'!D137</f>
        <v>Vincent</v>
      </c>
      <c r="C145" s="62">
        <v>1</v>
      </c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94"/>
      <c r="R145" s="102"/>
      <c r="S145" s="62"/>
      <c r="T145" s="65">
        <f t="shared" si="10"/>
        <v>15</v>
      </c>
      <c r="U145" s="62"/>
      <c r="V145" s="62"/>
      <c r="W145" s="65">
        <f t="shared" si="11"/>
        <v>50</v>
      </c>
      <c r="X145" s="62"/>
      <c r="Y145" s="62"/>
      <c r="Z145" s="62"/>
      <c r="AA145" s="62"/>
      <c r="AB145" s="62"/>
      <c r="AC145" s="65">
        <f t="shared" si="12"/>
        <v>35</v>
      </c>
    </row>
    <row r="146" spans="1:29">
      <c r="A146" s="115" t="str">
        <f>+'AMBERIEU LAGNIEU'!C138</f>
        <v>STHELY</v>
      </c>
      <c r="B146" s="115" t="str">
        <f>+'AMBERIEU LAGNIEU'!D138</f>
        <v>Ingryd</v>
      </c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94"/>
      <c r="R146" s="102"/>
      <c r="S146" s="62"/>
      <c r="T146" s="65">
        <f t="shared" si="10"/>
        <v>15</v>
      </c>
      <c r="U146" s="62"/>
      <c r="V146" s="62"/>
      <c r="W146" s="65">
        <f t="shared" si="11"/>
        <v>50</v>
      </c>
      <c r="X146" s="62"/>
      <c r="Y146" s="62"/>
      <c r="Z146" s="62"/>
      <c r="AA146" s="62"/>
      <c r="AB146" s="62"/>
      <c r="AC146" s="65">
        <f t="shared" si="12"/>
        <v>35</v>
      </c>
    </row>
    <row r="147" spans="1:29">
      <c r="A147" s="115" t="str">
        <f>+'AMBERIEU LAGNIEU'!C139</f>
        <v>POULAIN</v>
      </c>
      <c r="B147" s="115" t="str">
        <f>+'AMBERIEU LAGNIEU'!D139</f>
        <v>Kelly</v>
      </c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94"/>
      <c r="R147" s="102"/>
      <c r="S147" s="62"/>
      <c r="T147" s="65">
        <f t="shared" si="10"/>
        <v>15</v>
      </c>
      <c r="U147" s="62"/>
      <c r="V147" s="62"/>
      <c r="W147" s="65">
        <f t="shared" si="11"/>
        <v>50</v>
      </c>
      <c r="X147" s="62"/>
      <c r="Y147" s="62"/>
      <c r="Z147" s="62"/>
      <c r="AA147" s="62"/>
      <c r="AB147" s="62"/>
      <c r="AC147" s="65">
        <f t="shared" si="12"/>
        <v>35</v>
      </c>
    </row>
    <row r="148" spans="1:29">
      <c r="A148" s="115" t="str">
        <f>+'AMBERIEU LAGNIEU'!C140</f>
        <v>PERRIN BERTOZZO</v>
      </c>
      <c r="B148" s="115" t="str">
        <f>+'AMBERIEU LAGNIEU'!D140</f>
        <v>Florence</v>
      </c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94"/>
      <c r="R148" s="102"/>
      <c r="S148" s="62"/>
      <c r="T148" s="65">
        <f t="shared" si="10"/>
        <v>15</v>
      </c>
      <c r="U148" s="62"/>
      <c r="V148" s="62"/>
      <c r="W148" s="65">
        <f t="shared" si="11"/>
        <v>50</v>
      </c>
      <c r="X148" s="62"/>
      <c r="Y148" s="62"/>
      <c r="Z148" s="62"/>
      <c r="AA148" s="62"/>
      <c r="AB148" s="62"/>
      <c r="AC148" s="65">
        <f t="shared" si="12"/>
        <v>35</v>
      </c>
    </row>
    <row r="149" spans="1:29">
      <c r="A149" s="115" t="str">
        <f>+'AMBERIEU LAGNIEU'!C141</f>
        <v>MAUNIER</v>
      </c>
      <c r="B149" s="115" t="str">
        <f>+'AMBERIEU LAGNIEU'!D141</f>
        <v>Célier</v>
      </c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94"/>
      <c r="R149" s="102"/>
      <c r="S149" s="62"/>
      <c r="T149" s="65">
        <f t="shared" si="10"/>
        <v>15</v>
      </c>
      <c r="U149" s="62"/>
      <c r="V149" s="62"/>
      <c r="W149" s="65">
        <f t="shared" si="11"/>
        <v>50</v>
      </c>
      <c r="X149" s="62"/>
      <c r="Y149" s="62"/>
      <c r="Z149" s="62"/>
      <c r="AA149" s="62"/>
      <c r="AB149" s="62"/>
      <c r="AC149" s="65">
        <f t="shared" si="12"/>
        <v>35</v>
      </c>
    </row>
    <row r="150" spans="1:29">
      <c r="A150" s="115" t="str">
        <f>+'AMBERIEU LAGNIEU'!C142</f>
        <v>PIQUET</v>
      </c>
      <c r="B150" s="115" t="str">
        <f>+'AMBERIEU LAGNIEU'!D142</f>
        <v>Aurélie</v>
      </c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94"/>
      <c r="R150" s="102"/>
      <c r="S150" s="62"/>
      <c r="T150" s="65">
        <f t="shared" si="10"/>
        <v>15</v>
      </c>
      <c r="U150" s="62"/>
      <c r="V150" s="62"/>
      <c r="W150" s="65">
        <f t="shared" si="11"/>
        <v>50</v>
      </c>
      <c r="X150" s="62"/>
      <c r="Y150" s="62"/>
      <c r="Z150" s="62"/>
      <c r="AA150" s="62"/>
      <c r="AB150" s="62"/>
      <c r="AC150" s="65">
        <f t="shared" si="12"/>
        <v>35</v>
      </c>
    </row>
    <row r="151" spans="1:29">
      <c r="A151" s="115" t="str">
        <f>+'AMBERIEU LAGNIEU'!C143</f>
        <v>PRADEL</v>
      </c>
      <c r="B151" s="115" t="str">
        <f>+'AMBERIEU LAGNIEU'!D143</f>
        <v>Elisabeth</v>
      </c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94"/>
      <c r="R151" s="102"/>
      <c r="S151" s="62"/>
      <c r="T151" s="65">
        <f t="shared" si="10"/>
        <v>15</v>
      </c>
      <c r="U151" s="62"/>
      <c r="V151" s="62"/>
      <c r="W151" s="65">
        <f t="shared" si="11"/>
        <v>50</v>
      </c>
      <c r="X151" s="62"/>
      <c r="Y151" s="62"/>
      <c r="Z151" s="62"/>
      <c r="AA151" s="62"/>
      <c r="AB151" s="62"/>
      <c r="AC151" s="65">
        <f t="shared" si="12"/>
        <v>35</v>
      </c>
    </row>
    <row r="152" spans="1:29">
      <c r="A152" s="115" t="str">
        <f>+'AMBERIEU LAGNIEU'!C144</f>
        <v>BENYOUCEF</v>
      </c>
      <c r="B152" s="115" t="str">
        <f>+'AMBERIEU LAGNIEU'!D144</f>
        <v>Nora</v>
      </c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94"/>
      <c r="R152" s="102"/>
      <c r="S152" s="62"/>
      <c r="T152" s="65">
        <f t="shared" si="10"/>
        <v>15</v>
      </c>
      <c r="U152" s="62"/>
      <c r="V152" s="62"/>
      <c r="W152" s="65">
        <f t="shared" si="11"/>
        <v>50</v>
      </c>
      <c r="X152" s="62"/>
      <c r="Y152" s="62"/>
      <c r="Z152" s="62"/>
      <c r="AA152" s="62"/>
      <c r="AB152" s="62"/>
      <c r="AC152" s="65">
        <f t="shared" si="12"/>
        <v>35</v>
      </c>
    </row>
    <row r="153" spans="1:29">
      <c r="A153" s="115" t="str">
        <f>+'AMBERIEU LAGNIEU'!C145</f>
        <v>PRESSARD</v>
      </c>
      <c r="B153" s="115" t="str">
        <f>+'AMBERIEU LAGNIEU'!D145</f>
        <v>Jean-Matthieu</v>
      </c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94"/>
      <c r="R153" s="102"/>
      <c r="S153" s="62"/>
      <c r="T153" s="65">
        <f t="shared" si="10"/>
        <v>15</v>
      </c>
      <c r="U153" s="62"/>
      <c r="V153" s="62"/>
      <c r="W153" s="65">
        <f t="shared" si="11"/>
        <v>50</v>
      </c>
      <c r="X153" s="62"/>
      <c r="Y153" s="62"/>
      <c r="Z153" s="62"/>
      <c r="AA153" s="62"/>
      <c r="AB153" s="62"/>
      <c r="AC153" s="65">
        <f t="shared" si="12"/>
        <v>35</v>
      </c>
    </row>
    <row r="154" spans="1:29">
      <c r="A154" s="115" t="e">
        <f>+'AMBERIEU LAGNIEU'!#REF!</f>
        <v>#REF!</v>
      </c>
      <c r="B154" s="115" t="e">
        <f>+'AMBERIEU LAGNIEU'!#REF!</f>
        <v>#REF!</v>
      </c>
      <c r="C154" s="175"/>
      <c r="D154" s="175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94"/>
      <c r="R154" s="102"/>
      <c r="S154" s="62"/>
      <c r="T154" s="65">
        <f t="shared" si="7"/>
        <v>15</v>
      </c>
      <c r="U154" s="62"/>
      <c r="V154" s="62"/>
      <c r="W154" s="65">
        <f t="shared" si="8"/>
        <v>50</v>
      </c>
      <c r="X154" s="62"/>
      <c r="Y154" s="62"/>
      <c r="Z154" s="62"/>
      <c r="AA154" s="62"/>
      <c r="AB154" s="62"/>
      <c r="AC154" s="65">
        <f t="shared" si="9"/>
        <v>35</v>
      </c>
    </row>
    <row r="155" spans="1:29">
      <c r="A155" s="115" t="e">
        <f>+'AMBERIEU LAGNIEU'!#REF!</f>
        <v>#REF!</v>
      </c>
      <c r="B155" s="115" t="e">
        <f>+'AMBERIEU LAGNIEU'!#REF!</f>
        <v>#REF!</v>
      </c>
      <c r="C155" s="128"/>
      <c r="D155" s="128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94"/>
      <c r="R155" s="102"/>
      <c r="S155" s="62"/>
      <c r="T155" s="65">
        <f t="shared" si="7"/>
        <v>15</v>
      </c>
      <c r="U155" s="62"/>
      <c r="V155" s="62"/>
      <c r="W155" s="65">
        <f t="shared" si="8"/>
        <v>50</v>
      </c>
      <c r="X155" s="62"/>
      <c r="Y155" s="62"/>
      <c r="Z155" s="62"/>
      <c r="AA155" s="62"/>
      <c r="AB155" s="62"/>
      <c r="AC155" s="65">
        <f t="shared" si="9"/>
        <v>35</v>
      </c>
    </row>
    <row r="156" spans="1:29">
      <c r="A156" s="115" t="e">
        <f>+'AMBERIEU LAGNIEU'!#REF!</f>
        <v>#REF!</v>
      </c>
      <c r="B156" s="115" t="e">
        <f>+'AMBERIEU LAGNIEU'!#REF!</f>
        <v>#REF!</v>
      </c>
      <c r="C156" s="128"/>
      <c r="D156" s="128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94"/>
      <c r="R156" s="102"/>
      <c r="S156" s="62"/>
      <c r="T156" s="65">
        <f t="shared" si="7"/>
        <v>15</v>
      </c>
      <c r="U156" s="62"/>
      <c r="V156" s="62"/>
      <c r="W156" s="65">
        <f t="shared" si="8"/>
        <v>50</v>
      </c>
      <c r="X156" s="62"/>
      <c r="Y156" s="62"/>
      <c r="Z156" s="62"/>
      <c r="AA156" s="62"/>
      <c r="AB156" s="62"/>
      <c r="AC156" s="65">
        <f t="shared" si="9"/>
        <v>35</v>
      </c>
    </row>
    <row r="157" spans="1:29">
      <c r="A157" s="115" t="e">
        <f>+'AMBERIEU LAGNIEU'!#REF!</f>
        <v>#REF!</v>
      </c>
      <c r="B157" s="115" t="e">
        <f>+'AMBERIEU LAGNIEU'!#REF!</f>
        <v>#REF!</v>
      </c>
      <c r="C157" s="128"/>
      <c r="D157" s="128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94"/>
      <c r="R157" s="102"/>
      <c r="S157" s="62"/>
      <c r="T157" s="65">
        <f t="shared" si="7"/>
        <v>15</v>
      </c>
      <c r="U157" s="62"/>
      <c r="V157" s="62"/>
      <c r="W157" s="65">
        <f t="shared" si="8"/>
        <v>50</v>
      </c>
      <c r="X157" s="62"/>
      <c r="Y157" s="62"/>
      <c r="Z157" s="62"/>
      <c r="AA157" s="62"/>
      <c r="AB157" s="62"/>
      <c r="AC157" s="65">
        <f t="shared" si="9"/>
        <v>35</v>
      </c>
    </row>
    <row r="158" spans="1:29">
      <c r="A158" s="115" t="e">
        <f>+'AMBERIEU LAGNIEU'!#REF!</f>
        <v>#REF!</v>
      </c>
      <c r="B158" s="115" t="e">
        <f>+'AMBERIEU LAGNIEU'!#REF!</f>
        <v>#REF!</v>
      </c>
      <c r="C158" s="128"/>
      <c r="D158" s="128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94"/>
      <c r="R158" s="102"/>
      <c r="S158" s="62"/>
      <c r="T158" s="65">
        <f t="shared" si="7"/>
        <v>15</v>
      </c>
      <c r="U158" s="62"/>
      <c r="V158" s="62"/>
      <c r="W158" s="65">
        <f t="shared" si="8"/>
        <v>50</v>
      </c>
      <c r="X158" s="62"/>
      <c r="Y158" s="62"/>
      <c r="Z158" s="62"/>
      <c r="AA158" s="62"/>
      <c r="AB158" s="62"/>
      <c r="AC158" s="65">
        <f t="shared" si="9"/>
        <v>35</v>
      </c>
    </row>
    <row r="159" spans="1:29">
      <c r="A159" s="115" t="e">
        <f>+'AMBERIEU LAGNIEU'!#REF!</f>
        <v>#REF!</v>
      </c>
      <c r="B159" s="115" t="e">
        <f>+'AMBERIEU LAGNIEU'!#REF!</f>
        <v>#REF!</v>
      </c>
      <c r="C159" s="128"/>
      <c r="D159" s="128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94"/>
      <c r="R159" s="102"/>
      <c r="S159" s="62"/>
      <c r="T159" s="65">
        <f t="shared" si="7"/>
        <v>15</v>
      </c>
      <c r="U159" s="62"/>
      <c r="V159" s="62"/>
      <c r="W159" s="65">
        <f t="shared" si="8"/>
        <v>50</v>
      </c>
      <c r="X159" s="62"/>
      <c r="Y159" s="62"/>
      <c r="Z159" s="62"/>
      <c r="AA159" s="62"/>
      <c r="AB159" s="62"/>
      <c r="AC159" s="65">
        <f t="shared" si="9"/>
        <v>35</v>
      </c>
    </row>
    <row r="160" spans="1:29">
      <c r="A160" s="115" t="e">
        <f>+'AMBERIEU LAGNIEU'!#REF!</f>
        <v>#REF!</v>
      </c>
      <c r="B160" s="115" t="e">
        <f>+'AMBERIEU LAGNIEU'!#REF!</f>
        <v>#REF!</v>
      </c>
      <c r="C160" s="128"/>
      <c r="D160" s="128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94"/>
      <c r="R160" s="102"/>
      <c r="S160" s="62"/>
      <c r="T160" s="65">
        <f t="shared" si="7"/>
        <v>15</v>
      </c>
      <c r="U160" s="62"/>
      <c r="V160" s="62"/>
      <c r="W160" s="65">
        <f t="shared" si="8"/>
        <v>50</v>
      </c>
      <c r="X160" s="62"/>
      <c r="Y160" s="62"/>
      <c r="Z160" s="62"/>
      <c r="AA160" s="62"/>
      <c r="AB160" s="62"/>
      <c r="AC160" s="65">
        <f t="shared" si="9"/>
        <v>35</v>
      </c>
    </row>
    <row r="161" spans="1:29">
      <c r="A161" s="115" t="e">
        <f>+'AMBERIEU LAGNIEU'!#REF!</f>
        <v>#REF!</v>
      </c>
      <c r="B161" s="115" t="e">
        <f>+'AMBERIEU LAGNIEU'!#REF!</f>
        <v>#REF!</v>
      </c>
      <c r="C161" s="128"/>
      <c r="D161" s="128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94"/>
      <c r="R161" s="102"/>
      <c r="S161" s="62"/>
      <c r="T161" s="65">
        <f t="shared" si="7"/>
        <v>15</v>
      </c>
      <c r="U161" s="62"/>
      <c r="V161" s="62"/>
      <c r="W161" s="65">
        <f t="shared" si="8"/>
        <v>50</v>
      </c>
      <c r="X161" s="62"/>
      <c r="Y161" s="62"/>
      <c r="Z161" s="62"/>
      <c r="AA161" s="62"/>
      <c r="AB161" s="62"/>
      <c r="AC161" s="65">
        <f t="shared" si="9"/>
        <v>35</v>
      </c>
    </row>
    <row r="162" spans="1:29">
      <c r="A162" s="115" t="e">
        <f>+'AMBERIEU LAGNIEU'!#REF!</f>
        <v>#REF!</v>
      </c>
      <c r="B162" s="115" t="e">
        <f>+'AMBERIEU LAGNIEU'!#REF!</f>
        <v>#REF!</v>
      </c>
      <c r="C162" s="128"/>
      <c r="D162" s="128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94"/>
      <c r="R162" s="102"/>
      <c r="S162" s="62"/>
      <c r="T162" s="65">
        <f t="shared" si="7"/>
        <v>15</v>
      </c>
      <c r="U162" s="62"/>
      <c r="V162" s="62"/>
      <c r="W162" s="65">
        <f t="shared" si="8"/>
        <v>50</v>
      </c>
      <c r="X162" s="62"/>
      <c r="Y162" s="62"/>
      <c r="Z162" s="62"/>
      <c r="AA162" s="62"/>
      <c r="AB162" s="62"/>
      <c r="AC162" s="65">
        <f t="shared" si="9"/>
        <v>35</v>
      </c>
    </row>
    <row r="163" spans="1:29">
      <c r="A163" s="115" t="e">
        <f>+'AMBERIEU LAGNIEU'!#REF!</f>
        <v>#REF!</v>
      </c>
      <c r="B163" s="115" t="e">
        <f>+'AMBERIEU LAGNIEU'!#REF!</f>
        <v>#REF!</v>
      </c>
      <c r="C163" s="128">
        <v>1</v>
      </c>
      <c r="D163" s="128">
        <v>1</v>
      </c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94"/>
      <c r="R163" s="102"/>
      <c r="S163" s="62"/>
      <c r="T163" s="65">
        <f t="shared" si="7"/>
        <v>15</v>
      </c>
      <c r="U163" s="62"/>
      <c r="V163" s="62"/>
      <c r="W163" s="65">
        <f t="shared" si="8"/>
        <v>50</v>
      </c>
      <c r="X163" s="62"/>
      <c r="Y163" s="62"/>
      <c r="Z163" s="62"/>
      <c r="AA163" s="62"/>
      <c r="AB163" s="62"/>
      <c r="AC163" s="65">
        <f t="shared" si="9"/>
        <v>35</v>
      </c>
    </row>
    <row r="164" spans="1:29">
      <c r="A164" s="115" t="e">
        <f>+'AMBERIEU LAGNIEU'!#REF!</f>
        <v>#REF!</v>
      </c>
      <c r="B164" s="115" t="e">
        <f>+'AMBERIEU LAGNIEU'!#REF!</f>
        <v>#REF!</v>
      </c>
      <c r="C164" s="128"/>
      <c r="D164" s="128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94"/>
      <c r="R164" s="102"/>
      <c r="S164" s="62"/>
      <c r="T164" s="65">
        <f t="shared" si="7"/>
        <v>15</v>
      </c>
      <c r="U164" s="62"/>
      <c r="V164" s="62"/>
      <c r="W164" s="65">
        <f t="shared" si="8"/>
        <v>50</v>
      </c>
      <c r="X164" s="62"/>
      <c r="Y164" s="62"/>
      <c r="Z164" s="62"/>
      <c r="AA164" s="62"/>
      <c r="AB164" s="62"/>
      <c r="AC164" s="65">
        <f t="shared" si="9"/>
        <v>35</v>
      </c>
    </row>
    <row r="165" spans="1:29">
      <c r="A165" s="115" t="e">
        <f>+'AMBERIEU LAGNIEU'!#REF!</f>
        <v>#REF!</v>
      </c>
      <c r="B165" s="115" t="e">
        <f>+'AMBERIEU LAGNIEU'!#REF!</f>
        <v>#REF!</v>
      </c>
      <c r="C165" s="128"/>
      <c r="D165" s="128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94"/>
      <c r="R165" s="102"/>
      <c r="S165" s="62"/>
      <c r="T165" s="65">
        <f t="shared" si="7"/>
        <v>15</v>
      </c>
      <c r="U165" s="62"/>
      <c r="V165" s="62"/>
      <c r="W165" s="65">
        <f t="shared" si="8"/>
        <v>50</v>
      </c>
      <c r="X165" s="62"/>
      <c r="Y165" s="62"/>
      <c r="Z165" s="62"/>
      <c r="AA165" s="62"/>
      <c r="AB165" s="62"/>
      <c r="AC165" s="65">
        <f t="shared" si="9"/>
        <v>35</v>
      </c>
    </row>
    <row r="166" spans="1:29">
      <c r="A166" s="115" t="e">
        <f>+'AMBERIEU LAGNIEU'!#REF!</f>
        <v>#REF!</v>
      </c>
      <c r="B166" s="115" t="e">
        <f>+'AMBERIEU LAGNIEU'!#REF!</f>
        <v>#REF!</v>
      </c>
      <c r="C166" s="128"/>
      <c r="D166" s="128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94"/>
      <c r="R166" s="102"/>
      <c r="S166" s="62"/>
      <c r="T166" s="65">
        <f t="shared" si="7"/>
        <v>15</v>
      </c>
      <c r="U166" s="62"/>
      <c r="V166" s="62"/>
      <c r="W166" s="65">
        <f t="shared" si="8"/>
        <v>50</v>
      </c>
      <c r="X166" s="62"/>
      <c r="Y166" s="62"/>
      <c r="Z166" s="62"/>
      <c r="AA166" s="62"/>
      <c r="AB166" s="62"/>
      <c r="AC166" s="65">
        <f t="shared" si="9"/>
        <v>35</v>
      </c>
    </row>
    <row r="167" spans="1:29">
      <c r="A167" s="115" t="e">
        <f>+'AMBERIEU LAGNIEU'!#REF!</f>
        <v>#REF!</v>
      </c>
      <c r="B167" s="115" t="e">
        <f>+'AMBERIEU LAGNIEU'!#REF!</f>
        <v>#REF!</v>
      </c>
      <c r="C167" s="128"/>
      <c r="D167" s="128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94"/>
      <c r="R167" s="102"/>
      <c r="S167" s="62"/>
      <c r="T167" s="65">
        <f t="shared" si="7"/>
        <v>15</v>
      </c>
      <c r="U167" s="62"/>
      <c r="V167" s="62"/>
      <c r="W167" s="65">
        <f t="shared" si="8"/>
        <v>50</v>
      </c>
      <c r="X167" s="62"/>
      <c r="Y167" s="62"/>
      <c r="Z167" s="62"/>
      <c r="AA167" s="62"/>
      <c r="AB167" s="62"/>
      <c r="AC167" s="65">
        <f t="shared" si="9"/>
        <v>35</v>
      </c>
    </row>
    <row r="168" spans="1:29">
      <c r="A168" s="115" t="e">
        <f>+'AMBERIEU LAGNIEU'!#REF!</f>
        <v>#REF!</v>
      </c>
      <c r="B168" s="115" t="e">
        <f>+'AMBERIEU LAGNIEU'!#REF!</f>
        <v>#REF!</v>
      </c>
      <c r="C168" s="128"/>
      <c r="D168" s="128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94"/>
      <c r="R168" s="102"/>
      <c r="S168" s="62"/>
      <c r="T168" s="65">
        <f t="shared" si="7"/>
        <v>15</v>
      </c>
      <c r="U168" s="62"/>
      <c r="V168" s="62"/>
      <c r="W168" s="65">
        <f t="shared" si="8"/>
        <v>50</v>
      </c>
      <c r="X168" s="62"/>
      <c r="Y168" s="62"/>
      <c r="Z168" s="62"/>
      <c r="AA168" s="62"/>
      <c r="AB168" s="62"/>
      <c r="AC168" s="65">
        <f t="shared" si="9"/>
        <v>35</v>
      </c>
    </row>
    <row r="169" spans="1:29">
      <c r="A169" s="115" t="e">
        <f>+'AMBERIEU LAGNIEU'!#REF!</f>
        <v>#REF!</v>
      </c>
      <c r="B169" s="115" t="e">
        <f>+'AMBERIEU LAGNIEU'!#REF!</f>
        <v>#REF!</v>
      </c>
      <c r="C169" s="128"/>
      <c r="D169" s="128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94"/>
      <c r="R169" s="102"/>
      <c r="S169" s="62"/>
      <c r="T169" s="65">
        <f t="shared" si="7"/>
        <v>15</v>
      </c>
      <c r="U169" s="62"/>
      <c r="V169" s="62"/>
      <c r="W169" s="65">
        <f t="shared" si="8"/>
        <v>50</v>
      </c>
      <c r="X169" s="62"/>
      <c r="Y169" s="62"/>
      <c r="Z169" s="62"/>
      <c r="AA169" s="62"/>
      <c r="AB169" s="62"/>
      <c r="AC169" s="65">
        <f t="shared" si="9"/>
        <v>35</v>
      </c>
    </row>
    <row r="170" spans="1:29">
      <c r="A170" s="115" t="e">
        <f>+'AMBERIEU LAGNIEU'!#REF!</f>
        <v>#REF!</v>
      </c>
      <c r="B170" s="115" t="e">
        <f>+'AMBERIEU LAGNIEU'!#REF!</f>
        <v>#REF!</v>
      </c>
      <c r="C170" s="128"/>
      <c r="D170" s="128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94"/>
      <c r="R170" s="102"/>
      <c r="S170" s="62"/>
      <c r="T170" s="65">
        <f t="shared" si="7"/>
        <v>15</v>
      </c>
      <c r="U170" s="62"/>
      <c r="V170" s="62"/>
      <c r="W170" s="65">
        <f t="shared" si="8"/>
        <v>50</v>
      </c>
      <c r="X170" s="62"/>
      <c r="Y170" s="62"/>
      <c r="Z170" s="62"/>
      <c r="AA170" s="62"/>
      <c r="AB170" s="62"/>
      <c r="AC170" s="65">
        <f t="shared" si="9"/>
        <v>35</v>
      </c>
    </row>
    <row r="171" spans="1:29">
      <c r="A171" s="115" t="e">
        <f>+'AMBERIEU LAGNIEU'!#REF!</f>
        <v>#REF!</v>
      </c>
      <c r="B171" s="115" t="e">
        <f>+'AMBERIEU LAGNIEU'!#REF!</f>
        <v>#REF!</v>
      </c>
      <c r="C171" s="128"/>
      <c r="D171" s="128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94"/>
      <c r="R171" s="102"/>
      <c r="S171" s="62"/>
      <c r="T171" s="65">
        <f t="shared" si="7"/>
        <v>15</v>
      </c>
      <c r="U171" s="62"/>
      <c r="V171" s="62"/>
      <c r="W171" s="65">
        <f t="shared" si="8"/>
        <v>50</v>
      </c>
      <c r="X171" s="62"/>
      <c r="Y171" s="62"/>
      <c r="Z171" s="62"/>
      <c r="AA171" s="62"/>
      <c r="AB171" s="62"/>
      <c r="AC171" s="65">
        <f t="shared" si="9"/>
        <v>35</v>
      </c>
    </row>
    <row r="172" spans="1:29">
      <c r="A172" s="115" t="e">
        <f>+'AMBERIEU LAGNIEU'!#REF!</f>
        <v>#REF!</v>
      </c>
      <c r="B172" s="115" t="e">
        <f>+'AMBERIEU LAGNIEU'!#REF!</f>
        <v>#REF!</v>
      </c>
      <c r="C172" s="338">
        <v>1</v>
      </c>
      <c r="D172" s="338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94"/>
      <c r="R172" s="102"/>
      <c r="S172" s="62"/>
      <c r="T172" s="65">
        <f t="shared" si="7"/>
        <v>15</v>
      </c>
      <c r="U172" s="62"/>
      <c r="V172" s="62"/>
      <c r="W172" s="65">
        <f t="shared" si="8"/>
        <v>50</v>
      </c>
      <c r="X172" s="62"/>
      <c r="Y172" s="62"/>
      <c r="Z172" s="62"/>
      <c r="AA172" s="62"/>
      <c r="AB172" s="62"/>
      <c r="AC172" s="65">
        <f t="shared" si="9"/>
        <v>35</v>
      </c>
    </row>
    <row r="173" spans="1:29">
      <c r="A173" s="115" t="e">
        <f>+'AMBERIEU LAGNIEU'!#REF!</f>
        <v>#REF!</v>
      </c>
      <c r="B173" s="115" t="e">
        <f>+'AMBERIEU LAGNIEU'!#REF!</f>
        <v>#REF!</v>
      </c>
      <c r="C173" s="128"/>
      <c r="D173" s="128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94"/>
      <c r="R173" s="102"/>
      <c r="S173" s="62"/>
      <c r="T173" s="65">
        <f t="shared" si="7"/>
        <v>15</v>
      </c>
      <c r="U173" s="62"/>
      <c r="V173" s="62"/>
      <c r="W173" s="65">
        <f t="shared" si="8"/>
        <v>50</v>
      </c>
      <c r="X173" s="62"/>
      <c r="Y173" s="62"/>
      <c r="Z173" s="62"/>
      <c r="AA173" s="62"/>
      <c r="AB173" s="62"/>
      <c r="AC173" s="65">
        <f t="shared" si="9"/>
        <v>35</v>
      </c>
    </row>
    <row r="174" spans="1:29">
      <c r="A174" s="115" t="e">
        <f>+'AMBERIEU LAGNIEU'!#REF!</f>
        <v>#REF!</v>
      </c>
      <c r="B174" s="115" t="e">
        <f>+'AMBERIEU LAGNIEU'!#REF!</f>
        <v>#REF!</v>
      </c>
      <c r="C174" s="128">
        <v>1</v>
      </c>
      <c r="D174" s="128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94"/>
      <c r="R174" s="102"/>
      <c r="S174" s="62"/>
      <c r="T174" s="65">
        <f t="shared" si="7"/>
        <v>15</v>
      </c>
      <c r="U174" s="62"/>
      <c r="V174" s="62"/>
      <c r="W174" s="65">
        <f t="shared" si="8"/>
        <v>50</v>
      </c>
      <c r="X174" s="62"/>
      <c r="Y174" s="62"/>
      <c r="Z174" s="62"/>
      <c r="AA174" s="62"/>
      <c r="AB174" s="62"/>
      <c r="AC174" s="65">
        <f t="shared" si="9"/>
        <v>35</v>
      </c>
    </row>
    <row r="175" spans="1:29">
      <c r="A175" s="115" t="e">
        <f>+'AMBERIEU LAGNIEU'!#REF!</f>
        <v>#REF!</v>
      </c>
      <c r="B175" s="115" t="e">
        <f>+'AMBERIEU LAGNIEU'!#REF!</f>
        <v>#REF!</v>
      </c>
      <c r="C175" s="128"/>
      <c r="D175" s="128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94"/>
      <c r="R175" s="102"/>
      <c r="S175" s="62"/>
      <c r="T175" s="65">
        <f t="shared" si="7"/>
        <v>15</v>
      </c>
      <c r="U175" s="62"/>
      <c r="V175" s="62"/>
      <c r="W175" s="65">
        <f t="shared" si="8"/>
        <v>50</v>
      </c>
      <c r="X175" s="62"/>
      <c r="Y175" s="62"/>
      <c r="Z175" s="62"/>
      <c r="AA175" s="62"/>
      <c r="AB175" s="62"/>
      <c r="AC175" s="65">
        <f t="shared" si="9"/>
        <v>35</v>
      </c>
    </row>
    <row r="176" spans="1:29">
      <c r="A176" s="115" t="e">
        <f>+'AMBERIEU LAGNIEU'!#REF!</f>
        <v>#REF!</v>
      </c>
      <c r="B176" s="115" t="e">
        <f>+'AMBERIEU LAGNIEU'!#REF!</f>
        <v>#REF!</v>
      </c>
      <c r="C176" s="128"/>
      <c r="D176" s="128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94"/>
      <c r="R176" s="102"/>
      <c r="S176" s="62"/>
      <c r="T176" s="65">
        <f t="shared" si="7"/>
        <v>15</v>
      </c>
      <c r="U176" s="62"/>
      <c r="V176" s="62"/>
      <c r="W176" s="65">
        <f t="shared" si="8"/>
        <v>50</v>
      </c>
      <c r="X176" s="62"/>
      <c r="Y176" s="62"/>
      <c r="Z176" s="62"/>
      <c r="AA176" s="62"/>
      <c r="AB176" s="62"/>
      <c r="AC176" s="65">
        <f t="shared" si="9"/>
        <v>35</v>
      </c>
    </row>
    <row r="177" spans="1:29">
      <c r="A177" s="115" t="e">
        <f>+'AMBERIEU LAGNIEU'!#REF!</f>
        <v>#REF!</v>
      </c>
      <c r="B177" s="115" t="e">
        <f>+'AMBERIEU LAGNIEU'!#REF!</f>
        <v>#REF!</v>
      </c>
      <c r="C177" s="128"/>
      <c r="D177" s="128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94"/>
      <c r="R177" s="102"/>
      <c r="S177" s="62"/>
      <c r="T177" s="65">
        <f t="shared" si="7"/>
        <v>15</v>
      </c>
      <c r="U177" s="62"/>
      <c r="V177" s="62"/>
      <c r="W177" s="65">
        <f t="shared" si="8"/>
        <v>50</v>
      </c>
      <c r="X177" s="62"/>
      <c r="Y177" s="62"/>
      <c r="Z177" s="62"/>
      <c r="AA177" s="62"/>
      <c r="AB177" s="62"/>
      <c r="AC177" s="65">
        <f t="shared" si="9"/>
        <v>35</v>
      </c>
    </row>
    <row r="178" spans="1:29">
      <c r="A178" s="115" t="e">
        <f>+'AMBERIEU LAGNIEU'!#REF!</f>
        <v>#REF!</v>
      </c>
      <c r="B178" s="115" t="e">
        <f>+'AMBERIEU LAGNIEU'!#REF!</f>
        <v>#REF!</v>
      </c>
      <c r="C178" s="128"/>
      <c r="D178" s="128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94"/>
      <c r="R178" s="102"/>
      <c r="S178" s="62"/>
      <c r="T178" s="65">
        <f t="shared" si="7"/>
        <v>15</v>
      </c>
      <c r="U178" s="62"/>
      <c r="V178" s="62"/>
      <c r="W178" s="65">
        <f t="shared" si="8"/>
        <v>50</v>
      </c>
      <c r="X178" s="62"/>
      <c r="Y178" s="62"/>
      <c r="Z178" s="62"/>
      <c r="AA178" s="62"/>
      <c r="AB178" s="62"/>
      <c r="AC178" s="65">
        <f t="shared" si="9"/>
        <v>35</v>
      </c>
    </row>
    <row r="179" spans="1:29">
      <c r="A179" s="115" t="e">
        <f>+'AMBERIEU LAGNIEU'!#REF!</f>
        <v>#REF!</v>
      </c>
      <c r="B179" s="115" t="e">
        <f>+'AMBERIEU LAGNIEU'!#REF!</f>
        <v>#REF!</v>
      </c>
      <c r="C179" s="128" t="s">
        <v>1137</v>
      </c>
      <c r="D179" s="128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94"/>
      <c r="R179" s="102"/>
      <c r="S179" s="62"/>
      <c r="T179" s="65">
        <f t="shared" si="7"/>
        <v>15</v>
      </c>
      <c r="U179" s="62"/>
      <c r="V179" s="62"/>
      <c r="W179" s="65">
        <f t="shared" si="8"/>
        <v>50</v>
      </c>
      <c r="X179" s="62"/>
      <c r="Y179" s="62"/>
      <c r="Z179" s="62"/>
      <c r="AA179" s="62"/>
      <c r="AB179" s="62"/>
      <c r="AC179" s="65">
        <f t="shared" si="9"/>
        <v>35</v>
      </c>
    </row>
    <row r="180" spans="1:29">
      <c r="A180" s="115" t="e">
        <f>+'AMBERIEU LAGNIEU'!#REF!</f>
        <v>#REF!</v>
      </c>
      <c r="B180" s="115" t="e">
        <f>+'AMBERIEU LAGNIEU'!#REF!</f>
        <v>#REF!</v>
      </c>
      <c r="C180" s="128"/>
      <c r="D180" s="128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94"/>
      <c r="R180" s="102"/>
      <c r="S180" s="62"/>
      <c r="T180" s="65">
        <f t="shared" si="7"/>
        <v>15</v>
      </c>
      <c r="U180" s="62"/>
      <c r="V180" s="62"/>
      <c r="W180" s="65">
        <f t="shared" si="8"/>
        <v>50</v>
      </c>
      <c r="X180" s="62"/>
      <c r="Y180" s="62"/>
      <c r="Z180" s="62"/>
      <c r="AA180" s="62"/>
      <c r="AB180" s="62"/>
      <c r="AC180" s="65">
        <f t="shared" si="9"/>
        <v>35</v>
      </c>
    </row>
    <row r="181" spans="1:29">
      <c r="A181" s="115" t="e">
        <f>+'AMBERIEU LAGNIEU'!#REF!</f>
        <v>#REF!</v>
      </c>
      <c r="B181" s="115" t="e">
        <f>+'AMBERIEU LAGNIEU'!#REF!</f>
        <v>#REF!</v>
      </c>
      <c r="C181" s="128"/>
      <c r="D181" s="128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94"/>
      <c r="R181" s="102"/>
      <c r="S181" s="62"/>
      <c r="T181" s="65">
        <f t="shared" si="7"/>
        <v>15</v>
      </c>
      <c r="U181" s="62"/>
      <c r="V181" s="62"/>
      <c r="W181" s="65">
        <f t="shared" si="8"/>
        <v>50</v>
      </c>
      <c r="X181" s="62"/>
      <c r="Y181" s="62"/>
      <c r="Z181" s="62"/>
      <c r="AA181" s="62"/>
      <c r="AB181" s="62"/>
      <c r="AC181" s="65">
        <f t="shared" si="9"/>
        <v>35</v>
      </c>
    </row>
    <row r="182" spans="1:29">
      <c r="A182" s="115" t="e">
        <f>+'AMBERIEU LAGNIEU'!#REF!</f>
        <v>#REF!</v>
      </c>
      <c r="B182" s="115" t="e">
        <f>+'AMBERIEU LAGNIEU'!#REF!</f>
        <v>#REF!</v>
      </c>
      <c r="C182" s="128"/>
      <c r="D182" s="128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94"/>
      <c r="R182" s="102"/>
      <c r="S182" s="62"/>
      <c r="T182" s="65">
        <f t="shared" si="7"/>
        <v>15</v>
      </c>
      <c r="U182" s="62"/>
      <c r="V182" s="62"/>
      <c r="W182" s="65">
        <f t="shared" si="8"/>
        <v>50</v>
      </c>
      <c r="X182" s="62"/>
      <c r="Y182" s="62"/>
      <c r="Z182" s="62"/>
      <c r="AA182" s="62"/>
      <c r="AB182" s="62"/>
      <c r="AC182" s="65">
        <f t="shared" si="9"/>
        <v>35</v>
      </c>
    </row>
    <row r="183" spans="1:29">
      <c r="A183" s="115" t="e">
        <f>+'AMBERIEU LAGNIEU'!#REF!</f>
        <v>#REF!</v>
      </c>
      <c r="B183" s="115" t="e">
        <f>+'AMBERIEU LAGNIEU'!#REF!</f>
        <v>#REF!</v>
      </c>
      <c r="C183" s="128" t="s">
        <v>1137</v>
      </c>
      <c r="D183" s="128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94"/>
      <c r="R183" s="102"/>
      <c r="S183" s="62"/>
      <c r="T183" s="65">
        <f t="shared" si="7"/>
        <v>15</v>
      </c>
      <c r="U183" s="62"/>
      <c r="V183" s="62"/>
      <c r="W183" s="65">
        <f t="shared" si="8"/>
        <v>50</v>
      </c>
      <c r="X183" s="62"/>
      <c r="Y183" s="62"/>
      <c r="Z183" s="62"/>
      <c r="AA183" s="62"/>
      <c r="AB183" s="62"/>
      <c r="AC183" s="65">
        <f t="shared" si="9"/>
        <v>35</v>
      </c>
    </row>
    <row r="184" spans="1:29">
      <c r="A184" s="115" t="e">
        <f>+'AMBERIEU LAGNIEU'!#REF!</f>
        <v>#REF!</v>
      </c>
      <c r="B184" s="115" t="e">
        <f>+'AMBERIEU LAGNIEU'!#REF!</f>
        <v>#REF!</v>
      </c>
      <c r="C184" s="128"/>
      <c r="D184" s="128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94"/>
      <c r="R184" s="102"/>
      <c r="S184" s="62"/>
      <c r="T184" s="65">
        <f t="shared" si="7"/>
        <v>15</v>
      </c>
      <c r="U184" s="62"/>
      <c r="V184" s="62"/>
      <c r="W184" s="65">
        <f t="shared" si="8"/>
        <v>50</v>
      </c>
      <c r="X184" s="62"/>
      <c r="Y184" s="62"/>
      <c r="Z184" s="62"/>
      <c r="AA184" s="62"/>
      <c r="AB184" s="62"/>
      <c r="AC184" s="65">
        <f t="shared" si="9"/>
        <v>35</v>
      </c>
    </row>
    <row r="185" spans="1:29">
      <c r="A185" s="115" t="e">
        <f>+'AMBERIEU LAGNIEU'!#REF!</f>
        <v>#REF!</v>
      </c>
      <c r="B185" s="115" t="e">
        <f>+'AMBERIEU LAGNIEU'!#REF!</f>
        <v>#REF!</v>
      </c>
      <c r="C185" s="128"/>
      <c r="D185" s="128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94"/>
      <c r="R185" s="102"/>
      <c r="S185" s="62"/>
      <c r="T185" s="65">
        <f t="shared" ref="T185:T226" si="13">S185+15</f>
        <v>15</v>
      </c>
      <c r="U185" s="62"/>
      <c r="V185" s="62"/>
      <c r="W185" s="65">
        <f t="shared" ref="W185:W226" si="14">S185+50</f>
        <v>50</v>
      </c>
      <c r="X185" s="62"/>
      <c r="Y185" s="62"/>
      <c r="Z185" s="62"/>
      <c r="AA185" s="62"/>
      <c r="AB185" s="62"/>
      <c r="AC185" s="65">
        <f t="shared" ref="AC185:AC226" si="15">AB185+35</f>
        <v>35</v>
      </c>
    </row>
    <row r="186" spans="1:29">
      <c r="A186" s="115" t="e">
        <f>+'AMBERIEU LAGNIEU'!#REF!</f>
        <v>#REF!</v>
      </c>
      <c r="B186" s="115" t="e">
        <f>+'AMBERIEU LAGNIEU'!#REF!</f>
        <v>#REF!</v>
      </c>
      <c r="C186" s="128"/>
      <c r="D186" s="128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94"/>
      <c r="R186" s="102"/>
      <c r="S186" s="62"/>
      <c r="T186" s="65">
        <f t="shared" si="13"/>
        <v>15</v>
      </c>
      <c r="U186" s="62"/>
      <c r="V186" s="62"/>
      <c r="W186" s="65">
        <f t="shared" si="14"/>
        <v>50</v>
      </c>
      <c r="X186" s="62"/>
      <c r="Y186" s="62"/>
      <c r="Z186" s="62"/>
      <c r="AA186" s="62"/>
      <c r="AB186" s="62"/>
      <c r="AC186" s="65">
        <f t="shared" si="15"/>
        <v>35</v>
      </c>
    </row>
    <row r="187" spans="1:29">
      <c r="A187" s="115" t="e">
        <f>+'AMBERIEU LAGNIEU'!#REF!</f>
        <v>#REF!</v>
      </c>
      <c r="B187" s="115" t="e">
        <f>+'AMBERIEU LAGNIEU'!#REF!</f>
        <v>#REF!</v>
      </c>
      <c r="C187" s="128"/>
      <c r="D187" s="128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94"/>
      <c r="R187" s="102"/>
      <c r="S187" s="62"/>
      <c r="T187" s="65">
        <f t="shared" si="13"/>
        <v>15</v>
      </c>
      <c r="U187" s="62"/>
      <c r="V187" s="62"/>
      <c r="W187" s="65">
        <f t="shared" si="14"/>
        <v>50</v>
      </c>
      <c r="X187" s="62"/>
      <c r="Y187" s="62"/>
      <c r="Z187" s="62"/>
      <c r="AA187" s="62"/>
      <c r="AB187" s="62"/>
      <c r="AC187" s="65">
        <f t="shared" si="15"/>
        <v>35</v>
      </c>
    </row>
    <row r="188" spans="1:29">
      <c r="A188" s="115" t="e">
        <f>+'AMBERIEU LAGNIEU'!#REF!</f>
        <v>#REF!</v>
      </c>
      <c r="B188" s="115" t="e">
        <f>+'AMBERIEU LAGNIEU'!#REF!</f>
        <v>#REF!</v>
      </c>
      <c r="C188" s="175"/>
      <c r="D188" s="175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94"/>
      <c r="R188" s="102"/>
      <c r="S188" s="62"/>
      <c r="T188" s="65">
        <f t="shared" si="13"/>
        <v>15</v>
      </c>
      <c r="U188" s="62"/>
      <c r="V188" s="62"/>
      <c r="W188" s="65">
        <f t="shared" si="14"/>
        <v>50</v>
      </c>
      <c r="X188" s="62"/>
      <c r="Y188" s="62"/>
      <c r="Z188" s="62"/>
      <c r="AA188" s="62"/>
      <c r="AB188" s="62"/>
      <c r="AC188" s="65">
        <f t="shared" si="15"/>
        <v>35</v>
      </c>
    </row>
    <row r="189" spans="1:29">
      <c r="A189" s="115" t="e">
        <f>+'AMBERIEU LAGNIEU'!#REF!</f>
        <v>#REF!</v>
      </c>
      <c r="B189" s="115" t="e">
        <f>+'AMBERIEU LAGNIEU'!#REF!</f>
        <v>#REF!</v>
      </c>
      <c r="C189" s="128"/>
      <c r="D189" s="128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94"/>
      <c r="R189" s="102"/>
      <c r="S189" s="62"/>
      <c r="T189" s="65">
        <f t="shared" si="13"/>
        <v>15</v>
      </c>
      <c r="U189" s="62"/>
      <c r="V189" s="62"/>
      <c r="W189" s="65">
        <f t="shared" si="14"/>
        <v>50</v>
      </c>
      <c r="X189" s="62"/>
      <c r="Y189" s="62"/>
      <c r="Z189" s="62"/>
      <c r="AA189" s="62"/>
      <c r="AB189" s="62"/>
      <c r="AC189" s="65">
        <f t="shared" si="15"/>
        <v>35</v>
      </c>
    </row>
    <row r="190" spans="1:29">
      <c r="A190" s="115" t="e">
        <f>+'AMBERIEU LAGNIEU'!#REF!</f>
        <v>#REF!</v>
      </c>
      <c r="B190" s="115" t="e">
        <f>+'AMBERIEU LAGNIEU'!#REF!</f>
        <v>#REF!</v>
      </c>
      <c r="C190" s="128">
        <v>1</v>
      </c>
      <c r="D190" s="128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94"/>
      <c r="R190" s="102"/>
      <c r="S190" s="62"/>
      <c r="T190" s="65">
        <f t="shared" si="13"/>
        <v>15</v>
      </c>
      <c r="U190" s="62"/>
      <c r="V190" s="62"/>
      <c r="W190" s="65">
        <f t="shared" si="14"/>
        <v>50</v>
      </c>
      <c r="X190" s="62"/>
      <c r="Y190" s="62"/>
      <c r="Z190" s="62"/>
      <c r="AA190" s="62"/>
      <c r="AB190" s="62"/>
      <c r="AC190" s="65">
        <f t="shared" si="15"/>
        <v>35</v>
      </c>
    </row>
    <row r="191" spans="1:29">
      <c r="A191" s="115" t="e">
        <f>+'AMBERIEU LAGNIEU'!#REF!</f>
        <v>#REF!</v>
      </c>
      <c r="B191" s="115" t="e">
        <f>+'AMBERIEU LAGNIEU'!#REF!</f>
        <v>#REF!</v>
      </c>
      <c r="C191" s="128"/>
      <c r="D191" s="128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94"/>
      <c r="R191" s="102"/>
      <c r="S191" s="62"/>
      <c r="T191" s="65">
        <f t="shared" si="13"/>
        <v>15</v>
      </c>
      <c r="U191" s="62"/>
      <c r="V191" s="62"/>
      <c r="W191" s="65">
        <f t="shared" si="14"/>
        <v>50</v>
      </c>
      <c r="X191" s="62"/>
      <c r="Y191" s="62"/>
      <c r="Z191" s="62"/>
      <c r="AA191" s="62"/>
      <c r="AB191" s="62"/>
      <c r="AC191" s="65">
        <f t="shared" si="15"/>
        <v>35</v>
      </c>
    </row>
    <row r="192" spans="1:29">
      <c r="A192" s="115" t="e">
        <f>+'AMBERIEU LAGNIEU'!#REF!</f>
        <v>#REF!</v>
      </c>
      <c r="B192" s="115" t="e">
        <f>+'AMBERIEU LAGNIEU'!#REF!</f>
        <v>#REF!</v>
      </c>
      <c r="C192" s="128"/>
      <c r="D192" s="128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94"/>
      <c r="R192" s="102"/>
      <c r="S192" s="62"/>
      <c r="T192" s="65">
        <f t="shared" si="13"/>
        <v>15</v>
      </c>
      <c r="U192" s="62"/>
      <c r="V192" s="62"/>
      <c r="W192" s="65">
        <f t="shared" si="14"/>
        <v>50</v>
      </c>
      <c r="X192" s="62"/>
      <c r="Y192" s="62"/>
      <c r="Z192" s="62"/>
      <c r="AA192" s="62"/>
      <c r="AB192" s="62"/>
      <c r="AC192" s="65">
        <f t="shared" si="15"/>
        <v>35</v>
      </c>
    </row>
    <row r="193" spans="1:29">
      <c r="A193" s="115" t="e">
        <f>+'AMBERIEU LAGNIEU'!#REF!</f>
        <v>#REF!</v>
      </c>
      <c r="B193" s="115" t="e">
        <f>+'AMBERIEU LAGNIEU'!#REF!</f>
        <v>#REF!</v>
      </c>
      <c r="C193" s="129">
        <v>1</v>
      </c>
      <c r="D193" s="129">
        <v>1</v>
      </c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94"/>
      <c r="R193" s="102"/>
      <c r="S193" s="62"/>
      <c r="T193" s="65">
        <f t="shared" si="13"/>
        <v>15</v>
      </c>
      <c r="U193" s="62"/>
      <c r="V193" s="62"/>
      <c r="W193" s="65">
        <f t="shared" si="14"/>
        <v>50</v>
      </c>
      <c r="X193" s="62"/>
      <c r="Y193" s="62"/>
      <c r="Z193" s="62"/>
      <c r="AA193" s="62"/>
      <c r="AB193" s="62"/>
      <c r="AC193" s="65">
        <f t="shared" si="15"/>
        <v>35</v>
      </c>
    </row>
    <row r="194" spans="1:29">
      <c r="A194" s="115" t="e">
        <f>+'AMBERIEU LAGNIEU'!#REF!</f>
        <v>#REF!</v>
      </c>
      <c r="B194" s="115" t="e">
        <f>+'AMBERIEU LAGNIEU'!#REF!</f>
        <v>#REF!</v>
      </c>
      <c r="C194" s="129"/>
      <c r="D194" s="129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94"/>
      <c r="R194" s="102"/>
      <c r="S194" s="62"/>
      <c r="T194" s="65">
        <f t="shared" si="13"/>
        <v>15</v>
      </c>
      <c r="U194" s="62"/>
      <c r="V194" s="62"/>
      <c r="W194" s="65">
        <f t="shared" si="14"/>
        <v>50</v>
      </c>
      <c r="X194" s="62"/>
      <c r="Y194" s="62"/>
      <c r="Z194" s="62"/>
      <c r="AA194" s="62"/>
      <c r="AB194" s="62"/>
      <c r="AC194" s="65">
        <f t="shared" si="15"/>
        <v>35</v>
      </c>
    </row>
    <row r="195" spans="1:29">
      <c r="A195" s="115" t="e">
        <f>+'AMBERIEU LAGNIEU'!#REF!</f>
        <v>#REF!</v>
      </c>
      <c r="B195" s="115" t="e">
        <f>+'AMBERIEU LAGNIEU'!#REF!</f>
        <v>#REF!</v>
      </c>
      <c r="C195" s="128">
        <v>1</v>
      </c>
      <c r="D195" s="128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94"/>
      <c r="R195" s="102"/>
      <c r="S195" s="62"/>
      <c r="T195" s="65">
        <f t="shared" si="13"/>
        <v>15</v>
      </c>
      <c r="U195" s="62"/>
      <c r="V195" s="62"/>
      <c r="W195" s="65">
        <f t="shared" si="14"/>
        <v>50</v>
      </c>
      <c r="X195" s="62"/>
      <c r="Y195" s="62"/>
      <c r="Z195" s="62"/>
      <c r="AA195" s="62"/>
      <c r="AB195" s="62"/>
      <c r="AC195" s="65">
        <f t="shared" si="15"/>
        <v>35</v>
      </c>
    </row>
    <row r="196" spans="1:29">
      <c r="A196" s="115" t="e">
        <f>+'AMBERIEU LAGNIEU'!#REF!</f>
        <v>#REF!</v>
      </c>
      <c r="B196" s="115" t="e">
        <f>+'AMBERIEU LAGNIEU'!#REF!</f>
        <v>#REF!</v>
      </c>
      <c r="C196" s="128"/>
      <c r="D196" s="128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94"/>
      <c r="R196" s="102"/>
      <c r="S196" s="62"/>
      <c r="T196" s="65">
        <f t="shared" si="13"/>
        <v>15</v>
      </c>
      <c r="U196" s="62"/>
      <c r="V196" s="62"/>
      <c r="W196" s="65">
        <f t="shared" si="14"/>
        <v>50</v>
      </c>
      <c r="X196" s="62"/>
      <c r="Y196" s="62"/>
      <c r="Z196" s="62"/>
      <c r="AA196" s="62"/>
      <c r="AB196" s="62"/>
      <c r="AC196" s="65">
        <f t="shared" si="15"/>
        <v>35</v>
      </c>
    </row>
    <row r="197" spans="1:29">
      <c r="A197" s="115" t="e">
        <f>+'AMBERIEU LAGNIEU'!#REF!</f>
        <v>#REF!</v>
      </c>
      <c r="B197" s="115" t="e">
        <f>+'AMBERIEU LAGNIEU'!#REF!</f>
        <v>#REF!</v>
      </c>
      <c r="C197" s="128"/>
      <c r="D197" s="128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94"/>
      <c r="R197" s="102"/>
      <c r="S197" s="62"/>
      <c r="T197" s="65">
        <f t="shared" si="13"/>
        <v>15</v>
      </c>
      <c r="U197" s="62"/>
      <c r="V197" s="62"/>
      <c r="W197" s="65">
        <f t="shared" si="14"/>
        <v>50</v>
      </c>
      <c r="X197" s="62"/>
      <c r="Y197" s="62"/>
      <c r="Z197" s="62"/>
      <c r="AA197" s="62"/>
      <c r="AB197" s="62"/>
      <c r="AC197" s="65">
        <f t="shared" si="15"/>
        <v>35</v>
      </c>
    </row>
    <row r="198" spans="1:29">
      <c r="A198" s="115" t="e">
        <f>+'AMBERIEU LAGNIEU'!#REF!</f>
        <v>#REF!</v>
      </c>
      <c r="B198" s="115" t="e">
        <f>+'AMBERIEU LAGNIEU'!#REF!</f>
        <v>#REF!</v>
      </c>
      <c r="C198" s="128"/>
      <c r="D198" s="128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94"/>
      <c r="R198" s="102"/>
      <c r="S198" s="62"/>
      <c r="T198" s="65">
        <f t="shared" si="13"/>
        <v>15</v>
      </c>
      <c r="U198" s="62"/>
      <c r="V198" s="62"/>
      <c r="W198" s="65">
        <f t="shared" si="14"/>
        <v>50</v>
      </c>
      <c r="X198" s="62"/>
      <c r="Y198" s="62"/>
      <c r="Z198" s="62"/>
      <c r="AA198" s="62"/>
      <c r="AB198" s="62"/>
      <c r="AC198" s="65">
        <f t="shared" si="15"/>
        <v>35</v>
      </c>
    </row>
    <row r="199" spans="1:29">
      <c r="A199" s="115" t="e">
        <f>+'AMBERIEU LAGNIEU'!#REF!</f>
        <v>#REF!</v>
      </c>
      <c r="B199" s="115" t="e">
        <f>+'AMBERIEU LAGNIEU'!#REF!</f>
        <v>#REF!</v>
      </c>
      <c r="C199" s="128"/>
      <c r="D199" s="128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94"/>
      <c r="R199" s="102"/>
      <c r="S199" s="62"/>
      <c r="T199" s="65">
        <f t="shared" si="13"/>
        <v>15</v>
      </c>
      <c r="U199" s="62"/>
      <c r="V199" s="62"/>
      <c r="W199" s="65">
        <f t="shared" si="14"/>
        <v>50</v>
      </c>
      <c r="X199" s="62"/>
      <c r="Y199" s="62"/>
      <c r="Z199" s="62"/>
      <c r="AA199" s="62"/>
      <c r="AB199" s="62"/>
      <c r="AC199" s="65">
        <f t="shared" si="15"/>
        <v>35</v>
      </c>
    </row>
    <row r="200" spans="1:29">
      <c r="A200" s="115" t="e">
        <f>+'AMBERIEU LAGNIEU'!#REF!</f>
        <v>#REF!</v>
      </c>
      <c r="B200" s="115" t="e">
        <f>+'AMBERIEU LAGNIEU'!#REF!</f>
        <v>#REF!</v>
      </c>
      <c r="C200" s="339">
        <v>1</v>
      </c>
      <c r="D200" s="339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94"/>
      <c r="R200" s="102"/>
      <c r="S200" s="62"/>
      <c r="T200" s="65">
        <f t="shared" si="13"/>
        <v>15</v>
      </c>
      <c r="U200" s="62"/>
      <c r="V200" s="62"/>
      <c r="W200" s="65">
        <f t="shared" si="14"/>
        <v>50</v>
      </c>
      <c r="X200" s="62"/>
      <c r="Y200" s="62"/>
      <c r="Z200" s="62"/>
      <c r="AA200" s="62"/>
      <c r="AB200" s="62"/>
      <c r="AC200" s="65">
        <f t="shared" si="15"/>
        <v>35</v>
      </c>
    </row>
    <row r="201" spans="1:29">
      <c r="A201" s="115" t="e">
        <f>+'AMBERIEU LAGNIEU'!#REF!</f>
        <v>#REF!</v>
      </c>
      <c r="B201" s="115" t="e">
        <f>+'AMBERIEU LAGNIEU'!#REF!</f>
        <v>#REF!</v>
      </c>
      <c r="C201" s="128">
        <v>1</v>
      </c>
      <c r="D201" s="128">
        <v>1</v>
      </c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94"/>
      <c r="R201" s="102"/>
      <c r="S201" s="62"/>
      <c r="T201" s="65">
        <f t="shared" si="13"/>
        <v>15</v>
      </c>
      <c r="U201" s="62"/>
      <c r="V201" s="62"/>
      <c r="W201" s="65">
        <f t="shared" si="14"/>
        <v>50</v>
      </c>
      <c r="X201" s="62"/>
      <c r="Y201" s="62"/>
      <c r="Z201" s="62"/>
      <c r="AA201" s="62"/>
      <c r="AB201" s="62"/>
      <c r="AC201" s="65">
        <f t="shared" si="15"/>
        <v>35</v>
      </c>
    </row>
    <row r="202" spans="1:29">
      <c r="A202" s="115" t="e">
        <f>+'AMBERIEU LAGNIEU'!#REF!</f>
        <v>#REF!</v>
      </c>
      <c r="B202" s="115" t="e">
        <f>+'AMBERIEU LAGNIEU'!#REF!</f>
        <v>#REF!</v>
      </c>
      <c r="C202" s="128"/>
      <c r="D202" s="128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94"/>
      <c r="R202" s="102"/>
      <c r="S202" s="62"/>
      <c r="T202" s="65">
        <f t="shared" si="13"/>
        <v>15</v>
      </c>
      <c r="U202" s="62"/>
      <c r="V202" s="62"/>
      <c r="W202" s="65">
        <f t="shared" si="14"/>
        <v>50</v>
      </c>
      <c r="X202" s="62"/>
      <c r="Y202" s="62"/>
      <c r="Z202" s="62"/>
      <c r="AA202" s="62"/>
      <c r="AB202" s="62"/>
      <c r="AC202" s="65">
        <f t="shared" si="15"/>
        <v>35</v>
      </c>
    </row>
    <row r="203" spans="1:29">
      <c r="A203" s="115" t="e">
        <f>+'AMBERIEU LAGNIEU'!#REF!</f>
        <v>#REF!</v>
      </c>
      <c r="B203" s="115" t="e">
        <f>+'AMBERIEU LAGNIEU'!#REF!</f>
        <v>#REF!</v>
      </c>
      <c r="C203" s="339"/>
      <c r="D203" s="339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94"/>
      <c r="R203" s="102"/>
      <c r="S203" s="62"/>
      <c r="T203" s="65">
        <f t="shared" si="13"/>
        <v>15</v>
      </c>
      <c r="U203" s="62"/>
      <c r="V203" s="62"/>
      <c r="W203" s="65">
        <f t="shared" si="14"/>
        <v>50</v>
      </c>
      <c r="X203" s="62"/>
      <c r="Y203" s="62"/>
      <c r="Z203" s="62"/>
      <c r="AA203" s="62"/>
      <c r="AB203" s="62"/>
      <c r="AC203" s="65">
        <f t="shared" si="15"/>
        <v>35</v>
      </c>
    </row>
    <row r="204" spans="1:29">
      <c r="A204" s="115" t="e">
        <f>+'AMBERIEU LAGNIEU'!#REF!</f>
        <v>#REF!</v>
      </c>
      <c r="B204" s="115" t="e">
        <f>+'AMBERIEU LAGNIEU'!#REF!</f>
        <v>#REF!</v>
      </c>
      <c r="C204" s="128">
        <v>1</v>
      </c>
      <c r="D204" s="128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94"/>
      <c r="R204" s="102"/>
      <c r="S204" s="62"/>
      <c r="T204" s="65">
        <f t="shared" si="13"/>
        <v>15</v>
      </c>
      <c r="U204" s="62"/>
      <c r="V204" s="62"/>
      <c r="W204" s="65">
        <f t="shared" si="14"/>
        <v>50</v>
      </c>
      <c r="X204" s="62"/>
      <c r="Y204" s="62"/>
      <c r="Z204" s="62"/>
      <c r="AA204" s="62"/>
      <c r="AB204" s="62"/>
      <c r="AC204" s="65">
        <f t="shared" si="15"/>
        <v>35</v>
      </c>
    </row>
    <row r="205" spans="1:29">
      <c r="A205" s="115" t="e">
        <f>+'AMBERIEU LAGNIEU'!#REF!</f>
        <v>#REF!</v>
      </c>
      <c r="B205" s="115" t="e">
        <f>+'AMBERIEU LAGNIEU'!#REF!</f>
        <v>#REF!</v>
      </c>
      <c r="C205" s="128"/>
      <c r="D205" s="128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94"/>
      <c r="R205" s="102"/>
      <c r="S205" s="62"/>
      <c r="T205" s="65">
        <f t="shared" si="13"/>
        <v>15</v>
      </c>
      <c r="U205" s="62"/>
      <c r="V205" s="62"/>
      <c r="W205" s="65">
        <f t="shared" si="14"/>
        <v>50</v>
      </c>
      <c r="X205" s="62"/>
      <c r="Y205" s="62"/>
      <c r="Z205" s="62"/>
      <c r="AA205" s="62"/>
      <c r="AB205" s="62"/>
      <c r="AC205" s="65">
        <f t="shared" si="15"/>
        <v>35</v>
      </c>
    </row>
    <row r="206" spans="1:29">
      <c r="A206" s="115" t="e">
        <f>+'AMBERIEU LAGNIEU'!#REF!</f>
        <v>#REF!</v>
      </c>
      <c r="B206" s="115" t="e">
        <f>+'AMBERIEU LAGNIEU'!#REF!</f>
        <v>#REF!</v>
      </c>
      <c r="C206" s="128"/>
      <c r="D206" s="128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94"/>
      <c r="R206" s="102"/>
      <c r="S206" s="62"/>
      <c r="T206" s="65">
        <f t="shared" si="13"/>
        <v>15</v>
      </c>
      <c r="U206" s="62"/>
      <c r="V206" s="62"/>
      <c r="W206" s="65">
        <f t="shared" si="14"/>
        <v>50</v>
      </c>
      <c r="X206" s="62"/>
      <c r="Y206" s="62"/>
      <c r="Z206" s="62"/>
      <c r="AA206" s="62"/>
      <c r="AB206" s="62"/>
      <c r="AC206" s="65">
        <f t="shared" si="15"/>
        <v>35</v>
      </c>
    </row>
    <row r="207" spans="1:29">
      <c r="A207" s="115" t="e">
        <f>+'AMBERIEU LAGNIEU'!#REF!</f>
        <v>#REF!</v>
      </c>
      <c r="B207" s="115" t="e">
        <f>+'AMBERIEU LAGNIEU'!#REF!</f>
        <v>#REF!</v>
      </c>
      <c r="C207" s="339"/>
      <c r="D207" s="339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94"/>
      <c r="R207" s="102"/>
      <c r="S207" s="62"/>
      <c r="T207" s="65">
        <f t="shared" si="13"/>
        <v>15</v>
      </c>
      <c r="U207" s="62"/>
      <c r="V207" s="62"/>
      <c r="W207" s="65">
        <f t="shared" si="14"/>
        <v>50</v>
      </c>
      <c r="X207" s="62"/>
      <c r="Y207" s="62"/>
      <c r="Z207" s="62"/>
      <c r="AA207" s="62"/>
      <c r="AB207" s="62"/>
      <c r="AC207" s="65">
        <f t="shared" si="15"/>
        <v>35</v>
      </c>
    </row>
    <row r="208" spans="1:29">
      <c r="A208" s="115" t="e">
        <f>+'AMBERIEU LAGNIEU'!#REF!</f>
        <v>#REF!</v>
      </c>
      <c r="B208" s="115" t="e">
        <f>+'AMBERIEU LAGNIEU'!#REF!</f>
        <v>#REF!</v>
      </c>
      <c r="C208" s="175"/>
      <c r="D208" s="175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94"/>
      <c r="R208" s="102"/>
      <c r="S208" s="62"/>
      <c r="T208" s="65">
        <f t="shared" si="13"/>
        <v>15</v>
      </c>
      <c r="U208" s="62"/>
      <c r="V208" s="62"/>
      <c r="W208" s="65">
        <f t="shared" si="14"/>
        <v>50</v>
      </c>
      <c r="X208" s="62"/>
      <c r="Y208" s="62"/>
      <c r="Z208" s="62"/>
      <c r="AA208" s="62"/>
      <c r="AB208" s="62"/>
      <c r="AC208" s="65">
        <f t="shared" si="15"/>
        <v>35</v>
      </c>
    </row>
    <row r="209" spans="1:29">
      <c r="A209" s="115" t="e">
        <f>+'AMBERIEU LAGNIEU'!#REF!</f>
        <v>#REF!</v>
      </c>
      <c r="B209" s="115" t="e">
        <f>+'AMBERIEU LAGNIEU'!#REF!</f>
        <v>#REF!</v>
      </c>
      <c r="C209" s="129" t="s">
        <v>1138</v>
      </c>
      <c r="D209" s="128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94"/>
      <c r="R209" s="102"/>
      <c r="S209" s="62"/>
      <c r="T209" s="65">
        <f t="shared" si="13"/>
        <v>15</v>
      </c>
      <c r="U209" s="62"/>
      <c r="V209" s="62"/>
      <c r="W209" s="65">
        <f t="shared" si="14"/>
        <v>50</v>
      </c>
      <c r="X209" s="62"/>
      <c r="Y209" s="62"/>
      <c r="Z209" s="62"/>
      <c r="AA209" s="62"/>
      <c r="AB209" s="62"/>
      <c r="AC209" s="65">
        <f t="shared" si="15"/>
        <v>35</v>
      </c>
    </row>
    <row r="210" spans="1:29">
      <c r="A210" s="115" t="e">
        <f>+'AMBERIEU LAGNIEU'!#REF!</f>
        <v>#REF!</v>
      </c>
      <c r="B210" s="115" t="e">
        <f>+'AMBERIEU LAGNIEU'!#REF!</f>
        <v>#REF!</v>
      </c>
      <c r="C210" s="128"/>
      <c r="D210" s="128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94"/>
      <c r="R210" s="102"/>
      <c r="S210" s="62"/>
      <c r="T210" s="65">
        <f t="shared" si="13"/>
        <v>15</v>
      </c>
      <c r="U210" s="62"/>
      <c r="V210" s="62"/>
      <c r="W210" s="65">
        <f t="shared" si="14"/>
        <v>50</v>
      </c>
      <c r="X210" s="62"/>
      <c r="Y210" s="62"/>
      <c r="Z210" s="62"/>
      <c r="AA210" s="62"/>
      <c r="AB210" s="62"/>
      <c r="AC210" s="65">
        <f t="shared" si="15"/>
        <v>35</v>
      </c>
    </row>
    <row r="211" spans="1:29">
      <c r="A211" s="115" t="e">
        <f>+'AMBERIEU LAGNIEU'!#REF!</f>
        <v>#REF!</v>
      </c>
      <c r="B211" s="115" t="e">
        <f>+'AMBERIEU LAGNIEU'!#REF!</f>
        <v>#REF!</v>
      </c>
      <c r="C211" s="128"/>
      <c r="D211" s="128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94"/>
      <c r="R211" s="102"/>
      <c r="S211" s="62"/>
      <c r="T211" s="65">
        <f t="shared" si="13"/>
        <v>15</v>
      </c>
      <c r="U211" s="62"/>
      <c r="V211" s="62"/>
      <c r="W211" s="65">
        <f t="shared" si="14"/>
        <v>50</v>
      </c>
      <c r="X211" s="62"/>
      <c r="Y211" s="62"/>
      <c r="Z211" s="62"/>
      <c r="AA211" s="62"/>
      <c r="AB211" s="62"/>
      <c r="AC211" s="65">
        <f t="shared" si="15"/>
        <v>35</v>
      </c>
    </row>
    <row r="212" spans="1:29">
      <c r="A212" s="115" t="e">
        <f>+'AMBERIEU LAGNIEU'!#REF!</f>
        <v>#REF!</v>
      </c>
      <c r="B212" s="115" t="e">
        <f>+'AMBERIEU LAGNIEU'!#REF!</f>
        <v>#REF!</v>
      </c>
      <c r="C212" s="128">
        <v>1</v>
      </c>
      <c r="D212" s="128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94"/>
      <c r="R212" s="102"/>
      <c r="S212" s="62"/>
      <c r="T212" s="65">
        <f t="shared" si="13"/>
        <v>15</v>
      </c>
      <c r="U212" s="62"/>
      <c r="V212" s="62"/>
      <c r="W212" s="65">
        <f t="shared" si="14"/>
        <v>50</v>
      </c>
      <c r="X212" s="62"/>
      <c r="Y212" s="62"/>
      <c r="Z212" s="62"/>
      <c r="AA212" s="62"/>
      <c r="AB212" s="62"/>
      <c r="AC212" s="65">
        <f t="shared" si="15"/>
        <v>35</v>
      </c>
    </row>
    <row r="213" spans="1:29">
      <c r="A213" s="115" t="e">
        <f>+'AMBERIEU LAGNIEU'!#REF!</f>
        <v>#REF!</v>
      </c>
      <c r="B213" s="115" t="e">
        <f>+'AMBERIEU LAGNIEU'!#REF!</f>
        <v>#REF!</v>
      </c>
      <c r="C213" s="339"/>
      <c r="D213" s="339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94"/>
      <c r="R213" s="102"/>
      <c r="S213" s="62"/>
      <c r="T213" s="65">
        <f t="shared" si="13"/>
        <v>15</v>
      </c>
      <c r="U213" s="62"/>
      <c r="V213" s="62"/>
      <c r="W213" s="65">
        <f t="shared" si="14"/>
        <v>50</v>
      </c>
      <c r="X213" s="62"/>
      <c r="Y213" s="62"/>
      <c r="Z213" s="62"/>
      <c r="AA213" s="62"/>
      <c r="AB213" s="62"/>
      <c r="AC213" s="65">
        <f t="shared" si="15"/>
        <v>35</v>
      </c>
    </row>
    <row r="214" spans="1:29">
      <c r="A214" s="115" t="e">
        <f>+'AMBERIEU LAGNIEU'!#REF!</f>
        <v>#REF!</v>
      </c>
      <c r="B214" s="115" t="e">
        <f>+'AMBERIEU LAGNIEU'!#REF!</f>
        <v>#REF!</v>
      </c>
      <c r="C214" s="339"/>
      <c r="D214" s="339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94"/>
      <c r="R214" s="102"/>
      <c r="S214" s="62"/>
      <c r="T214" s="65">
        <f t="shared" si="13"/>
        <v>15</v>
      </c>
      <c r="U214" s="62"/>
      <c r="V214" s="62"/>
      <c r="W214" s="65">
        <f t="shared" si="14"/>
        <v>50</v>
      </c>
      <c r="X214" s="62"/>
      <c r="Y214" s="62"/>
      <c r="Z214" s="62"/>
      <c r="AA214" s="62"/>
      <c r="AB214" s="62"/>
      <c r="AC214" s="65">
        <f t="shared" si="15"/>
        <v>35</v>
      </c>
    </row>
    <row r="215" spans="1:29">
      <c r="A215" s="115" t="e">
        <f>+'AMBERIEU LAGNIEU'!#REF!</f>
        <v>#REF!</v>
      </c>
      <c r="B215" s="115" t="e">
        <f>+'AMBERIEU LAGNIEU'!#REF!</f>
        <v>#REF!</v>
      </c>
      <c r="C215" s="339"/>
      <c r="D215" s="339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94"/>
      <c r="R215" s="102"/>
      <c r="S215" s="62"/>
      <c r="T215" s="65">
        <f t="shared" si="13"/>
        <v>15</v>
      </c>
      <c r="U215" s="62"/>
      <c r="V215" s="62"/>
      <c r="W215" s="65">
        <f t="shared" si="14"/>
        <v>50</v>
      </c>
      <c r="X215" s="62"/>
      <c r="Y215" s="62"/>
      <c r="Z215" s="62"/>
      <c r="AA215" s="62"/>
      <c r="AB215" s="62"/>
      <c r="AC215" s="65">
        <f t="shared" si="15"/>
        <v>35</v>
      </c>
    </row>
    <row r="216" spans="1:29">
      <c r="A216" s="115" t="e">
        <f>+'AMBERIEU LAGNIEU'!#REF!</f>
        <v>#REF!</v>
      </c>
      <c r="B216" s="115" t="e">
        <f>+'AMBERIEU LAGNIEU'!#REF!</f>
        <v>#REF!</v>
      </c>
      <c r="C216" s="339"/>
      <c r="D216" s="339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94"/>
      <c r="R216" s="102"/>
      <c r="S216" s="62"/>
      <c r="T216" s="65">
        <f t="shared" si="13"/>
        <v>15</v>
      </c>
      <c r="U216" s="62"/>
      <c r="V216" s="62"/>
      <c r="W216" s="65">
        <f t="shared" si="14"/>
        <v>50</v>
      </c>
      <c r="X216" s="62"/>
      <c r="Y216" s="62"/>
      <c r="Z216" s="62"/>
      <c r="AA216" s="62"/>
      <c r="AB216" s="62"/>
      <c r="AC216" s="65">
        <f t="shared" si="15"/>
        <v>35</v>
      </c>
    </row>
    <row r="217" spans="1:29">
      <c r="A217" s="115" t="e">
        <f>+'AMBERIEU LAGNIEU'!#REF!</f>
        <v>#REF!</v>
      </c>
      <c r="B217" s="115" t="e">
        <f>+'AMBERIEU LAGNIEU'!#REF!</f>
        <v>#REF!</v>
      </c>
      <c r="C217" s="339"/>
      <c r="D217" s="339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94"/>
      <c r="R217" s="102"/>
      <c r="S217" s="62"/>
      <c r="T217" s="65">
        <f t="shared" si="13"/>
        <v>15</v>
      </c>
      <c r="U217" s="62"/>
      <c r="V217" s="62"/>
      <c r="W217" s="65">
        <f t="shared" si="14"/>
        <v>50</v>
      </c>
      <c r="X217" s="62"/>
      <c r="Y217" s="62"/>
      <c r="Z217" s="62"/>
      <c r="AA217" s="62"/>
      <c r="AB217" s="62"/>
      <c r="AC217" s="65">
        <f t="shared" si="15"/>
        <v>35</v>
      </c>
    </row>
    <row r="218" spans="1:29">
      <c r="A218" s="115" t="e">
        <f>+'AMBERIEU LAGNIEU'!#REF!</f>
        <v>#REF!</v>
      </c>
      <c r="B218" s="115" t="e">
        <f>+'AMBERIEU LAGNIEU'!#REF!</f>
        <v>#REF!</v>
      </c>
      <c r="C218" s="339"/>
      <c r="D218" s="339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94"/>
      <c r="R218" s="102"/>
      <c r="S218" s="62"/>
      <c r="T218" s="65">
        <f t="shared" si="13"/>
        <v>15</v>
      </c>
      <c r="U218" s="62"/>
      <c r="V218" s="62"/>
      <c r="W218" s="65">
        <f t="shared" si="14"/>
        <v>50</v>
      </c>
      <c r="X218" s="62"/>
      <c r="Y218" s="62"/>
      <c r="Z218" s="62"/>
      <c r="AA218" s="62"/>
      <c r="AB218" s="62"/>
      <c r="AC218" s="65">
        <f t="shared" si="15"/>
        <v>35</v>
      </c>
    </row>
    <row r="219" spans="1:29">
      <c r="A219" s="115" t="e">
        <f>+'AMBERIEU LAGNIEU'!#REF!</f>
        <v>#REF!</v>
      </c>
      <c r="B219" s="115" t="e">
        <f>+'AMBERIEU LAGNIEU'!#REF!</f>
        <v>#REF!</v>
      </c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94"/>
      <c r="R219" s="102"/>
      <c r="S219" s="62"/>
      <c r="T219" s="65">
        <f t="shared" si="13"/>
        <v>15</v>
      </c>
      <c r="U219" s="62"/>
      <c r="V219" s="62"/>
      <c r="W219" s="65">
        <f t="shared" si="14"/>
        <v>50</v>
      </c>
      <c r="X219" s="62"/>
      <c r="Y219" s="62"/>
      <c r="Z219" s="62"/>
      <c r="AA219" s="62"/>
      <c r="AB219" s="62"/>
      <c r="AC219" s="65">
        <f t="shared" si="15"/>
        <v>35</v>
      </c>
    </row>
    <row r="220" spans="1:29">
      <c r="A220" s="115" t="e">
        <f>+'AMBERIEU LAGNIEU'!#REF!</f>
        <v>#REF!</v>
      </c>
      <c r="B220" s="115" t="e">
        <f>+'AMBERIEU LAGNIEU'!#REF!</f>
        <v>#REF!</v>
      </c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94"/>
      <c r="R220" s="102"/>
      <c r="S220" s="62"/>
      <c r="T220" s="65">
        <f t="shared" si="13"/>
        <v>15</v>
      </c>
      <c r="U220" s="62"/>
      <c r="V220" s="62"/>
      <c r="W220" s="65">
        <f t="shared" si="14"/>
        <v>50</v>
      </c>
      <c r="X220" s="62"/>
      <c r="Y220" s="62"/>
      <c r="Z220" s="62"/>
      <c r="AA220" s="62"/>
      <c r="AB220" s="62"/>
      <c r="AC220" s="65">
        <f t="shared" si="15"/>
        <v>35</v>
      </c>
    </row>
    <row r="221" spans="1:29">
      <c r="A221" s="115" t="e">
        <f>+'AMBERIEU LAGNIEU'!#REF!</f>
        <v>#REF!</v>
      </c>
      <c r="B221" s="115" t="e">
        <f>+'AMBERIEU LAGNIEU'!#REF!</f>
        <v>#REF!</v>
      </c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94"/>
      <c r="R221" s="102"/>
      <c r="S221" s="62"/>
      <c r="T221" s="65">
        <f t="shared" si="13"/>
        <v>15</v>
      </c>
      <c r="U221" s="62"/>
      <c r="V221" s="62"/>
      <c r="W221" s="65">
        <f t="shared" si="14"/>
        <v>50</v>
      </c>
      <c r="X221" s="62"/>
      <c r="Y221" s="62"/>
      <c r="Z221" s="62"/>
      <c r="AA221" s="62"/>
      <c r="AB221" s="62"/>
      <c r="AC221" s="65">
        <f t="shared" si="15"/>
        <v>35</v>
      </c>
    </row>
    <row r="222" spans="1:29">
      <c r="A222" s="115" t="e">
        <f>+'AMBERIEU LAGNIEU'!#REF!</f>
        <v>#REF!</v>
      </c>
      <c r="B222" s="115" t="e">
        <f>+'AMBERIEU LAGNIEU'!#REF!</f>
        <v>#REF!</v>
      </c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94"/>
      <c r="R222" s="102"/>
      <c r="S222" s="62"/>
      <c r="T222" s="65">
        <f t="shared" si="13"/>
        <v>15</v>
      </c>
      <c r="U222" s="62"/>
      <c r="V222" s="62"/>
      <c r="W222" s="65">
        <f t="shared" si="14"/>
        <v>50</v>
      </c>
      <c r="X222" s="62"/>
      <c r="Y222" s="62"/>
      <c r="Z222" s="62"/>
      <c r="AA222" s="62"/>
      <c r="AB222" s="62"/>
      <c r="AC222" s="65">
        <f t="shared" si="15"/>
        <v>35</v>
      </c>
    </row>
    <row r="223" spans="1:29">
      <c r="A223" s="115" t="e">
        <f>+'AMBERIEU LAGNIEU'!#REF!</f>
        <v>#REF!</v>
      </c>
      <c r="B223" s="115" t="e">
        <f>+'AMBERIEU LAGNIEU'!#REF!</f>
        <v>#REF!</v>
      </c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94"/>
      <c r="R223" s="102"/>
      <c r="S223" s="62"/>
      <c r="T223" s="65">
        <f t="shared" si="13"/>
        <v>15</v>
      </c>
      <c r="U223" s="62"/>
      <c r="V223" s="62"/>
      <c r="W223" s="65">
        <f t="shared" si="14"/>
        <v>50</v>
      </c>
      <c r="X223" s="62"/>
      <c r="Y223" s="62"/>
      <c r="Z223" s="62"/>
      <c r="AA223" s="62"/>
      <c r="AB223" s="62"/>
      <c r="AC223" s="65">
        <f t="shared" si="15"/>
        <v>35</v>
      </c>
    </row>
    <row r="224" spans="1:29">
      <c r="A224" s="115" t="e">
        <f>+'AMBERIEU LAGNIEU'!#REF!</f>
        <v>#REF!</v>
      </c>
      <c r="B224" s="115" t="e">
        <f>+'AMBERIEU LAGNIEU'!#REF!</f>
        <v>#REF!</v>
      </c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94"/>
      <c r="R224" s="102"/>
      <c r="S224" s="62"/>
      <c r="T224" s="65">
        <f t="shared" si="13"/>
        <v>15</v>
      </c>
      <c r="U224" s="62"/>
      <c r="V224" s="62"/>
      <c r="W224" s="65">
        <f t="shared" si="14"/>
        <v>50</v>
      </c>
      <c r="X224" s="62"/>
      <c r="Y224" s="62"/>
      <c r="Z224" s="62"/>
      <c r="AA224" s="62"/>
      <c r="AB224" s="62"/>
      <c r="AC224" s="65">
        <f t="shared" si="15"/>
        <v>35</v>
      </c>
    </row>
    <row r="225" spans="1:29">
      <c r="A225" s="115" t="e">
        <f>+'AMBERIEU LAGNIEU'!#REF!</f>
        <v>#REF!</v>
      </c>
      <c r="B225" s="115" t="e">
        <f>+'AMBERIEU LAGNIEU'!#REF!</f>
        <v>#REF!</v>
      </c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94"/>
      <c r="R225" s="102"/>
      <c r="S225" s="62"/>
      <c r="T225" s="65">
        <f t="shared" si="13"/>
        <v>15</v>
      </c>
      <c r="U225" s="62"/>
      <c r="V225" s="62"/>
      <c r="W225" s="65">
        <f t="shared" si="14"/>
        <v>50</v>
      </c>
      <c r="X225" s="62"/>
      <c r="Y225" s="62"/>
      <c r="Z225" s="62"/>
      <c r="AA225" s="62"/>
      <c r="AB225" s="62"/>
      <c r="AC225" s="65">
        <f t="shared" si="15"/>
        <v>35</v>
      </c>
    </row>
    <row r="226" spans="1:29">
      <c r="A226" s="115" t="e">
        <f>+'AMBERIEU LAGNIEU'!#REF!</f>
        <v>#REF!</v>
      </c>
      <c r="B226" s="115" t="e">
        <f>+'AMBERIEU LAGNIEU'!#REF!</f>
        <v>#REF!</v>
      </c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94"/>
      <c r="R226" s="102"/>
      <c r="S226" s="62"/>
      <c r="T226" s="65">
        <f t="shared" si="13"/>
        <v>15</v>
      </c>
      <c r="U226" s="62"/>
      <c r="V226" s="62"/>
      <c r="W226" s="65">
        <f t="shared" si="14"/>
        <v>50</v>
      </c>
      <c r="X226" s="62"/>
      <c r="Y226" s="62"/>
      <c r="Z226" s="62"/>
      <c r="AA226" s="62"/>
      <c r="AB226" s="62"/>
      <c r="AC226" s="65">
        <f t="shared" si="15"/>
        <v>35</v>
      </c>
    </row>
    <row r="227" spans="1:29">
      <c r="A227" s="115" t="e">
        <f>+'AMBERIEU LAGNIEU'!#REF!</f>
        <v>#REF!</v>
      </c>
      <c r="B227" s="115" t="e">
        <f>+'AMBERIEU LAGNIEU'!#REF!</f>
        <v>#REF!</v>
      </c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94"/>
      <c r="R227" s="10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</row>
    <row r="228" spans="1:29">
      <c r="A228" s="115" t="e">
        <f>+'AMBERIEU LAGNIEU'!#REF!</f>
        <v>#REF!</v>
      </c>
      <c r="B228" s="115" t="e">
        <f>+'AMBERIEU LAGNIEU'!#REF!</f>
        <v>#REF!</v>
      </c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94"/>
      <c r="R228" s="10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</row>
    <row r="229" spans="1:29">
      <c r="A229" s="115" t="e">
        <f>+'AMBERIEU LAGNIEU'!#REF!</f>
        <v>#REF!</v>
      </c>
      <c r="B229" s="115" t="e">
        <f>+'AMBERIEU LAGNIEU'!#REF!</f>
        <v>#REF!</v>
      </c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94"/>
      <c r="R229" s="10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</row>
    <row r="230" spans="1:29">
      <c r="A230" s="115" t="e">
        <f>+'AMBERIEU LAGNIEU'!#REF!</f>
        <v>#REF!</v>
      </c>
      <c r="B230" s="115" t="e">
        <f>+'AMBERIEU LAGNIEU'!#REF!</f>
        <v>#REF!</v>
      </c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94"/>
      <c r="R230" s="10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</row>
    <row r="231" spans="1:29">
      <c r="A231" s="115" t="e">
        <f>+'AMBERIEU LAGNIEU'!#REF!</f>
        <v>#REF!</v>
      </c>
      <c r="B231" s="115" t="e">
        <f>+'AMBERIEU LAGNIEU'!#REF!</f>
        <v>#REF!</v>
      </c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94"/>
      <c r="R231" s="10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</row>
    <row r="232" spans="1:29">
      <c r="A232" s="115" t="e">
        <f>+'AMBERIEU LAGNIEU'!#REF!</f>
        <v>#REF!</v>
      </c>
      <c r="B232" s="115" t="e">
        <f>+'AMBERIEU LAGNIEU'!#REF!</f>
        <v>#REF!</v>
      </c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94"/>
      <c r="R232" s="10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</row>
  </sheetData>
  <autoFilter ref="A3:AA232" xr:uid="{00000000-0009-0000-0000-000001000000}"/>
  <mergeCells count="6">
    <mergeCell ref="A2:B2"/>
    <mergeCell ref="AA1:AD1"/>
    <mergeCell ref="Q1:V1"/>
    <mergeCell ref="W1:Y1"/>
    <mergeCell ref="E1:P1"/>
    <mergeCell ref="C1:D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8947E9-FB00-43B8-9783-830066B8A4F7}">
          <x14:formula1>
            <xm:f>'liste deroulante'!$D$12:$D$13</xm:f>
          </x14:formula1>
          <xm:sqref>Q4:Q111 E49 Q2 U4:V226 AA4:AA226 X4:Y226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XEZ237"/>
  <sheetViews>
    <sheetView topLeftCell="L1" workbookViewId="0">
      <selection activeCell="M36" sqref="M36"/>
    </sheetView>
  </sheetViews>
  <sheetFormatPr baseColWidth="10" defaultRowHeight="14.4"/>
  <cols>
    <col min="1" max="1" width="26.6640625" bestFit="1" customWidth="1"/>
    <col min="2" max="2" width="13.44140625" bestFit="1" customWidth="1"/>
    <col min="9" max="9" width="14.44140625" style="69" customWidth="1"/>
    <col min="10" max="10" width="11.5546875" style="69"/>
    <col min="11" max="11" width="14" style="69" customWidth="1"/>
    <col min="12" max="12" width="8" bestFit="1" customWidth="1"/>
    <col min="17" max="17" width="11.5546875" customWidth="1"/>
    <col min="18" max="18" width="12.33203125" style="69" customWidth="1"/>
    <col min="19" max="19" width="17.5546875" style="69" customWidth="1"/>
  </cols>
  <sheetData>
    <row r="1" spans="1:19 16380:16380" s="130" customFormat="1" ht="31.95" customHeight="1">
      <c r="A1" s="613" t="s">
        <v>613</v>
      </c>
      <c r="B1" s="614"/>
      <c r="C1" s="134">
        <v>5</v>
      </c>
      <c r="D1" s="134">
        <v>7</v>
      </c>
      <c r="E1" s="134">
        <v>9</v>
      </c>
      <c r="F1" s="134">
        <v>12</v>
      </c>
      <c r="G1" s="134">
        <v>15</v>
      </c>
      <c r="H1" s="134">
        <v>15</v>
      </c>
      <c r="I1" s="136" t="s">
        <v>478</v>
      </c>
      <c r="J1" s="135">
        <v>46084</v>
      </c>
      <c r="K1" s="134">
        <v>1</v>
      </c>
      <c r="L1" s="134">
        <v>15</v>
      </c>
      <c r="M1" s="134">
        <v>15</v>
      </c>
      <c r="N1" s="134">
        <v>15</v>
      </c>
      <c r="O1" s="134">
        <v>15</v>
      </c>
      <c r="P1" s="134">
        <v>15</v>
      </c>
      <c r="Q1" s="134">
        <v>15</v>
      </c>
      <c r="R1" s="135">
        <v>46268</v>
      </c>
      <c r="S1" s="134" t="s">
        <v>538</v>
      </c>
    </row>
    <row r="2" spans="1:19 16380:16380">
      <c r="I2" s="73"/>
      <c r="J2" s="73"/>
      <c r="K2" s="73"/>
      <c r="R2" s="73"/>
      <c r="S2" s="73"/>
    </row>
    <row r="3" spans="1:19 16380:16380">
      <c r="C3" s="609" t="s">
        <v>514</v>
      </c>
      <c r="D3" s="610"/>
      <c r="E3" s="610"/>
      <c r="F3" s="610"/>
      <c r="G3" s="610"/>
      <c r="H3" s="611"/>
      <c r="I3" s="608" t="s">
        <v>494</v>
      </c>
      <c r="J3" s="608"/>
      <c r="K3" s="608"/>
      <c r="L3" s="609" t="s">
        <v>514</v>
      </c>
      <c r="M3" s="610"/>
      <c r="N3" s="610"/>
      <c r="O3" s="610"/>
      <c r="P3" s="610"/>
      <c r="Q3" s="610"/>
      <c r="R3" s="612" t="s">
        <v>495</v>
      </c>
      <c r="S3" s="612"/>
    </row>
    <row r="4" spans="1:19 16380:16380" s="68" customFormat="1" ht="65.400000000000006" customHeight="1">
      <c r="A4" s="66" t="s">
        <v>492</v>
      </c>
      <c r="B4" s="66" t="s">
        <v>493</v>
      </c>
      <c r="C4" s="67" t="s">
        <v>479</v>
      </c>
      <c r="D4" s="67" t="s">
        <v>480</v>
      </c>
      <c r="E4" s="67" t="s">
        <v>481</v>
      </c>
      <c r="F4" s="67" t="s">
        <v>482</v>
      </c>
      <c r="G4" s="67" t="s">
        <v>483</v>
      </c>
      <c r="H4" s="67" t="s">
        <v>484</v>
      </c>
      <c r="I4" s="70" t="s">
        <v>537</v>
      </c>
      <c r="J4" s="70" t="s">
        <v>516</v>
      </c>
      <c r="K4" s="70" t="s">
        <v>478</v>
      </c>
      <c r="L4" s="67" t="s">
        <v>486</v>
      </c>
      <c r="M4" s="67" t="s">
        <v>487</v>
      </c>
      <c r="N4" s="67" t="s">
        <v>488</v>
      </c>
      <c r="O4" s="67" t="s">
        <v>489</v>
      </c>
      <c r="P4" s="67" t="s">
        <v>490</v>
      </c>
      <c r="Q4" s="67" t="s">
        <v>491</v>
      </c>
      <c r="R4" s="70" t="s">
        <v>515</v>
      </c>
      <c r="S4" s="70" t="s">
        <v>540</v>
      </c>
    </row>
    <row r="5" spans="1:19 16380:16380">
      <c r="A5" s="62" t="str">
        <f>+'AMBERIEU LAGNIEU'!C12</f>
        <v>CHAOU</v>
      </c>
      <c r="B5" s="62" t="str">
        <f>+'AMBERIEU LAGNIEU'!D12</f>
        <v>Bouchra</v>
      </c>
      <c r="C5" s="62"/>
      <c r="D5" s="62"/>
      <c r="E5" s="62"/>
      <c r="F5" s="62"/>
      <c r="G5" s="62"/>
      <c r="H5" s="62"/>
      <c r="I5" s="71"/>
      <c r="J5" s="72"/>
      <c r="K5" s="72"/>
      <c r="L5" s="62"/>
      <c r="M5" s="62"/>
      <c r="N5" s="62"/>
      <c r="O5" s="62"/>
      <c r="P5" s="62"/>
      <c r="Q5" s="62"/>
      <c r="R5" s="72"/>
      <c r="S5" s="72"/>
    </row>
    <row r="6" spans="1:19 16380:16380">
      <c r="A6" s="62" t="str">
        <f>+'AMBERIEU LAGNIEU'!C13</f>
        <v>KACZOROWSKI</v>
      </c>
      <c r="B6" s="62" t="str">
        <f>+'AMBERIEU LAGNIEU'!D13</f>
        <v>Gary</v>
      </c>
      <c r="D6" s="62"/>
      <c r="E6" s="62"/>
      <c r="F6" s="62"/>
      <c r="G6" s="62"/>
      <c r="H6" s="62"/>
      <c r="I6" s="71"/>
      <c r="J6" s="114"/>
      <c r="K6" s="72"/>
      <c r="L6" s="62"/>
      <c r="M6" s="62"/>
      <c r="N6" s="62"/>
      <c r="O6" s="62"/>
      <c r="P6" s="62"/>
      <c r="Q6" s="62"/>
      <c r="R6" s="72"/>
      <c r="S6" s="133"/>
    </row>
    <row r="7" spans="1:19 16380:16380">
      <c r="A7" s="62" t="str">
        <f>+'AMBERIEU LAGNIEU'!C14</f>
        <v xml:space="preserve">PILCH </v>
      </c>
      <c r="B7" s="62" t="str">
        <f>+'AMBERIEU LAGNIEU'!D14</f>
        <v>Jean-Christophe</v>
      </c>
      <c r="C7" s="131"/>
      <c r="D7" s="62"/>
      <c r="E7" s="62"/>
      <c r="F7" s="62"/>
      <c r="G7" s="62"/>
      <c r="H7" s="62"/>
      <c r="I7" s="71"/>
      <c r="J7" s="72"/>
      <c r="K7" s="72"/>
      <c r="L7" s="62"/>
      <c r="M7" s="62"/>
      <c r="N7" s="62"/>
      <c r="O7" s="62"/>
      <c r="P7" s="62"/>
      <c r="Q7" s="62"/>
      <c r="R7" s="72"/>
      <c r="S7" s="72"/>
    </row>
    <row r="8" spans="1:19 16380:16380">
      <c r="A8" s="62" t="str">
        <f>+'AMBERIEU LAGNIEU'!C15</f>
        <v>CLOYER</v>
      </c>
      <c r="B8" s="62" t="str">
        <f>+'AMBERIEU LAGNIEU'!D15</f>
        <v>Jérémy</v>
      </c>
      <c r="C8" s="62"/>
      <c r="D8" s="62"/>
      <c r="E8" s="62"/>
      <c r="F8" s="62"/>
      <c r="G8" s="62"/>
      <c r="H8" s="62"/>
      <c r="I8" s="71"/>
      <c r="J8" s="72"/>
      <c r="K8" s="72"/>
      <c r="L8" s="62"/>
      <c r="M8" s="62"/>
      <c r="N8" s="62"/>
      <c r="O8" s="62"/>
      <c r="P8" s="62"/>
      <c r="Q8" s="62"/>
      <c r="R8" s="72"/>
      <c r="S8" s="133"/>
    </row>
    <row r="9" spans="1:19 16380:16380">
      <c r="A9" s="62" t="str">
        <f>+'AMBERIEU LAGNIEU'!C16</f>
        <v>YILMAZ</v>
      </c>
      <c r="B9" s="62" t="str">
        <f>+'AMBERIEU LAGNIEU'!D16</f>
        <v>Mehmet</v>
      </c>
      <c r="C9" s="62"/>
      <c r="D9" s="62"/>
      <c r="E9" s="62"/>
      <c r="F9" s="62"/>
      <c r="G9" s="62"/>
      <c r="H9" s="62"/>
      <c r="I9" s="71"/>
      <c r="J9" s="113"/>
      <c r="K9" s="72"/>
      <c r="L9" s="62"/>
      <c r="M9" s="62"/>
      <c r="N9" s="62"/>
      <c r="O9" s="62"/>
      <c r="P9" s="62"/>
      <c r="Q9" s="62"/>
      <c r="R9" s="72"/>
      <c r="S9" s="133"/>
    </row>
    <row r="10" spans="1:19 16380:16380">
      <c r="A10" s="62" t="str">
        <f>+'AMBERIEU LAGNIEU'!C17</f>
        <v>AL ALI</v>
      </c>
      <c r="B10" s="62" t="str">
        <f>+'AMBERIEU LAGNIEU'!D17</f>
        <v>Abdallah</v>
      </c>
      <c r="C10" s="62"/>
      <c r="D10" s="62"/>
      <c r="E10" s="62"/>
      <c r="F10" s="62"/>
      <c r="G10" s="62"/>
      <c r="H10" s="62"/>
      <c r="I10" s="71"/>
      <c r="J10" s="72"/>
      <c r="K10" s="72"/>
      <c r="L10" s="62"/>
      <c r="M10" s="62"/>
      <c r="N10" s="62"/>
      <c r="O10" s="62"/>
      <c r="P10" s="62"/>
      <c r="Q10" s="62"/>
      <c r="R10" s="72"/>
      <c r="S10" s="133"/>
    </row>
    <row r="11" spans="1:19 16380:16380">
      <c r="A11" s="62" t="e">
        <f>+'AMBERIEU LAGNIEU'!#REF!</f>
        <v>#REF!</v>
      </c>
      <c r="B11" s="62" t="e">
        <f>+'AMBERIEU LAGNIEU'!#REF!</f>
        <v>#REF!</v>
      </c>
      <c r="C11" s="62"/>
      <c r="D11" s="62"/>
      <c r="E11" s="62"/>
      <c r="F11" s="62"/>
      <c r="G11" s="62"/>
      <c r="H11" s="62"/>
      <c r="I11" s="71"/>
      <c r="J11" s="72"/>
      <c r="K11" s="72"/>
      <c r="L11" s="62"/>
      <c r="M11" s="62"/>
      <c r="N11" s="62"/>
      <c r="O11" s="62"/>
      <c r="P11" s="62"/>
      <c r="Q11" s="62"/>
      <c r="R11" s="72"/>
      <c r="S11" s="72"/>
    </row>
    <row r="12" spans="1:19 16380:16380">
      <c r="A12" s="62" t="str">
        <f>+'AMBERIEU LAGNIEU'!C18</f>
        <v>ASLIMANI/LAAROUSSI</v>
      </c>
      <c r="B12" s="62" t="str">
        <f>+'AMBERIEU LAGNIEU'!D18</f>
        <v>Nasera</v>
      </c>
      <c r="C12" s="62"/>
      <c r="D12" s="62"/>
      <c r="E12" s="62"/>
      <c r="F12" s="62"/>
      <c r="G12" s="62"/>
      <c r="H12" s="62"/>
      <c r="I12" s="71"/>
      <c r="J12" s="72"/>
      <c r="K12" s="72"/>
      <c r="L12" s="62"/>
      <c r="M12" s="62"/>
      <c r="N12" s="62"/>
      <c r="O12" s="62"/>
      <c r="P12" s="62"/>
      <c r="Q12" s="62"/>
      <c r="R12" s="72"/>
      <c r="S12" s="72"/>
    </row>
    <row r="13" spans="1:19 16380:16380">
      <c r="A13" s="62" t="str">
        <f>+'AMBERIEU LAGNIEU'!C19</f>
        <v>BAJRAMOVA</v>
      </c>
      <c r="B13" s="62" t="str">
        <f>+'AMBERIEU LAGNIEU'!D19</f>
        <v>Juksela</v>
      </c>
      <c r="C13" s="62"/>
      <c r="D13" s="62"/>
      <c r="E13" s="62"/>
      <c r="F13" s="62"/>
      <c r="G13" s="62"/>
      <c r="H13" s="62"/>
      <c r="I13" s="71"/>
      <c r="J13" s="72"/>
      <c r="K13" s="72"/>
      <c r="L13" s="132"/>
      <c r="M13" s="132"/>
      <c r="N13" s="132"/>
      <c r="O13" s="132"/>
      <c r="P13" s="132"/>
      <c r="Q13" s="132"/>
      <c r="R13" s="72"/>
      <c r="S13" s="72"/>
      <c r="XEZ13" t="s">
        <v>477</v>
      </c>
    </row>
    <row r="14" spans="1:19 16380:16380">
      <c r="A14" s="62" t="str">
        <f>+'AMBERIEU LAGNIEU'!C20</f>
        <v>BERNARDIN</v>
      </c>
      <c r="B14" s="62" t="str">
        <f>+'AMBERIEU LAGNIEU'!D20</f>
        <v>Gaëlle</v>
      </c>
      <c r="C14" s="62"/>
      <c r="D14" s="62"/>
      <c r="E14" s="62"/>
      <c r="F14" s="62"/>
      <c r="G14" s="62"/>
      <c r="H14" s="62"/>
      <c r="I14" s="71"/>
      <c r="J14" s="72"/>
      <c r="K14" s="72"/>
      <c r="L14" s="132"/>
      <c r="M14" s="132"/>
      <c r="N14" s="132"/>
      <c r="O14" s="132"/>
      <c r="P14" s="132"/>
      <c r="Q14" s="132"/>
      <c r="R14" s="72"/>
      <c r="S14" s="72"/>
    </row>
    <row r="15" spans="1:19 16380:16380">
      <c r="A15" s="62" t="str">
        <f>+'AMBERIEU LAGNIEU'!C21</f>
        <v>BORKADI-KHALDI</v>
      </c>
      <c r="B15" s="62" t="str">
        <f>+'AMBERIEU LAGNIEU'!D21</f>
        <v>Cindy</v>
      </c>
      <c r="C15" s="62"/>
      <c r="D15" s="62"/>
      <c r="E15" s="62"/>
      <c r="F15" s="62"/>
      <c r="G15" s="62"/>
      <c r="H15" s="62"/>
      <c r="I15" s="71"/>
      <c r="J15" s="114"/>
      <c r="K15" s="72"/>
      <c r="L15" s="132"/>
      <c r="M15" s="132"/>
      <c r="N15" s="132"/>
      <c r="O15" s="132"/>
      <c r="P15" s="132"/>
      <c r="Q15" s="132"/>
      <c r="R15" s="72"/>
      <c r="S15" s="133"/>
    </row>
    <row r="16" spans="1:19 16380:16380">
      <c r="A16" s="62" t="str">
        <f>+'AMBERIEU LAGNIEU'!C22</f>
        <v>CLAIRET</v>
      </c>
      <c r="B16" s="62" t="str">
        <f>+'AMBERIEU LAGNIEU'!D22</f>
        <v>Patrice</v>
      </c>
      <c r="C16" s="62"/>
      <c r="D16" s="62"/>
      <c r="E16" s="62"/>
      <c r="F16" s="62"/>
      <c r="G16" s="62"/>
      <c r="H16" s="62"/>
      <c r="I16" s="71"/>
      <c r="J16" s="72"/>
      <c r="K16" s="72"/>
      <c r="L16" s="132"/>
      <c r="M16" s="132"/>
      <c r="N16" s="132"/>
      <c r="O16" s="132"/>
      <c r="P16" s="132"/>
      <c r="Q16" s="132"/>
      <c r="R16" s="72"/>
      <c r="S16" s="72"/>
    </row>
    <row r="17" spans="1:19">
      <c r="A17" s="62" t="str">
        <f>+'AMBERIEU LAGNIEU'!C23</f>
        <v>CREPALDI</v>
      </c>
      <c r="B17" s="62" t="str">
        <f>+'AMBERIEU LAGNIEU'!D23</f>
        <v>David</v>
      </c>
      <c r="C17" s="62"/>
      <c r="D17" s="62"/>
      <c r="E17" s="62"/>
      <c r="F17" s="62"/>
      <c r="G17" s="62"/>
      <c r="H17" s="62"/>
      <c r="I17" s="71"/>
      <c r="J17" s="114"/>
      <c r="K17" s="72"/>
      <c r="L17" s="132"/>
      <c r="M17" s="132"/>
      <c r="N17" s="132"/>
      <c r="O17" s="132"/>
      <c r="P17" s="132"/>
      <c r="Q17" s="132"/>
      <c r="R17" s="72"/>
      <c r="S17" s="133"/>
    </row>
    <row r="18" spans="1:19">
      <c r="A18" s="62" t="str">
        <f>+'AMBERIEU LAGNIEU'!C24</f>
        <v>FARINA</v>
      </c>
      <c r="B18" s="62" t="str">
        <f>+'AMBERIEU LAGNIEU'!D24</f>
        <v>Yann</v>
      </c>
      <c r="C18" s="62"/>
      <c r="D18" s="62"/>
      <c r="E18" s="62"/>
      <c r="F18" s="62"/>
      <c r="G18" s="62"/>
      <c r="H18" s="62"/>
      <c r="I18" s="71"/>
      <c r="J18" s="72"/>
      <c r="K18" s="72"/>
      <c r="L18" s="132"/>
      <c r="M18" s="132"/>
      <c r="N18" s="132"/>
      <c r="O18" s="132"/>
      <c r="P18" s="132"/>
      <c r="Q18" s="132"/>
      <c r="R18" s="72"/>
      <c r="S18" s="72"/>
    </row>
    <row r="19" spans="1:19">
      <c r="A19" s="62" t="str">
        <f>+'AMBERIEU LAGNIEU'!C25</f>
        <v>FERNANDES</v>
      </c>
      <c r="B19" s="62" t="str">
        <f>+'AMBERIEU LAGNIEU'!D25</f>
        <v>Noemie</v>
      </c>
      <c r="C19" s="62"/>
      <c r="D19" s="62"/>
      <c r="E19" s="62"/>
      <c r="F19" s="62"/>
      <c r="G19" s="62"/>
      <c r="H19" s="62"/>
      <c r="I19" s="71"/>
      <c r="J19" s="114"/>
      <c r="K19" s="72"/>
      <c r="L19" s="132"/>
      <c r="M19" s="132"/>
      <c r="N19" s="132"/>
      <c r="O19" s="132"/>
      <c r="P19" s="132"/>
      <c r="Q19" s="132"/>
      <c r="R19" s="72"/>
      <c r="S19" s="72"/>
    </row>
    <row r="20" spans="1:19">
      <c r="A20" s="62" t="str">
        <f>+'AMBERIEU LAGNIEU'!C26</f>
        <v>FOFANA</v>
      </c>
      <c r="B20" s="62" t="str">
        <f>+'AMBERIEU LAGNIEU'!D26</f>
        <v>Fanta</v>
      </c>
      <c r="C20" s="62"/>
      <c r="D20" s="62"/>
      <c r="E20" s="62"/>
      <c r="F20" s="62"/>
      <c r="G20" s="62"/>
      <c r="H20" s="62"/>
      <c r="I20" s="71"/>
      <c r="J20" s="72"/>
      <c r="K20" s="72"/>
      <c r="L20" s="132"/>
      <c r="M20" s="132"/>
      <c r="N20" s="132"/>
      <c r="O20" s="132"/>
      <c r="P20" s="132"/>
      <c r="Q20" s="132"/>
      <c r="R20" s="72"/>
      <c r="S20" s="72"/>
    </row>
    <row r="21" spans="1:19">
      <c r="A21" s="62" t="str">
        <f>+'AMBERIEU LAGNIEU'!C27</f>
        <v>HAMOT</v>
      </c>
      <c r="B21" s="62" t="str">
        <f>+'AMBERIEU LAGNIEU'!D27</f>
        <v>Whitney</v>
      </c>
      <c r="C21" s="62"/>
      <c r="D21" s="62"/>
      <c r="E21" s="62"/>
      <c r="F21" s="62"/>
      <c r="G21" s="62"/>
      <c r="H21" s="62"/>
      <c r="I21" s="71"/>
      <c r="J21" s="75"/>
      <c r="K21" s="72"/>
      <c r="L21" s="115"/>
      <c r="M21" s="115"/>
      <c r="N21" s="115"/>
      <c r="O21" s="115"/>
      <c r="P21" s="115"/>
      <c r="Q21" s="115"/>
      <c r="R21" s="133"/>
      <c r="S21" s="133"/>
    </row>
    <row r="22" spans="1:19">
      <c r="A22" s="62" t="str">
        <f>+'AMBERIEU LAGNIEU'!C28</f>
        <v>JUVENAL</v>
      </c>
      <c r="B22" s="62" t="str">
        <f>+'AMBERIEU LAGNIEU'!D28</f>
        <v>Cédric</v>
      </c>
      <c r="C22" s="62"/>
      <c r="D22" s="62"/>
      <c r="E22" s="62"/>
      <c r="F22" s="62"/>
      <c r="G22" s="62"/>
      <c r="H22" s="62"/>
      <c r="I22" s="71"/>
      <c r="J22" s="72"/>
      <c r="K22" s="72"/>
      <c r="L22" s="132"/>
      <c r="M22" s="132"/>
      <c r="N22" s="132"/>
      <c r="O22" s="132"/>
      <c r="P22" s="132"/>
      <c r="Q22" s="132"/>
      <c r="R22" s="72"/>
      <c r="S22" s="72"/>
    </row>
    <row r="23" spans="1:19">
      <c r="A23" s="62" t="str">
        <f>+'AMBERIEU LAGNIEU'!C29</f>
        <v>KHALO / OMAR</v>
      </c>
      <c r="B23" s="62" t="str">
        <f>+'AMBERIEU LAGNIEU'!D29</f>
        <v>Hanifa</v>
      </c>
      <c r="C23" s="62"/>
      <c r="D23" s="62"/>
      <c r="E23" s="62"/>
      <c r="F23" s="62"/>
      <c r="G23" s="62"/>
      <c r="H23" s="62"/>
      <c r="I23" s="71"/>
      <c r="J23" s="72"/>
      <c r="K23" s="72"/>
      <c r="L23" s="132"/>
      <c r="M23" s="132"/>
      <c r="N23" s="132"/>
      <c r="O23" s="132"/>
      <c r="P23" s="132"/>
      <c r="Q23" s="132"/>
      <c r="R23" s="72"/>
      <c r="S23" s="72"/>
    </row>
    <row r="24" spans="1:19">
      <c r="A24" s="62" t="str">
        <f>+'AMBERIEU LAGNIEU'!C30</f>
        <v>KOUASSI</v>
      </c>
      <c r="B24" s="62" t="str">
        <f>+'AMBERIEU LAGNIEU'!D30</f>
        <v>Amoin Désirée Prudence</v>
      </c>
      <c r="C24" s="62"/>
      <c r="D24" s="62"/>
      <c r="E24" s="62"/>
      <c r="F24" s="62"/>
      <c r="G24" s="62"/>
      <c r="H24" s="62"/>
      <c r="I24" s="71"/>
      <c r="J24" s="114"/>
      <c r="K24" s="72"/>
      <c r="L24" s="132"/>
      <c r="M24" s="132"/>
      <c r="N24" s="132"/>
      <c r="O24" s="132"/>
      <c r="P24" s="132"/>
      <c r="Q24" s="132"/>
      <c r="R24" s="72"/>
      <c r="S24" s="72"/>
    </row>
    <row r="25" spans="1:19">
      <c r="A25" s="62" t="str">
        <f>+'AMBERIEU LAGNIEU'!C31</f>
        <v>LAHURE</v>
      </c>
      <c r="B25" s="62" t="str">
        <f>+'AMBERIEU LAGNIEU'!D31</f>
        <v>Belinda</v>
      </c>
      <c r="C25" s="62"/>
      <c r="D25" s="62"/>
      <c r="E25" s="62"/>
      <c r="F25" s="62"/>
      <c r="G25" s="62"/>
      <c r="H25" s="62"/>
      <c r="I25" s="71"/>
      <c r="J25" s="75"/>
      <c r="K25" s="72"/>
      <c r="L25" s="115"/>
      <c r="M25" s="115"/>
      <c r="N25" s="115"/>
      <c r="O25" s="115"/>
      <c r="P25" s="115"/>
      <c r="Q25" s="115"/>
      <c r="R25" s="133"/>
      <c r="S25" s="133"/>
    </row>
    <row r="26" spans="1:19">
      <c r="A26" s="62" t="str">
        <f>+'AMBERIEU LAGNIEU'!C32</f>
        <v>LYONNET</v>
      </c>
      <c r="B26" s="62" t="str">
        <f>+'AMBERIEU LAGNIEU'!D32</f>
        <v>Sandrine</v>
      </c>
      <c r="C26" s="62"/>
      <c r="D26" s="62"/>
      <c r="E26" s="62"/>
      <c r="F26" s="62"/>
      <c r="G26" s="62"/>
      <c r="H26" s="62"/>
      <c r="I26" s="71"/>
      <c r="J26" s="72"/>
      <c r="K26" s="72"/>
      <c r="L26" s="132"/>
      <c r="M26" s="132"/>
      <c r="N26" s="132"/>
      <c r="O26" s="132"/>
      <c r="P26" s="132"/>
      <c r="Q26" s="132"/>
      <c r="R26" s="72"/>
      <c r="S26" s="72"/>
    </row>
    <row r="27" spans="1:19">
      <c r="A27" s="62" t="str">
        <f>+'AMBERIEU LAGNIEU'!C33</f>
        <v>MAHAMADOU</v>
      </c>
      <c r="B27" s="62" t="str">
        <f>+'AMBERIEU LAGNIEU'!D33</f>
        <v>Haoua</v>
      </c>
      <c r="C27" s="62"/>
      <c r="D27" s="62"/>
      <c r="E27" s="62"/>
      <c r="F27" s="62"/>
      <c r="G27" s="62"/>
      <c r="H27" s="62"/>
      <c r="I27" s="71"/>
      <c r="J27" s="75"/>
      <c r="K27" s="72"/>
      <c r="L27" s="115"/>
      <c r="M27" s="115"/>
      <c r="N27" s="115"/>
      <c r="O27" s="115"/>
      <c r="P27" s="115"/>
      <c r="Q27" s="115"/>
      <c r="R27" s="133"/>
      <c r="S27" s="133"/>
    </row>
    <row r="28" spans="1:19">
      <c r="A28" s="62" t="str">
        <f>+'AMBERIEU LAGNIEU'!C34</f>
        <v>MAHESHE NKUBONAGE</v>
      </c>
      <c r="B28" s="62" t="str">
        <f>+'AMBERIEU LAGNIEU'!D34</f>
        <v>Nicole</v>
      </c>
      <c r="C28" s="62"/>
      <c r="D28" s="62"/>
      <c r="E28" s="62"/>
      <c r="F28" s="62"/>
      <c r="G28" s="62"/>
      <c r="H28" s="62"/>
      <c r="I28" s="71"/>
      <c r="J28" s="72"/>
      <c r="K28" s="72"/>
      <c r="L28" s="132"/>
      <c r="M28" s="132"/>
      <c r="N28" s="132"/>
      <c r="O28" s="132"/>
      <c r="P28" s="132"/>
      <c r="Q28" s="132"/>
      <c r="R28" s="72"/>
      <c r="S28" s="72"/>
    </row>
    <row r="29" spans="1:19">
      <c r="A29" s="62" t="str">
        <f>+'AMBERIEU LAGNIEU'!C35</f>
        <v>MIGUEL</v>
      </c>
      <c r="B29" s="62" t="str">
        <f>+'AMBERIEU LAGNIEU'!D35</f>
        <v>Herve</v>
      </c>
      <c r="C29" s="62"/>
      <c r="D29" s="62"/>
      <c r="E29" s="62"/>
      <c r="F29" s="62"/>
      <c r="G29" s="62"/>
      <c r="H29" s="62"/>
      <c r="I29" s="71"/>
      <c r="J29" s="72"/>
      <c r="K29" s="72"/>
      <c r="L29" s="132"/>
      <c r="M29" s="132"/>
      <c r="N29" s="132"/>
      <c r="O29" s="132"/>
      <c r="P29" s="132"/>
      <c r="Q29" s="132"/>
      <c r="R29" s="72"/>
      <c r="S29" s="72"/>
    </row>
    <row r="30" spans="1:19">
      <c r="A30" s="62" t="str">
        <f>+'AMBERIEU LAGNIEU'!C36</f>
        <v>MOHAMAD</v>
      </c>
      <c r="B30" s="62" t="str">
        <f>+'AMBERIEU LAGNIEU'!D36</f>
        <v>Shirin</v>
      </c>
      <c r="C30" s="62"/>
      <c r="D30" s="62"/>
      <c r="E30" s="62"/>
      <c r="F30" s="62"/>
      <c r="G30" s="62"/>
      <c r="H30" s="62"/>
      <c r="I30" s="71"/>
      <c r="J30" s="72"/>
      <c r="K30" s="72"/>
      <c r="L30" s="132"/>
      <c r="M30" s="132"/>
      <c r="N30" s="132"/>
      <c r="O30" s="132"/>
      <c r="P30" s="132"/>
      <c r="Q30" s="132"/>
      <c r="R30" s="72"/>
      <c r="S30" s="72"/>
    </row>
    <row r="31" spans="1:19">
      <c r="A31" s="62" t="str">
        <f>+'AMBERIEU LAGNIEU'!C37</f>
        <v>MOTA</v>
      </c>
      <c r="B31" s="62" t="str">
        <f>+'AMBERIEU LAGNIEU'!D37</f>
        <v>Jean Michel</v>
      </c>
      <c r="C31" s="62"/>
      <c r="D31" s="62"/>
      <c r="E31" s="62"/>
      <c r="F31" s="62"/>
      <c r="G31" s="62"/>
      <c r="H31" s="62"/>
      <c r="I31" s="71"/>
      <c r="J31" s="114"/>
      <c r="K31" s="72"/>
      <c r="L31" s="132"/>
      <c r="M31" s="132"/>
      <c r="N31" s="132"/>
      <c r="O31" s="132"/>
      <c r="P31" s="132"/>
      <c r="Q31" s="132"/>
      <c r="R31" s="72"/>
      <c r="S31" s="72"/>
    </row>
    <row r="32" spans="1:19">
      <c r="A32" s="62" t="str">
        <f>+'AMBERIEU LAGNIEU'!C38</f>
        <v>PIEDBOIS</v>
      </c>
      <c r="B32" s="62" t="str">
        <f>+'AMBERIEU LAGNIEU'!D38</f>
        <v>Youri</v>
      </c>
      <c r="C32" s="62"/>
      <c r="D32" s="62"/>
      <c r="E32" s="62"/>
      <c r="F32" s="62"/>
      <c r="G32" s="62"/>
      <c r="H32" s="62"/>
      <c r="I32" s="71"/>
      <c r="J32" s="112"/>
      <c r="K32" s="72"/>
      <c r="L32" s="115"/>
      <c r="M32" s="115"/>
      <c r="N32" s="115"/>
      <c r="O32" s="115"/>
      <c r="P32" s="115"/>
      <c r="Q32" s="115"/>
      <c r="R32" s="133"/>
      <c r="S32" s="133"/>
    </row>
    <row r="33" spans="1:19">
      <c r="A33" s="62" t="str">
        <f>+'AMBERIEU LAGNIEU'!C39</f>
        <v>POTENZIANI</v>
      </c>
      <c r="B33" s="62" t="str">
        <f>+'AMBERIEU LAGNIEU'!D39</f>
        <v>Nicolas</v>
      </c>
      <c r="C33" s="62"/>
      <c r="D33" s="62"/>
      <c r="E33" s="62"/>
      <c r="F33" s="62"/>
      <c r="G33" s="62"/>
      <c r="H33" s="62"/>
      <c r="I33" s="71"/>
      <c r="J33" s="72"/>
      <c r="K33" s="72"/>
      <c r="L33" s="132"/>
      <c r="M33" s="132"/>
      <c r="N33" s="132"/>
      <c r="O33" s="132"/>
      <c r="P33" s="132"/>
      <c r="Q33" s="132"/>
      <c r="R33" s="72"/>
      <c r="S33" s="72"/>
    </row>
    <row r="34" spans="1:19">
      <c r="A34" s="62" t="str">
        <f>+'AMBERIEU LAGNIEU'!C40</f>
        <v>PUVILLAN</v>
      </c>
      <c r="B34" s="62" t="str">
        <f>+'AMBERIEU LAGNIEU'!D40</f>
        <v>Cédric</v>
      </c>
      <c r="C34" s="62"/>
      <c r="D34" s="62"/>
      <c r="E34" s="62"/>
      <c r="F34" s="62"/>
      <c r="G34" s="62"/>
      <c r="H34" s="62"/>
      <c r="I34" s="71"/>
      <c r="J34" s="72"/>
      <c r="K34" s="72"/>
      <c r="L34" s="132"/>
      <c r="M34" s="132"/>
      <c r="N34" s="132"/>
      <c r="O34" s="132"/>
      <c r="P34" s="132"/>
      <c r="Q34" s="132"/>
      <c r="R34" s="72"/>
      <c r="S34" s="72"/>
    </row>
    <row r="35" spans="1:19">
      <c r="A35" s="62" t="str">
        <f>+'AMBERIEU LAGNIEU'!C41</f>
        <v>RAMDANI</v>
      </c>
      <c r="B35" s="62" t="str">
        <f>+'AMBERIEU LAGNIEU'!D41</f>
        <v>Ikram</v>
      </c>
      <c r="C35" s="62"/>
      <c r="D35" s="62"/>
      <c r="E35" s="62"/>
      <c r="F35" s="62"/>
      <c r="G35" s="62"/>
      <c r="H35" s="62"/>
      <c r="I35" s="71"/>
      <c r="J35" s="114"/>
      <c r="K35" s="72"/>
      <c r="L35" s="132"/>
      <c r="M35" s="132"/>
      <c r="N35" s="132"/>
      <c r="O35" s="132"/>
      <c r="P35" s="132"/>
      <c r="Q35" s="132"/>
      <c r="R35" s="72"/>
      <c r="S35" s="72"/>
    </row>
    <row r="36" spans="1:19">
      <c r="A36" s="62" t="str">
        <f>+'AMBERIEU LAGNIEU'!C42</f>
        <v>RAMOS</v>
      </c>
      <c r="B36" s="62" t="str">
        <f>+'AMBERIEU LAGNIEU'!D42</f>
        <v>Audrey</v>
      </c>
      <c r="C36" s="62"/>
      <c r="D36" s="62"/>
      <c r="E36" s="62"/>
      <c r="F36" s="62"/>
      <c r="G36" s="62"/>
      <c r="H36" s="62"/>
      <c r="I36" s="71"/>
      <c r="J36" s="72"/>
      <c r="K36" s="72"/>
      <c r="L36" s="132"/>
      <c r="M36" s="132"/>
      <c r="N36" s="132"/>
      <c r="O36" s="132"/>
      <c r="P36" s="132"/>
      <c r="Q36" s="132"/>
      <c r="R36" s="72"/>
      <c r="S36" s="72"/>
    </row>
    <row r="37" spans="1:19">
      <c r="A37" s="62" t="str">
        <f>+'AMBERIEU LAGNIEU'!C43</f>
        <v>RONGIER</v>
      </c>
      <c r="B37" s="62" t="str">
        <f>+'AMBERIEU LAGNIEU'!D43</f>
        <v>Marine</v>
      </c>
      <c r="C37" s="62"/>
      <c r="D37" s="62"/>
      <c r="E37" s="62"/>
      <c r="F37" s="62"/>
      <c r="G37" s="62"/>
      <c r="H37" s="62"/>
      <c r="I37" s="71"/>
      <c r="J37" s="72"/>
      <c r="K37" s="72"/>
      <c r="L37" s="132"/>
      <c r="M37" s="132"/>
      <c r="N37" s="132"/>
      <c r="O37" s="132"/>
      <c r="P37" s="132"/>
      <c r="Q37" s="132"/>
      <c r="R37" s="72"/>
      <c r="S37" s="72"/>
    </row>
    <row r="38" spans="1:19">
      <c r="A38" s="62" t="str">
        <f>+'AMBERIEU LAGNIEU'!C44</f>
        <v>ROUSSEL</v>
      </c>
      <c r="B38" s="62" t="str">
        <f>+'AMBERIEU LAGNIEU'!D44</f>
        <v>Joanna</v>
      </c>
      <c r="C38" s="62"/>
      <c r="D38" s="62"/>
      <c r="E38" s="62"/>
      <c r="F38" s="62"/>
      <c r="G38" s="62"/>
      <c r="H38" s="62"/>
      <c r="I38" s="71"/>
      <c r="J38" s="75"/>
      <c r="K38" s="72"/>
      <c r="L38" s="115"/>
      <c r="M38" s="115"/>
      <c r="N38" s="115"/>
      <c r="O38" s="115"/>
      <c r="P38" s="115"/>
      <c r="Q38" s="115"/>
      <c r="R38" s="133"/>
      <c r="S38" s="133"/>
    </row>
    <row r="39" spans="1:19">
      <c r="A39" s="62" t="str">
        <f>+'AMBERIEU LAGNIEU'!C45</f>
        <v>SANTANA</v>
      </c>
      <c r="B39" s="62" t="str">
        <f>+'AMBERIEU LAGNIEU'!D45</f>
        <v>Alexis</v>
      </c>
      <c r="C39" s="62"/>
      <c r="D39" s="62"/>
      <c r="E39" s="62"/>
      <c r="F39" s="62"/>
      <c r="G39" s="62"/>
      <c r="H39" s="62"/>
      <c r="I39" s="71"/>
      <c r="J39" s="72"/>
      <c r="K39" s="72"/>
      <c r="L39" s="132"/>
      <c r="M39" s="132"/>
      <c r="N39" s="132"/>
      <c r="O39" s="132"/>
      <c r="P39" s="132"/>
      <c r="Q39" s="132"/>
      <c r="R39" s="72"/>
      <c r="S39" s="72"/>
    </row>
    <row r="40" spans="1:19">
      <c r="A40" s="62" t="str">
        <f>+'AMBERIEU LAGNIEU'!C46</f>
        <v>SCHEID</v>
      </c>
      <c r="B40" s="62" t="str">
        <f>+'AMBERIEU LAGNIEU'!D46</f>
        <v>Marie</v>
      </c>
      <c r="C40" s="62"/>
      <c r="D40" s="62"/>
      <c r="E40" s="62"/>
      <c r="F40" s="62"/>
      <c r="G40" s="62"/>
      <c r="H40" s="62"/>
      <c r="I40" s="71"/>
      <c r="J40" s="72"/>
      <c r="K40" s="72"/>
      <c r="L40" s="132"/>
      <c r="M40" s="132"/>
      <c r="N40" s="132"/>
      <c r="O40" s="132"/>
      <c r="P40" s="132"/>
      <c r="Q40" s="132"/>
      <c r="R40" s="72"/>
      <c r="S40" s="72"/>
    </row>
    <row r="41" spans="1:19">
      <c r="A41" s="62" t="str">
        <f>+'AMBERIEU LAGNIEU'!C47</f>
        <v>SEYE</v>
      </c>
      <c r="B41" s="62" t="str">
        <f>+'AMBERIEU LAGNIEU'!D47</f>
        <v>Mohamed</v>
      </c>
      <c r="C41" s="62"/>
      <c r="D41" s="62"/>
      <c r="E41" s="62"/>
      <c r="F41" s="62"/>
      <c r="G41" s="62"/>
      <c r="H41" s="62"/>
      <c r="I41" s="71"/>
      <c r="J41" s="72"/>
      <c r="K41" s="72"/>
      <c r="L41" s="132"/>
      <c r="M41" s="132"/>
      <c r="N41" s="132"/>
      <c r="O41" s="132"/>
      <c r="P41" s="132"/>
      <c r="Q41" s="132"/>
      <c r="R41" s="72"/>
      <c r="S41" s="72"/>
    </row>
    <row r="42" spans="1:19">
      <c r="A42" s="62" t="str">
        <f>+'AMBERIEU LAGNIEU'!C48</f>
        <v>SOUADIA</v>
      </c>
      <c r="B42" s="62" t="str">
        <f>+'AMBERIEU LAGNIEU'!D48</f>
        <v>Sandrine</v>
      </c>
      <c r="C42" s="62"/>
      <c r="D42" s="62"/>
      <c r="E42" s="62"/>
      <c r="F42" s="62"/>
      <c r="G42" s="62"/>
      <c r="H42" s="62"/>
      <c r="I42" s="71"/>
      <c r="J42" s="72"/>
      <c r="K42" s="72"/>
      <c r="L42" s="132"/>
      <c r="M42" s="132"/>
      <c r="N42" s="132"/>
      <c r="O42" s="132"/>
      <c r="P42" s="132"/>
      <c r="Q42" s="132"/>
      <c r="R42" s="72"/>
      <c r="S42" s="72"/>
    </row>
    <row r="43" spans="1:19">
      <c r="A43" s="62" t="str">
        <f>+'AMBERIEU LAGNIEU'!C49</f>
        <v>TAHIRI</v>
      </c>
      <c r="B43" s="62" t="str">
        <f>+'AMBERIEU LAGNIEU'!D49</f>
        <v>Marsela</v>
      </c>
      <c r="C43" s="62"/>
      <c r="D43" s="62"/>
      <c r="E43" s="62"/>
      <c r="F43" s="62"/>
      <c r="G43" s="62"/>
      <c r="H43" s="62"/>
      <c r="I43" s="71"/>
      <c r="J43" s="72"/>
      <c r="K43" s="72"/>
      <c r="L43" s="132"/>
      <c r="M43" s="132"/>
      <c r="N43" s="132"/>
      <c r="O43" s="132"/>
      <c r="P43" s="132"/>
      <c r="Q43" s="132"/>
      <c r="R43" s="72"/>
      <c r="S43" s="72"/>
    </row>
    <row r="44" spans="1:19">
      <c r="A44" s="62" t="str">
        <f>+'AMBERIEU LAGNIEU'!C50</f>
        <v>TALASH</v>
      </c>
      <c r="B44" s="62" t="str">
        <f>+'AMBERIEU LAGNIEU'!D50</f>
        <v>Mohamad</v>
      </c>
      <c r="C44" s="62"/>
      <c r="D44" s="62"/>
      <c r="E44" s="62"/>
      <c r="F44" s="62"/>
      <c r="G44" s="62"/>
      <c r="H44" s="62"/>
      <c r="I44" s="71"/>
      <c r="J44" s="72"/>
      <c r="K44" s="72"/>
      <c r="L44" s="132"/>
      <c r="M44" s="132"/>
      <c r="N44" s="132"/>
      <c r="O44" s="132"/>
      <c r="P44" s="132"/>
      <c r="Q44" s="132"/>
      <c r="R44" s="72"/>
      <c r="S44" s="72"/>
    </row>
    <row r="45" spans="1:19">
      <c r="A45" s="62" t="str">
        <f>+'AMBERIEU LAGNIEU'!C51</f>
        <v>THEVENON-DANIERE</v>
      </c>
      <c r="B45" s="62" t="str">
        <f>+'AMBERIEU LAGNIEU'!D51</f>
        <v>Géraldine</v>
      </c>
      <c r="C45" s="62"/>
      <c r="D45" s="62"/>
      <c r="E45" s="62"/>
      <c r="F45" s="62"/>
      <c r="G45" s="62"/>
      <c r="H45" s="62"/>
      <c r="I45" s="71"/>
      <c r="J45" s="72"/>
      <c r="K45" s="72"/>
      <c r="L45" s="132"/>
      <c r="M45" s="132"/>
      <c r="N45" s="132"/>
      <c r="O45" s="132"/>
      <c r="P45" s="132"/>
      <c r="Q45" s="132"/>
      <c r="R45" s="72"/>
      <c r="S45" s="72"/>
    </row>
    <row r="46" spans="1:19">
      <c r="A46" s="62" t="str">
        <f>+'AMBERIEU LAGNIEU'!C52</f>
        <v>THOMASSON</v>
      </c>
      <c r="B46" s="62" t="str">
        <f>+'AMBERIEU LAGNIEU'!D52</f>
        <v>Amélie</v>
      </c>
      <c r="C46" s="62"/>
      <c r="D46" s="62"/>
      <c r="E46" s="62"/>
      <c r="F46" s="62"/>
      <c r="G46" s="62"/>
      <c r="H46" s="62"/>
      <c r="I46" s="71"/>
      <c r="J46" s="72"/>
      <c r="K46" s="72"/>
      <c r="L46" s="132"/>
      <c r="M46" s="132"/>
      <c r="N46" s="132"/>
      <c r="O46" s="132"/>
      <c r="P46" s="132"/>
      <c r="Q46" s="132"/>
      <c r="R46" s="72"/>
      <c r="S46" s="72"/>
    </row>
    <row r="47" spans="1:19">
      <c r="A47" s="62" t="str">
        <f>+'AMBERIEU LAGNIEU'!C53</f>
        <v>TOURE</v>
      </c>
      <c r="B47" s="62" t="str">
        <f>+'AMBERIEU LAGNIEU'!D53</f>
        <v>Marie Agnes</v>
      </c>
      <c r="C47" s="62"/>
      <c r="D47" s="62"/>
      <c r="E47" s="62"/>
      <c r="F47" s="62"/>
      <c r="G47" s="62"/>
      <c r="H47" s="62"/>
      <c r="I47" s="71"/>
      <c r="J47" s="72"/>
      <c r="K47" s="72"/>
      <c r="L47" s="132"/>
      <c r="M47" s="132"/>
      <c r="N47" s="132"/>
      <c r="O47" s="132"/>
      <c r="P47" s="132"/>
      <c r="Q47" s="132"/>
      <c r="R47" s="72"/>
      <c r="S47" s="72"/>
    </row>
    <row r="48" spans="1:19">
      <c r="A48" s="62" t="str">
        <f>+'AMBERIEU LAGNIEU'!C54</f>
        <v>TRONQUART</v>
      </c>
      <c r="B48" s="62" t="str">
        <f>+'AMBERIEU LAGNIEU'!D54</f>
        <v>Marie-Christine</v>
      </c>
      <c r="C48" s="62"/>
      <c r="D48" s="62"/>
      <c r="E48" s="62"/>
      <c r="F48" s="62"/>
      <c r="G48" s="62"/>
      <c r="H48" s="62"/>
      <c r="I48" s="71"/>
      <c r="J48" s="72"/>
      <c r="K48" s="72"/>
      <c r="L48" s="132"/>
      <c r="M48" s="132"/>
      <c r="N48" s="132"/>
      <c r="O48" s="132"/>
      <c r="P48" s="132"/>
      <c r="Q48" s="132"/>
      <c r="R48" s="72"/>
      <c r="S48" s="72"/>
    </row>
    <row r="49" spans="1:19">
      <c r="A49" s="62" t="str">
        <f>+'AMBERIEU LAGNIEU'!C55</f>
        <v>TUNCAY</v>
      </c>
      <c r="B49" s="62" t="str">
        <f>+'AMBERIEU LAGNIEU'!D55</f>
        <v>Esira</v>
      </c>
      <c r="C49" s="62"/>
      <c r="D49" s="62"/>
      <c r="E49" s="62"/>
      <c r="F49" s="62"/>
      <c r="G49" s="62"/>
      <c r="H49" s="62"/>
      <c r="I49" s="71"/>
      <c r="J49" s="72"/>
      <c r="K49" s="72"/>
      <c r="L49" s="132"/>
      <c r="M49" s="132"/>
      <c r="N49" s="132"/>
      <c r="O49" s="132"/>
      <c r="P49" s="132"/>
      <c r="Q49" s="132"/>
      <c r="R49" s="72"/>
      <c r="S49" s="72"/>
    </row>
    <row r="50" spans="1:19">
      <c r="A50" s="62" t="str">
        <f>+'AMBERIEU LAGNIEU'!C56</f>
        <v>VOGELSGSANG</v>
      </c>
      <c r="B50" s="62" t="str">
        <f>+'AMBERIEU LAGNIEU'!D56</f>
        <v>Emilie</v>
      </c>
      <c r="C50" s="62"/>
      <c r="D50" s="62"/>
      <c r="E50" s="62"/>
      <c r="F50" s="62"/>
      <c r="G50" s="62"/>
      <c r="H50" s="62"/>
      <c r="I50" s="71"/>
      <c r="J50" s="72"/>
      <c r="K50" s="72"/>
      <c r="L50" s="132"/>
      <c r="M50" s="132"/>
      <c r="N50" s="132"/>
      <c r="O50" s="132"/>
      <c r="P50" s="132"/>
      <c r="Q50" s="132"/>
      <c r="R50" s="72"/>
      <c r="S50" s="72"/>
    </row>
    <row r="51" spans="1:19">
      <c r="A51" s="62" t="str">
        <f>+'AMBERIEU LAGNIEU'!C57</f>
        <v>YOUNES</v>
      </c>
      <c r="B51" s="62" t="str">
        <f>+'AMBERIEU LAGNIEU'!D57</f>
        <v>Sarah</v>
      </c>
      <c r="C51" s="62"/>
      <c r="D51" s="62"/>
      <c r="E51" s="62"/>
      <c r="F51" s="62"/>
      <c r="G51" s="62"/>
      <c r="H51" s="62"/>
      <c r="I51" s="71"/>
      <c r="J51" s="72"/>
      <c r="K51" s="72"/>
      <c r="L51" s="132"/>
      <c r="M51" s="132"/>
      <c r="N51" s="132"/>
      <c r="O51" s="132"/>
      <c r="P51" s="132"/>
      <c r="Q51" s="132"/>
      <c r="R51" s="72"/>
      <c r="S51" s="72"/>
    </row>
    <row r="52" spans="1:19">
      <c r="A52" s="62" t="str">
        <f>+'AMBERIEU LAGNIEU'!C58</f>
        <v>ZABLOT</v>
      </c>
      <c r="B52" s="62" t="str">
        <f>+'AMBERIEU LAGNIEU'!D58</f>
        <v>Arthur</v>
      </c>
      <c r="C52" s="62"/>
      <c r="D52" s="62"/>
      <c r="E52" s="62"/>
      <c r="F52" s="62"/>
      <c r="G52" s="62"/>
      <c r="H52" s="62"/>
      <c r="I52" s="71"/>
      <c r="J52" s="72"/>
      <c r="K52" s="72"/>
      <c r="L52" s="132"/>
      <c r="M52" s="132"/>
      <c r="N52" s="132"/>
      <c r="O52" s="132"/>
      <c r="P52" s="132"/>
      <c r="Q52" s="132"/>
      <c r="R52" s="72"/>
      <c r="S52" s="72"/>
    </row>
    <row r="53" spans="1:19">
      <c r="A53" s="62" t="str">
        <f>+'AMBERIEU LAGNIEU'!C59</f>
        <v>CHEKKI</v>
      </c>
      <c r="B53" s="62" t="str">
        <f>+'AMBERIEU LAGNIEU'!D59</f>
        <v>Islam</v>
      </c>
      <c r="C53" s="62"/>
      <c r="D53" s="62"/>
      <c r="E53" s="62"/>
      <c r="F53" s="62"/>
      <c r="G53" s="62"/>
      <c r="H53" s="62"/>
      <c r="I53" s="71"/>
      <c r="J53" s="72"/>
      <c r="K53" s="72"/>
      <c r="L53" s="132"/>
      <c r="M53" s="132"/>
      <c r="N53" s="132"/>
      <c r="O53" s="132"/>
      <c r="P53" s="132"/>
      <c r="Q53" s="132"/>
      <c r="R53" s="72"/>
      <c r="S53" s="72"/>
    </row>
    <row r="54" spans="1:19">
      <c r="A54" s="62" t="str">
        <f>+'AMBERIEU LAGNIEU'!C60</f>
        <v>LAMANCHE</v>
      </c>
      <c r="B54" s="62" t="str">
        <f>+'AMBERIEU LAGNIEU'!D60</f>
        <v>Steve</v>
      </c>
      <c r="C54" s="62"/>
      <c r="D54" s="62"/>
      <c r="E54" s="62"/>
      <c r="F54" s="62"/>
      <c r="G54" s="62"/>
      <c r="H54" s="62"/>
      <c r="I54" s="71"/>
      <c r="J54" s="72"/>
      <c r="K54" s="72"/>
      <c r="L54" s="132"/>
      <c r="M54" s="132"/>
      <c r="N54" s="132"/>
      <c r="O54" s="132"/>
      <c r="P54" s="132"/>
      <c r="Q54" s="132"/>
      <c r="R54" s="72"/>
      <c r="S54" s="72"/>
    </row>
    <row r="55" spans="1:19">
      <c r="A55" s="62" t="str">
        <f>+'AMBERIEU LAGNIEU'!C61</f>
        <v>SLIMANI</v>
      </c>
      <c r="B55" s="62" t="str">
        <f>+'AMBERIEU LAGNIEU'!D61</f>
        <v>Lahouaria</v>
      </c>
      <c r="C55" s="62"/>
      <c r="D55" s="62"/>
      <c r="E55" s="62"/>
      <c r="F55" s="62"/>
      <c r="G55" s="62"/>
      <c r="H55" s="62"/>
      <c r="I55" s="71"/>
      <c r="J55" s="72"/>
      <c r="K55" s="72"/>
      <c r="L55" s="132"/>
      <c r="M55" s="132"/>
      <c r="N55" s="132"/>
      <c r="O55" s="132"/>
      <c r="P55" s="132"/>
      <c r="Q55" s="132"/>
      <c r="R55" s="72"/>
      <c r="S55" s="72"/>
    </row>
    <row r="56" spans="1:19">
      <c r="A56" s="62" t="e">
        <f>+'AMBERIEU LAGNIEU'!#REF!</f>
        <v>#REF!</v>
      </c>
      <c r="B56" s="62" t="e">
        <f>+'AMBERIEU LAGNIEU'!#REF!</f>
        <v>#REF!</v>
      </c>
      <c r="C56" s="62"/>
      <c r="D56" s="62"/>
      <c r="E56" s="62"/>
      <c r="F56" s="62"/>
      <c r="G56" s="62"/>
      <c r="H56" s="62"/>
      <c r="I56" s="71"/>
      <c r="J56" s="72"/>
      <c r="K56" s="72"/>
      <c r="L56" s="132"/>
      <c r="M56" s="132"/>
      <c r="N56" s="132"/>
      <c r="O56" s="132"/>
      <c r="P56" s="132"/>
      <c r="Q56" s="132"/>
      <c r="R56" s="72"/>
      <c r="S56" s="72"/>
    </row>
    <row r="57" spans="1:19">
      <c r="A57" s="62" t="str">
        <f>+'AMBERIEU LAGNIEU'!C62</f>
        <v>MALIQI</v>
      </c>
      <c r="B57" s="62" t="str">
        <f>+'AMBERIEU LAGNIEU'!D62</f>
        <v>Qendrese</v>
      </c>
      <c r="C57" s="62"/>
      <c r="D57" s="62"/>
      <c r="E57" s="62"/>
      <c r="F57" s="62"/>
      <c r="G57" s="62"/>
      <c r="H57" s="62"/>
      <c r="I57" s="71"/>
      <c r="J57" s="72"/>
      <c r="K57" s="72"/>
      <c r="L57" s="132"/>
      <c r="M57" s="132"/>
      <c r="N57" s="132"/>
      <c r="O57" s="132"/>
      <c r="P57" s="132"/>
      <c r="Q57" s="132"/>
      <c r="R57" s="72"/>
      <c r="S57" s="72"/>
    </row>
    <row r="58" spans="1:19">
      <c r="A58" s="62" t="str">
        <f>+'AMBERIEU LAGNIEU'!C63</f>
        <v>MULLAEVA</v>
      </c>
      <c r="B58" s="62" t="str">
        <f>+'AMBERIEU LAGNIEU'!D63</f>
        <v>Malvina</v>
      </c>
      <c r="C58" s="62"/>
      <c r="D58" s="62"/>
      <c r="E58" s="62"/>
      <c r="F58" s="62"/>
      <c r="G58" s="62"/>
      <c r="H58" s="62"/>
      <c r="I58" s="71"/>
      <c r="J58" s="72"/>
      <c r="K58" s="72"/>
      <c r="L58" s="132"/>
      <c r="M58" s="132"/>
      <c r="N58" s="132"/>
      <c r="O58" s="132"/>
      <c r="P58" s="132"/>
      <c r="Q58" s="132"/>
      <c r="R58" s="72"/>
      <c r="S58" s="72"/>
    </row>
    <row r="59" spans="1:19">
      <c r="A59" s="62" t="e">
        <f>+'AMBERIEU LAGNIEU'!#REF!</f>
        <v>#REF!</v>
      </c>
      <c r="B59" s="62" t="e">
        <f>+'AMBERIEU LAGNIEU'!#REF!</f>
        <v>#REF!</v>
      </c>
      <c r="C59" s="62"/>
      <c r="D59" s="62"/>
      <c r="E59" s="62"/>
      <c r="F59" s="62"/>
      <c r="G59" s="62"/>
      <c r="H59" s="62"/>
      <c r="I59" s="71"/>
      <c r="J59" s="72"/>
      <c r="K59" s="72"/>
      <c r="L59" s="132"/>
      <c r="M59" s="132"/>
      <c r="N59" s="132"/>
      <c r="O59" s="132"/>
      <c r="P59" s="132"/>
      <c r="Q59" s="132"/>
      <c r="R59" s="72"/>
      <c r="S59" s="72"/>
    </row>
    <row r="60" spans="1:19">
      <c r="A60" s="62" t="str">
        <f>+'AMBERIEU LAGNIEU'!C64</f>
        <v>MICHALET</v>
      </c>
      <c r="B60" s="62" t="str">
        <f>+'AMBERIEU LAGNIEU'!D64</f>
        <v>Jean Louis</v>
      </c>
      <c r="C60" s="62"/>
      <c r="D60" s="62"/>
      <c r="E60" s="62"/>
      <c r="F60" s="62"/>
      <c r="G60" s="62"/>
      <c r="H60" s="62"/>
      <c r="I60" s="71"/>
      <c r="J60" s="72"/>
      <c r="K60" s="72"/>
      <c r="L60" s="132"/>
      <c r="M60" s="132"/>
      <c r="N60" s="132"/>
      <c r="O60" s="132"/>
      <c r="P60" s="132"/>
      <c r="Q60" s="132"/>
      <c r="R60" s="72"/>
      <c r="S60" s="72"/>
    </row>
    <row r="61" spans="1:19">
      <c r="A61" s="62" t="str">
        <f>+'AMBERIEU LAGNIEU'!C65</f>
        <v>LOMBARD</v>
      </c>
      <c r="B61" s="62" t="str">
        <f>+'AMBERIEU LAGNIEU'!D65</f>
        <v>Aurelia</v>
      </c>
      <c r="C61" s="62"/>
      <c r="D61" s="62"/>
      <c r="E61" s="62"/>
      <c r="F61" s="62"/>
      <c r="G61" s="62"/>
      <c r="H61" s="62"/>
      <c r="I61" s="71"/>
      <c r="J61" s="72"/>
      <c r="K61" s="72"/>
      <c r="L61" s="132"/>
      <c r="M61" s="132"/>
      <c r="N61" s="132"/>
      <c r="O61" s="132"/>
      <c r="P61" s="132"/>
      <c r="Q61" s="132"/>
      <c r="R61" s="72"/>
      <c r="S61" s="72"/>
    </row>
    <row r="62" spans="1:19">
      <c r="A62" s="62" t="str">
        <f>+'AMBERIEU LAGNIEU'!C66</f>
        <v>TEKIN</v>
      </c>
      <c r="B62" s="62" t="str">
        <f>+'AMBERIEU LAGNIEU'!D66</f>
        <v>Vural</v>
      </c>
      <c r="C62" s="62"/>
      <c r="D62" s="62"/>
      <c r="E62" s="62"/>
      <c r="F62" s="62"/>
      <c r="G62" s="62"/>
      <c r="H62" s="62"/>
      <c r="I62" s="71"/>
      <c r="J62" s="72"/>
      <c r="K62" s="72"/>
      <c r="L62" s="132"/>
      <c r="M62" s="132"/>
      <c r="N62" s="132"/>
      <c r="O62" s="132"/>
      <c r="P62" s="132"/>
      <c r="Q62" s="132"/>
      <c r="R62" s="72"/>
      <c r="S62" s="72"/>
    </row>
    <row r="63" spans="1:19">
      <c r="A63" s="62" t="str">
        <f>+'AMBERIEU LAGNIEU'!C67</f>
        <v>VANEENOO</v>
      </c>
      <c r="B63" s="62" t="str">
        <f>+'AMBERIEU LAGNIEU'!D67</f>
        <v>Cedric</v>
      </c>
      <c r="C63" s="62"/>
      <c r="D63" s="62"/>
      <c r="E63" s="62"/>
      <c r="F63" s="62"/>
      <c r="G63" s="62"/>
      <c r="H63" s="62"/>
      <c r="I63" s="71"/>
      <c r="J63" s="72"/>
      <c r="K63" s="72"/>
      <c r="L63" s="132"/>
      <c r="M63" s="132"/>
      <c r="N63" s="132"/>
      <c r="O63" s="132"/>
      <c r="P63" s="132"/>
      <c r="Q63" s="132"/>
      <c r="R63" s="72"/>
      <c r="S63" s="72"/>
    </row>
    <row r="64" spans="1:19">
      <c r="A64" s="62" t="str">
        <f>+'AMBERIEU LAGNIEU'!C68</f>
        <v>YOUSEF</v>
      </c>
      <c r="B64" s="62" t="str">
        <f>+'AMBERIEU LAGNIEU'!D68</f>
        <v>Siraj</v>
      </c>
      <c r="C64" s="62"/>
      <c r="D64" s="62"/>
      <c r="E64" s="62"/>
      <c r="F64" s="62"/>
      <c r="G64" s="62"/>
      <c r="H64" s="62"/>
      <c r="I64" s="71"/>
      <c r="J64" s="72"/>
      <c r="K64" s="72"/>
      <c r="L64" s="132"/>
      <c r="M64" s="132"/>
      <c r="N64" s="132"/>
      <c r="O64" s="132"/>
      <c r="P64" s="132"/>
      <c r="Q64" s="132"/>
      <c r="R64" s="72"/>
      <c r="S64" s="72"/>
    </row>
    <row r="65" spans="1:19">
      <c r="A65" s="62" t="str">
        <f>+'AMBERIEU LAGNIEU'!C69</f>
        <v>OLRY</v>
      </c>
      <c r="B65" s="62" t="str">
        <f>+'AMBERIEU LAGNIEU'!D69</f>
        <v>Florence</v>
      </c>
      <c r="C65" s="62"/>
      <c r="D65" s="62"/>
      <c r="E65" s="62"/>
      <c r="F65" s="62"/>
      <c r="G65" s="62"/>
      <c r="H65" s="62"/>
      <c r="I65" s="71"/>
      <c r="J65" s="72"/>
      <c r="K65" s="72"/>
      <c r="L65" s="132"/>
      <c r="M65" s="132"/>
      <c r="N65" s="132"/>
      <c r="O65" s="132"/>
      <c r="P65" s="132"/>
      <c r="Q65" s="132"/>
      <c r="R65" s="72"/>
      <c r="S65" s="72"/>
    </row>
    <row r="66" spans="1:19">
      <c r="A66" s="62" t="e">
        <f>+'AMBERIEU LAGNIEU'!#REF!</f>
        <v>#REF!</v>
      </c>
      <c r="B66" s="62" t="e">
        <f>+'AMBERIEU LAGNIEU'!#REF!</f>
        <v>#REF!</v>
      </c>
      <c r="C66" s="62"/>
      <c r="D66" s="62"/>
      <c r="E66" s="62"/>
      <c r="F66" s="62"/>
      <c r="G66" s="62"/>
      <c r="H66" s="62"/>
      <c r="I66" s="71"/>
      <c r="J66" s="72"/>
      <c r="K66" s="72"/>
      <c r="L66" s="132"/>
      <c r="M66" s="132"/>
      <c r="N66" s="132"/>
      <c r="O66" s="132"/>
      <c r="P66" s="132"/>
      <c r="Q66" s="132"/>
      <c r="R66" s="72"/>
      <c r="S66" s="72"/>
    </row>
    <row r="67" spans="1:19">
      <c r="A67" s="62" t="str">
        <f>+'AMBERIEU LAGNIEU'!C70</f>
        <v>TURPIN</v>
      </c>
      <c r="B67" s="62" t="str">
        <f>+'AMBERIEU LAGNIEU'!D70</f>
        <v>Océane</v>
      </c>
      <c r="C67" s="62"/>
      <c r="D67" s="62"/>
      <c r="E67" s="62"/>
      <c r="F67" s="62"/>
      <c r="G67" s="62"/>
      <c r="H67" s="62"/>
      <c r="I67" s="71"/>
      <c r="J67" s="72"/>
      <c r="K67" s="72"/>
      <c r="L67" s="132"/>
      <c r="M67" s="132"/>
      <c r="N67" s="132"/>
      <c r="O67" s="132"/>
      <c r="P67" s="132"/>
      <c r="Q67" s="132"/>
      <c r="R67" s="72"/>
      <c r="S67" s="72"/>
    </row>
    <row r="68" spans="1:19">
      <c r="A68" s="62" t="e">
        <f>+'AMBERIEU LAGNIEU'!#REF!</f>
        <v>#REF!</v>
      </c>
      <c r="B68" s="62" t="e">
        <f>+'AMBERIEU LAGNIEU'!#REF!</f>
        <v>#REF!</v>
      </c>
      <c r="C68" s="62"/>
      <c r="D68" s="62"/>
      <c r="E68" s="62"/>
      <c r="F68" s="62"/>
      <c r="G68" s="62"/>
      <c r="H68" s="62"/>
      <c r="I68" s="71"/>
      <c r="J68" s="72"/>
      <c r="K68" s="72"/>
      <c r="L68" s="132"/>
      <c r="M68" s="132"/>
      <c r="N68" s="132"/>
      <c r="O68" s="132"/>
      <c r="P68" s="132"/>
      <c r="Q68" s="132"/>
      <c r="R68" s="72"/>
      <c r="S68" s="72"/>
    </row>
    <row r="69" spans="1:19">
      <c r="A69" s="62" t="str">
        <f>+'AMBERIEU LAGNIEU'!C71</f>
        <v>CHERON</v>
      </c>
      <c r="B69" s="62" t="str">
        <f>+'AMBERIEU LAGNIEU'!D71</f>
        <v>Carine</v>
      </c>
      <c r="C69" s="62"/>
      <c r="D69" s="62"/>
      <c r="E69" s="62"/>
      <c r="F69" s="62"/>
      <c r="G69" s="62"/>
      <c r="H69" s="62"/>
      <c r="I69" s="71"/>
      <c r="J69" s="72"/>
      <c r="K69" s="72"/>
      <c r="L69" s="132"/>
      <c r="M69" s="132"/>
      <c r="N69" s="132"/>
      <c r="O69" s="132"/>
      <c r="P69" s="132"/>
      <c r="Q69" s="132"/>
      <c r="R69" s="72"/>
      <c r="S69" s="72"/>
    </row>
    <row r="70" spans="1:19">
      <c r="A70" s="62" t="str">
        <f>+'AMBERIEU LAGNIEU'!C72</f>
        <v>BEN BRAHIM</v>
      </c>
      <c r="B70" s="62" t="str">
        <f>+'AMBERIEU LAGNIEU'!D72</f>
        <v>Ridha</v>
      </c>
      <c r="C70" s="62"/>
      <c r="D70" s="62"/>
      <c r="E70" s="62"/>
      <c r="F70" s="62"/>
      <c r="G70" s="62"/>
      <c r="H70" s="62"/>
      <c r="I70" s="71"/>
      <c r="J70" s="72"/>
      <c r="K70" s="72"/>
      <c r="L70" s="132"/>
      <c r="M70" s="132"/>
      <c r="N70" s="132"/>
      <c r="O70" s="132"/>
      <c r="P70" s="132"/>
      <c r="Q70" s="132"/>
      <c r="R70" s="72"/>
      <c r="S70" s="72"/>
    </row>
    <row r="71" spans="1:19">
      <c r="A71" s="62" t="str">
        <f>+'AMBERIEU LAGNIEU'!C73</f>
        <v>MESSAI/RIBEIRO</v>
      </c>
      <c r="B71" s="62" t="str">
        <f>+'AMBERIEU LAGNIEU'!D73</f>
        <v>Hadda</v>
      </c>
      <c r="C71" s="62"/>
      <c r="D71" s="62"/>
      <c r="E71" s="62"/>
      <c r="F71" s="62"/>
      <c r="G71" s="62"/>
      <c r="H71" s="62"/>
      <c r="I71" s="71"/>
      <c r="J71" s="72"/>
      <c r="K71" s="72"/>
      <c r="L71" s="132"/>
      <c r="M71" s="132"/>
      <c r="N71" s="132"/>
      <c r="O71" s="132"/>
      <c r="P71" s="132"/>
      <c r="Q71" s="132"/>
      <c r="R71" s="72"/>
      <c r="S71" s="72"/>
    </row>
    <row r="72" spans="1:19">
      <c r="A72" s="62" t="str">
        <f>+'AMBERIEU LAGNIEU'!C74</f>
        <v>VEUGLE</v>
      </c>
      <c r="B72" s="62" t="str">
        <f>+'AMBERIEU LAGNIEU'!D74</f>
        <v>Alison</v>
      </c>
      <c r="C72" s="62"/>
      <c r="D72" s="62"/>
      <c r="E72" s="62"/>
      <c r="F72" s="62"/>
      <c r="G72" s="62"/>
      <c r="H72" s="62"/>
      <c r="I72" s="71"/>
      <c r="J72" s="72"/>
      <c r="K72" s="72"/>
      <c r="L72" s="132"/>
      <c r="M72" s="132"/>
      <c r="N72" s="132"/>
      <c r="O72" s="132"/>
      <c r="P72" s="132"/>
      <c r="Q72" s="132"/>
      <c r="R72" s="72"/>
      <c r="S72" s="72"/>
    </row>
    <row r="73" spans="1:19">
      <c r="A73" s="62" t="str">
        <f>+'AMBERIEU LAGNIEU'!C75</f>
        <v>BLIN</v>
      </c>
      <c r="B73" s="62" t="str">
        <f>+'AMBERIEU LAGNIEU'!D75</f>
        <v>Françoise</v>
      </c>
      <c r="C73" s="62"/>
      <c r="D73" s="62"/>
      <c r="E73" s="62"/>
      <c r="F73" s="62"/>
      <c r="G73" s="62"/>
      <c r="H73" s="62"/>
      <c r="I73" s="71"/>
      <c r="J73" s="72"/>
      <c r="K73" s="72"/>
      <c r="L73" s="132"/>
      <c r="M73" s="132"/>
      <c r="N73" s="132"/>
      <c r="O73" s="132"/>
      <c r="P73" s="132"/>
      <c r="Q73" s="132"/>
      <c r="R73" s="72"/>
      <c r="S73" s="72"/>
    </row>
    <row r="74" spans="1:19">
      <c r="A74" s="62" t="str">
        <f>+'AMBERIEU LAGNIEU'!C76</f>
        <v>MARNY</v>
      </c>
      <c r="B74" s="62" t="str">
        <f>+'AMBERIEU LAGNIEU'!D76</f>
        <v>Christopher</v>
      </c>
      <c r="C74" s="62"/>
      <c r="D74" s="62"/>
      <c r="E74" s="62"/>
      <c r="F74" s="62"/>
      <c r="G74" s="62"/>
      <c r="H74" s="62"/>
      <c r="I74" s="71"/>
      <c r="J74" s="72"/>
      <c r="K74" s="72"/>
      <c r="L74" s="132"/>
      <c r="M74" s="132"/>
      <c r="N74" s="132"/>
      <c r="O74" s="132"/>
      <c r="P74" s="132"/>
      <c r="Q74" s="132"/>
      <c r="R74" s="72"/>
      <c r="S74" s="72"/>
    </row>
    <row r="75" spans="1:19">
      <c r="A75" s="62" t="str">
        <f>+'AMBERIEU LAGNIEU'!C77</f>
        <v>PIOLAT</v>
      </c>
      <c r="B75" s="62" t="str">
        <f>+'AMBERIEU LAGNIEU'!D77</f>
        <v>Virginie</v>
      </c>
      <c r="C75" s="62"/>
      <c r="D75" s="62"/>
      <c r="E75" s="62"/>
      <c r="F75" s="62"/>
      <c r="G75" s="62"/>
      <c r="H75" s="62"/>
      <c r="I75" s="71"/>
      <c r="J75" s="72"/>
      <c r="K75" s="72"/>
      <c r="L75" s="132"/>
      <c r="M75" s="132"/>
      <c r="N75" s="132"/>
      <c r="O75" s="132"/>
      <c r="P75" s="132"/>
      <c r="Q75" s="132"/>
      <c r="R75" s="72"/>
      <c r="S75" s="72"/>
    </row>
    <row r="76" spans="1:19">
      <c r="A76" s="62" t="e">
        <f>+'AMBERIEU LAGNIEU'!#REF!</f>
        <v>#REF!</v>
      </c>
      <c r="B76" s="62" t="e">
        <f>+'AMBERIEU LAGNIEU'!#REF!</f>
        <v>#REF!</v>
      </c>
      <c r="C76" s="62"/>
      <c r="D76" s="62"/>
      <c r="E76" s="62"/>
      <c r="F76" s="62"/>
      <c r="G76" s="62"/>
      <c r="H76" s="62"/>
      <c r="I76" s="71"/>
      <c r="J76" s="72"/>
      <c r="K76" s="72"/>
      <c r="L76" s="132"/>
      <c r="M76" s="132"/>
      <c r="N76" s="132"/>
      <c r="O76" s="132"/>
      <c r="P76" s="132"/>
      <c r="Q76" s="132"/>
      <c r="R76" s="72"/>
      <c r="S76" s="72"/>
    </row>
    <row r="77" spans="1:19">
      <c r="A77" s="62" t="str">
        <f>+'AMBERIEU LAGNIEU'!C78</f>
        <v>CHARLIER</v>
      </c>
      <c r="B77" s="62" t="str">
        <f>+'AMBERIEU LAGNIEU'!D78</f>
        <v>William</v>
      </c>
      <c r="C77" s="62"/>
      <c r="D77" s="62"/>
      <c r="E77" s="62"/>
      <c r="F77" s="62"/>
      <c r="G77" s="62"/>
      <c r="H77" s="62"/>
      <c r="I77" s="71"/>
      <c r="J77" s="72"/>
      <c r="K77" s="72"/>
      <c r="L77" s="132"/>
      <c r="M77" s="132"/>
      <c r="N77" s="132"/>
      <c r="O77" s="132"/>
      <c r="P77" s="132"/>
      <c r="Q77" s="132"/>
      <c r="R77" s="72"/>
      <c r="S77" s="72"/>
    </row>
    <row r="78" spans="1:19">
      <c r="A78" s="62" t="e">
        <f>+'AMBERIEU LAGNIEU'!#REF!</f>
        <v>#REF!</v>
      </c>
      <c r="B78" s="62" t="e">
        <f>+'AMBERIEU LAGNIEU'!#REF!</f>
        <v>#REF!</v>
      </c>
      <c r="C78" s="62"/>
      <c r="D78" s="62"/>
      <c r="E78" s="62"/>
      <c r="F78" s="62"/>
      <c r="G78" s="62"/>
      <c r="H78" s="62"/>
      <c r="I78" s="71"/>
      <c r="J78" s="72"/>
      <c r="K78" s="72"/>
      <c r="L78" s="132"/>
      <c r="M78" s="132"/>
      <c r="N78" s="132"/>
      <c r="O78" s="132"/>
      <c r="P78" s="132"/>
      <c r="Q78" s="132"/>
      <c r="R78" s="72"/>
      <c r="S78" s="72"/>
    </row>
    <row r="79" spans="1:19">
      <c r="A79" s="62" t="str">
        <f>+'AMBERIEU LAGNIEU'!C79</f>
        <v>HAMM</v>
      </c>
      <c r="B79" s="62" t="str">
        <f>+'AMBERIEU LAGNIEU'!D79</f>
        <v>Alexandre</v>
      </c>
      <c r="C79" s="62"/>
      <c r="D79" s="62"/>
      <c r="E79" s="62"/>
      <c r="F79" s="62"/>
      <c r="G79" s="62"/>
      <c r="H79" s="62"/>
      <c r="I79" s="71"/>
      <c r="J79" s="72"/>
      <c r="K79" s="72"/>
      <c r="L79" s="132"/>
      <c r="M79" s="132"/>
      <c r="N79" s="132"/>
      <c r="O79" s="132"/>
      <c r="P79" s="132"/>
      <c r="Q79" s="132"/>
      <c r="R79" s="72"/>
      <c r="S79" s="72"/>
    </row>
    <row r="80" spans="1:19">
      <c r="A80" s="62" t="str">
        <f>+'AMBERIEU LAGNIEU'!C80</f>
        <v>BOISMENU</v>
      </c>
      <c r="B80" s="62" t="str">
        <f>+'AMBERIEU LAGNIEU'!D80</f>
        <v>David</v>
      </c>
      <c r="C80" s="62"/>
      <c r="D80" s="62"/>
      <c r="E80" s="62"/>
      <c r="F80" s="62"/>
      <c r="G80" s="62"/>
      <c r="H80" s="62"/>
      <c r="I80" s="71"/>
      <c r="J80" s="72"/>
      <c r="K80" s="72"/>
      <c r="L80" s="132"/>
      <c r="M80" s="132"/>
      <c r="N80" s="132"/>
      <c r="O80" s="132"/>
      <c r="P80" s="132"/>
      <c r="Q80" s="132"/>
      <c r="R80" s="72"/>
      <c r="S80" s="72"/>
    </row>
    <row r="81" spans="1:19">
      <c r="A81" s="62" t="str">
        <f>+'AMBERIEU LAGNIEU'!C81</f>
        <v>TOURNU</v>
      </c>
      <c r="B81" s="62" t="str">
        <f>+'AMBERIEU LAGNIEU'!D81</f>
        <v>Marie-Claude</v>
      </c>
      <c r="C81" s="62"/>
      <c r="D81" s="62"/>
      <c r="E81" s="62"/>
      <c r="F81" s="62"/>
      <c r="G81" s="62"/>
      <c r="H81" s="62"/>
      <c r="I81" s="71"/>
      <c r="J81" s="72"/>
      <c r="K81" s="72"/>
      <c r="L81" s="132"/>
      <c r="M81" s="132"/>
      <c r="N81" s="132"/>
      <c r="O81" s="132"/>
      <c r="P81" s="132"/>
      <c r="Q81" s="132"/>
      <c r="R81" s="72"/>
      <c r="S81" s="72"/>
    </row>
    <row r="82" spans="1:19">
      <c r="A82" s="62" t="e">
        <f>+'AMBERIEU LAGNIEU'!#REF!</f>
        <v>#REF!</v>
      </c>
      <c r="B82" s="62" t="e">
        <f>+'AMBERIEU LAGNIEU'!#REF!</f>
        <v>#REF!</v>
      </c>
      <c r="C82" s="62"/>
      <c r="D82" s="62"/>
      <c r="E82" s="62"/>
      <c r="F82" s="62"/>
      <c r="G82" s="62"/>
      <c r="H82" s="62"/>
      <c r="I82" s="71"/>
      <c r="J82" s="72"/>
      <c r="K82" s="72"/>
      <c r="L82" s="132"/>
      <c r="M82" s="132"/>
      <c r="N82" s="132"/>
      <c r="O82" s="132"/>
      <c r="P82" s="132"/>
      <c r="Q82" s="132"/>
      <c r="R82" s="72"/>
      <c r="S82" s="72"/>
    </row>
    <row r="83" spans="1:19">
      <c r="A83" s="62" t="str">
        <f>+'AMBERIEU LAGNIEU'!C82</f>
        <v>VULCAIN</v>
      </c>
      <c r="B83" s="62" t="str">
        <f>+'AMBERIEU LAGNIEU'!D82</f>
        <v>Alexandrine</v>
      </c>
      <c r="C83" s="62"/>
      <c r="D83" s="62"/>
      <c r="E83" s="62"/>
      <c r="F83" s="62"/>
      <c r="G83" s="62"/>
      <c r="H83" s="62"/>
      <c r="I83" s="71"/>
      <c r="J83" s="72"/>
      <c r="K83" s="72"/>
      <c r="L83" s="132"/>
      <c r="M83" s="132"/>
      <c r="N83" s="132"/>
      <c r="O83" s="132"/>
      <c r="P83" s="132"/>
      <c r="Q83" s="132"/>
      <c r="R83" s="72"/>
      <c r="S83" s="72"/>
    </row>
    <row r="84" spans="1:19">
      <c r="A84" s="62" t="str">
        <f>+'AMBERIEU LAGNIEU'!C83</f>
        <v>JUPITER</v>
      </c>
      <c r="B84" s="62" t="str">
        <f>+'AMBERIEU LAGNIEU'!D83</f>
        <v>Tanya</v>
      </c>
      <c r="C84" s="62"/>
      <c r="D84" s="62"/>
      <c r="E84" s="62"/>
      <c r="F84" s="62"/>
      <c r="G84" s="62"/>
      <c r="H84" s="62"/>
      <c r="I84" s="71"/>
      <c r="J84" s="72"/>
      <c r="K84" s="72"/>
      <c r="L84" s="132"/>
      <c r="M84" s="132"/>
      <c r="N84" s="132"/>
      <c r="O84" s="132"/>
      <c r="P84" s="132"/>
      <c r="Q84" s="132"/>
      <c r="R84" s="72"/>
      <c r="S84" s="72"/>
    </row>
    <row r="85" spans="1:19">
      <c r="A85" s="62" t="str">
        <f>+'AMBERIEU LAGNIEU'!C84</f>
        <v>GASHI</v>
      </c>
      <c r="B85" s="62" t="str">
        <f>+'AMBERIEU LAGNIEU'!D84</f>
        <v>Ramize</v>
      </c>
      <c r="C85" s="62"/>
      <c r="D85" s="62"/>
      <c r="E85" s="62"/>
      <c r="F85" s="62"/>
      <c r="G85" s="62"/>
      <c r="H85" s="62"/>
      <c r="I85" s="71"/>
      <c r="J85" s="72"/>
      <c r="K85" s="72"/>
      <c r="L85" s="132"/>
      <c r="M85" s="132"/>
      <c r="N85" s="132"/>
      <c r="O85" s="132"/>
      <c r="P85" s="132"/>
      <c r="Q85" s="132"/>
      <c r="R85" s="72"/>
      <c r="S85" s="72"/>
    </row>
    <row r="86" spans="1:19">
      <c r="A86" s="62" t="e">
        <f>+'AMBERIEU LAGNIEU'!#REF!</f>
        <v>#REF!</v>
      </c>
      <c r="B86" s="62" t="e">
        <f>+'AMBERIEU LAGNIEU'!#REF!</f>
        <v>#REF!</v>
      </c>
      <c r="C86" s="62"/>
      <c r="D86" s="62"/>
      <c r="E86" s="62"/>
      <c r="F86" s="62"/>
      <c r="G86" s="62"/>
      <c r="H86" s="62"/>
      <c r="I86" s="71"/>
      <c r="J86" s="75"/>
      <c r="K86" s="72"/>
      <c r="L86" s="115"/>
      <c r="M86" s="115"/>
      <c r="N86" s="115"/>
      <c r="O86" s="115"/>
      <c r="P86" s="115"/>
      <c r="Q86" s="115"/>
      <c r="R86" s="133"/>
      <c r="S86" s="133"/>
    </row>
    <row r="87" spans="1:19">
      <c r="A87" s="62" t="str">
        <f>+'AMBERIEU LAGNIEU'!C85</f>
        <v>KAHLAOUI</v>
      </c>
      <c r="B87" s="62" t="str">
        <f>+'AMBERIEU LAGNIEU'!D85</f>
        <v>Samira</v>
      </c>
      <c r="C87" s="62"/>
      <c r="D87" s="62"/>
      <c r="E87" s="62"/>
      <c r="F87" s="62"/>
      <c r="G87" s="62"/>
      <c r="H87" s="62"/>
      <c r="I87" s="71"/>
      <c r="J87" s="72"/>
      <c r="K87" s="72"/>
      <c r="L87" s="132"/>
      <c r="M87" s="132"/>
      <c r="N87" s="132"/>
      <c r="O87" s="132"/>
      <c r="P87" s="132"/>
      <c r="Q87" s="132"/>
      <c r="R87" s="72"/>
      <c r="S87" s="72"/>
    </row>
    <row r="88" spans="1:19">
      <c r="A88" s="62" t="str">
        <f>+'AMBERIEU LAGNIEU'!C86</f>
        <v>VESPAZIANI</v>
      </c>
      <c r="B88" s="62" t="str">
        <f>+'AMBERIEU LAGNIEU'!D86</f>
        <v>Vincent</v>
      </c>
      <c r="C88" s="62"/>
      <c r="D88" s="62"/>
      <c r="E88" s="62"/>
      <c r="F88" s="62"/>
      <c r="G88" s="62"/>
      <c r="H88" s="62"/>
      <c r="I88" s="71"/>
      <c r="J88" s="72"/>
      <c r="K88" s="72"/>
      <c r="L88" s="132"/>
      <c r="M88" s="132"/>
      <c r="N88" s="132"/>
      <c r="O88" s="132"/>
      <c r="P88" s="132"/>
      <c r="Q88" s="132"/>
      <c r="R88" s="72"/>
      <c r="S88" s="72"/>
    </row>
    <row r="89" spans="1:19">
      <c r="A89" s="62" t="e">
        <f>+'AMBERIEU LAGNIEU'!#REF!</f>
        <v>#REF!</v>
      </c>
      <c r="B89" s="62" t="e">
        <f>+'AMBERIEU LAGNIEU'!#REF!</f>
        <v>#REF!</v>
      </c>
      <c r="C89" s="62"/>
      <c r="D89" s="62"/>
      <c r="E89" s="62"/>
      <c r="F89" s="62"/>
      <c r="G89" s="62"/>
      <c r="H89" s="62"/>
      <c r="I89" s="71"/>
      <c r="J89" s="72"/>
      <c r="K89" s="72"/>
      <c r="L89" s="132"/>
      <c r="M89" s="132"/>
      <c r="N89" s="132"/>
      <c r="O89" s="132"/>
      <c r="P89" s="132"/>
      <c r="Q89" s="132"/>
      <c r="R89" s="72"/>
      <c r="S89" s="72"/>
    </row>
    <row r="90" spans="1:19">
      <c r="A90" s="62" t="e">
        <f>+'AMBERIEU LAGNIEU'!#REF!</f>
        <v>#REF!</v>
      </c>
      <c r="B90" s="62" t="e">
        <f>+'AMBERIEU LAGNIEU'!#REF!</f>
        <v>#REF!</v>
      </c>
      <c r="C90" s="62"/>
      <c r="D90" s="62"/>
      <c r="E90" s="62"/>
      <c r="F90" s="62"/>
      <c r="G90" s="62"/>
      <c r="H90" s="62"/>
      <c r="I90" s="71"/>
      <c r="J90" s="72"/>
      <c r="K90" s="72"/>
      <c r="L90" s="132"/>
      <c r="M90" s="132"/>
      <c r="N90" s="132"/>
      <c r="O90" s="132"/>
      <c r="P90" s="132"/>
      <c r="Q90" s="132"/>
      <c r="R90" s="72"/>
      <c r="S90" s="72"/>
    </row>
    <row r="91" spans="1:19">
      <c r="A91" s="62" t="str">
        <f>+'AMBERIEU LAGNIEU'!C87</f>
        <v>BASILE</v>
      </c>
      <c r="B91" s="62" t="str">
        <f>+'AMBERIEU LAGNIEU'!D87</f>
        <v>Kévin</v>
      </c>
      <c r="C91" s="62"/>
      <c r="D91" s="62"/>
      <c r="E91" s="62"/>
      <c r="F91" s="62"/>
      <c r="G91" s="62"/>
      <c r="H91" s="62"/>
      <c r="I91" s="71"/>
      <c r="J91" s="72"/>
      <c r="K91" s="72"/>
      <c r="L91" s="132"/>
      <c r="M91" s="132"/>
      <c r="N91" s="132"/>
      <c r="O91" s="132"/>
      <c r="P91" s="132"/>
      <c r="Q91" s="132"/>
      <c r="R91" s="72"/>
      <c r="S91" s="72"/>
    </row>
    <row r="92" spans="1:19">
      <c r="A92" s="62" t="str">
        <f>+'AMBERIEU LAGNIEU'!C88</f>
        <v>BLONDEAU</v>
      </c>
      <c r="B92" s="62" t="str">
        <f>+'AMBERIEU LAGNIEU'!D88</f>
        <v>Mandy</v>
      </c>
      <c r="C92" s="62"/>
      <c r="D92" s="62"/>
      <c r="E92" s="62"/>
      <c r="F92" s="62"/>
      <c r="G92" s="62"/>
      <c r="H92" s="62"/>
      <c r="I92" s="71"/>
      <c r="J92" s="72"/>
      <c r="K92" s="72"/>
      <c r="L92" s="132"/>
      <c r="M92" s="132"/>
      <c r="N92" s="132"/>
      <c r="O92" s="132"/>
      <c r="P92" s="132"/>
      <c r="Q92" s="132"/>
      <c r="R92" s="72"/>
      <c r="S92" s="72"/>
    </row>
    <row r="93" spans="1:19">
      <c r="A93" s="62" t="str">
        <f>+'AMBERIEU LAGNIEU'!C89</f>
        <v>GUICHARD</v>
      </c>
      <c r="B93" s="62" t="str">
        <f>+'AMBERIEU LAGNIEU'!D89</f>
        <v>Marie</v>
      </c>
      <c r="C93" s="62"/>
      <c r="D93" s="62"/>
      <c r="E93" s="62"/>
      <c r="F93" s="62"/>
      <c r="G93" s="62"/>
      <c r="H93" s="62"/>
      <c r="I93" s="71"/>
      <c r="J93" s="72"/>
      <c r="K93" s="72"/>
      <c r="L93" s="132"/>
      <c r="M93" s="132"/>
      <c r="N93" s="132"/>
      <c r="O93" s="132"/>
      <c r="P93" s="132"/>
      <c r="Q93" s="132"/>
      <c r="R93" s="72"/>
      <c r="S93" s="72"/>
    </row>
    <row r="94" spans="1:19">
      <c r="A94" s="62" t="str">
        <f>+'AMBERIEU LAGNIEU'!C90</f>
        <v>MANACH</v>
      </c>
      <c r="B94" s="62" t="str">
        <f>+'AMBERIEU LAGNIEU'!D90</f>
        <v>Victor</v>
      </c>
      <c r="C94" s="62"/>
      <c r="D94" s="62"/>
      <c r="E94" s="62"/>
      <c r="F94" s="62"/>
      <c r="G94" s="62"/>
      <c r="H94" s="62"/>
      <c r="I94" s="71"/>
      <c r="J94" s="72"/>
      <c r="K94" s="72"/>
      <c r="L94" s="132"/>
      <c r="M94" s="132"/>
      <c r="N94" s="132"/>
      <c r="O94" s="132"/>
      <c r="P94" s="132"/>
      <c r="Q94" s="132"/>
      <c r="R94" s="72"/>
      <c r="S94" s="72"/>
    </row>
    <row r="95" spans="1:19">
      <c r="A95" s="62" t="str">
        <f>+'AMBERIEU LAGNIEU'!C91</f>
        <v>LEBEAU</v>
      </c>
      <c r="B95" s="62" t="str">
        <f>+'AMBERIEU LAGNIEU'!D91</f>
        <v>Jonathan</v>
      </c>
      <c r="C95" s="62"/>
      <c r="D95" s="62"/>
      <c r="E95" s="62"/>
      <c r="F95" s="62"/>
      <c r="G95" s="62"/>
      <c r="H95" s="62"/>
      <c r="I95" s="71"/>
      <c r="J95" s="72"/>
      <c r="K95" s="72"/>
      <c r="L95" s="132"/>
      <c r="M95" s="132"/>
      <c r="N95" s="132"/>
      <c r="O95" s="132"/>
      <c r="P95" s="132"/>
      <c r="Q95" s="132"/>
      <c r="R95" s="72"/>
      <c r="S95" s="72"/>
    </row>
    <row r="96" spans="1:19">
      <c r="A96" s="62" t="str">
        <f>+'AMBERIEU LAGNIEU'!C92</f>
        <v>GOUVERNEUR</v>
      </c>
      <c r="B96" s="62" t="str">
        <f>+'AMBERIEU LAGNIEU'!D92</f>
        <v>Nicolas</v>
      </c>
      <c r="C96" s="62"/>
      <c r="D96" s="62"/>
      <c r="E96" s="62"/>
      <c r="F96" s="62"/>
      <c r="G96" s="62"/>
      <c r="H96" s="62"/>
      <c r="I96" s="71"/>
      <c r="J96" s="72"/>
      <c r="K96" s="72"/>
      <c r="L96" s="132"/>
      <c r="M96" s="132"/>
      <c r="N96" s="132"/>
      <c r="O96" s="132"/>
      <c r="P96" s="132"/>
      <c r="Q96" s="132"/>
      <c r="R96" s="72"/>
      <c r="S96" s="72"/>
    </row>
    <row r="97" spans="1:19">
      <c r="A97" s="62" t="e">
        <f>+'AMBERIEU LAGNIEU'!#REF!</f>
        <v>#REF!</v>
      </c>
      <c r="B97" s="62" t="e">
        <f>+'AMBERIEU LAGNIEU'!#REF!</f>
        <v>#REF!</v>
      </c>
      <c r="C97" s="62"/>
      <c r="D97" s="62"/>
      <c r="E97" s="62"/>
      <c r="F97" s="62"/>
      <c r="G97" s="62"/>
      <c r="H97" s="62"/>
      <c r="I97" s="71"/>
      <c r="J97" s="75"/>
      <c r="K97" s="72"/>
      <c r="L97" s="115"/>
      <c r="M97" s="115"/>
      <c r="N97" s="115"/>
      <c r="O97" s="115"/>
      <c r="P97" s="115"/>
      <c r="Q97" s="115"/>
      <c r="R97" s="133"/>
      <c r="S97" s="133"/>
    </row>
    <row r="98" spans="1:19">
      <c r="A98" s="62" t="str">
        <f>+'AMBERIEU LAGNIEU'!C93</f>
        <v>TAOUCHE</v>
      </c>
      <c r="B98" s="62" t="str">
        <f>+'AMBERIEU LAGNIEU'!D93</f>
        <v>Malika</v>
      </c>
      <c r="C98" s="62"/>
      <c r="D98" s="62"/>
      <c r="E98" s="62"/>
      <c r="F98" s="62"/>
      <c r="G98" s="62"/>
      <c r="H98" s="62"/>
      <c r="I98" s="71"/>
      <c r="J98" s="72"/>
      <c r="K98" s="72"/>
      <c r="L98" s="132"/>
      <c r="M98" s="132"/>
      <c r="N98" s="132"/>
      <c r="O98" s="132"/>
      <c r="P98" s="132"/>
      <c r="Q98" s="132"/>
      <c r="R98" s="72"/>
      <c r="S98" s="72"/>
    </row>
    <row r="99" spans="1:19">
      <c r="A99" s="62" t="str">
        <f>+'AMBERIEU LAGNIEU'!C94</f>
        <v>THOLLOT</v>
      </c>
      <c r="B99" s="62" t="str">
        <f>+'AMBERIEU LAGNIEU'!D94</f>
        <v>Florian</v>
      </c>
      <c r="C99" s="62"/>
      <c r="D99" s="62"/>
      <c r="E99" s="62"/>
      <c r="F99" s="62"/>
      <c r="G99" s="62"/>
      <c r="H99" s="62"/>
      <c r="I99" s="71"/>
      <c r="J99" s="75"/>
      <c r="K99" s="72"/>
      <c r="L99" s="115"/>
      <c r="M99" s="115"/>
      <c r="N99" s="115"/>
      <c r="O99" s="115"/>
      <c r="P99" s="115"/>
      <c r="Q99" s="115"/>
      <c r="R99" s="133"/>
      <c r="S99" s="133"/>
    </row>
    <row r="100" spans="1:19">
      <c r="A100" s="62" t="e">
        <f>+'AMBERIEU LAGNIEU'!#REF!</f>
        <v>#REF!</v>
      </c>
      <c r="B100" s="62" t="e">
        <f>+'AMBERIEU LAGNIEU'!#REF!</f>
        <v>#REF!</v>
      </c>
      <c r="C100" s="62"/>
      <c r="D100" s="62"/>
      <c r="E100" s="62"/>
      <c r="F100" s="62"/>
      <c r="G100" s="62"/>
      <c r="H100" s="62"/>
      <c r="I100" s="71"/>
      <c r="J100" s="72"/>
      <c r="K100" s="72"/>
      <c r="L100" s="132"/>
      <c r="M100" s="132"/>
      <c r="N100" s="132"/>
      <c r="O100" s="132"/>
      <c r="P100" s="132"/>
      <c r="Q100" s="132"/>
      <c r="R100" s="72"/>
      <c r="S100" s="72"/>
    </row>
    <row r="101" spans="1:19">
      <c r="A101" s="62" t="e">
        <f>+'AMBERIEU LAGNIEU'!#REF!</f>
        <v>#REF!</v>
      </c>
      <c r="B101" s="62" t="e">
        <f>+'AMBERIEU LAGNIEU'!#REF!</f>
        <v>#REF!</v>
      </c>
      <c r="C101" s="62"/>
      <c r="D101" s="62"/>
      <c r="E101" s="62"/>
      <c r="F101" s="62"/>
      <c r="G101" s="62"/>
      <c r="H101" s="62"/>
      <c r="I101" s="71"/>
      <c r="J101" s="72"/>
      <c r="K101" s="72"/>
      <c r="L101" s="132"/>
      <c r="M101" s="132"/>
      <c r="N101" s="132"/>
      <c r="O101" s="132"/>
      <c r="P101" s="132"/>
      <c r="Q101" s="132"/>
      <c r="R101" s="72"/>
      <c r="S101" s="72"/>
    </row>
    <row r="102" spans="1:19">
      <c r="A102" s="62" t="str">
        <f>+'AMBERIEU LAGNIEU'!C95</f>
        <v>LABARRIERE</v>
      </c>
      <c r="B102" s="62" t="str">
        <f>+'AMBERIEU LAGNIEU'!D95</f>
        <v>Paul Emile</v>
      </c>
      <c r="C102" s="62"/>
      <c r="D102" s="62"/>
      <c r="E102" s="62"/>
      <c r="F102" s="62"/>
      <c r="G102" s="62"/>
      <c r="H102" s="62"/>
      <c r="I102" s="71"/>
      <c r="J102" s="72"/>
      <c r="K102" s="72"/>
      <c r="L102" s="132"/>
      <c r="M102" s="132"/>
      <c r="N102" s="132"/>
      <c r="O102" s="132"/>
      <c r="P102" s="132"/>
      <c r="Q102" s="132"/>
      <c r="R102" s="72"/>
      <c r="S102" s="72"/>
    </row>
    <row r="103" spans="1:19">
      <c r="A103" s="62" t="str">
        <f>+'AMBERIEU LAGNIEU'!C96</f>
        <v>GUEPRATTE</v>
      </c>
      <c r="B103" s="62" t="str">
        <f>+'AMBERIEU LAGNIEU'!D96</f>
        <v>Ronny</v>
      </c>
      <c r="C103" s="62"/>
      <c r="D103" s="62"/>
      <c r="E103" s="62"/>
      <c r="F103" s="62"/>
      <c r="G103" s="62"/>
      <c r="H103" s="62"/>
      <c r="I103" s="71"/>
      <c r="J103" s="72"/>
      <c r="K103" s="72"/>
      <c r="L103" s="132"/>
      <c r="M103" s="132"/>
      <c r="N103" s="132"/>
      <c r="O103" s="132"/>
      <c r="P103" s="132"/>
      <c r="Q103" s="132"/>
      <c r="R103" s="72"/>
      <c r="S103" s="72"/>
    </row>
    <row r="104" spans="1:19">
      <c r="A104" s="62" t="str">
        <f>+'AMBERIEU LAGNIEU'!C97</f>
        <v>GABORIT</v>
      </c>
      <c r="B104" s="62" t="str">
        <f>+'AMBERIEU LAGNIEU'!D97</f>
        <v>Edwige</v>
      </c>
      <c r="C104" s="62"/>
      <c r="D104" s="62"/>
      <c r="E104" s="62"/>
      <c r="F104" s="62"/>
      <c r="G104" s="62"/>
      <c r="H104" s="62"/>
      <c r="I104" s="71"/>
      <c r="J104" s="72"/>
      <c r="K104" s="72"/>
      <c r="L104" s="132"/>
      <c r="M104" s="132"/>
      <c r="N104" s="132"/>
      <c r="O104" s="132"/>
      <c r="P104" s="132"/>
      <c r="Q104" s="132"/>
      <c r="R104" s="72"/>
      <c r="S104" s="72"/>
    </row>
    <row r="105" spans="1:19">
      <c r="A105" s="62" t="str">
        <f>+'AMBERIEU LAGNIEU'!C98</f>
        <v>KHAN</v>
      </c>
      <c r="B105" s="62" t="str">
        <f>+'AMBERIEU LAGNIEU'!D98</f>
        <v>Tahira</v>
      </c>
      <c r="C105" s="62"/>
      <c r="D105" s="62"/>
      <c r="E105" s="62"/>
      <c r="F105" s="62"/>
      <c r="G105" s="62"/>
      <c r="H105" s="62"/>
      <c r="I105" s="71"/>
      <c r="J105" s="72"/>
      <c r="K105" s="72"/>
      <c r="L105" s="132"/>
      <c r="M105" s="132"/>
      <c r="N105" s="132"/>
      <c r="O105" s="132"/>
      <c r="P105" s="132"/>
      <c r="Q105" s="132"/>
      <c r="R105" s="72"/>
      <c r="S105" s="72"/>
    </row>
    <row r="106" spans="1:19">
      <c r="A106" s="62" t="str">
        <f>+'AMBERIEU LAGNIEU'!C99</f>
        <v>NDOJ</v>
      </c>
      <c r="B106" s="62" t="str">
        <f>+'AMBERIEU LAGNIEU'!D99</f>
        <v>Dava</v>
      </c>
      <c r="C106" s="62"/>
      <c r="D106" s="62"/>
      <c r="E106" s="62"/>
      <c r="F106" s="62"/>
      <c r="G106" s="62"/>
      <c r="H106" s="62"/>
      <c r="I106" s="71"/>
      <c r="J106" s="72"/>
      <c r="K106" s="72"/>
      <c r="L106" s="132"/>
      <c r="M106" s="132"/>
      <c r="N106" s="132"/>
      <c r="O106" s="132"/>
      <c r="P106" s="132"/>
      <c r="Q106" s="132"/>
      <c r="R106" s="72"/>
      <c r="S106" s="72"/>
    </row>
    <row r="107" spans="1:19">
      <c r="A107" s="62" t="e">
        <f>+'AMBERIEU LAGNIEU'!#REF!</f>
        <v>#REF!</v>
      </c>
      <c r="B107" s="62" t="e">
        <f>+'AMBERIEU LAGNIEU'!#REF!</f>
        <v>#REF!</v>
      </c>
      <c r="C107" s="62"/>
      <c r="D107" s="62"/>
      <c r="E107" s="62"/>
      <c r="F107" s="62"/>
      <c r="G107" s="62"/>
      <c r="H107" s="62"/>
      <c r="I107" s="71"/>
      <c r="J107" s="72"/>
      <c r="K107" s="72"/>
      <c r="L107" s="132"/>
      <c r="M107" s="132"/>
      <c r="N107" s="132"/>
      <c r="O107" s="132"/>
      <c r="P107" s="132"/>
      <c r="Q107" s="132"/>
      <c r="R107" s="72"/>
      <c r="S107" s="72"/>
    </row>
    <row r="108" spans="1:19">
      <c r="A108" s="62" t="str">
        <f>+'AMBERIEU LAGNIEU'!C100</f>
        <v>VANEENOO</v>
      </c>
      <c r="B108" s="62" t="str">
        <f>+'AMBERIEU LAGNIEU'!D100</f>
        <v>Jérémy</v>
      </c>
      <c r="C108" s="62"/>
      <c r="D108" s="62"/>
      <c r="E108" s="62"/>
      <c r="F108" s="62"/>
      <c r="G108" s="62"/>
      <c r="H108" s="62"/>
      <c r="I108" s="71"/>
      <c r="J108" s="72"/>
      <c r="K108" s="72"/>
      <c r="L108" s="132"/>
      <c r="M108" s="132"/>
      <c r="N108" s="132"/>
      <c r="O108" s="132"/>
      <c r="P108" s="132"/>
      <c r="Q108" s="132"/>
      <c r="R108" s="72"/>
      <c r="S108" s="72"/>
    </row>
    <row r="109" spans="1:19">
      <c r="A109" s="62" t="str">
        <f>+'AMBERIEU LAGNIEU'!C101</f>
        <v>GALLE</v>
      </c>
      <c r="B109" s="62" t="str">
        <f>+'AMBERIEU LAGNIEU'!D101</f>
        <v>Aurélie</v>
      </c>
      <c r="C109" s="62"/>
      <c r="D109" s="62"/>
      <c r="E109" s="62"/>
      <c r="F109" s="62"/>
      <c r="G109" s="62"/>
      <c r="H109" s="62"/>
      <c r="I109" s="71"/>
      <c r="J109" s="72"/>
      <c r="K109" s="72"/>
      <c r="L109" s="132"/>
      <c r="M109" s="132"/>
      <c r="N109" s="132"/>
      <c r="O109" s="132"/>
      <c r="P109" s="132"/>
      <c r="Q109" s="132"/>
      <c r="R109" s="72"/>
      <c r="S109" s="72"/>
    </row>
    <row r="110" spans="1:19">
      <c r="A110" s="62" t="str">
        <f>+'AMBERIEU LAGNIEU'!C102</f>
        <v>AROUMOUGAM</v>
      </c>
      <c r="B110" s="62" t="str">
        <f>+'AMBERIEU LAGNIEU'!D102</f>
        <v>Selvaperoumal</v>
      </c>
      <c r="C110" s="62"/>
      <c r="D110" s="62"/>
      <c r="E110" s="62"/>
      <c r="F110" s="62"/>
      <c r="G110" s="62"/>
      <c r="H110" s="62"/>
      <c r="I110" s="71"/>
      <c r="J110" s="72"/>
      <c r="K110" s="72"/>
      <c r="L110" s="132"/>
      <c r="M110" s="132"/>
      <c r="N110" s="132"/>
      <c r="O110" s="132"/>
      <c r="P110" s="132"/>
      <c r="Q110" s="132"/>
      <c r="R110" s="72"/>
      <c r="S110" s="72"/>
    </row>
    <row r="111" spans="1:19">
      <c r="A111" s="62" t="str">
        <f>+'AMBERIEU LAGNIEU'!C103</f>
        <v>GROSSEPIECE</v>
      </c>
      <c r="B111" s="62" t="str">
        <f>+'AMBERIEU LAGNIEU'!D103</f>
        <v>Laetitia</v>
      </c>
      <c r="C111" s="62"/>
      <c r="D111" s="62"/>
      <c r="E111" s="62"/>
      <c r="F111" s="62"/>
      <c r="G111" s="62"/>
      <c r="H111" s="62"/>
      <c r="I111" s="71"/>
      <c r="J111" s="72"/>
      <c r="K111" s="72"/>
      <c r="L111" s="132"/>
      <c r="M111" s="132"/>
      <c r="N111" s="132"/>
      <c r="O111" s="132"/>
      <c r="P111" s="132"/>
      <c r="Q111" s="132"/>
      <c r="R111" s="72"/>
      <c r="S111" s="72"/>
    </row>
    <row r="112" spans="1:19">
      <c r="A112" s="62" t="str">
        <f>+'AMBERIEU LAGNIEU'!C104</f>
        <v>MESSAHEL</v>
      </c>
      <c r="B112" s="62" t="str">
        <f>+'AMBERIEU LAGNIEU'!D104</f>
        <v>Malika</v>
      </c>
      <c r="C112" s="62"/>
      <c r="D112" s="62"/>
      <c r="E112" s="62"/>
      <c r="F112" s="62"/>
      <c r="G112" s="62"/>
      <c r="H112" s="62"/>
      <c r="I112" s="71"/>
      <c r="J112" s="72"/>
      <c r="K112" s="72"/>
      <c r="L112" s="132"/>
      <c r="M112" s="132"/>
      <c r="N112" s="132"/>
      <c r="O112" s="132"/>
      <c r="P112" s="132"/>
      <c r="Q112" s="132"/>
      <c r="R112" s="72"/>
      <c r="S112" s="133"/>
    </row>
    <row r="113" spans="1:19">
      <c r="A113" s="62" t="str">
        <f>+'AMBERIEU LAGNIEU'!C105</f>
        <v>CHTOPCZYK</v>
      </c>
      <c r="B113" s="62" t="str">
        <f>+'AMBERIEU LAGNIEU'!D105</f>
        <v>Johan</v>
      </c>
      <c r="C113" s="62"/>
      <c r="D113" s="62"/>
      <c r="E113" s="62"/>
      <c r="F113" s="62"/>
      <c r="G113" s="62"/>
      <c r="H113" s="62"/>
      <c r="I113" s="71"/>
      <c r="J113" s="72"/>
      <c r="K113" s="72"/>
      <c r="L113" s="132"/>
      <c r="M113" s="132"/>
      <c r="N113" s="132"/>
      <c r="O113" s="132"/>
      <c r="P113" s="132"/>
      <c r="Q113" s="132"/>
      <c r="R113" s="72"/>
      <c r="S113" s="72"/>
    </row>
    <row r="114" spans="1:19">
      <c r="A114" s="62" t="str">
        <f>+'AMBERIEU LAGNIEU'!C106</f>
        <v>CHAPUIS</v>
      </c>
      <c r="B114" s="62" t="str">
        <f>+'AMBERIEU LAGNIEU'!D106</f>
        <v>Hervé</v>
      </c>
      <c r="C114" s="62"/>
      <c r="D114" s="62"/>
      <c r="E114" s="62"/>
      <c r="F114" s="62"/>
      <c r="G114" s="62"/>
      <c r="H114" s="62"/>
      <c r="I114" s="71"/>
      <c r="J114" s="72"/>
      <c r="K114" s="72"/>
      <c r="L114" s="132"/>
      <c r="M114" s="132"/>
      <c r="N114" s="132"/>
      <c r="O114" s="132"/>
      <c r="P114" s="132"/>
      <c r="Q114" s="132"/>
      <c r="R114" s="72"/>
      <c r="S114" s="72"/>
    </row>
    <row r="115" spans="1:19">
      <c r="A115" s="62" t="str">
        <f>+'AMBERIEU LAGNIEU'!C107</f>
        <v>Mendes Vaz Amarante</v>
      </c>
      <c r="B115" s="62" t="str">
        <f>+'AMBERIEU LAGNIEU'!D107</f>
        <v>Kévin</v>
      </c>
      <c r="C115" s="62"/>
      <c r="D115" s="62"/>
      <c r="E115" s="62"/>
      <c r="F115" s="62"/>
      <c r="G115" s="62"/>
      <c r="H115" s="62"/>
      <c r="I115" s="71"/>
      <c r="J115" s="72"/>
      <c r="K115" s="72"/>
      <c r="L115" s="132"/>
      <c r="M115" s="132"/>
      <c r="N115" s="132"/>
      <c r="O115" s="132"/>
      <c r="P115" s="132"/>
      <c r="Q115" s="132"/>
      <c r="R115" s="72"/>
      <c r="S115" s="72"/>
    </row>
    <row r="116" spans="1:19">
      <c r="A116" s="62" t="str">
        <f>+'AMBERIEU LAGNIEU'!C108</f>
        <v>SONTHONNAX</v>
      </c>
      <c r="B116" s="62" t="str">
        <f>+'AMBERIEU LAGNIEU'!D108</f>
        <v>Alexandre</v>
      </c>
      <c r="C116" s="62"/>
      <c r="D116" s="62"/>
      <c r="E116" s="62"/>
      <c r="F116" s="62"/>
      <c r="G116" s="62"/>
      <c r="H116" s="62"/>
      <c r="I116" s="71"/>
      <c r="J116" s="72"/>
      <c r="K116" s="72"/>
      <c r="L116" s="132"/>
      <c r="M116" s="132"/>
      <c r="N116" s="132"/>
      <c r="O116" s="132"/>
      <c r="P116" s="132"/>
      <c r="Q116" s="132"/>
      <c r="R116" s="72"/>
      <c r="S116" s="72"/>
    </row>
    <row r="117" spans="1:19">
      <c r="A117" s="62" t="str">
        <f>+'AMBERIEU LAGNIEU'!C109</f>
        <v>LAROUI</v>
      </c>
      <c r="B117" s="62" t="str">
        <f>+'AMBERIEU LAGNIEU'!D109</f>
        <v>Nadia</v>
      </c>
      <c r="C117" s="62"/>
      <c r="D117" s="62"/>
      <c r="E117" s="62"/>
      <c r="F117" s="62"/>
      <c r="G117" s="62"/>
      <c r="H117" s="62"/>
      <c r="I117" s="71"/>
      <c r="J117" s="72"/>
      <c r="K117" s="72"/>
      <c r="L117" s="132"/>
      <c r="M117" s="132"/>
      <c r="N117" s="132"/>
      <c r="O117" s="132"/>
      <c r="P117" s="132"/>
      <c r="Q117" s="132"/>
      <c r="R117" s="72"/>
      <c r="S117" s="72"/>
    </row>
    <row r="118" spans="1:19">
      <c r="A118" s="62" t="str">
        <f>+'AMBERIEU LAGNIEU'!C110</f>
        <v>KHENDOUDI</v>
      </c>
      <c r="B118" s="62" t="str">
        <f>+'AMBERIEU LAGNIEU'!D110</f>
        <v>Samera</v>
      </c>
      <c r="C118" s="62"/>
      <c r="D118" s="62"/>
      <c r="E118" s="62"/>
      <c r="F118" s="62"/>
      <c r="G118" s="62"/>
      <c r="H118" s="62"/>
      <c r="I118" s="71"/>
      <c r="J118" s="72"/>
      <c r="K118" s="72"/>
      <c r="L118" s="132"/>
      <c r="M118" s="132"/>
      <c r="N118" s="132"/>
      <c r="O118" s="132"/>
      <c r="P118" s="132"/>
      <c r="Q118" s="132"/>
      <c r="R118" s="72"/>
      <c r="S118" s="72"/>
    </row>
    <row r="119" spans="1:19">
      <c r="A119" s="62" t="str">
        <f>+'AMBERIEU LAGNIEU'!C111</f>
        <v>POGGI</v>
      </c>
      <c r="B119" s="62" t="str">
        <f>+'AMBERIEU LAGNIEU'!D111</f>
        <v>Melvin</v>
      </c>
      <c r="C119" s="62"/>
      <c r="D119" s="62"/>
      <c r="E119" s="62"/>
      <c r="F119" s="62"/>
      <c r="G119" s="62"/>
      <c r="H119" s="62"/>
      <c r="I119" s="71"/>
      <c r="J119" s="72"/>
      <c r="K119" s="72"/>
      <c r="L119" s="132"/>
      <c r="M119" s="132"/>
      <c r="N119" s="132"/>
      <c r="O119" s="132"/>
      <c r="P119" s="132"/>
      <c r="Q119" s="132"/>
      <c r="R119" s="72"/>
      <c r="S119" s="72"/>
    </row>
    <row r="120" spans="1:19">
      <c r="A120" s="62" t="e">
        <f>+'AMBERIEU LAGNIEU'!#REF!</f>
        <v>#REF!</v>
      </c>
      <c r="B120" s="62" t="e">
        <f>+'AMBERIEU LAGNIEU'!#REF!</f>
        <v>#REF!</v>
      </c>
      <c r="C120" s="62"/>
      <c r="D120" s="62"/>
      <c r="E120" s="62"/>
      <c r="F120" s="62"/>
      <c r="G120" s="62"/>
      <c r="H120" s="62"/>
      <c r="I120" s="71"/>
      <c r="J120" s="72"/>
      <c r="K120" s="72"/>
      <c r="L120" s="132"/>
      <c r="M120" s="132"/>
      <c r="N120" s="132"/>
      <c r="O120" s="132"/>
      <c r="P120" s="132"/>
      <c r="Q120" s="132"/>
      <c r="R120" s="72"/>
      <c r="S120" s="72"/>
    </row>
    <row r="121" spans="1:19">
      <c r="A121" s="62" t="str">
        <f>+'AMBERIEU LAGNIEU'!C112</f>
        <v>DONER</v>
      </c>
      <c r="B121" s="62" t="str">
        <f>+'AMBERIEU LAGNIEU'!D112</f>
        <v>Zehra</v>
      </c>
      <c r="C121" s="62"/>
      <c r="D121" s="62"/>
      <c r="E121" s="62"/>
      <c r="F121" s="62"/>
      <c r="G121" s="62"/>
      <c r="H121" s="62"/>
      <c r="I121" s="71"/>
      <c r="J121" s="72"/>
      <c r="K121" s="72"/>
      <c r="L121" s="132"/>
      <c r="M121" s="132"/>
      <c r="N121" s="132"/>
      <c r="O121" s="132"/>
      <c r="P121" s="132"/>
      <c r="Q121" s="132"/>
      <c r="R121" s="72"/>
      <c r="S121" s="72"/>
    </row>
    <row r="122" spans="1:19">
      <c r="A122" s="62" t="str">
        <f>+'AMBERIEU LAGNIEU'!C113</f>
        <v>CORNIGLION</v>
      </c>
      <c r="B122" s="62" t="str">
        <f>+'AMBERIEU LAGNIEU'!D113</f>
        <v>Didier</v>
      </c>
      <c r="C122" s="62"/>
      <c r="D122" s="62"/>
      <c r="E122" s="62"/>
      <c r="F122" s="62"/>
      <c r="G122" s="62"/>
      <c r="H122" s="62"/>
      <c r="I122" s="71"/>
      <c r="J122" s="72"/>
      <c r="K122" s="72"/>
      <c r="L122" s="132"/>
      <c r="M122" s="132"/>
      <c r="N122" s="132"/>
      <c r="O122" s="132"/>
      <c r="P122" s="132"/>
      <c r="Q122" s="132"/>
      <c r="R122" s="72"/>
      <c r="S122" s="72"/>
    </row>
    <row r="123" spans="1:19">
      <c r="A123" s="62" t="str">
        <f>+'AMBERIEU LAGNIEU'!C114</f>
        <v>DESORMAIS</v>
      </c>
      <c r="B123" s="62" t="str">
        <f>+'AMBERIEU LAGNIEU'!D114</f>
        <v>Dorian</v>
      </c>
      <c r="C123" s="62"/>
      <c r="D123" s="62"/>
      <c r="E123" s="62"/>
      <c r="F123" s="62"/>
      <c r="G123" s="62"/>
      <c r="H123" s="62"/>
      <c r="I123" s="71"/>
      <c r="J123" s="72"/>
      <c r="K123" s="72"/>
      <c r="L123" s="132"/>
      <c r="M123" s="132"/>
      <c r="N123" s="132"/>
      <c r="O123" s="132"/>
      <c r="P123" s="132"/>
      <c r="Q123" s="132"/>
      <c r="R123" s="72"/>
      <c r="S123" s="72"/>
    </row>
    <row r="124" spans="1:19">
      <c r="A124" s="62" t="str">
        <f>+'AMBERIEU LAGNIEU'!C127</f>
        <v>DUWAT</v>
      </c>
      <c r="B124" s="62" t="str">
        <f>+'AMBERIEU LAGNIEU'!D127</f>
        <v>Grégory</v>
      </c>
      <c r="C124" s="62"/>
      <c r="D124" s="62"/>
      <c r="E124" s="62"/>
      <c r="F124" s="62"/>
      <c r="G124" s="62"/>
      <c r="H124" s="62"/>
      <c r="I124" s="71"/>
      <c r="J124" s="72"/>
      <c r="K124" s="72"/>
      <c r="L124" s="132"/>
      <c r="M124" s="132"/>
      <c r="N124" s="132"/>
      <c r="O124" s="132"/>
      <c r="P124" s="132"/>
      <c r="Q124" s="132"/>
      <c r="R124" s="72"/>
      <c r="S124" s="72"/>
    </row>
    <row r="125" spans="1:19">
      <c r="A125" s="62" t="str">
        <f>+'AMBERIEU LAGNIEU'!C128</f>
        <v>GROUX</v>
      </c>
      <c r="B125" s="62" t="str">
        <f>+'AMBERIEU LAGNIEU'!D128</f>
        <v>Séverine</v>
      </c>
      <c r="C125" s="62"/>
      <c r="D125" s="62"/>
      <c r="E125" s="62"/>
      <c r="F125" s="62"/>
      <c r="G125" s="62"/>
      <c r="H125" s="62"/>
      <c r="I125" s="71"/>
      <c r="J125" s="72"/>
      <c r="K125" s="72"/>
      <c r="L125" s="132"/>
      <c r="M125" s="132"/>
      <c r="N125" s="132"/>
      <c r="O125" s="132"/>
      <c r="P125" s="132"/>
      <c r="Q125" s="132"/>
      <c r="R125" s="72"/>
      <c r="S125" s="72"/>
    </row>
    <row r="126" spans="1:19">
      <c r="A126" s="62" t="str">
        <f>+'AMBERIEU LAGNIEU'!C134</f>
        <v>DUROSIER</v>
      </c>
      <c r="B126" s="62" t="str">
        <f>+'AMBERIEU LAGNIEU'!D134</f>
        <v>Noella</v>
      </c>
      <c r="C126" s="62"/>
      <c r="D126" s="62"/>
      <c r="E126" s="62"/>
      <c r="F126" s="62"/>
      <c r="G126" s="62"/>
      <c r="H126" s="62"/>
      <c r="I126" s="71"/>
      <c r="J126" s="72"/>
      <c r="K126" s="72"/>
      <c r="L126" s="132"/>
      <c r="M126" s="132"/>
      <c r="N126" s="132"/>
      <c r="O126" s="132"/>
      <c r="P126" s="132"/>
      <c r="Q126" s="132"/>
      <c r="R126" s="72"/>
      <c r="S126" s="72"/>
    </row>
    <row r="127" spans="1:19">
      <c r="A127" s="62" t="e">
        <f>+'AMBERIEU LAGNIEU'!#REF!</f>
        <v>#REF!</v>
      </c>
      <c r="B127" s="62" t="e">
        <f>+'AMBERIEU LAGNIEU'!#REF!</f>
        <v>#REF!</v>
      </c>
      <c r="C127" s="62"/>
      <c r="D127" s="62"/>
      <c r="E127" s="62"/>
      <c r="F127" s="62"/>
      <c r="G127" s="62"/>
      <c r="H127" s="62"/>
      <c r="I127" s="71"/>
      <c r="J127" s="72"/>
      <c r="K127" s="72"/>
      <c r="L127" s="132"/>
      <c r="M127" s="132"/>
      <c r="N127" s="132"/>
      <c r="O127" s="132"/>
      <c r="P127" s="132"/>
      <c r="Q127" s="132"/>
      <c r="R127" s="72"/>
      <c r="S127" s="72"/>
    </row>
    <row r="128" spans="1:19">
      <c r="A128" s="62" t="e">
        <f>+'AMBERIEU LAGNIEU'!#REF!</f>
        <v>#REF!</v>
      </c>
      <c r="B128" s="62" t="e">
        <f>+'AMBERIEU LAGNIEU'!#REF!</f>
        <v>#REF!</v>
      </c>
      <c r="C128" s="62"/>
      <c r="D128" s="62"/>
      <c r="E128" s="62"/>
      <c r="F128" s="62"/>
      <c r="G128" s="62"/>
      <c r="H128" s="62"/>
      <c r="I128" s="71"/>
      <c r="J128" s="72"/>
      <c r="K128" s="72"/>
      <c r="L128" s="132"/>
      <c r="M128" s="132"/>
      <c r="N128" s="132"/>
      <c r="O128" s="132"/>
      <c r="P128" s="132"/>
      <c r="Q128" s="132"/>
      <c r="R128" s="72"/>
      <c r="S128" s="72"/>
    </row>
    <row r="129" spans="1:19">
      <c r="A129" s="62" t="e">
        <f>+'AMBERIEU LAGNIEU'!#REF!</f>
        <v>#REF!</v>
      </c>
      <c r="B129" s="62" t="e">
        <f>+'AMBERIEU LAGNIEU'!#REF!</f>
        <v>#REF!</v>
      </c>
      <c r="C129" s="62"/>
      <c r="D129" s="62"/>
      <c r="E129" s="62"/>
      <c r="F129" s="62"/>
      <c r="G129" s="62"/>
      <c r="H129" s="62"/>
      <c r="I129" s="71"/>
      <c r="J129" s="72"/>
      <c r="K129" s="72"/>
      <c r="L129" s="132"/>
      <c r="M129" s="132"/>
      <c r="N129" s="132"/>
      <c r="O129" s="132"/>
      <c r="P129" s="132"/>
      <c r="Q129" s="132"/>
      <c r="R129" s="72"/>
      <c r="S129" s="72"/>
    </row>
    <row r="130" spans="1:19">
      <c r="A130" s="62" t="e">
        <f>+'AMBERIEU LAGNIEU'!#REF!</f>
        <v>#REF!</v>
      </c>
      <c r="B130" s="62" t="e">
        <f>+'AMBERIEU LAGNIEU'!#REF!</f>
        <v>#REF!</v>
      </c>
      <c r="C130" s="62"/>
      <c r="D130" s="62"/>
      <c r="E130" s="62"/>
      <c r="F130" s="62"/>
      <c r="G130" s="62"/>
      <c r="H130" s="62"/>
      <c r="I130" s="71"/>
      <c r="J130" s="72"/>
      <c r="K130" s="72"/>
      <c r="L130" s="132"/>
      <c r="M130" s="132"/>
      <c r="N130" s="132"/>
      <c r="O130" s="132"/>
      <c r="P130" s="132"/>
      <c r="Q130" s="132"/>
      <c r="R130" s="72"/>
      <c r="S130" s="72"/>
    </row>
    <row r="131" spans="1:19">
      <c r="A131" s="62" t="e">
        <f>+'AMBERIEU LAGNIEU'!#REF!</f>
        <v>#REF!</v>
      </c>
      <c r="B131" s="62" t="e">
        <f>+'AMBERIEU LAGNIEU'!#REF!</f>
        <v>#REF!</v>
      </c>
      <c r="C131" s="62"/>
      <c r="D131" s="62"/>
      <c r="E131" s="62"/>
      <c r="F131" s="62"/>
      <c r="G131" s="62"/>
      <c r="H131" s="62"/>
      <c r="I131" s="71"/>
      <c r="J131" s="72"/>
      <c r="K131" s="72"/>
      <c r="L131" s="132"/>
      <c r="M131" s="132"/>
      <c r="N131" s="132"/>
      <c r="O131" s="132"/>
      <c r="P131" s="132"/>
      <c r="Q131" s="132"/>
      <c r="R131" s="72"/>
      <c r="S131" s="72"/>
    </row>
    <row r="132" spans="1:19">
      <c r="A132" s="62" t="e">
        <f>+'AMBERIEU LAGNIEU'!#REF!</f>
        <v>#REF!</v>
      </c>
      <c r="B132" s="62" t="e">
        <f>+'AMBERIEU LAGNIEU'!#REF!</f>
        <v>#REF!</v>
      </c>
      <c r="C132" s="62"/>
      <c r="D132" s="62"/>
      <c r="E132" s="62"/>
      <c r="F132" s="62"/>
      <c r="G132" s="62"/>
      <c r="H132" s="62"/>
      <c r="I132" s="71"/>
      <c r="J132" s="72"/>
      <c r="K132" s="72"/>
      <c r="L132" s="132"/>
      <c r="M132" s="132"/>
      <c r="N132" s="132"/>
      <c r="O132" s="132"/>
      <c r="P132" s="132"/>
      <c r="Q132" s="132"/>
      <c r="R132" s="72"/>
      <c r="S132" s="72"/>
    </row>
    <row r="133" spans="1:19">
      <c r="A133" s="62" t="e">
        <f>+'AMBERIEU LAGNIEU'!#REF!</f>
        <v>#REF!</v>
      </c>
      <c r="B133" s="62" t="e">
        <f>+'AMBERIEU LAGNIEU'!#REF!</f>
        <v>#REF!</v>
      </c>
      <c r="C133" s="62"/>
      <c r="D133" s="62"/>
      <c r="E133" s="62"/>
      <c r="F133" s="62"/>
      <c r="G133" s="62"/>
      <c r="H133" s="62"/>
      <c r="I133" s="71"/>
      <c r="J133" s="72"/>
      <c r="K133" s="72"/>
      <c r="L133" s="132"/>
      <c r="M133" s="132"/>
      <c r="N133" s="132"/>
      <c r="O133" s="132"/>
      <c r="P133" s="132"/>
      <c r="Q133" s="132"/>
      <c r="R133" s="72"/>
      <c r="S133" s="72"/>
    </row>
    <row r="134" spans="1:19">
      <c r="A134" s="62" t="e">
        <f>+'AMBERIEU LAGNIEU'!#REF!</f>
        <v>#REF!</v>
      </c>
      <c r="B134" s="62" t="e">
        <f>+'AMBERIEU LAGNIEU'!#REF!</f>
        <v>#REF!</v>
      </c>
      <c r="C134" s="62"/>
      <c r="D134" s="62"/>
      <c r="E134" s="62"/>
      <c r="F134" s="62"/>
      <c r="G134" s="62"/>
      <c r="H134" s="62"/>
      <c r="I134" s="71"/>
      <c r="J134" s="72"/>
      <c r="K134" s="72"/>
      <c r="L134" s="132"/>
      <c r="M134" s="132"/>
      <c r="N134" s="132"/>
      <c r="O134" s="132"/>
      <c r="P134" s="132"/>
      <c r="Q134" s="132"/>
      <c r="R134" s="72"/>
      <c r="S134" s="72"/>
    </row>
    <row r="135" spans="1:19">
      <c r="A135" s="62" t="e">
        <f>+'AMBERIEU LAGNIEU'!#REF!</f>
        <v>#REF!</v>
      </c>
      <c r="B135" s="62" t="e">
        <f>+'AMBERIEU LAGNIEU'!#REF!</f>
        <v>#REF!</v>
      </c>
      <c r="C135" s="62"/>
      <c r="D135" s="62"/>
      <c r="E135" s="62"/>
      <c r="F135" s="62"/>
      <c r="G135" s="62"/>
      <c r="H135" s="62"/>
      <c r="I135" s="71"/>
      <c r="J135" s="72"/>
      <c r="K135" s="72"/>
      <c r="L135" s="132"/>
      <c r="M135" s="132"/>
      <c r="N135" s="132"/>
      <c r="O135" s="132"/>
      <c r="P135" s="132"/>
      <c r="Q135" s="132"/>
      <c r="R135" s="72"/>
      <c r="S135" s="72"/>
    </row>
    <row r="136" spans="1:19">
      <c r="A136" s="62" t="e">
        <f>+'AMBERIEU LAGNIEU'!#REF!</f>
        <v>#REF!</v>
      </c>
      <c r="B136" s="62" t="e">
        <f>+'AMBERIEU LAGNIEU'!#REF!</f>
        <v>#REF!</v>
      </c>
      <c r="C136" s="62"/>
      <c r="D136" s="62"/>
      <c r="E136" s="62"/>
      <c r="F136" s="62"/>
      <c r="G136" s="62"/>
      <c r="H136" s="62"/>
      <c r="I136" s="71"/>
      <c r="J136" s="72"/>
      <c r="K136" s="72"/>
      <c r="L136" s="132"/>
      <c r="M136" s="132"/>
      <c r="N136" s="132"/>
      <c r="O136" s="132"/>
      <c r="P136" s="132"/>
      <c r="Q136" s="132"/>
      <c r="R136" s="72"/>
      <c r="S136" s="72"/>
    </row>
    <row r="137" spans="1:19">
      <c r="A137" s="62" t="e">
        <f>+'AMBERIEU LAGNIEU'!#REF!</f>
        <v>#REF!</v>
      </c>
      <c r="B137" s="62" t="e">
        <f>+'AMBERIEU LAGNIEU'!#REF!</f>
        <v>#REF!</v>
      </c>
      <c r="C137" s="62"/>
      <c r="D137" s="62"/>
      <c r="E137" s="62"/>
      <c r="F137" s="62"/>
      <c r="G137" s="62"/>
      <c r="H137" s="62"/>
      <c r="I137" s="71"/>
      <c r="J137" s="72"/>
      <c r="K137" s="72"/>
      <c r="L137" s="132"/>
      <c r="M137" s="132"/>
      <c r="N137" s="132"/>
      <c r="O137" s="132"/>
      <c r="P137" s="132"/>
      <c r="Q137" s="132"/>
      <c r="R137" s="72"/>
      <c r="S137" s="72"/>
    </row>
    <row r="138" spans="1:19">
      <c r="A138" s="62" t="e">
        <f>+'AMBERIEU LAGNIEU'!#REF!</f>
        <v>#REF!</v>
      </c>
      <c r="B138" s="62" t="e">
        <f>+'AMBERIEU LAGNIEU'!#REF!</f>
        <v>#REF!</v>
      </c>
      <c r="C138" s="62"/>
      <c r="D138" s="62"/>
      <c r="E138" s="62"/>
      <c r="F138" s="62"/>
      <c r="G138" s="62"/>
      <c r="H138" s="62"/>
      <c r="I138" s="71"/>
      <c r="J138" s="72"/>
      <c r="K138" s="72"/>
      <c r="L138" s="132"/>
      <c r="M138" s="132"/>
      <c r="N138" s="132"/>
      <c r="O138" s="132"/>
      <c r="P138" s="132"/>
      <c r="Q138" s="132"/>
      <c r="R138" s="72"/>
      <c r="S138" s="72"/>
    </row>
    <row r="139" spans="1:19">
      <c r="A139" s="62" t="e">
        <f>+'AMBERIEU LAGNIEU'!#REF!</f>
        <v>#REF!</v>
      </c>
      <c r="B139" s="62" t="e">
        <f>+'AMBERIEU LAGNIEU'!#REF!</f>
        <v>#REF!</v>
      </c>
      <c r="C139" s="62"/>
      <c r="D139" s="62"/>
      <c r="E139" s="62"/>
      <c r="F139" s="62"/>
      <c r="G139" s="62"/>
      <c r="H139" s="62"/>
      <c r="I139" s="71"/>
      <c r="J139" s="72"/>
      <c r="K139" s="72"/>
      <c r="L139" s="132"/>
      <c r="M139" s="132"/>
      <c r="N139" s="132"/>
      <c r="O139" s="132"/>
      <c r="P139" s="132"/>
      <c r="Q139" s="132"/>
      <c r="R139" s="72"/>
      <c r="S139" s="72"/>
    </row>
    <row r="140" spans="1:19">
      <c r="A140" s="62" t="e">
        <f>+'AMBERIEU LAGNIEU'!#REF!</f>
        <v>#REF!</v>
      </c>
      <c r="B140" s="62" t="e">
        <f>+'AMBERIEU LAGNIEU'!#REF!</f>
        <v>#REF!</v>
      </c>
      <c r="C140" s="62"/>
      <c r="D140" s="62"/>
      <c r="E140" s="62"/>
      <c r="F140" s="62"/>
      <c r="G140" s="62"/>
      <c r="H140" s="62"/>
      <c r="I140" s="71"/>
      <c r="J140" s="72"/>
      <c r="K140" s="72"/>
      <c r="L140" s="132"/>
      <c r="M140" s="132"/>
      <c r="N140" s="132"/>
      <c r="O140" s="132"/>
      <c r="P140" s="132"/>
      <c r="Q140" s="132"/>
      <c r="R140" s="72"/>
      <c r="S140" s="72"/>
    </row>
    <row r="141" spans="1:19">
      <c r="A141" s="62" t="e">
        <f>+'AMBERIEU LAGNIEU'!#REF!</f>
        <v>#REF!</v>
      </c>
      <c r="B141" s="62" t="e">
        <f>+'AMBERIEU LAGNIEU'!#REF!</f>
        <v>#REF!</v>
      </c>
      <c r="C141" s="62"/>
      <c r="D141" s="62"/>
      <c r="E141" s="62"/>
      <c r="F141" s="62"/>
      <c r="G141" s="62"/>
      <c r="H141" s="62"/>
      <c r="I141" s="71"/>
      <c r="J141" s="72"/>
      <c r="K141" s="72"/>
      <c r="L141" s="132"/>
      <c r="M141" s="132"/>
      <c r="N141" s="132"/>
      <c r="O141" s="132"/>
      <c r="P141" s="132"/>
      <c r="Q141" s="132"/>
      <c r="R141" s="72"/>
      <c r="S141" s="72"/>
    </row>
    <row r="142" spans="1:19">
      <c r="A142" s="62" t="e">
        <f>+'AMBERIEU LAGNIEU'!#REF!</f>
        <v>#REF!</v>
      </c>
      <c r="B142" s="62" t="e">
        <f>+'AMBERIEU LAGNIEU'!#REF!</f>
        <v>#REF!</v>
      </c>
      <c r="C142" s="62"/>
      <c r="D142" s="62"/>
      <c r="E142" s="62"/>
      <c r="F142" s="62"/>
      <c r="G142" s="62"/>
      <c r="H142" s="62"/>
      <c r="I142" s="71"/>
      <c r="J142" s="72"/>
      <c r="K142" s="72"/>
      <c r="L142" s="132"/>
      <c r="M142" s="132"/>
      <c r="N142" s="132"/>
      <c r="O142" s="132"/>
      <c r="P142" s="132"/>
      <c r="Q142" s="132"/>
      <c r="R142" s="72"/>
      <c r="S142" s="72"/>
    </row>
    <row r="143" spans="1:19">
      <c r="A143" s="62" t="e">
        <f>+'AMBERIEU LAGNIEU'!#REF!</f>
        <v>#REF!</v>
      </c>
      <c r="B143" s="62" t="e">
        <f>+'AMBERIEU LAGNIEU'!#REF!</f>
        <v>#REF!</v>
      </c>
      <c r="C143" s="62"/>
      <c r="D143" s="62"/>
      <c r="E143" s="62"/>
      <c r="F143" s="62"/>
      <c r="G143" s="62"/>
      <c r="H143" s="62"/>
      <c r="I143" s="71"/>
      <c r="J143" s="72"/>
      <c r="K143" s="72"/>
      <c r="L143" s="132"/>
      <c r="M143" s="132"/>
      <c r="N143" s="132"/>
      <c r="O143" s="132"/>
      <c r="P143" s="132"/>
      <c r="Q143" s="132"/>
      <c r="R143" s="72"/>
      <c r="S143" s="72"/>
    </row>
    <row r="144" spans="1:19">
      <c r="A144" s="62" t="e">
        <f>+'AMBERIEU LAGNIEU'!#REF!</f>
        <v>#REF!</v>
      </c>
      <c r="B144" s="62" t="e">
        <f>+'AMBERIEU LAGNIEU'!#REF!</f>
        <v>#REF!</v>
      </c>
      <c r="C144" s="62"/>
      <c r="D144" s="62"/>
      <c r="E144" s="62"/>
      <c r="F144" s="62"/>
      <c r="G144" s="62"/>
      <c r="H144" s="62"/>
      <c r="I144" s="71"/>
      <c r="J144" s="72"/>
      <c r="K144" s="72"/>
      <c r="L144" s="132"/>
      <c r="M144" s="132"/>
      <c r="N144" s="132"/>
      <c r="O144" s="132"/>
      <c r="P144" s="132"/>
      <c r="Q144" s="132"/>
      <c r="R144" s="72"/>
      <c r="S144" s="72"/>
    </row>
    <row r="145" spans="1:19">
      <c r="A145" s="62" t="e">
        <f>+'AMBERIEU LAGNIEU'!#REF!</f>
        <v>#REF!</v>
      </c>
      <c r="B145" s="62" t="e">
        <f>+'AMBERIEU LAGNIEU'!#REF!</f>
        <v>#REF!</v>
      </c>
      <c r="C145" s="62"/>
      <c r="D145" s="62"/>
      <c r="E145" s="62"/>
      <c r="F145" s="62"/>
      <c r="G145" s="62"/>
      <c r="H145" s="62"/>
      <c r="I145" s="71"/>
      <c r="J145" s="72"/>
      <c r="K145" s="72"/>
      <c r="L145" s="132"/>
      <c r="M145" s="132"/>
      <c r="N145" s="132"/>
      <c r="O145" s="132"/>
      <c r="P145" s="132"/>
      <c r="Q145" s="132"/>
      <c r="R145" s="72"/>
      <c r="S145" s="72"/>
    </row>
    <row r="146" spans="1:19">
      <c r="A146" s="62" t="e">
        <f>+'AMBERIEU LAGNIEU'!#REF!</f>
        <v>#REF!</v>
      </c>
      <c r="B146" s="62" t="e">
        <f>+'AMBERIEU LAGNIEU'!#REF!</f>
        <v>#REF!</v>
      </c>
      <c r="C146" s="62"/>
      <c r="D146" s="62"/>
      <c r="E146" s="62"/>
      <c r="F146" s="62"/>
      <c r="G146" s="62"/>
      <c r="H146" s="62"/>
      <c r="I146" s="71"/>
      <c r="J146" s="72"/>
      <c r="K146" s="72"/>
      <c r="L146" s="132"/>
      <c r="M146" s="132"/>
      <c r="N146" s="132"/>
      <c r="O146" s="132"/>
      <c r="P146" s="132"/>
      <c r="Q146" s="132"/>
      <c r="R146" s="72"/>
      <c r="S146" s="72"/>
    </row>
    <row r="147" spans="1:19">
      <c r="A147" s="62" t="e">
        <f>+'AMBERIEU LAGNIEU'!#REF!</f>
        <v>#REF!</v>
      </c>
      <c r="B147" s="62" t="e">
        <f>+'AMBERIEU LAGNIEU'!#REF!</f>
        <v>#REF!</v>
      </c>
      <c r="C147" s="62"/>
      <c r="D147" s="62"/>
      <c r="E147" s="62"/>
      <c r="F147" s="62"/>
      <c r="G147" s="62"/>
      <c r="H147" s="62"/>
      <c r="I147" s="71"/>
      <c r="J147" s="72"/>
      <c r="K147" s="72"/>
      <c r="L147" s="132"/>
      <c r="M147" s="132"/>
      <c r="N147" s="132"/>
      <c r="O147" s="132"/>
      <c r="P147" s="132"/>
      <c r="Q147" s="132"/>
      <c r="R147" s="72"/>
      <c r="S147" s="72"/>
    </row>
    <row r="148" spans="1:19">
      <c r="A148" s="62" t="e">
        <f>+'AMBERIEU LAGNIEU'!#REF!</f>
        <v>#REF!</v>
      </c>
      <c r="B148" s="62" t="e">
        <f>+'AMBERIEU LAGNIEU'!#REF!</f>
        <v>#REF!</v>
      </c>
      <c r="C148" s="62"/>
      <c r="D148" s="62"/>
      <c r="E148" s="62"/>
      <c r="F148" s="62"/>
      <c r="G148" s="62"/>
      <c r="H148" s="62"/>
      <c r="I148" s="71"/>
      <c r="J148" s="72"/>
      <c r="K148" s="72"/>
      <c r="L148" s="132"/>
      <c r="M148" s="132"/>
      <c r="N148" s="132"/>
      <c r="O148" s="132"/>
      <c r="P148" s="132"/>
      <c r="Q148" s="132"/>
      <c r="R148" s="72"/>
      <c r="S148" s="72"/>
    </row>
    <row r="149" spans="1:19">
      <c r="A149" s="62" t="e">
        <f>+'AMBERIEU LAGNIEU'!#REF!</f>
        <v>#REF!</v>
      </c>
      <c r="B149" s="62" t="e">
        <f>+'AMBERIEU LAGNIEU'!#REF!</f>
        <v>#REF!</v>
      </c>
      <c r="C149" s="62"/>
      <c r="D149" s="62"/>
      <c r="E149" s="62"/>
      <c r="F149" s="62"/>
      <c r="G149" s="62"/>
      <c r="H149" s="62"/>
      <c r="I149" s="71"/>
      <c r="J149" s="72"/>
      <c r="K149" s="72"/>
      <c r="L149" s="132"/>
      <c r="M149" s="132"/>
      <c r="N149" s="132"/>
      <c r="O149" s="132"/>
      <c r="P149" s="132"/>
      <c r="Q149" s="132"/>
      <c r="R149" s="72"/>
      <c r="S149" s="72"/>
    </row>
    <row r="150" spans="1:19">
      <c r="A150" s="62" t="e">
        <f>+'AMBERIEU LAGNIEU'!#REF!</f>
        <v>#REF!</v>
      </c>
      <c r="B150" s="62" t="e">
        <f>+'AMBERIEU LAGNIEU'!#REF!</f>
        <v>#REF!</v>
      </c>
      <c r="C150" s="62"/>
      <c r="D150" s="62"/>
      <c r="E150" s="62"/>
      <c r="F150" s="62"/>
      <c r="G150" s="62"/>
      <c r="H150" s="62"/>
      <c r="I150" s="71"/>
      <c r="J150" s="72"/>
      <c r="K150" s="72"/>
      <c r="L150" s="132"/>
      <c r="M150" s="132"/>
      <c r="N150" s="132"/>
      <c r="O150" s="132"/>
      <c r="P150" s="132"/>
      <c r="Q150" s="132"/>
      <c r="R150" s="72"/>
      <c r="S150" s="72"/>
    </row>
    <row r="151" spans="1:19">
      <c r="A151" s="62" t="e">
        <f>+'AMBERIEU LAGNIEU'!#REF!</f>
        <v>#REF!</v>
      </c>
      <c r="B151" s="62" t="e">
        <f>+'AMBERIEU LAGNIEU'!#REF!</f>
        <v>#REF!</v>
      </c>
      <c r="C151" s="62"/>
      <c r="D151" s="62"/>
      <c r="E151" s="62"/>
      <c r="F151" s="62"/>
      <c r="G151" s="62"/>
      <c r="H151" s="62"/>
      <c r="I151" s="71"/>
      <c r="J151" s="72"/>
      <c r="K151" s="72"/>
      <c r="L151" s="132"/>
      <c r="M151" s="132"/>
      <c r="N151" s="132"/>
      <c r="O151" s="132"/>
      <c r="P151" s="132"/>
      <c r="Q151" s="132"/>
      <c r="R151" s="72"/>
      <c r="S151" s="72"/>
    </row>
    <row r="152" spans="1:19">
      <c r="A152" s="62" t="e">
        <f>+'AMBERIEU LAGNIEU'!#REF!</f>
        <v>#REF!</v>
      </c>
      <c r="B152" s="62" t="e">
        <f>+'AMBERIEU LAGNIEU'!#REF!</f>
        <v>#REF!</v>
      </c>
      <c r="C152" s="62"/>
      <c r="D152" s="62"/>
      <c r="E152" s="62"/>
      <c r="F152" s="62"/>
      <c r="G152" s="62"/>
      <c r="H152" s="62"/>
      <c r="I152" s="71"/>
      <c r="J152" s="72"/>
      <c r="K152" s="72"/>
      <c r="L152" s="132"/>
      <c r="M152" s="132"/>
      <c r="N152" s="132"/>
      <c r="O152" s="132"/>
      <c r="P152" s="132"/>
      <c r="Q152" s="132"/>
      <c r="R152" s="72"/>
      <c r="S152" s="72"/>
    </row>
    <row r="153" spans="1:19">
      <c r="A153" s="62" t="e">
        <f>+'AMBERIEU LAGNIEU'!#REF!</f>
        <v>#REF!</v>
      </c>
      <c r="B153" s="62" t="e">
        <f>+'AMBERIEU LAGNIEU'!#REF!</f>
        <v>#REF!</v>
      </c>
      <c r="C153" s="62"/>
      <c r="D153" s="62"/>
      <c r="E153" s="62"/>
      <c r="F153" s="62"/>
      <c r="G153" s="62"/>
      <c r="H153" s="62"/>
      <c r="I153" s="71"/>
      <c r="J153" s="72"/>
      <c r="K153" s="72"/>
      <c r="L153" s="62"/>
      <c r="M153" s="62"/>
      <c r="N153" s="62"/>
      <c r="O153" s="62"/>
      <c r="P153" s="62"/>
      <c r="Q153" s="62"/>
      <c r="R153" s="72"/>
      <c r="S153" s="72"/>
    </row>
    <row r="154" spans="1:19">
      <c r="A154" s="62" t="e">
        <f>+'AMBERIEU LAGNIEU'!#REF!</f>
        <v>#REF!</v>
      </c>
      <c r="B154" s="62" t="e">
        <f>+'AMBERIEU LAGNIEU'!#REF!</f>
        <v>#REF!</v>
      </c>
      <c r="C154" s="62"/>
      <c r="D154" s="62"/>
      <c r="E154" s="62"/>
      <c r="F154" s="62"/>
      <c r="G154" s="62"/>
      <c r="H154" s="62"/>
      <c r="I154" s="71"/>
      <c r="J154" s="72"/>
      <c r="K154" s="72"/>
      <c r="L154" s="62"/>
      <c r="M154" s="62"/>
      <c r="N154" s="62"/>
      <c r="O154" s="62"/>
      <c r="P154" s="62"/>
      <c r="Q154" s="62"/>
      <c r="R154" s="72"/>
      <c r="S154" s="72"/>
    </row>
    <row r="155" spans="1:19">
      <c r="A155" s="62" t="e">
        <f>+'AMBERIEU LAGNIEU'!#REF!</f>
        <v>#REF!</v>
      </c>
      <c r="B155" s="62" t="e">
        <f>+'AMBERIEU LAGNIEU'!#REF!</f>
        <v>#REF!</v>
      </c>
      <c r="C155" s="62"/>
      <c r="D155" s="62"/>
      <c r="E155" s="62"/>
      <c r="F155" s="62"/>
      <c r="G155" s="62"/>
      <c r="H155" s="62"/>
      <c r="I155" s="71"/>
      <c r="J155" s="72"/>
      <c r="K155" s="72"/>
      <c r="L155" s="62"/>
      <c r="M155" s="62"/>
      <c r="N155" s="62"/>
      <c r="O155" s="62"/>
      <c r="P155" s="62"/>
      <c r="Q155" s="62"/>
      <c r="R155" s="72"/>
      <c r="S155" s="72"/>
    </row>
    <row r="156" spans="1:19">
      <c r="A156" s="62" t="e">
        <f>+'AMBERIEU LAGNIEU'!#REF!</f>
        <v>#REF!</v>
      </c>
      <c r="B156" s="62" t="e">
        <f>+'AMBERIEU LAGNIEU'!#REF!</f>
        <v>#REF!</v>
      </c>
      <c r="C156" s="62"/>
      <c r="D156" s="62"/>
      <c r="E156" s="62"/>
      <c r="F156" s="62"/>
      <c r="G156" s="62"/>
      <c r="H156" s="62"/>
      <c r="I156" s="71"/>
      <c r="J156" s="72"/>
      <c r="K156" s="72"/>
      <c r="L156" s="62"/>
      <c r="M156" s="62"/>
      <c r="N156" s="62"/>
      <c r="O156" s="62"/>
      <c r="P156" s="62"/>
      <c r="Q156" s="62"/>
      <c r="R156" s="72"/>
      <c r="S156" s="72"/>
    </row>
    <row r="157" spans="1:19">
      <c r="A157" s="62" t="e">
        <f>+'AMBERIEU LAGNIEU'!#REF!</f>
        <v>#REF!</v>
      </c>
      <c r="B157" s="62" t="e">
        <f>+'AMBERIEU LAGNIEU'!#REF!</f>
        <v>#REF!</v>
      </c>
      <c r="C157" s="62"/>
      <c r="D157" s="62"/>
      <c r="E157" s="62"/>
      <c r="F157" s="62"/>
      <c r="G157" s="62"/>
      <c r="H157" s="62"/>
      <c r="I157" s="71"/>
      <c r="J157" s="72"/>
      <c r="K157" s="72"/>
      <c r="L157" s="62"/>
      <c r="M157" s="62"/>
      <c r="N157" s="62"/>
      <c r="O157" s="62"/>
      <c r="P157" s="62"/>
      <c r="Q157" s="62"/>
      <c r="R157" s="72"/>
      <c r="S157" s="72"/>
    </row>
    <row r="158" spans="1:19">
      <c r="A158" s="62" t="e">
        <f>+'AMBERIEU LAGNIEU'!#REF!</f>
        <v>#REF!</v>
      </c>
      <c r="B158" s="62" t="e">
        <f>+'AMBERIEU LAGNIEU'!#REF!</f>
        <v>#REF!</v>
      </c>
      <c r="C158" s="62"/>
      <c r="D158" s="62"/>
      <c r="E158" s="62"/>
      <c r="F158" s="62"/>
      <c r="G158" s="62"/>
      <c r="H158" s="62"/>
      <c r="I158" s="71"/>
      <c r="J158" s="72"/>
      <c r="K158" s="72"/>
      <c r="L158" s="62"/>
      <c r="M158" s="62"/>
      <c r="N158" s="62"/>
      <c r="O158" s="62"/>
      <c r="P158" s="62"/>
      <c r="Q158" s="62"/>
      <c r="R158" s="72"/>
      <c r="S158" s="72"/>
    </row>
    <row r="159" spans="1:19">
      <c r="A159" s="62" t="e">
        <f>+'AMBERIEU LAGNIEU'!#REF!</f>
        <v>#REF!</v>
      </c>
      <c r="B159" s="62" t="e">
        <f>+'AMBERIEU LAGNIEU'!#REF!</f>
        <v>#REF!</v>
      </c>
      <c r="C159" s="62"/>
      <c r="D159" s="62"/>
      <c r="E159" s="62"/>
      <c r="F159" s="62"/>
      <c r="G159" s="62"/>
      <c r="H159" s="62"/>
      <c r="I159" s="71"/>
      <c r="J159" s="72"/>
      <c r="K159" s="72"/>
      <c r="L159" s="62"/>
      <c r="M159" s="62"/>
      <c r="N159" s="62"/>
      <c r="O159" s="62"/>
      <c r="P159" s="62"/>
      <c r="Q159" s="62"/>
      <c r="R159" s="72"/>
      <c r="S159" s="72"/>
    </row>
    <row r="160" spans="1:19">
      <c r="A160" s="62" t="e">
        <f>+'AMBERIEU LAGNIEU'!#REF!</f>
        <v>#REF!</v>
      </c>
      <c r="B160" s="62" t="e">
        <f>+'AMBERIEU LAGNIEU'!#REF!</f>
        <v>#REF!</v>
      </c>
      <c r="C160" s="62"/>
      <c r="D160" s="62"/>
      <c r="E160" s="62"/>
      <c r="F160" s="62"/>
      <c r="G160" s="62"/>
      <c r="H160" s="62"/>
      <c r="I160" s="71"/>
      <c r="J160" s="72"/>
      <c r="K160" s="72"/>
      <c r="L160" s="62"/>
      <c r="M160" s="62"/>
      <c r="N160" s="62"/>
      <c r="O160" s="62"/>
      <c r="P160" s="62"/>
      <c r="Q160" s="62"/>
      <c r="R160" s="72"/>
      <c r="S160" s="72"/>
    </row>
    <row r="161" spans="1:19">
      <c r="A161" s="62" t="e">
        <f>+'AMBERIEU LAGNIEU'!#REF!</f>
        <v>#REF!</v>
      </c>
      <c r="B161" s="62" t="e">
        <f>+'AMBERIEU LAGNIEU'!#REF!</f>
        <v>#REF!</v>
      </c>
      <c r="C161" s="62"/>
      <c r="D161" s="62"/>
      <c r="E161" s="62"/>
      <c r="F161" s="62"/>
      <c r="G161" s="62"/>
      <c r="H161" s="62"/>
      <c r="I161" s="71"/>
      <c r="J161" s="72"/>
      <c r="K161" s="72"/>
      <c r="L161" s="62"/>
      <c r="M161" s="62"/>
      <c r="N161" s="62"/>
      <c r="O161" s="62"/>
      <c r="P161" s="62"/>
      <c r="Q161" s="62"/>
      <c r="R161" s="72"/>
      <c r="S161" s="72"/>
    </row>
    <row r="162" spans="1:19">
      <c r="A162" s="62" t="e">
        <f>+'AMBERIEU LAGNIEU'!#REF!</f>
        <v>#REF!</v>
      </c>
      <c r="B162" s="62" t="e">
        <f>+'AMBERIEU LAGNIEU'!#REF!</f>
        <v>#REF!</v>
      </c>
      <c r="C162" s="62"/>
      <c r="D162" s="62"/>
      <c r="E162" s="62"/>
      <c r="F162" s="62"/>
      <c r="G162" s="62"/>
      <c r="H162" s="62"/>
      <c r="I162" s="71"/>
      <c r="J162" s="72"/>
      <c r="K162" s="72"/>
      <c r="L162" s="62"/>
      <c r="M162" s="62"/>
      <c r="N162" s="62"/>
      <c r="O162" s="62"/>
      <c r="P162" s="62"/>
      <c r="Q162" s="62"/>
      <c r="R162" s="72"/>
      <c r="S162" s="72"/>
    </row>
    <row r="163" spans="1:19">
      <c r="A163" s="62" t="e">
        <f>+'AMBERIEU LAGNIEU'!#REF!</f>
        <v>#REF!</v>
      </c>
      <c r="B163" s="62" t="e">
        <f>+'AMBERIEU LAGNIEU'!#REF!</f>
        <v>#REF!</v>
      </c>
      <c r="C163" s="62"/>
      <c r="D163" s="62"/>
      <c r="E163" s="62"/>
      <c r="F163" s="62"/>
      <c r="G163" s="62"/>
      <c r="H163" s="62"/>
      <c r="I163" s="71"/>
      <c r="J163" s="72"/>
      <c r="K163" s="72"/>
      <c r="L163" s="62"/>
      <c r="M163" s="62"/>
      <c r="N163" s="62"/>
      <c r="O163" s="62"/>
      <c r="P163" s="62"/>
      <c r="Q163" s="62"/>
      <c r="R163" s="72"/>
      <c r="S163" s="72"/>
    </row>
    <row r="164" spans="1:19">
      <c r="A164" s="62" t="e">
        <f>+'AMBERIEU LAGNIEU'!#REF!</f>
        <v>#REF!</v>
      </c>
      <c r="B164" s="62" t="e">
        <f>+'AMBERIEU LAGNIEU'!#REF!</f>
        <v>#REF!</v>
      </c>
      <c r="C164" s="62"/>
      <c r="D164" s="62"/>
      <c r="E164" s="62"/>
      <c r="F164" s="62"/>
      <c r="G164" s="62"/>
      <c r="H164" s="62"/>
      <c r="I164" s="71"/>
      <c r="J164" s="72"/>
      <c r="K164" s="72"/>
      <c r="L164" s="62"/>
      <c r="M164" s="62"/>
      <c r="N164" s="62"/>
      <c r="O164" s="62"/>
      <c r="P164" s="62"/>
      <c r="Q164" s="62"/>
      <c r="R164" s="72"/>
      <c r="S164" s="72"/>
    </row>
    <row r="165" spans="1:19">
      <c r="A165" s="62" t="e">
        <f>+'AMBERIEU LAGNIEU'!#REF!</f>
        <v>#REF!</v>
      </c>
      <c r="B165" s="62" t="e">
        <f>+'AMBERIEU LAGNIEU'!#REF!</f>
        <v>#REF!</v>
      </c>
      <c r="C165" s="62"/>
      <c r="D165" s="62"/>
      <c r="E165" s="62"/>
      <c r="F165" s="62"/>
      <c r="G165" s="62"/>
      <c r="H165" s="62"/>
      <c r="I165" s="71"/>
      <c r="J165" s="72"/>
      <c r="K165" s="72"/>
      <c r="L165" s="62"/>
      <c r="M165" s="62"/>
      <c r="N165" s="62"/>
      <c r="O165" s="62"/>
      <c r="P165" s="62"/>
      <c r="Q165" s="62"/>
      <c r="R165" s="72"/>
      <c r="S165" s="72"/>
    </row>
    <row r="166" spans="1:19">
      <c r="A166" s="62" t="e">
        <f>+'AMBERIEU LAGNIEU'!#REF!</f>
        <v>#REF!</v>
      </c>
      <c r="B166" s="62" t="e">
        <f>+'AMBERIEU LAGNIEU'!#REF!</f>
        <v>#REF!</v>
      </c>
      <c r="C166" s="62"/>
      <c r="D166" s="62"/>
      <c r="E166" s="62"/>
      <c r="F166" s="62"/>
      <c r="G166" s="62"/>
      <c r="H166" s="62"/>
      <c r="I166" s="71"/>
      <c r="J166" s="72"/>
      <c r="K166" s="72"/>
      <c r="L166" s="62"/>
      <c r="M166" s="62"/>
      <c r="N166" s="62"/>
      <c r="O166" s="62"/>
      <c r="P166" s="62"/>
      <c r="Q166" s="62"/>
      <c r="R166" s="72"/>
      <c r="S166" s="72"/>
    </row>
    <row r="167" spans="1:19">
      <c r="A167" s="62" t="e">
        <f>+'AMBERIEU LAGNIEU'!#REF!</f>
        <v>#REF!</v>
      </c>
      <c r="B167" s="62" t="e">
        <f>+'AMBERIEU LAGNIEU'!#REF!</f>
        <v>#REF!</v>
      </c>
      <c r="C167" s="62"/>
      <c r="D167" s="62"/>
      <c r="E167" s="62"/>
      <c r="F167" s="62"/>
      <c r="G167" s="62"/>
      <c r="H167" s="62"/>
      <c r="I167" s="71"/>
      <c r="J167" s="72"/>
      <c r="K167" s="72"/>
      <c r="L167" s="62"/>
      <c r="M167" s="62"/>
      <c r="N167" s="62"/>
      <c r="O167" s="62"/>
      <c r="P167" s="62"/>
      <c r="Q167" s="62"/>
      <c r="R167" s="72"/>
      <c r="S167" s="72"/>
    </row>
    <row r="168" spans="1:19">
      <c r="A168" s="62" t="e">
        <f>+'AMBERIEU LAGNIEU'!#REF!</f>
        <v>#REF!</v>
      </c>
      <c r="B168" s="62" t="e">
        <f>+'AMBERIEU LAGNIEU'!#REF!</f>
        <v>#REF!</v>
      </c>
      <c r="C168" s="62"/>
      <c r="D168" s="62"/>
      <c r="E168" s="62"/>
      <c r="F168" s="62"/>
      <c r="G168" s="62"/>
      <c r="H168" s="62"/>
      <c r="I168" s="71"/>
      <c r="J168" s="72"/>
      <c r="K168" s="72"/>
      <c r="L168" s="62"/>
      <c r="M168" s="62"/>
      <c r="N168" s="62"/>
      <c r="O168" s="62"/>
      <c r="P168" s="62"/>
      <c r="Q168" s="62"/>
      <c r="R168" s="72"/>
      <c r="S168" s="72"/>
    </row>
    <row r="169" spans="1:19">
      <c r="A169" s="62" t="e">
        <f>+'AMBERIEU LAGNIEU'!#REF!</f>
        <v>#REF!</v>
      </c>
      <c r="B169" s="62" t="e">
        <f>+'AMBERIEU LAGNIEU'!#REF!</f>
        <v>#REF!</v>
      </c>
      <c r="C169" s="62"/>
      <c r="D169" s="62"/>
      <c r="E169" s="62"/>
      <c r="F169" s="62"/>
      <c r="G169" s="62"/>
      <c r="H169" s="62"/>
      <c r="I169" s="71"/>
      <c r="J169" s="72"/>
      <c r="K169" s="72"/>
      <c r="L169" s="62"/>
      <c r="M169" s="62"/>
      <c r="N169" s="62"/>
      <c r="O169" s="62"/>
      <c r="P169" s="62"/>
      <c r="Q169" s="62"/>
      <c r="R169" s="72"/>
      <c r="S169" s="72"/>
    </row>
    <row r="170" spans="1:19">
      <c r="A170" s="62" t="e">
        <f>+'AMBERIEU LAGNIEU'!#REF!</f>
        <v>#REF!</v>
      </c>
      <c r="B170" s="62" t="e">
        <f>+'AMBERIEU LAGNIEU'!#REF!</f>
        <v>#REF!</v>
      </c>
      <c r="C170" s="62"/>
      <c r="D170" s="62"/>
      <c r="E170" s="62"/>
      <c r="F170" s="62"/>
      <c r="G170" s="62"/>
      <c r="H170" s="62"/>
      <c r="I170" s="71"/>
      <c r="J170" s="72"/>
      <c r="K170" s="72"/>
      <c r="L170" s="62"/>
      <c r="M170" s="62"/>
      <c r="N170" s="62"/>
      <c r="O170" s="62"/>
      <c r="P170" s="62"/>
      <c r="Q170" s="62"/>
      <c r="R170" s="72"/>
      <c r="S170" s="72"/>
    </row>
    <row r="171" spans="1:19">
      <c r="A171" s="62" t="e">
        <f>+'AMBERIEU LAGNIEU'!#REF!</f>
        <v>#REF!</v>
      </c>
      <c r="B171" s="62" t="e">
        <f>+'AMBERIEU LAGNIEU'!#REF!</f>
        <v>#REF!</v>
      </c>
      <c r="C171" s="62"/>
      <c r="D171" s="62"/>
      <c r="E171" s="62"/>
      <c r="F171" s="62"/>
      <c r="G171" s="62"/>
      <c r="H171" s="62"/>
      <c r="I171" s="71"/>
      <c r="J171" s="72"/>
      <c r="K171" s="72"/>
      <c r="L171" s="62"/>
      <c r="M171" s="62"/>
      <c r="N171" s="62"/>
      <c r="O171" s="62"/>
      <c r="P171" s="62"/>
      <c r="Q171" s="62"/>
      <c r="R171" s="72"/>
      <c r="S171" s="72"/>
    </row>
    <row r="172" spans="1:19">
      <c r="A172" s="62" t="e">
        <f>+'AMBERIEU LAGNIEU'!#REF!</f>
        <v>#REF!</v>
      </c>
      <c r="B172" s="62" t="e">
        <f>+'AMBERIEU LAGNIEU'!#REF!</f>
        <v>#REF!</v>
      </c>
      <c r="C172" s="62"/>
      <c r="D172" s="62"/>
      <c r="E172" s="62"/>
      <c r="F172" s="62"/>
      <c r="G172" s="62"/>
      <c r="H172" s="62"/>
      <c r="I172" s="71"/>
      <c r="J172" s="72"/>
      <c r="K172" s="72"/>
      <c r="L172" s="62"/>
      <c r="M172" s="62"/>
      <c r="N172" s="62"/>
      <c r="O172" s="62"/>
      <c r="P172" s="62"/>
      <c r="Q172" s="62"/>
      <c r="R172" s="72"/>
      <c r="S172" s="72"/>
    </row>
    <row r="173" spans="1:19">
      <c r="A173" s="62" t="e">
        <f>+'AMBERIEU LAGNIEU'!#REF!</f>
        <v>#REF!</v>
      </c>
      <c r="B173" s="62" t="e">
        <f>+'AMBERIEU LAGNIEU'!#REF!</f>
        <v>#REF!</v>
      </c>
      <c r="C173" s="62"/>
      <c r="D173" s="62"/>
      <c r="E173" s="62"/>
      <c r="F173" s="62"/>
      <c r="G173" s="62"/>
      <c r="H173" s="62"/>
      <c r="I173" s="71"/>
      <c r="J173" s="72"/>
      <c r="K173" s="72"/>
      <c r="L173" s="62"/>
      <c r="M173" s="62"/>
      <c r="N173" s="62"/>
      <c r="O173" s="62"/>
      <c r="P173" s="62"/>
      <c r="Q173" s="62"/>
      <c r="R173" s="72"/>
      <c r="S173" s="72"/>
    </row>
    <row r="174" spans="1:19">
      <c r="A174" s="62" t="e">
        <f>+'AMBERIEU LAGNIEU'!#REF!</f>
        <v>#REF!</v>
      </c>
      <c r="B174" s="62" t="e">
        <f>+'AMBERIEU LAGNIEU'!#REF!</f>
        <v>#REF!</v>
      </c>
      <c r="C174" s="62"/>
      <c r="D174" s="62"/>
      <c r="E174" s="62"/>
      <c r="F174" s="62"/>
      <c r="G174" s="62"/>
      <c r="H174" s="62"/>
      <c r="I174" s="71"/>
      <c r="J174" s="72"/>
      <c r="K174" s="72"/>
      <c r="L174" s="62"/>
      <c r="M174" s="62"/>
      <c r="N174" s="62"/>
      <c r="O174" s="62"/>
      <c r="P174" s="62"/>
      <c r="Q174" s="62"/>
      <c r="R174" s="72"/>
      <c r="S174" s="72"/>
    </row>
    <row r="175" spans="1:19">
      <c r="A175" s="62" t="e">
        <f>+'AMBERIEU LAGNIEU'!#REF!</f>
        <v>#REF!</v>
      </c>
      <c r="B175" s="62" t="e">
        <f>+'AMBERIEU LAGNIEU'!#REF!</f>
        <v>#REF!</v>
      </c>
      <c r="C175" s="62"/>
      <c r="D175" s="62"/>
      <c r="E175" s="62"/>
      <c r="F175" s="62"/>
      <c r="G175" s="62"/>
      <c r="H175" s="62"/>
      <c r="I175" s="71"/>
      <c r="J175" s="72"/>
      <c r="K175" s="72"/>
      <c r="L175" s="62"/>
      <c r="M175" s="62"/>
      <c r="N175" s="62"/>
      <c r="O175" s="62"/>
      <c r="P175" s="62"/>
      <c r="Q175" s="62"/>
      <c r="R175" s="72"/>
      <c r="S175" s="72"/>
    </row>
    <row r="176" spans="1:19">
      <c r="A176" s="62" t="e">
        <f>+'AMBERIEU LAGNIEU'!#REF!</f>
        <v>#REF!</v>
      </c>
      <c r="B176" s="62" t="e">
        <f>+'AMBERIEU LAGNIEU'!#REF!</f>
        <v>#REF!</v>
      </c>
      <c r="C176" s="62"/>
      <c r="D176" s="62"/>
      <c r="E176" s="62"/>
      <c r="F176" s="62"/>
      <c r="G176" s="62"/>
      <c r="H176" s="62"/>
      <c r="I176" s="71"/>
      <c r="J176" s="72"/>
      <c r="K176" s="72"/>
      <c r="L176" s="62"/>
      <c r="M176" s="62"/>
      <c r="N176" s="62"/>
      <c r="O176" s="62"/>
      <c r="P176" s="62"/>
      <c r="Q176" s="62"/>
      <c r="R176" s="72"/>
      <c r="S176" s="72"/>
    </row>
    <row r="177" spans="1:19">
      <c r="A177" s="62" t="e">
        <f>+'AMBERIEU LAGNIEU'!#REF!</f>
        <v>#REF!</v>
      </c>
      <c r="B177" s="62" t="e">
        <f>+'AMBERIEU LAGNIEU'!#REF!</f>
        <v>#REF!</v>
      </c>
      <c r="C177" s="62"/>
      <c r="D177" s="62"/>
      <c r="E177" s="62"/>
      <c r="F177" s="62"/>
      <c r="G177" s="62"/>
      <c r="H177" s="62"/>
      <c r="I177" s="71"/>
      <c r="J177" s="72"/>
      <c r="K177" s="72"/>
      <c r="L177" s="62"/>
      <c r="M177" s="62"/>
      <c r="N177" s="62"/>
      <c r="O177" s="62"/>
      <c r="P177" s="62"/>
      <c r="Q177" s="62"/>
      <c r="R177" s="72"/>
      <c r="S177" s="72"/>
    </row>
    <row r="178" spans="1:19">
      <c r="A178" s="62" t="e">
        <f>+'AMBERIEU LAGNIEU'!#REF!</f>
        <v>#REF!</v>
      </c>
      <c r="B178" s="62" t="e">
        <f>+'AMBERIEU LAGNIEU'!#REF!</f>
        <v>#REF!</v>
      </c>
      <c r="C178" s="62"/>
      <c r="D178" s="62"/>
      <c r="E178" s="62"/>
      <c r="F178" s="62"/>
      <c r="G178" s="62"/>
      <c r="H178" s="62"/>
      <c r="I178" s="71"/>
      <c r="J178" s="72"/>
      <c r="K178" s="72"/>
      <c r="L178" s="62"/>
      <c r="M178" s="62"/>
      <c r="N178" s="62"/>
      <c r="O178" s="62"/>
      <c r="P178" s="62"/>
      <c r="Q178" s="62"/>
      <c r="R178" s="72"/>
      <c r="S178" s="72"/>
    </row>
    <row r="179" spans="1:19">
      <c r="A179" s="62" t="e">
        <f>+'AMBERIEU LAGNIEU'!#REF!</f>
        <v>#REF!</v>
      </c>
      <c r="B179" s="62" t="e">
        <f>+'AMBERIEU LAGNIEU'!#REF!</f>
        <v>#REF!</v>
      </c>
      <c r="C179" s="62"/>
      <c r="D179" s="62"/>
      <c r="E179" s="62"/>
      <c r="F179" s="62"/>
      <c r="G179" s="62"/>
      <c r="H179" s="62"/>
      <c r="I179" s="71"/>
      <c r="J179" s="72"/>
      <c r="K179" s="72"/>
      <c r="L179" s="62"/>
      <c r="M179" s="62"/>
      <c r="N179" s="62"/>
      <c r="O179" s="62"/>
      <c r="P179" s="62"/>
      <c r="Q179" s="62"/>
      <c r="R179" s="72"/>
      <c r="S179" s="72"/>
    </row>
    <row r="180" spans="1:19">
      <c r="A180" s="62" t="e">
        <f>+'AMBERIEU LAGNIEU'!#REF!</f>
        <v>#REF!</v>
      </c>
      <c r="B180" s="62" t="e">
        <f>+'AMBERIEU LAGNIEU'!#REF!</f>
        <v>#REF!</v>
      </c>
      <c r="C180" s="62"/>
      <c r="D180" s="62"/>
      <c r="E180" s="62"/>
      <c r="F180" s="62"/>
      <c r="G180" s="62"/>
      <c r="H180" s="62"/>
      <c r="I180" s="71"/>
      <c r="J180" s="72"/>
      <c r="K180" s="72"/>
      <c r="L180" s="62"/>
      <c r="M180" s="62"/>
      <c r="N180" s="62"/>
      <c r="O180" s="62"/>
      <c r="P180" s="62"/>
      <c r="Q180" s="62"/>
      <c r="R180" s="72"/>
      <c r="S180" s="72"/>
    </row>
    <row r="181" spans="1:19">
      <c r="A181" s="62" t="e">
        <f>+'AMBERIEU LAGNIEU'!#REF!</f>
        <v>#REF!</v>
      </c>
      <c r="B181" s="62" t="e">
        <f>+'AMBERIEU LAGNIEU'!#REF!</f>
        <v>#REF!</v>
      </c>
      <c r="C181" s="62"/>
      <c r="D181" s="62"/>
      <c r="E181" s="62"/>
      <c r="F181" s="62"/>
      <c r="G181" s="62"/>
      <c r="H181" s="62"/>
      <c r="I181" s="71"/>
      <c r="J181" s="72"/>
      <c r="K181" s="72"/>
      <c r="L181" s="62"/>
      <c r="M181" s="62"/>
      <c r="N181" s="62"/>
      <c r="O181" s="62"/>
      <c r="P181" s="62"/>
      <c r="Q181" s="62"/>
      <c r="R181" s="72"/>
      <c r="S181" s="72"/>
    </row>
    <row r="182" spans="1:19">
      <c r="A182" s="62" t="e">
        <f>+'AMBERIEU LAGNIEU'!#REF!</f>
        <v>#REF!</v>
      </c>
      <c r="B182" s="62" t="e">
        <f>+'AMBERIEU LAGNIEU'!#REF!</f>
        <v>#REF!</v>
      </c>
      <c r="C182" s="62"/>
      <c r="D182" s="62"/>
      <c r="E182" s="62"/>
      <c r="F182" s="62"/>
      <c r="G182" s="62"/>
      <c r="H182" s="62"/>
      <c r="I182" s="71"/>
      <c r="J182" s="72"/>
      <c r="K182" s="72"/>
      <c r="L182" s="62"/>
      <c r="M182" s="62"/>
      <c r="N182" s="62"/>
      <c r="O182" s="62"/>
      <c r="P182" s="62"/>
      <c r="Q182" s="62"/>
      <c r="R182" s="72"/>
      <c r="S182" s="72"/>
    </row>
    <row r="183" spans="1:19">
      <c r="A183" s="62" t="e">
        <f>+'AMBERIEU LAGNIEU'!#REF!</f>
        <v>#REF!</v>
      </c>
      <c r="B183" s="62" t="e">
        <f>+'AMBERIEU LAGNIEU'!#REF!</f>
        <v>#REF!</v>
      </c>
      <c r="C183" s="62"/>
      <c r="D183" s="62"/>
      <c r="E183" s="62"/>
      <c r="F183" s="62"/>
      <c r="G183" s="62"/>
      <c r="H183" s="62"/>
      <c r="I183" s="71"/>
      <c r="J183" s="72"/>
      <c r="K183" s="72"/>
      <c r="L183" s="62"/>
      <c r="M183" s="62"/>
      <c r="N183" s="62"/>
      <c r="O183" s="62"/>
      <c r="P183" s="62"/>
      <c r="Q183" s="62"/>
      <c r="R183" s="72"/>
      <c r="S183" s="72"/>
    </row>
    <row r="184" spans="1:19">
      <c r="A184" s="62" t="e">
        <f>+'AMBERIEU LAGNIEU'!#REF!</f>
        <v>#REF!</v>
      </c>
      <c r="B184" s="62" t="e">
        <f>+'AMBERIEU LAGNIEU'!#REF!</f>
        <v>#REF!</v>
      </c>
      <c r="C184" s="62"/>
      <c r="D184" s="62"/>
      <c r="E184" s="62"/>
      <c r="F184" s="62"/>
      <c r="G184" s="62"/>
      <c r="H184" s="62"/>
      <c r="I184" s="71"/>
      <c r="J184" s="72"/>
      <c r="K184" s="72"/>
      <c r="L184" s="62"/>
      <c r="M184" s="62"/>
      <c r="N184" s="62"/>
      <c r="O184" s="62"/>
      <c r="P184" s="62"/>
      <c r="Q184" s="62"/>
      <c r="R184" s="72"/>
      <c r="S184" s="72"/>
    </row>
    <row r="185" spans="1:19">
      <c r="A185" s="62" t="e">
        <f>+'AMBERIEU LAGNIEU'!#REF!</f>
        <v>#REF!</v>
      </c>
      <c r="B185" s="62" t="e">
        <f>+'AMBERIEU LAGNIEU'!#REF!</f>
        <v>#REF!</v>
      </c>
      <c r="C185" s="62"/>
      <c r="D185" s="62"/>
      <c r="E185" s="62"/>
      <c r="F185" s="62"/>
      <c r="G185" s="62"/>
      <c r="H185" s="62"/>
      <c r="I185" s="71"/>
      <c r="J185" s="72"/>
      <c r="K185" s="72"/>
      <c r="L185" s="62"/>
      <c r="M185" s="62"/>
      <c r="N185" s="62"/>
      <c r="O185" s="62"/>
      <c r="P185" s="62"/>
      <c r="Q185" s="62"/>
      <c r="R185" s="72"/>
      <c r="S185" s="72"/>
    </row>
    <row r="186" spans="1:19">
      <c r="A186" s="62" t="e">
        <f>+'AMBERIEU LAGNIEU'!#REF!</f>
        <v>#REF!</v>
      </c>
      <c r="B186" s="62" t="e">
        <f>+'AMBERIEU LAGNIEU'!#REF!</f>
        <v>#REF!</v>
      </c>
      <c r="C186" s="62"/>
      <c r="D186" s="62"/>
      <c r="E186" s="62"/>
      <c r="F186" s="62"/>
      <c r="G186" s="62"/>
      <c r="H186" s="62"/>
      <c r="I186" s="71"/>
      <c r="J186" s="72"/>
      <c r="K186" s="72"/>
      <c r="L186" s="62"/>
      <c r="M186" s="62"/>
      <c r="N186" s="62"/>
      <c r="O186" s="62"/>
      <c r="P186" s="62"/>
      <c r="Q186" s="62"/>
      <c r="R186" s="72"/>
      <c r="S186" s="72"/>
    </row>
    <row r="187" spans="1:19">
      <c r="A187" s="62" t="e">
        <f>+'AMBERIEU LAGNIEU'!#REF!</f>
        <v>#REF!</v>
      </c>
      <c r="B187" s="62" t="e">
        <f>+'AMBERIEU LAGNIEU'!#REF!</f>
        <v>#REF!</v>
      </c>
      <c r="C187" s="62"/>
      <c r="D187" s="62"/>
      <c r="E187" s="62"/>
      <c r="F187" s="62"/>
      <c r="G187" s="62"/>
      <c r="H187" s="62"/>
      <c r="I187" s="71"/>
      <c r="J187" s="72"/>
      <c r="K187" s="72"/>
      <c r="L187" s="62"/>
      <c r="M187" s="62"/>
      <c r="N187" s="62"/>
      <c r="O187" s="62"/>
      <c r="P187" s="62"/>
      <c r="Q187" s="62"/>
      <c r="R187" s="72"/>
      <c r="S187" s="72"/>
    </row>
    <row r="188" spans="1:19">
      <c r="A188" s="62" t="e">
        <f>+'AMBERIEU LAGNIEU'!#REF!</f>
        <v>#REF!</v>
      </c>
      <c r="B188" s="62" t="e">
        <f>+'AMBERIEU LAGNIEU'!#REF!</f>
        <v>#REF!</v>
      </c>
      <c r="C188" s="62"/>
      <c r="D188" s="62"/>
      <c r="E188" s="62"/>
      <c r="F188" s="62"/>
      <c r="G188" s="62"/>
      <c r="H188" s="62"/>
      <c r="I188" s="71"/>
      <c r="J188" s="72"/>
      <c r="K188" s="72"/>
      <c r="L188" s="62"/>
      <c r="M188" s="62"/>
      <c r="N188" s="62"/>
      <c r="O188" s="62"/>
      <c r="P188" s="62"/>
      <c r="Q188" s="62"/>
      <c r="R188" s="72"/>
      <c r="S188" s="72"/>
    </row>
    <row r="189" spans="1:19">
      <c r="A189" s="62" t="e">
        <f>+'AMBERIEU LAGNIEU'!#REF!</f>
        <v>#REF!</v>
      </c>
      <c r="B189" s="62" t="e">
        <f>+'AMBERIEU LAGNIEU'!#REF!</f>
        <v>#REF!</v>
      </c>
      <c r="C189" s="62"/>
      <c r="D189" s="62"/>
      <c r="E189" s="62"/>
      <c r="F189" s="62"/>
      <c r="G189" s="62"/>
      <c r="H189" s="62"/>
      <c r="I189" s="71"/>
      <c r="J189" s="72"/>
      <c r="K189" s="72"/>
      <c r="L189" s="62"/>
      <c r="M189" s="62"/>
      <c r="N189" s="62"/>
      <c r="O189" s="62"/>
      <c r="P189" s="62"/>
      <c r="Q189" s="62"/>
      <c r="R189" s="72"/>
      <c r="S189" s="72"/>
    </row>
    <row r="190" spans="1:19">
      <c r="A190" s="62" t="e">
        <f>+'AMBERIEU LAGNIEU'!#REF!</f>
        <v>#REF!</v>
      </c>
      <c r="B190" s="62" t="e">
        <f>+'AMBERIEU LAGNIEU'!#REF!</f>
        <v>#REF!</v>
      </c>
      <c r="C190" s="62"/>
      <c r="D190" s="62"/>
      <c r="E190" s="62"/>
      <c r="F190" s="62"/>
      <c r="G190" s="62"/>
      <c r="H190" s="62"/>
      <c r="I190" s="71"/>
      <c r="J190" s="72"/>
      <c r="K190" s="72"/>
      <c r="L190" s="62"/>
      <c r="M190" s="62"/>
      <c r="N190" s="62"/>
      <c r="O190" s="62"/>
      <c r="P190" s="62"/>
      <c r="Q190" s="62"/>
      <c r="R190" s="72"/>
      <c r="S190" s="72"/>
    </row>
    <row r="191" spans="1:19">
      <c r="A191" s="62" t="e">
        <f>+'AMBERIEU LAGNIEU'!#REF!</f>
        <v>#REF!</v>
      </c>
      <c r="B191" s="62" t="e">
        <f>+'AMBERIEU LAGNIEU'!#REF!</f>
        <v>#REF!</v>
      </c>
      <c r="C191" s="62"/>
      <c r="D191" s="62"/>
      <c r="E191" s="62"/>
      <c r="F191" s="62"/>
      <c r="G191" s="62"/>
      <c r="H191" s="62"/>
      <c r="I191" s="71"/>
      <c r="J191" s="72"/>
      <c r="K191" s="72"/>
      <c r="L191" s="62"/>
      <c r="M191" s="62"/>
      <c r="N191" s="62"/>
      <c r="O191" s="62"/>
      <c r="P191" s="62"/>
      <c r="Q191" s="62"/>
      <c r="R191" s="72"/>
      <c r="S191" s="72"/>
    </row>
    <row r="192" spans="1:19">
      <c r="A192" s="62" t="e">
        <f>+'AMBERIEU LAGNIEU'!#REF!</f>
        <v>#REF!</v>
      </c>
      <c r="B192" s="62" t="e">
        <f>+'AMBERIEU LAGNIEU'!#REF!</f>
        <v>#REF!</v>
      </c>
      <c r="C192" s="62"/>
      <c r="D192" s="62"/>
      <c r="E192" s="62"/>
      <c r="F192" s="62"/>
      <c r="G192" s="62"/>
      <c r="H192" s="62"/>
      <c r="I192" s="71"/>
      <c r="J192" s="72"/>
      <c r="K192" s="72"/>
      <c r="L192" s="62"/>
      <c r="M192" s="62"/>
      <c r="N192" s="62"/>
      <c r="O192" s="62"/>
      <c r="P192" s="62"/>
      <c r="Q192" s="62"/>
      <c r="R192" s="72"/>
      <c r="S192" s="72"/>
    </row>
    <row r="193" spans="1:19">
      <c r="A193" s="62" t="e">
        <f>+'AMBERIEU LAGNIEU'!#REF!</f>
        <v>#REF!</v>
      </c>
      <c r="B193" s="62" t="e">
        <f>+'AMBERIEU LAGNIEU'!#REF!</f>
        <v>#REF!</v>
      </c>
      <c r="C193" s="62"/>
      <c r="D193" s="62"/>
      <c r="E193" s="62"/>
      <c r="F193" s="62"/>
      <c r="G193" s="62"/>
      <c r="H193" s="62"/>
      <c r="I193" s="71"/>
      <c r="J193" s="72"/>
      <c r="K193" s="72"/>
      <c r="L193" s="62"/>
      <c r="M193" s="62"/>
      <c r="N193" s="62"/>
      <c r="O193" s="62"/>
      <c r="P193" s="62"/>
      <c r="Q193" s="62"/>
      <c r="R193" s="72"/>
      <c r="S193" s="72"/>
    </row>
    <row r="194" spans="1:19">
      <c r="A194" s="62" t="e">
        <f>+'AMBERIEU LAGNIEU'!#REF!</f>
        <v>#REF!</v>
      </c>
      <c r="B194" s="62" t="e">
        <f>+'AMBERIEU LAGNIEU'!#REF!</f>
        <v>#REF!</v>
      </c>
      <c r="C194" s="62"/>
      <c r="D194" s="62"/>
      <c r="E194" s="62"/>
      <c r="F194" s="62"/>
      <c r="G194" s="62"/>
      <c r="H194" s="62"/>
      <c r="I194" s="71"/>
      <c r="J194" s="72"/>
      <c r="K194" s="72"/>
      <c r="L194" s="62"/>
      <c r="M194" s="62"/>
      <c r="N194" s="62"/>
      <c r="O194" s="62"/>
      <c r="P194" s="62"/>
      <c r="Q194" s="62"/>
      <c r="R194" s="72"/>
      <c r="S194" s="72"/>
    </row>
    <row r="195" spans="1:19">
      <c r="A195" s="62" t="e">
        <f>+'AMBERIEU LAGNIEU'!#REF!</f>
        <v>#REF!</v>
      </c>
      <c r="B195" s="62" t="e">
        <f>+'AMBERIEU LAGNIEU'!#REF!</f>
        <v>#REF!</v>
      </c>
      <c r="C195" s="62"/>
      <c r="D195" s="62"/>
      <c r="E195" s="62"/>
      <c r="F195" s="62"/>
      <c r="G195" s="62"/>
      <c r="H195" s="62"/>
      <c r="I195" s="71"/>
      <c r="J195" s="72"/>
      <c r="K195" s="72"/>
      <c r="L195" s="62"/>
      <c r="M195" s="62"/>
      <c r="N195" s="62"/>
      <c r="O195" s="62"/>
      <c r="P195" s="62"/>
      <c r="Q195" s="62"/>
      <c r="R195" s="72"/>
      <c r="S195" s="72"/>
    </row>
    <row r="196" spans="1:19">
      <c r="A196" s="62" t="e">
        <f>+'AMBERIEU LAGNIEU'!#REF!</f>
        <v>#REF!</v>
      </c>
      <c r="B196" s="62" t="e">
        <f>+'AMBERIEU LAGNIEU'!#REF!</f>
        <v>#REF!</v>
      </c>
      <c r="C196" s="62"/>
      <c r="D196" s="62"/>
      <c r="E196" s="62"/>
      <c r="F196" s="62"/>
      <c r="G196" s="62"/>
      <c r="H196" s="62"/>
      <c r="I196" s="71"/>
      <c r="J196" s="72"/>
      <c r="K196" s="72"/>
      <c r="L196" s="62"/>
      <c r="M196" s="62"/>
      <c r="N196" s="62"/>
      <c r="O196" s="62"/>
      <c r="P196" s="62"/>
      <c r="Q196" s="62"/>
      <c r="R196" s="72"/>
      <c r="S196" s="72"/>
    </row>
    <row r="197" spans="1:19">
      <c r="A197" s="62" t="e">
        <f>+'AMBERIEU LAGNIEU'!#REF!</f>
        <v>#REF!</v>
      </c>
      <c r="B197" s="62" t="e">
        <f>+'AMBERIEU LAGNIEU'!#REF!</f>
        <v>#REF!</v>
      </c>
      <c r="C197" s="62"/>
      <c r="D197" s="62"/>
      <c r="E197" s="62"/>
      <c r="F197" s="62"/>
      <c r="G197" s="62"/>
      <c r="H197" s="62"/>
      <c r="I197" s="71"/>
      <c r="J197" s="72"/>
      <c r="K197" s="72"/>
      <c r="L197" s="62"/>
      <c r="M197" s="62"/>
      <c r="N197" s="62"/>
      <c r="O197" s="62"/>
      <c r="P197" s="62"/>
      <c r="Q197" s="62"/>
      <c r="R197" s="72"/>
      <c r="S197" s="72"/>
    </row>
    <row r="198" spans="1:19">
      <c r="A198" s="62" t="e">
        <f>+'AMBERIEU LAGNIEU'!#REF!</f>
        <v>#REF!</v>
      </c>
      <c r="B198" s="62" t="e">
        <f>+'AMBERIEU LAGNIEU'!#REF!</f>
        <v>#REF!</v>
      </c>
      <c r="C198" s="62"/>
      <c r="D198" s="62"/>
      <c r="E198" s="62"/>
      <c r="F198" s="62"/>
      <c r="G198" s="62"/>
      <c r="H198" s="62"/>
      <c r="I198" s="71"/>
      <c r="J198" s="72"/>
      <c r="K198" s="72"/>
      <c r="L198" s="62"/>
      <c r="M198" s="62"/>
      <c r="N198" s="62"/>
      <c r="O198" s="62"/>
      <c r="P198" s="62"/>
      <c r="Q198" s="62"/>
      <c r="R198" s="72"/>
      <c r="S198" s="72"/>
    </row>
    <row r="199" spans="1:19">
      <c r="A199" s="62"/>
      <c r="B199" s="62"/>
      <c r="C199" s="62"/>
      <c r="D199" s="62"/>
      <c r="E199" s="62"/>
      <c r="F199" s="62"/>
      <c r="G199" s="62"/>
      <c r="H199" s="62"/>
      <c r="I199" s="71"/>
      <c r="J199" s="72"/>
      <c r="K199" s="72"/>
      <c r="L199" s="62"/>
      <c r="M199" s="62"/>
      <c r="N199" s="62"/>
      <c r="O199" s="62"/>
      <c r="P199" s="62"/>
      <c r="Q199" s="62"/>
      <c r="R199" s="72"/>
      <c r="S199" s="72"/>
    </row>
    <row r="200" spans="1:19">
      <c r="A200" s="62"/>
      <c r="B200" s="62"/>
      <c r="C200" s="62"/>
      <c r="D200" s="62"/>
      <c r="E200" s="62"/>
      <c r="F200" s="62"/>
      <c r="G200" s="62"/>
      <c r="H200" s="62"/>
      <c r="I200" s="71"/>
      <c r="J200" s="72"/>
      <c r="K200" s="72"/>
      <c r="L200" s="62"/>
      <c r="M200" s="62"/>
      <c r="N200" s="62"/>
      <c r="O200" s="62"/>
      <c r="P200" s="62"/>
      <c r="Q200" s="62"/>
      <c r="R200" s="72"/>
      <c r="S200" s="72"/>
    </row>
    <row r="201" spans="1:19">
      <c r="A201" s="62"/>
      <c r="B201" s="62"/>
      <c r="C201" s="62"/>
      <c r="D201" s="62"/>
      <c r="E201" s="62"/>
      <c r="F201" s="62"/>
      <c r="G201" s="62"/>
      <c r="H201" s="62"/>
      <c r="I201" s="71"/>
      <c r="J201" s="72"/>
      <c r="K201" s="72"/>
      <c r="L201" s="62"/>
      <c r="M201" s="62"/>
      <c r="N201" s="62"/>
      <c r="O201" s="62"/>
      <c r="P201" s="62"/>
      <c r="Q201" s="62"/>
      <c r="R201" s="72"/>
      <c r="S201" s="72"/>
    </row>
    <row r="202" spans="1:19">
      <c r="A202" s="62"/>
      <c r="B202" s="62"/>
      <c r="C202" s="62"/>
      <c r="D202" s="62"/>
      <c r="E202" s="62"/>
      <c r="F202" s="62"/>
      <c r="G202" s="62"/>
      <c r="H202" s="62"/>
      <c r="I202" s="71"/>
      <c r="J202" s="72"/>
      <c r="K202" s="72"/>
      <c r="L202" s="62"/>
      <c r="M202" s="62"/>
      <c r="N202" s="62"/>
      <c r="O202" s="62"/>
      <c r="P202" s="62"/>
      <c r="Q202" s="62"/>
      <c r="R202" s="72"/>
      <c r="S202" s="72"/>
    </row>
    <row r="203" spans="1:19">
      <c r="A203" s="62"/>
      <c r="B203" s="62"/>
      <c r="C203" s="62"/>
      <c r="D203" s="62"/>
      <c r="E203" s="62"/>
      <c r="F203" s="62"/>
      <c r="G203" s="62"/>
      <c r="H203" s="62"/>
      <c r="I203" s="71"/>
      <c r="J203" s="72"/>
      <c r="K203" s="72"/>
      <c r="L203" s="62"/>
      <c r="M203" s="62"/>
      <c r="N203" s="62"/>
      <c r="O203" s="62"/>
      <c r="P203" s="62"/>
      <c r="Q203" s="62"/>
      <c r="R203" s="72"/>
      <c r="S203" s="72"/>
    </row>
    <row r="204" spans="1:19">
      <c r="A204" s="62"/>
      <c r="B204" s="62"/>
      <c r="C204" s="62"/>
      <c r="D204" s="62"/>
      <c r="E204" s="62"/>
      <c r="F204" s="62"/>
      <c r="G204" s="62"/>
      <c r="H204" s="62"/>
      <c r="I204" s="71"/>
      <c r="J204" s="72"/>
      <c r="K204" s="72"/>
      <c r="L204" s="62"/>
      <c r="M204" s="62"/>
      <c r="N204" s="62"/>
      <c r="O204" s="62"/>
      <c r="P204" s="62"/>
      <c r="Q204" s="62"/>
      <c r="R204" s="72"/>
      <c r="S204" s="72"/>
    </row>
    <row r="205" spans="1:19">
      <c r="A205" s="62"/>
      <c r="B205" s="62"/>
      <c r="C205" s="62"/>
      <c r="D205" s="62"/>
      <c r="E205" s="62"/>
      <c r="F205" s="62"/>
      <c r="G205" s="62"/>
      <c r="H205" s="62"/>
      <c r="I205" s="71"/>
      <c r="J205" s="72"/>
      <c r="K205" s="72"/>
      <c r="L205" s="62"/>
      <c r="M205" s="62"/>
      <c r="N205" s="62"/>
      <c r="O205" s="62"/>
      <c r="P205" s="62"/>
      <c r="Q205" s="62"/>
      <c r="R205" s="72"/>
      <c r="S205" s="72"/>
    </row>
    <row r="206" spans="1:19">
      <c r="A206" s="62"/>
      <c r="B206" s="62"/>
      <c r="C206" s="62"/>
      <c r="D206" s="62"/>
      <c r="E206" s="62"/>
      <c r="F206" s="62"/>
      <c r="G206" s="62"/>
      <c r="H206" s="62"/>
      <c r="I206" s="71"/>
      <c r="J206" s="72"/>
      <c r="K206" s="72"/>
      <c r="L206" s="62"/>
      <c r="M206" s="62"/>
      <c r="N206" s="62"/>
      <c r="O206" s="62"/>
      <c r="P206" s="62"/>
      <c r="Q206" s="62"/>
      <c r="R206" s="72"/>
      <c r="S206" s="72"/>
    </row>
    <row r="207" spans="1:19">
      <c r="A207" s="62"/>
      <c r="B207" s="62"/>
      <c r="C207" s="62"/>
      <c r="D207" s="62"/>
      <c r="E207" s="62"/>
      <c r="F207" s="62"/>
      <c r="G207" s="62"/>
      <c r="H207" s="62"/>
      <c r="I207" s="71"/>
      <c r="J207" s="72"/>
      <c r="K207" s="72"/>
      <c r="L207" s="62"/>
      <c r="M207" s="62"/>
      <c r="N207" s="62"/>
      <c r="O207" s="62"/>
      <c r="P207" s="62"/>
      <c r="Q207" s="62"/>
      <c r="R207" s="72"/>
      <c r="S207" s="72"/>
    </row>
    <row r="208" spans="1:19">
      <c r="A208" s="62"/>
      <c r="B208" s="62"/>
      <c r="C208" s="62"/>
      <c r="D208" s="62"/>
      <c r="E208" s="62"/>
      <c r="F208" s="62"/>
      <c r="G208" s="62"/>
      <c r="H208" s="62"/>
      <c r="I208" s="71"/>
      <c r="J208" s="72"/>
      <c r="K208" s="72"/>
      <c r="L208" s="62"/>
      <c r="M208" s="62"/>
      <c r="N208" s="62"/>
      <c r="O208" s="62"/>
      <c r="P208" s="62"/>
      <c r="Q208" s="62"/>
      <c r="R208" s="72"/>
      <c r="S208" s="72"/>
    </row>
    <row r="209" spans="1:19">
      <c r="A209" s="62"/>
      <c r="B209" s="62"/>
      <c r="C209" s="62"/>
      <c r="D209" s="62"/>
      <c r="E209" s="62"/>
      <c r="F209" s="62"/>
      <c r="G209" s="62"/>
      <c r="H209" s="62"/>
      <c r="I209" s="71"/>
      <c r="J209" s="72"/>
      <c r="K209" s="72"/>
      <c r="L209" s="62"/>
      <c r="M209" s="62"/>
      <c r="N209" s="62"/>
      <c r="O209" s="62"/>
      <c r="P209" s="62"/>
      <c r="Q209" s="62"/>
      <c r="R209" s="72"/>
      <c r="S209" s="72"/>
    </row>
    <row r="210" spans="1:19">
      <c r="A210" s="62"/>
      <c r="B210" s="62"/>
      <c r="C210" s="62"/>
      <c r="D210" s="62"/>
      <c r="E210" s="62"/>
      <c r="F210" s="62"/>
      <c r="G210" s="62"/>
      <c r="H210" s="62"/>
      <c r="I210" s="71"/>
      <c r="J210" s="72"/>
      <c r="K210" s="72"/>
      <c r="L210" s="62"/>
      <c r="M210" s="62"/>
      <c r="N210" s="62"/>
      <c r="O210" s="62"/>
      <c r="P210" s="62"/>
      <c r="Q210" s="62"/>
      <c r="R210" s="72"/>
      <c r="S210" s="72"/>
    </row>
    <row r="211" spans="1:19">
      <c r="A211" s="62"/>
      <c r="B211" s="62"/>
      <c r="C211" s="62"/>
      <c r="D211" s="62"/>
      <c r="E211" s="62"/>
      <c r="F211" s="62"/>
      <c r="G211" s="62"/>
      <c r="H211" s="62"/>
      <c r="I211" s="71"/>
      <c r="J211" s="72"/>
      <c r="K211" s="72"/>
      <c r="L211" s="62"/>
      <c r="M211" s="62"/>
      <c r="N211" s="62"/>
      <c r="O211" s="62"/>
      <c r="P211" s="62"/>
      <c r="Q211" s="62"/>
      <c r="R211" s="72"/>
      <c r="S211" s="72"/>
    </row>
    <row r="212" spans="1:19">
      <c r="A212" s="62"/>
      <c r="B212" s="62"/>
      <c r="C212" s="62"/>
      <c r="D212" s="62"/>
      <c r="E212" s="62"/>
      <c r="F212" s="62"/>
      <c r="G212" s="62"/>
      <c r="H212" s="62"/>
      <c r="I212" s="71"/>
      <c r="J212" s="72"/>
      <c r="K212" s="72"/>
      <c r="L212" s="62"/>
      <c r="M212" s="62"/>
      <c r="N212" s="62"/>
      <c r="O212" s="62"/>
      <c r="P212" s="62"/>
      <c r="Q212" s="62"/>
      <c r="R212" s="72"/>
      <c r="S212" s="72"/>
    </row>
    <row r="213" spans="1:19">
      <c r="A213" s="62"/>
      <c r="B213" s="62"/>
      <c r="C213" s="62"/>
      <c r="D213" s="62"/>
      <c r="E213" s="62"/>
      <c r="F213" s="62"/>
      <c r="G213" s="62"/>
      <c r="H213" s="62"/>
      <c r="I213" s="71"/>
      <c r="J213" s="72"/>
      <c r="K213" s="72"/>
      <c r="L213" s="62"/>
      <c r="M213" s="62"/>
      <c r="N213" s="62"/>
      <c r="O213" s="62"/>
      <c r="P213" s="62"/>
      <c r="Q213" s="62"/>
      <c r="R213" s="72"/>
      <c r="S213" s="72"/>
    </row>
    <row r="214" spans="1:19">
      <c r="A214" s="62"/>
      <c r="B214" s="62"/>
      <c r="C214" s="62"/>
      <c r="D214" s="62"/>
      <c r="E214" s="62"/>
      <c r="F214" s="62"/>
      <c r="G214" s="62"/>
      <c r="H214" s="62"/>
      <c r="I214" s="71"/>
      <c r="J214" s="72"/>
      <c r="K214" s="72"/>
      <c r="L214" s="62"/>
      <c r="M214" s="62"/>
      <c r="N214" s="62"/>
      <c r="O214" s="62"/>
      <c r="P214" s="62"/>
      <c r="Q214" s="62"/>
      <c r="R214" s="72"/>
      <c r="S214" s="72"/>
    </row>
    <row r="215" spans="1:19">
      <c r="A215" s="62"/>
      <c r="B215" s="62"/>
      <c r="C215" s="62"/>
      <c r="D215" s="62"/>
      <c r="E215" s="62"/>
      <c r="F215" s="62"/>
      <c r="G215" s="62"/>
      <c r="H215" s="62"/>
      <c r="I215" s="71"/>
      <c r="J215" s="72"/>
      <c r="K215" s="72"/>
      <c r="L215" s="62"/>
      <c r="M215" s="62"/>
      <c r="N215" s="62"/>
      <c r="O215" s="62"/>
      <c r="P215" s="62"/>
      <c r="Q215" s="62"/>
      <c r="R215" s="72"/>
      <c r="S215" s="72"/>
    </row>
    <row r="216" spans="1:19">
      <c r="A216" s="62"/>
      <c r="B216" s="62"/>
      <c r="C216" s="62"/>
      <c r="D216" s="62"/>
      <c r="E216" s="62"/>
      <c r="F216" s="62"/>
      <c r="G216" s="62"/>
      <c r="H216" s="62"/>
      <c r="I216" s="71"/>
      <c r="J216" s="72"/>
      <c r="K216" s="72"/>
      <c r="L216" s="62"/>
      <c r="M216" s="62"/>
      <c r="N216" s="62"/>
      <c r="O216" s="62"/>
      <c r="P216" s="62"/>
      <c r="Q216" s="62"/>
      <c r="R216" s="72"/>
      <c r="S216" s="72"/>
    </row>
    <row r="217" spans="1:19">
      <c r="A217" s="62"/>
      <c r="B217" s="62"/>
      <c r="C217" s="62"/>
      <c r="D217" s="62"/>
      <c r="E217" s="62"/>
      <c r="F217" s="62"/>
      <c r="G217" s="62"/>
      <c r="H217" s="62"/>
      <c r="I217" s="71"/>
      <c r="J217" s="72"/>
      <c r="K217" s="72"/>
      <c r="L217" s="62"/>
      <c r="M217" s="62"/>
      <c r="N217" s="62"/>
      <c r="O217" s="62"/>
      <c r="P217" s="62"/>
      <c r="Q217" s="62"/>
      <c r="R217" s="72"/>
      <c r="S217" s="72"/>
    </row>
    <row r="218" spans="1:19">
      <c r="A218" s="62"/>
      <c r="B218" s="62"/>
      <c r="C218" s="62"/>
      <c r="D218" s="62"/>
      <c r="E218" s="62"/>
      <c r="F218" s="62"/>
      <c r="G218" s="62"/>
      <c r="H218" s="62"/>
      <c r="I218" s="71"/>
      <c r="J218" s="72"/>
      <c r="K218" s="72"/>
      <c r="L218" s="62"/>
      <c r="M218" s="62"/>
      <c r="N218" s="62"/>
      <c r="O218" s="62"/>
      <c r="P218" s="62"/>
      <c r="Q218" s="62"/>
      <c r="R218" s="72"/>
      <c r="S218" s="72"/>
    </row>
    <row r="219" spans="1:19">
      <c r="A219" s="62"/>
      <c r="B219" s="62"/>
      <c r="C219" s="62"/>
      <c r="D219" s="62"/>
      <c r="E219" s="62"/>
      <c r="F219" s="62"/>
      <c r="G219" s="62"/>
      <c r="H219" s="62"/>
      <c r="I219" s="71"/>
      <c r="J219" s="72"/>
      <c r="K219" s="72"/>
      <c r="L219" s="62"/>
      <c r="M219" s="62"/>
      <c r="N219" s="62"/>
      <c r="O219" s="62"/>
      <c r="P219" s="62"/>
      <c r="Q219" s="62"/>
      <c r="R219" s="72"/>
      <c r="S219" s="72"/>
    </row>
    <row r="220" spans="1:19">
      <c r="A220" s="62"/>
      <c r="B220" s="62"/>
      <c r="C220" s="62"/>
      <c r="D220" s="62"/>
      <c r="E220" s="62"/>
      <c r="F220" s="62"/>
      <c r="G220" s="62"/>
      <c r="H220" s="62"/>
      <c r="I220" s="71"/>
      <c r="J220" s="72"/>
      <c r="K220" s="72"/>
      <c r="L220" s="62"/>
      <c r="M220" s="62"/>
      <c r="N220" s="62"/>
      <c r="O220" s="62"/>
      <c r="P220" s="62"/>
      <c r="Q220" s="62"/>
      <c r="R220" s="72"/>
      <c r="S220" s="72"/>
    </row>
    <row r="221" spans="1:19">
      <c r="A221" s="62"/>
      <c r="B221" s="62"/>
      <c r="C221" s="62"/>
      <c r="D221" s="62"/>
      <c r="E221" s="62"/>
      <c r="F221" s="62"/>
      <c r="G221" s="62"/>
      <c r="H221" s="62"/>
      <c r="I221" s="71"/>
      <c r="J221" s="72"/>
      <c r="K221" s="72"/>
      <c r="L221" s="62"/>
      <c r="M221" s="62"/>
      <c r="N221" s="62"/>
      <c r="O221" s="62"/>
      <c r="P221" s="62"/>
      <c r="Q221" s="62"/>
      <c r="R221" s="72"/>
      <c r="S221" s="72"/>
    </row>
    <row r="222" spans="1:19">
      <c r="A222" s="62"/>
      <c r="B222" s="62"/>
      <c r="C222" s="62"/>
      <c r="D222" s="62"/>
      <c r="E222" s="62"/>
      <c r="F222" s="62"/>
      <c r="G222" s="62"/>
      <c r="H222" s="62"/>
      <c r="I222" s="71"/>
      <c r="J222" s="72"/>
      <c r="K222" s="72"/>
      <c r="L222" s="62"/>
      <c r="M222" s="62"/>
      <c r="N222" s="62"/>
      <c r="O222" s="62"/>
      <c r="P222" s="62"/>
      <c r="Q222" s="62"/>
      <c r="R222" s="72"/>
      <c r="S222" s="72"/>
    </row>
    <row r="223" spans="1:19">
      <c r="A223" s="62"/>
      <c r="B223" s="62"/>
      <c r="C223" s="62"/>
      <c r="D223" s="62"/>
      <c r="E223" s="62"/>
      <c r="F223" s="62"/>
      <c r="G223" s="62"/>
      <c r="H223" s="62"/>
      <c r="I223" s="71"/>
      <c r="J223" s="72"/>
      <c r="K223" s="72"/>
      <c r="L223" s="62"/>
      <c r="M223" s="62"/>
      <c r="N223" s="62"/>
      <c r="O223" s="62"/>
      <c r="P223" s="62"/>
      <c r="Q223" s="62"/>
      <c r="R223" s="72"/>
      <c r="S223" s="72"/>
    </row>
    <row r="224" spans="1:19">
      <c r="A224" s="62"/>
      <c r="B224" s="62"/>
      <c r="C224" s="62"/>
      <c r="D224" s="62"/>
      <c r="E224" s="62"/>
      <c r="F224" s="62"/>
      <c r="G224" s="62"/>
      <c r="H224" s="62"/>
      <c r="I224" s="71"/>
      <c r="J224" s="72"/>
      <c r="K224" s="72"/>
      <c r="L224" s="62"/>
      <c r="M224" s="62"/>
      <c r="N224" s="62"/>
      <c r="O224" s="62"/>
      <c r="P224" s="62"/>
      <c r="Q224" s="62"/>
      <c r="R224" s="72"/>
      <c r="S224" s="72"/>
    </row>
    <row r="225" spans="1:19">
      <c r="A225" s="62"/>
      <c r="B225" s="62"/>
      <c r="C225" s="62"/>
      <c r="D225" s="62"/>
      <c r="E225" s="62"/>
      <c r="F225" s="62"/>
      <c r="G225" s="62"/>
      <c r="H225" s="62"/>
      <c r="I225" s="71"/>
      <c r="J225" s="72"/>
      <c r="K225" s="72"/>
      <c r="L225" s="62"/>
      <c r="M225" s="62"/>
      <c r="N225" s="62"/>
      <c r="O225" s="62"/>
      <c r="P225" s="62"/>
      <c r="Q225" s="62"/>
      <c r="R225" s="72"/>
      <c r="S225" s="72"/>
    </row>
    <row r="226" spans="1:19">
      <c r="A226" s="62"/>
      <c r="B226" s="62"/>
      <c r="C226" s="62"/>
      <c r="D226" s="62"/>
      <c r="E226" s="62"/>
      <c r="F226" s="62"/>
      <c r="G226" s="62"/>
      <c r="H226" s="62"/>
      <c r="I226" s="71"/>
      <c r="J226" s="72"/>
      <c r="K226" s="72"/>
      <c r="L226" s="62"/>
      <c r="M226" s="62"/>
      <c r="N226" s="62"/>
      <c r="O226" s="62"/>
      <c r="P226" s="62"/>
      <c r="Q226" s="62"/>
      <c r="R226" s="72"/>
      <c r="S226" s="72"/>
    </row>
    <row r="227" spans="1:19">
      <c r="A227" s="62"/>
      <c r="B227" s="62"/>
      <c r="C227" s="62"/>
      <c r="D227" s="62"/>
      <c r="E227" s="62"/>
      <c r="F227" s="62"/>
      <c r="G227" s="62"/>
      <c r="H227" s="62"/>
      <c r="I227" s="71"/>
      <c r="J227" s="72"/>
      <c r="K227" s="72"/>
      <c r="L227" s="62"/>
      <c r="M227" s="62"/>
      <c r="N227" s="62"/>
      <c r="O227" s="62"/>
      <c r="P227" s="62"/>
      <c r="Q227" s="62"/>
      <c r="R227" s="72"/>
      <c r="S227" s="72"/>
    </row>
    <row r="228" spans="1:19">
      <c r="A228" s="62"/>
      <c r="B228" s="62"/>
      <c r="C228" s="62"/>
      <c r="D228" s="62"/>
      <c r="E228" s="62"/>
      <c r="F228" s="62"/>
      <c r="G228" s="62"/>
      <c r="H228" s="62"/>
      <c r="I228" s="71"/>
      <c r="J228" s="72"/>
      <c r="K228" s="72"/>
      <c r="L228" s="62"/>
      <c r="M228" s="62"/>
      <c r="N228" s="62"/>
      <c r="O228" s="62"/>
      <c r="P228" s="62"/>
      <c r="Q228" s="62"/>
      <c r="R228" s="72"/>
      <c r="S228" s="72"/>
    </row>
    <row r="229" spans="1:19">
      <c r="A229" s="62"/>
      <c r="B229" s="62"/>
      <c r="C229" s="62"/>
      <c r="D229" s="62"/>
      <c r="E229" s="62"/>
      <c r="F229" s="62"/>
      <c r="G229" s="62"/>
      <c r="H229" s="62"/>
      <c r="I229" s="71"/>
      <c r="J229" s="72"/>
      <c r="K229" s="72"/>
      <c r="L229" s="62"/>
      <c r="M229" s="62"/>
      <c r="N229" s="62"/>
      <c r="O229" s="62"/>
      <c r="P229" s="62"/>
      <c r="Q229" s="62"/>
      <c r="R229" s="72"/>
      <c r="S229" s="72"/>
    </row>
    <row r="230" spans="1:19">
      <c r="A230" s="62"/>
      <c r="B230" s="62"/>
      <c r="C230" s="62"/>
      <c r="D230" s="62"/>
      <c r="E230" s="62"/>
      <c r="F230" s="62"/>
      <c r="G230" s="62"/>
      <c r="H230" s="62"/>
      <c r="I230" s="71"/>
      <c r="J230" s="72"/>
      <c r="K230" s="72"/>
      <c r="L230" s="62"/>
      <c r="M230" s="62"/>
      <c r="N230" s="62"/>
      <c r="O230" s="62"/>
      <c r="P230" s="62"/>
      <c r="Q230" s="62"/>
      <c r="R230" s="72"/>
      <c r="S230" s="72"/>
    </row>
    <row r="231" spans="1:19">
      <c r="A231" s="62"/>
      <c r="B231" s="62"/>
      <c r="C231" s="62"/>
      <c r="D231" s="62"/>
      <c r="E231" s="62"/>
      <c r="F231" s="62"/>
      <c r="G231" s="62"/>
      <c r="H231" s="62"/>
      <c r="I231" s="71"/>
      <c r="J231" s="72"/>
      <c r="K231" s="72"/>
      <c r="L231" s="62"/>
      <c r="M231" s="62"/>
      <c r="N231" s="62"/>
      <c r="O231" s="62"/>
      <c r="P231" s="62"/>
      <c r="Q231" s="62"/>
      <c r="R231" s="72"/>
      <c r="S231" s="72"/>
    </row>
    <row r="232" spans="1:19">
      <c r="A232" s="62"/>
      <c r="B232" s="62"/>
      <c r="C232" s="62"/>
      <c r="D232" s="62"/>
      <c r="E232" s="62"/>
      <c r="F232" s="62"/>
      <c r="G232" s="62"/>
      <c r="H232" s="62"/>
      <c r="I232" s="71"/>
      <c r="J232" s="72"/>
      <c r="K232" s="72"/>
      <c r="L232" s="62"/>
      <c r="M232" s="62"/>
      <c r="N232" s="62"/>
      <c r="O232" s="62"/>
      <c r="P232" s="62"/>
      <c r="Q232" s="62"/>
      <c r="R232" s="72"/>
      <c r="S232" s="72"/>
    </row>
    <row r="233" spans="1:19">
      <c r="A233" s="62"/>
      <c r="B233" s="62"/>
      <c r="C233" s="62"/>
      <c r="D233" s="62"/>
      <c r="E233" s="62"/>
      <c r="F233" s="62"/>
      <c r="G233" s="62"/>
      <c r="H233" s="62"/>
      <c r="I233" s="71"/>
      <c r="J233" s="72"/>
      <c r="K233" s="72"/>
      <c r="L233" s="62"/>
      <c r="M233" s="62"/>
      <c r="N233" s="62"/>
      <c r="O233" s="62"/>
      <c r="P233" s="62"/>
      <c r="Q233" s="62"/>
      <c r="R233" s="72"/>
      <c r="S233" s="72"/>
    </row>
    <row r="234" spans="1:19">
      <c r="A234" s="62"/>
      <c r="B234" s="62"/>
      <c r="C234" s="62"/>
      <c r="D234" s="62"/>
      <c r="E234" s="62"/>
      <c r="F234" s="62"/>
      <c r="G234" s="62"/>
      <c r="H234" s="62"/>
      <c r="I234" s="71"/>
      <c r="J234" s="72"/>
      <c r="K234" s="72"/>
      <c r="L234" s="62"/>
      <c r="M234" s="62"/>
      <c r="N234" s="62"/>
      <c r="O234" s="62"/>
      <c r="P234" s="62"/>
      <c r="Q234" s="62"/>
      <c r="R234" s="72"/>
      <c r="S234" s="72"/>
    </row>
    <row r="235" spans="1:19">
      <c r="A235" s="62"/>
      <c r="B235" s="62"/>
      <c r="C235" s="62"/>
      <c r="D235" s="62"/>
      <c r="E235" s="62"/>
      <c r="F235" s="62"/>
      <c r="G235" s="62"/>
      <c r="H235" s="62"/>
      <c r="I235" s="71"/>
      <c r="J235" s="72"/>
      <c r="K235" s="72"/>
      <c r="L235" s="62"/>
      <c r="M235" s="62"/>
      <c r="N235" s="62"/>
      <c r="O235" s="62"/>
      <c r="P235" s="62"/>
      <c r="Q235" s="62"/>
      <c r="R235" s="72"/>
      <c r="S235" s="72"/>
    </row>
    <row r="236" spans="1:19">
      <c r="I236" s="71"/>
    </row>
    <row r="237" spans="1:19">
      <c r="I237" s="71"/>
    </row>
  </sheetData>
  <autoFilter ref="A4:S4" xr:uid="{00000000-0009-0000-0000-000002000000}">
    <sortState ref="A5:S113">
      <sortCondition ref="A4"/>
    </sortState>
  </autoFilter>
  <mergeCells count="5">
    <mergeCell ref="I3:K3"/>
    <mergeCell ref="C3:H3"/>
    <mergeCell ref="L3:Q3"/>
    <mergeCell ref="R3:S3"/>
    <mergeCell ref="A1:B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770D7E7-738A-43CD-A856-6A43163FFF4D}">
          <x14:formula1>
            <xm:f>'liste deroulante'!$E$15:$E$16</xm:f>
          </x14:formula1>
          <xm:sqref>K114:K148</xm:sqref>
        </x14:dataValidation>
        <x14:dataValidation type="list" allowBlank="1" showInputMessage="1" showErrorMessage="1" xr:uid="{EB2E554A-235B-4A5D-8A78-0D5A44C98859}">
          <x14:formula1>
            <xm:f>'liste deroulante'!$D$12:$D$13</xm:f>
          </x14:formula1>
          <xm:sqref>K1 K5:K113</xm:sqref>
        </x14:dataValidation>
        <x14:dataValidation type="list" allowBlank="1" showInputMessage="1" showErrorMessage="1" xr:uid="{4AAFD18E-073C-481E-B6FF-BD2EDC5F1549}">
          <x14:formula1>
            <xm:f>'liste deroulante'!$H$17:$H$18</xm:f>
          </x14:formula1>
          <xm:sqref>S5:S19 S1</xm:sqref>
        </x14:dataValidation>
        <x14:dataValidation type="list" allowBlank="1" showInputMessage="1" showErrorMessage="1" xr:uid="{636375CE-262F-4A76-A5AB-4EC462D3551C}">
          <x14:formula1>
            <xm:f>'liste deroulante'!$G$17:$G$20</xm:f>
          </x14:formula1>
          <xm:sqref>I1 I5:I237</xm:sqref>
        </x14:dataValidation>
        <x14:dataValidation type="list" allowBlank="1" showInputMessage="1" showErrorMessage="1" xr:uid="{AD02DC2D-1FE5-4B1F-8AE9-12F370E21D25}">
          <x14:formula1>
            <xm:f>'liste deroulante'!$H$9:$H$10</xm:f>
          </x14:formula1>
          <xm:sqref>S20:S147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G33"/>
  <sheetViews>
    <sheetView topLeftCell="A10" workbookViewId="0">
      <selection activeCell="B13" sqref="B13"/>
    </sheetView>
  </sheetViews>
  <sheetFormatPr baseColWidth="10" defaultRowHeight="14.4"/>
  <cols>
    <col min="1" max="1" width="46.21875" bestFit="1" customWidth="1"/>
    <col min="2" max="2" width="3" bestFit="1" customWidth="1"/>
    <col min="3" max="3" width="11.88671875" bestFit="1" customWidth="1"/>
    <col min="4" max="4" width="13.88671875" bestFit="1" customWidth="1"/>
    <col min="5" max="5" width="23.6640625" bestFit="1" customWidth="1"/>
    <col min="6" max="6" width="23.44140625" bestFit="1" customWidth="1"/>
    <col min="7" max="7" width="25" bestFit="1" customWidth="1"/>
    <col min="8" max="8" width="15.44140625" bestFit="1" customWidth="1"/>
    <col min="9" max="9" width="31.109375" bestFit="1" customWidth="1"/>
    <col min="10" max="10" width="7.109375" bestFit="1" customWidth="1"/>
    <col min="11" max="11" width="5.88671875" bestFit="1" customWidth="1"/>
    <col min="12" max="12" width="25" bestFit="1" customWidth="1"/>
    <col min="13" max="13" width="12.109375" bestFit="1" customWidth="1"/>
    <col min="14" max="14" width="4.6640625" bestFit="1" customWidth="1"/>
    <col min="15" max="15" width="31.109375" bestFit="1" customWidth="1"/>
    <col min="16" max="16" width="7.109375" bestFit="1" customWidth="1"/>
    <col min="17" max="17" width="5.88671875" bestFit="1" customWidth="1"/>
    <col min="18" max="18" width="28.33203125" bestFit="1" customWidth="1"/>
    <col min="19" max="19" width="29.6640625" bestFit="1" customWidth="1"/>
    <col min="20" max="24" width="22.33203125" bestFit="1" customWidth="1"/>
    <col min="25" max="25" width="22.88671875" bestFit="1" customWidth="1"/>
    <col min="26" max="26" width="22.33203125" bestFit="1" customWidth="1"/>
    <col min="27" max="29" width="21.6640625" bestFit="1" customWidth="1"/>
    <col min="30" max="33" width="22.33203125" bestFit="1" customWidth="1"/>
    <col min="34" max="36" width="23.33203125" bestFit="1" customWidth="1"/>
  </cols>
  <sheetData>
    <row r="3" spans="1:6">
      <c r="A3" s="107" t="s">
        <v>577</v>
      </c>
      <c r="E3" s="107" t="s">
        <v>589</v>
      </c>
    </row>
    <row r="4" spans="1:6">
      <c r="A4" s="109" t="s">
        <v>610</v>
      </c>
      <c r="B4" s="108">
        <v>31</v>
      </c>
      <c r="E4" s="109" t="s">
        <v>578</v>
      </c>
      <c r="F4" s="108"/>
    </row>
    <row r="5" spans="1:6">
      <c r="A5" s="109" t="s">
        <v>611</v>
      </c>
      <c r="B5" s="108">
        <v>7</v>
      </c>
      <c r="E5" s="109" t="s">
        <v>579</v>
      </c>
      <c r="F5" s="108"/>
    </row>
    <row r="6" spans="1:6">
      <c r="A6" s="109" t="s">
        <v>563</v>
      </c>
      <c r="B6" s="108"/>
      <c r="E6" s="109" t="s">
        <v>564</v>
      </c>
      <c r="F6" s="108"/>
    </row>
    <row r="7" spans="1:6">
      <c r="A7" s="109" t="s">
        <v>562</v>
      </c>
      <c r="B7" s="108"/>
      <c r="E7" s="109" t="s">
        <v>565</v>
      </c>
      <c r="F7" s="108"/>
    </row>
    <row r="8" spans="1:6">
      <c r="A8" s="109" t="s">
        <v>564</v>
      </c>
      <c r="B8" s="108"/>
      <c r="E8" s="109" t="s">
        <v>566</v>
      </c>
      <c r="F8" s="108"/>
    </row>
    <row r="9" spans="1:6">
      <c r="A9" s="109" t="s">
        <v>565</v>
      </c>
      <c r="B9" s="108"/>
      <c r="E9" s="109" t="s">
        <v>580</v>
      </c>
      <c r="F9" s="108"/>
    </row>
    <row r="10" spans="1:6">
      <c r="A10" s="109" t="s">
        <v>566</v>
      </c>
      <c r="B10" s="108">
        <v>2</v>
      </c>
      <c r="E10" s="109" t="s">
        <v>581</v>
      </c>
      <c r="F10" s="108"/>
    </row>
    <row r="11" spans="1:6">
      <c r="A11" s="109" t="s">
        <v>567</v>
      </c>
      <c r="B11" s="108">
        <v>3</v>
      </c>
      <c r="E11" s="109" t="s">
        <v>582</v>
      </c>
      <c r="F11" s="108"/>
    </row>
    <row r="12" spans="1:6">
      <c r="A12" s="109" t="s">
        <v>568</v>
      </c>
      <c r="B12" s="108"/>
      <c r="E12" s="109" t="s">
        <v>583</v>
      </c>
      <c r="F12" s="108"/>
    </row>
    <row r="13" spans="1:6">
      <c r="A13" s="109" t="s">
        <v>569</v>
      </c>
      <c r="B13" s="108"/>
      <c r="E13" s="109" t="s">
        <v>584</v>
      </c>
      <c r="F13" s="108"/>
    </row>
    <row r="14" spans="1:6">
      <c r="A14" s="109" t="s">
        <v>570</v>
      </c>
      <c r="B14" s="108"/>
      <c r="E14" s="109" t="s">
        <v>585</v>
      </c>
      <c r="F14" s="108"/>
    </row>
    <row r="15" spans="1:6">
      <c r="A15" s="109" t="s">
        <v>571</v>
      </c>
      <c r="B15" s="108"/>
      <c r="E15" s="109" t="s">
        <v>586</v>
      </c>
      <c r="F15" s="108"/>
    </row>
    <row r="16" spans="1:6">
      <c r="A16" s="109" t="s">
        <v>572</v>
      </c>
      <c r="B16" s="108"/>
      <c r="E16" s="109" t="s">
        <v>587</v>
      </c>
      <c r="F16" s="108"/>
    </row>
    <row r="17" spans="1:7">
      <c r="A17" s="109" t="s">
        <v>573</v>
      </c>
      <c r="B17" s="108"/>
      <c r="E17" s="109" t="s">
        <v>588</v>
      </c>
      <c r="F17" s="108"/>
    </row>
    <row r="18" spans="1:7">
      <c r="A18" s="109" t="s">
        <v>576</v>
      </c>
      <c r="B18" s="108"/>
    </row>
    <row r="19" spans="1:7">
      <c r="A19" s="109" t="s">
        <v>574</v>
      </c>
      <c r="B19" s="108">
        <v>1</v>
      </c>
    </row>
    <row r="20" spans="1:7">
      <c r="A20" s="109"/>
      <c r="B20" s="108"/>
    </row>
    <row r="21" spans="1:7">
      <c r="A21" s="107" t="s">
        <v>575</v>
      </c>
      <c r="C21" s="107" t="s">
        <v>602</v>
      </c>
      <c r="D21" t="s">
        <v>591</v>
      </c>
      <c r="E21" s="107" t="s">
        <v>601</v>
      </c>
      <c r="F21" t="s">
        <v>598</v>
      </c>
      <c r="G21" t="s">
        <v>596</v>
      </c>
    </row>
    <row r="22" spans="1:7">
      <c r="A22" s="109" t="s">
        <v>592</v>
      </c>
      <c r="B22" s="108">
        <v>39.275449101796404</v>
      </c>
      <c r="C22" s="109" t="s">
        <v>634</v>
      </c>
      <c r="D22" s="108">
        <v>56</v>
      </c>
      <c r="E22" s="109" t="s">
        <v>56</v>
      </c>
      <c r="F22" s="108">
        <v>1</v>
      </c>
      <c r="G22" s="108">
        <v>1</v>
      </c>
    </row>
    <row r="23" spans="1:7">
      <c r="A23" s="109" t="s">
        <v>593</v>
      </c>
      <c r="B23" s="108">
        <v>110</v>
      </c>
      <c r="C23" s="109" t="s">
        <v>621</v>
      </c>
      <c r="D23" s="108">
        <v>44</v>
      </c>
      <c r="E23" s="110" t="s">
        <v>57</v>
      </c>
      <c r="F23" s="108">
        <v>1</v>
      </c>
      <c r="G23" s="108">
        <v>1</v>
      </c>
    </row>
    <row r="24" spans="1:7">
      <c r="A24" s="109" t="s">
        <v>594</v>
      </c>
      <c r="B24" s="108"/>
      <c r="C24" s="109" t="s">
        <v>560</v>
      </c>
      <c r="D24" s="108"/>
      <c r="E24" s="109" t="s">
        <v>43</v>
      </c>
      <c r="F24" s="108">
        <v>1</v>
      </c>
      <c r="G24" s="108"/>
    </row>
    <row r="25" spans="1:7">
      <c r="A25" s="109" t="s">
        <v>595</v>
      </c>
      <c r="B25" s="108"/>
      <c r="C25" s="109" t="s">
        <v>617</v>
      </c>
      <c r="D25" s="108">
        <v>8</v>
      </c>
      <c r="E25" s="110" t="s">
        <v>560</v>
      </c>
      <c r="F25" s="108">
        <v>1</v>
      </c>
      <c r="G25" s="108"/>
    </row>
    <row r="26" spans="1:7">
      <c r="A26" s="109" t="s">
        <v>591</v>
      </c>
      <c r="B26" s="108">
        <v>177</v>
      </c>
      <c r="C26" s="109" t="s">
        <v>791</v>
      </c>
      <c r="D26" s="108">
        <v>1</v>
      </c>
      <c r="E26" s="109" t="s">
        <v>39</v>
      </c>
      <c r="F26" s="108">
        <v>1</v>
      </c>
      <c r="G26" s="108">
        <v>1</v>
      </c>
    </row>
    <row r="27" spans="1:7">
      <c r="A27" s="109" t="s">
        <v>605</v>
      </c>
      <c r="B27" s="108">
        <v>51</v>
      </c>
      <c r="C27" s="109" t="s">
        <v>794</v>
      </c>
      <c r="D27" s="108">
        <v>4</v>
      </c>
      <c r="E27" s="110" t="s">
        <v>1040</v>
      </c>
      <c r="F27" s="108">
        <v>1</v>
      </c>
      <c r="G27" s="108">
        <v>1</v>
      </c>
    </row>
    <row r="28" spans="1:7">
      <c r="A28" s="109" t="s">
        <v>597</v>
      </c>
      <c r="B28" s="108"/>
      <c r="C28" s="109" t="s">
        <v>561</v>
      </c>
      <c r="D28" s="108">
        <v>113</v>
      </c>
      <c r="E28" s="109" t="s">
        <v>560</v>
      </c>
      <c r="F28" s="108"/>
      <c r="G28" s="108"/>
    </row>
    <row r="29" spans="1:7">
      <c r="E29" s="110" t="s">
        <v>560</v>
      </c>
      <c r="F29" s="108"/>
      <c r="G29" s="108"/>
    </row>
    <row r="30" spans="1:7">
      <c r="E30" s="109" t="s">
        <v>1039</v>
      </c>
      <c r="F30" s="108">
        <v>1</v>
      </c>
      <c r="G30" s="108">
        <v>1</v>
      </c>
    </row>
    <row r="31" spans="1:7">
      <c r="A31" s="107" t="s">
        <v>600</v>
      </c>
      <c r="B31" t="s">
        <v>599</v>
      </c>
      <c r="E31" s="110" t="s">
        <v>54</v>
      </c>
      <c r="F31" s="108">
        <v>1</v>
      </c>
      <c r="G31" s="108">
        <v>1</v>
      </c>
    </row>
    <row r="32" spans="1:7">
      <c r="A32" s="109" t="s">
        <v>560</v>
      </c>
      <c r="B32" s="108"/>
      <c r="E32" s="109" t="s">
        <v>561</v>
      </c>
      <c r="F32" s="108">
        <v>4</v>
      </c>
      <c r="G32" s="108">
        <v>3</v>
      </c>
    </row>
    <row r="33" spans="1:2">
      <c r="A33" s="109" t="s">
        <v>561</v>
      </c>
      <c r="B33" s="10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1">
    <tabColor theme="0"/>
  </sheetPr>
  <dimension ref="A1:J30"/>
  <sheetViews>
    <sheetView workbookViewId="0">
      <selection activeCell="H11" sqref="H11"/>
    </sheetView>
  </sheetViews>
  <sheetFormatPr baseColWidth="10" defaultRowHeight="14.4"/>
  <cols>
    <col min="2" max="2" width="31.6640625" customWidth="1"/>
    <col min="3" max="3" width="20.44140625" customWidth="1"/>
    <col min="6" max="6" width="11.6640625" customWidth="1"/>
    <col min="7" max="7" width="13.33203125" customWidth="1"/>
    <col min="8" max="8" width="16.33203125" customWidth="1"/>
  </cols>
  <sheetData>
    <row r="1" spans="1:10" ht="27" thickBot="1">
      <c r="A1" s="1" t="s">
        <v>4</v>
      </c>
      <c r="B1" s="1" t="s">
        <v>5</v>
      </c>
      <c r="C1" s="1" t="s">
        <v>6</v>
      </c>
      <c r="F1" s="9" t="s">
        <v>39</v>
      </c>
      <c r="H1" s="9" t="s">
        <v>530</v>
      </c>
      <c r="J1" s="9" t="s">
        <v>49</v>
      </c>
    </row>
    <row r="2" spans="1:10" ht="15" thickBot="1">
      <c r="A2" s="8"/>
      <c r="B2" s="9" t="s">
        <v>29</v>
      </c>
      <c r="C2" s="9"/>
      <c r="F2" t="s">
        <v>50</v>
      </c>
      <c r="G2" t="s">
        <v>35</v>
      </c>
      <c r="H2" s="84" t="s">
        <v>41</v>
      </c>
      <c r="J2" t="s">
        <v>46</v>
      </c>
    </row>
    <row r="3" spans="1:10" ht="27" thickBot="1">
      <c r="A3" s="2" t="s">
        <v>7</v>
      </c>
      <c r="B3" s="3" t="s">
        <v>8</v>
      </c>
      <c r="C3" s="3" t="s">
        <v>9</v>
      </c>
      <c r="E3" s="6" t="s">
        <v>27</v>
      </c>
      <c r="F3" s="6" t="s">
        <v>51</v>
      </c>
      <c r="G3" s="6" t="s">
        <v>36</v>
      </c>
      <c r="H3" s="6" t="s">
        <v>39</v>
      </c>
      <c r="J3" s="6" t="s">
        <v>47</v>
      </c>
    </row>
    <row r="4" spans="1:10" ht="27" thickBot="1">
      <c r="A4" s="4" t="s">
        <v>10</v>
      </c>
      <c r="B4" s="5" t="s">
        <v>11</v>
      </c>
      <c r="C4" s="5" t="s">
        <v>12</v>
      </c>
      <c r="E4" s="7" t="s">
        <v>28</v>
      </c>
      <c r="F4" s="7" t="s">
        <v>52</v>
      </c>
      <c r="G4" s="7" t="s">
        <v>37</v>
      </c>
      <c r="H4" s="7" t="s">
        <v>42</v>
      </c>
      <c r="J4" s="7" t="s">
        <v>44</v>
      </c>
    </row>
    <row r="5" spans="1:10" ht="27" thickBot="1">
      <c r="A5" s="2" t="s">
        <v>13</v>
      </c>
      <c r="B5" s="3" t="s">
        <v>14</v>
      </c>
      <c r="C5" s="3" t="s">
        <v>15</v>
      </c>
      <c r="F5" s="6" t="s">
        <v>53</v>
      </c>
      <c r="G5" t="s">
        <v>38</v>
      </c>
      <c r="H5" t="s">
        <v>43</v>
      </c>
      <c r="J5" t="s">
        <v>45</v>
      </c>
    </row>
    <row r="6" spans="1:10" ht="27" thickBot="1">
      <c r="A6" s="4" t="s">
        <v>16</v>
      </c>
      <c r="B6" s="5" t="s">
        <v>17</v>
      </c>
      <c r="C6" s="5" t="s">
        <v>18</v>
      </c>
      <c r="F6" s="7" t="s">
        <v>57</v>
      </c>
      <c r="H6" t="s">
        <v>531</v>
      </c>
      <c r="J6" s="149" t="s">
        <v>616</v>
      </c>
    </row>
    <row r="7" spans="1:10" ht="15" thickBot="1">
      <c r="A7" s="2" t="s">
        <v>19</v>
      </c>
      <c r="B7" s="3" t="s">
        <v>20</v>
      </c>
      <c r="C7" s="3" t="s">
        <v>18</v>
      </c>
      <c r="F7" s="7" t="s">
        <v>34</v>
      </c>
      <c r="H7" t="s">
        <v>78</v>
      </c>
      <c r="J7" t="s">
        <v>535</v>
      </c>
    </row>
    <row r="8" spans="1:10" ht="94.95" customHeight="1" thickBot="1">
      <c r="A8" s="4" t="s">
        <v>21</v>
      </c>
      <c r="B8" s="5" t="s">
        <v>22</v>
      </c>
      <c r="C8" s="5" t="s">
        <v>23</v>
      </c>
      <c r="F8" s="6" t="s">
        <v>40</v>
      </c>
      <c r="H8" s="10" t="s">
        <v>532</v>
      </c>
      <c r="J8" s="10"/>
    </row>
    <row r="9" spans="1:10" ht="27" thickBot="1">
      <c r="A9" s="2" t="s">
        <v>24</v>
      </c>
      <c r="B9" s="3" t="s">
        <v>25</v>
      </c>
      <c r="C9" s="3" t="s">
        <v>26</v>
      </c>
      <c r="F9" s="7" t="s">
        <v>54</v>
      </c>
      <c r="H9" t="s">
        <v>533</v>
      </c>
    </row>
    <row r="10" spans="1:10">
      <c r="F10" s="6" t="s">
        <v>55</v>
      </c>
      <c r="H10" s="6" t="s">
        <v>542</v>
      </c>
    </row>
    <row r="11" spans="1:10">
      <c r="D11" t="s">
        <v>30</v>
      </c>
      <c r="F11" s="7"/>
      <c r="H11" t="s">
        <v>1283</v>
      </c>
    </row>
    <row r="12" spans="1:10">
      <c r="B12" t="s">
        <v>59</v>
      </c>
      <c r="D12">
        <v>1</v>
      </c>
    </row>
    <row r="13" spans="1:10">
      <c r="B13" t="s">
        <v>60</v>
      </c>
      <c r="D13">
        <v>0</v>
      </c>
    </row>
    <row r="14" spans="1:10">
      <c r="B14" t="s">
        <v>61</v>
      </c>
    </row>
    <row r="15" spans="1:10">
      <c r="E15" t="s">
        <v>512</v>
      </c>
    </row>
    <row r="16" spans="1:10">
      <c r="A16" t="s">
        <v>31</v>
      </c>
      <c r="B16" t="s">
        <v>63</v>
      </c>
      <c r="E16" t="s">
        <v>513</v>
      </c>
      <c r="G16" t="s">
        <v>525</v>
      </c>
    </row>
    <row r="17" spans="2:8">
      <c r="B17" t="s">
        <v>64</v>
      </c>
      <c r="G17" t="s">
        <v>526</v>
      </c>
      <c r="H17" t="s">
        <v>538</v>
      </c>
    </row>
    <row r="18" spans="2:8">
      <c r="B18" t="s">
        <v>65</v>
      </c>
      <c r="G18" t="s">
        <v>478</v>
      </c>
      <c r="H18" t="s">
        <v>539</v>
      </c>
    </row>
    <row r="19" spans="2:8">
      <c r="B19" t="s">
        <v>66</v>
      </c>
      <c r="G19" t="s">
        <v>527</v>
      </c>
    </row>
    <row r="20" spans="2:8">
      <c r="B20" t="s">
        <v>67</v>
      </c>
      <c r="G20" t="s">
        <v>34</v>
      </c>
    </row>
    <row r="21" spans="2:8">
      <c r="B21" t="s">
        <v>68</v>
      </c>
    </row>
    <row r="22" spans="2:8">
      <c r="B22" t="s">
        <v>69</v>
      </c>
    </row>
    <row r="23" spans="2:8">
      <c r="B23" t="s">
        <v>70</v>
      </c>
    </row>
    <row r="24" spans="2:8">
      <c r="B24" t="s">
        <v>71</v>
      </c>
    </row>
    <row r="25" spans="2:8">
      <c r="B25" t="s">
        <v>72</v>
      </c>
    </row>
    <row r="26" spans="2:8">
      <c r="B26" t="s">
        <v>73</v>
      </c>
    </row>
    <row r="27" spans="2:8">
      <c r="B27" t="s">
        <v>74</v>
      </c>
    </row>
    <row r="28" spans="2:8">
      <c r="B28" t="s">
        <v>75</v>
      </c>
    </row>
    <row r="29" spans="2:8">
      <c r="B29" t="s">
        <v>76</v>
      </c>
    </row>
    <row r="30" spans="2:8">
      <c r="B30" t="s">
        <v>77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8"/>
  <sheetViews>
    <sheetView topLeftCell="A2" workbookViewId="0">
      <selection activeCell="E2" sqref="E2"/>
    </sheetView>
  </sheetViews>
  <sheetFormatPr baseColWidth="10" defaultColWidth="11.44140625" defaultRowHeight="14.4"/>
  <cols>
    <col min="1" max="1" width="6.6640625" style="46" bestFit="1" customWidth="1"/>
    <col min="2" max="2" width="6.6640625" style="12" bestFit="1" customWidth="1"/>
    <col min="3" max="3" width="12.44140625" style="12" customWidth="1"/>
    <col min="4" max="4" width="67" style="47" hidden="1" customWidth="1"/>
    <col min="5" max="5" width="68.88671875" style="47" customWidth="1"/>
    <col min="6" max="6" width="14.33203125" style="47" customWidth="1"/>
    <col min="8" max="8" width="11.6640625" style="12" bestFit="1" customWidth="1"/>
    <col min="9" max="16384" width="11.44140625" style="12"/>
  </cols>
  <sheetData>
    <row r="1" spans="1:8" ht="30" customHeight="1">
      <c r="A1" s="652"/>
      <c r="B1" s="652"/>
      <c r="C1" s="652"/>
      <c r="D1" s="652"/>
      <c r="E1" s="11"/>
      <c r="F1" s="11"/>
    </row>
    <row r="2" spans="1:8" ht="30" customHeight="1">
      <c r="A2" s="13"/>
      <c r="B2" s="13"/>
      <c r="C2" s="13"/>
      <c r="D2" s="13"/>
      <c r="E2" s="13"/>
      <c r="F2" s="13"/>
    </row>
    <row r="3" spans="1:8" ht="30" customHeight="1">
      <c r="A3" s="653" t="s">
        <v>79</v>
      </c>
      <c r="B3" s="653"/>
      <c r="C3" s="654"/>
      <c r="D3" s="14"/>
      <c r="E3" s="655"/>
      <c r="F3" s="655"/>
    </row>
    <row r="4" spans="1:8" ht="30" customHeight="1" thickBot="1">
      <c r="A4" s="15" t="s">
        <v>80</v>
      </c>
      <c r="B4" s="14" t="s">
        <v>81</v>
      </c>
      <c r="C4" s="16" t="s">
        <v>82</v>
      </c>
      <c r="D4" s="14" t="s">
        <v>82</v>
      </c>
      <c r="E4" s="17" t="s">
        <v>82</v>
      </c>
      <c r="F4" s="14" t="s">
        <v>83</v>
      </c>
    </row>
    <row r="5" spans="1:8" s="21" customFormat="1" ht="30" customHeight="1" thickTop="1" thickBot="1">
      <c r="A5" s="615">
        <v>1</v>
      </c>
      <c r="B5" s="656" t="s">
        <v>84</v>
      </c>
      <c r="C5" s="658" t="s">
        <v>85</v>
      </c>
      <c r="D5" s="18" t="s">
        <v>86</v>
      </c>
      <c r="E5" s="19" t="s">
        <v>87</v>
      </c>
      <c r="F5" s="20">
        <v>3</v>
      </c>
    </row>
    <row r="6" spans="1:8" s="21" customFormat="1" ht="30" customHeight="1" thickBot="1">
      <c r="A6" s="630"/>
      <c r="B6" s="657"/>
      <c r="C6" s="659"/>
      <c r="D6" s="22" t="s">
        <v>88</v>
      </c>
      <c r="E6" s="23" t="s">
        <v>89</v>
      </c>
      <c r="F6" s="24">
        <v>3</v>
      </c>
    </row>
    <row r="7" spans="1:8" s="21" customFormat="1" ht="30" customHeight="1" thickTop="1" thickBot="1">
      <c r="A7" s="630"/>
      <c r="B7" s="657"/>
      <c r="C7" s="659"/>
      <c r="D7" s="18" t="s">
        <v>90</v>
      </c>
      <c r="E7" s="19" t="s">
        <v>91</v>
      </c>
      <c r="F7" s="20">
        <v>3</v>
      </c>
    </row>
    <row r="8" spans="1:8" s="21" customFormat="1" ht="30" customHeight="1" thickBot="1">
      <c r="A8" s="630"/>
      <c r="B8" s="657"/>
      <c r="C8" s="659"/>
      <c r="D8" s="22" t="s">
        <v>92</v>
      </c>
      <c r="E8" s="23" t="s">
        <v>93</v>
      </c>
      <c r="F8" s="24">
        <v>3</v>
      </c>
    </row>
    <row r="9" spans="1:8" s="21" customFormat="1" ht="30" customHeight="1" thickTop="1" thickBot="1">
      <c r="A9" s="630"/>
      <c r="B9" s="657"/>
      <c r="C9" s="659"/>
      <c r="D9" s="18" t="s">
        <v>94</v>
      </c>
      <c r="E9" s="19" t="s">
        <v>95</v>
      </c>
      <c r="F9" s="20">
        <v>3</v>
      </c>
      <c r="H9" s="25"/>
    </row>
    <row r="10" spans="1:8" s="21" customFormat="1" ht="30" customHeight="1" thickTop="1" thickBot="1">
      <c r="A10" s="638">
        <v>2</v>
      </c>
      <c r="B10" s="641" t="s">
        <v>96</v>
      </c>
      <c r="C10" s="643" t="s">
        <v>97</v>
      </c>
      <c r="D10" s="22" t="s">
        <v>98</v>
      </c>
      <c r="E10" s="23" t="s">
        <v>99</v>
      </c>
      <c r="F10" s="24">
        <v>3</v>
      </c>
    </row>
    <row r="11" spans="1:8" s="21" customFormat="1" ht="30" customHeight="1" thickTop="1" thickBot="1">
      <c r="A11" s="639"/>
      <c r="B11" s="642"/>
      <c r="C11" s="644"/>
      <c r="D11" s="18" t="s">
        <v>100</v>
      </c>
      <c r="E11" s="19" t="s">
        <v>101</v>
      </c>
      <c r="F11" s="20">
        <v>3</v>
      </c>
    </row>
    <row r="12" spans="1:8" s="21" customFormat="1" ht="30" customHeight="1" thickBot="1">
      <c r="A12" s="639"/>
      <c r="B12" s="642"/>
      <c r="C12" s="644"/>
      <c r="D12" s="22" t="s">
        <v>102</v>
      </c>
      <c r="E12" s="23" t="s">
        <v>103</v>
      </c>
      <c r="F12" s="24">
        <v>35</v>
      </c>
    </row>
    <row r="13" spans="1:8" s="21" customFormat="1" ht="30" customHeight="1" thickTop="1" thickBot="1">
      <c r="A13" s="639"/>
      <c r="B13" s="642"/>
      <c r="C13" s="644"/>
      <c r="D13" s="18" t="s">
        <v>104</v>
      </c>
      <c r="E13" s="19" t="s">
        <v>105</v>
      </c>
      <c r="F13" s="20">
        <v>3</v>
      </c>
    </row>
    <row r="14" spans="1:8" s="21" customFormat="1" ht="30" customHeight="1" thickBot="1">
      <c r="A14" s="639"/>
      <c r="B14" s="26"/>
      <c r="C14" s="644"/>
      <c r="D14" s="22" t="s">
        <v>106</v>
      </c>
      <c r="E14" s="23" t="s">
        <v>107</v>
      </c>
      <c r="F14" s="24">
        <v>3</v>
      </c>
    </row>
    <row r="15" spans="1:8" s="21" customFormat="1" ht="15" thickTop="1" thickBot="1">
      <c r="A15" s="640"/>
      <c r="B15" s="26"/>
      <c r="C15" s="645"/>
      <c r="D15" s="18" t="s">
        <v>108</v>
      </c>
      <c r="E15" s="19" t="s">
        <v>109</v>
      </c>
      <c r="F15" s="20">
        <v>35</v>
      </c>
    </row>
    <row r="16" spans="1:8" s="21" customFormat="1" ht="15" thickTop="1" thickBot="1">
      <c r="A16" s="646">
        <v>3</v>
      </c>
      <c r="B16" s="648" t="s">
        <v>110</v>
      </c>
      <c r="C16" s="650" t="s">
        <v>111</v>
      </c>
      <c r="D16" s="22" t="s">
        <v>112</v>
      </c>
      <c r="E16" s="23" t="s">
        <v>113</v>
      </c>
      <c r="F16" s="24">
        <v>3</v>
      </c>
    </row>
    <row r="17" spans="1:6" s="21" customFormat="1" ht="26.1" customHeight="1" thickTop="1" thickBot="1">
      <c r="A17" s="647"/>
      <c r="B17" s="649"/>
      <c r="C17" s="651"/>
      <c r="D17" s="18" t="s">
        <v>114</v>
      </c>
      <c r="E17" s="19" t="s">
        <v>115</v>
      </c>
      <c r="F17" s="20">
        <v>3</v>
      </c>
    </row>
    <row r="18" spans="1:6" s="21" customFormat="1" ht="30" customHeight="1" thickBot="1">
      <c r="A18" s="647"/>
      <c r="B18" s="649"/>
      <c r="C18" s="651"/>
      <c r="D18" s="22"/>
      <c r="E18" s="23" t="s">
        <v>116</v>
      </c>
      <c r="F18" s="24">
        <v>3</v>
      </c>
    </row>
    <row r="19" spans="1:6" s="21" customFormat="1" ht="30" customHeight="1" thickTop="1">
      <c r="A19" s="647"/>
      <c r="B19" s="649"/>
      <c r="C19" s="651"/>
      <c r="D19" s="18"/>
      <c r="E19" s="19" t="s">
        <v>117</v>
      </c>
      <c r="F19" s="20">
        <v>3</v>
      </c>
    </row>
    <row r="20" spans="1:6" s="21" customFormat="1" ht="30" customHeight="1" thickBot="1">
      <c r="A20" s="647"/>
      <c r="B20" s="649"/>
      <c r="C20" s="651"/>
      <c r="D20" s="27"/>
      <c r="E20" s="28" t="s">
        <v>118</v>
      </c>
      <c r="F20" s="29">
        <v>5</v>
      </c>
    </row>
    <row r="21" spans="1:6" s="21" customFormat="1" ht="30" customHeight="1" thickBot="1">
      <c r="A21" s="647"/>
      <c r="B21" s="649"/>
      <c r="C21" s="651"/>
      <c r="D21" s="22"/>
      <c r="E21" s="30" t="s">
        <v>119</v>
      </c>
      <c r="F21" s="24">
        <v>3</v>
      </c>
    </row>
    <row r="22" spans="1:6" s="21" customFormat="1" ht="15" thickTop="1" thickBot="1">
      <c r="A22" s="647"/>
      <c r="B22" s="649"/>
      <c r="C22" s="651"/>
      <c r="D22" s="18"/>
      <c r="E22" s="19" t="s">
        <v>120</v>
      </c>
      <c r="F22" s="20">
        <v>3</v>
      </c>
    </row>
    <row r="23" spans="1:6" s="21" customFormat="1" ht="30" customHeight="1" thickBot="1">
      <c r="A23" s="616">
        <v>4</v>
      </c>
      <c r="B23" s="628"/>
      <c r="C23" s="629" t="s">
        <v>121</v>
      </c>
      <c r="D23" s="22" t="s">
        <v>122</v>
      </c>
      <c r="E23" s="23" t="s">
        <v>123</v>
      </c>
      <c r="F23" s="24">
        <v>3</v>
      </c>
    </row>
    <row r="24" spans="1:6" s="21" customFormat="1" ht="30" customHeight="1" thickTop="1" thickBot="1">
      <c r="A24" s="616"/>
      <c r="B24" s="628"/>
      <c r="C24" s="629"/>
      <c r="D24" s="18" t="s">
        <v>124</v>
      </c>
      <c r="E24" s="19" t="s">
        <v>125</v>
      </c>
      <c r="F24" s="20">
        <v>3</v>
      </c>
    </row>
    <row r="25" spans="1:6" s="21" customFormat="1" ht="30" customHeight="1" thickBot="1">
      <c r="A25" s="616"/>
      <c r="B25" s="628"/>
      <c r="C25" s="629"/>
      <c r="D25" s="22" t="s">
        <v>126</v>
      </c>
      <c r="E25" s="23" t="s">
        <v>127</v>
      </c>
      <c r="F25" s="24">
        <v>3</v>
      </c>
    </row>
    <row r="26" spans="1:6" s="21" customFormat="1" ht="30" customHeight="1" thickTop="1" thickBot="1">
      <c r="A26" s="616"/>
      <c r="B26" s="628"/>
      <c r="C26" s="629"/>
      <c r="D26" s="18" t="s">
        <v>128</v>
      </c>
      <c r="E26" s="19" t="s">
        <v>129</v>
      </c>
      <c r="F26" s="20">
        <v>3</v>
      </c>
    </row>
    <row r="27" spans="1:6" s="31" customFormat="1" ht="30" customHeight="1" thickBot="1">
      <c r="A27" s="616"/>
      <c r="B27" s="628"/>
      <c r="C27" s="629"/>
      <c r="D27" s="22" t="s">
        <v>130</v>
      </c>
      <c r="E27" s="23" t="s">
        <v>131</v>
      </c>
      <c r="F27" s="24">
        <v>3</v>
      </c>
    </row>
    <row r="28" spans="1:6" s="31" customFormat="1" ht="30" customHeight="1" thickTop="1" thickBot="1">
      <c r="A28" s="616"/>
      <c r="B28" s="628"/>
      <c r="C28" s="629"/>
      <c r="D28" s="18" t="s">
        <v>132</v>
      </c>
      <c r="E28" s="19" t="s">
        <v>133</v>
      </c>
      <c r="F28" s="20">
        <v>3</v>
      </c>
    </row>
    <row r="29" spans="1:6" s="31" customFormat="1" ht="30" customHeight="1" thickBot="1">
      <c r="A29" s="616"/>
      <c r="B29" s="628"/>
      <c r="C29" s="629"/>
      <c r="D29" s="22" t="s">
        <v>134</v>
      </c>
      <c r="E29" s="23" t="s">
        <v>135</v>
      </c>
      <c r="F29" s="24">
        <v>3</v>
      </c>
    </row>
    <row r="30" spans="1:6" s="31" customFormat="1" ht="30" customHeight="1" thickTop="1" thickBot="1">
      <c r="A30" s="616"/>
      <c r="B30" s="628"/>
      <c r="C30" s="629"/>
      <c r="D30" s="18" t="s">
        <v>136</v>
      </c>
      <c r="E30" s="19" t="s">
        <v>137</v>
      </c>
      <c r="F30" s="20">
        <v>3</v>
      </c>
    </row>
    <row r="31" spans="1:6" s="31" customFormat="1" ht="30" customHeight="1" thickBot="1">
      <c r="A31" s="616"/>
      <c r="B31" s="628"/>
      <c r="C31" s="629"/>
      <c r="D31" s="22" t="s">
        <v>138</v>
      </c>
      <c r="E31" s="23" t="s">
        <v>139</v>
      </c>
      <c r="F31" s="24">
        <v>35</v>
      </c>
    </row>
    <row r="32" spans="1:6" s="31" customFormat="1" ht="30" customHeight="1" thickTop="1" thickBot="1">
      <c r="A32" s="616"/>
      <c r="B32" s="628"/>
      <c r="C32" s="629"/>
      <c r="D32" s="18" t="s">
        <v>140</v>
      </c>
      <c r="E32" s="19" t="s">
        <v>141</v>
      </c>
      <c r="F32" s="20">
        <v>3</v>
      </c>
    </row>
    <row r="33" spans="1:6" s="21" customFormat="1" ht="30" customHeight="1" thickBot="1">
      <c r="A33" s="616"/>
      <c r="B33" s="628"/>
      <c r="C33" s="629"/>
      <c r="D33" s="22"/>
      <c r="E33" s="23" t="s">
        <v>142</v>
      </c>
      <c r="F33" s="24">
        <v>3</v>
      </c>
    </row>
    <row r="34" spans="1:6" s="21" customFormat="1" ht="30" customHeight="1" thickTop="1" thickBot="1">
      <c r="A34" s="615">
        <v>5</v>
      </c>
      <c r="B34" s="631" t="s">
        <v>143</v>
      </c>
      <c r="C34" s="635" t="s">
        <v>144</v>
      </c>
      <c r="D34" s="18" t="s">
        <v>145</v>
      </c>
      <c r="E34" s="19" t="s">
        <v>146</v>
      </c>
      <c r="F34" s="20">
        <v>3</v>
      </c>
    </row>
    <row r="35" spans="1:6" s="21" customFormat="1" ht="30" customHeight="1" thickBot="1">
      <c r="A35" s="616"/>
      <c r="B35" s="632"/>
      <c r="C35" s="636"/>
      <c r="D35" s="22" t="s">
        <v>147</v>
      </c>
      <c r="E35" s="23" t="s">
        <v>148</v>
      </c>
      <c r="F35" s="24">
        <v>3</v>
      </c>
    </row>
    <row r="36" spans="1:6" s="21" customFormat="1" ht="30" customHeight="1" thickTop="1" thickBot="1">
      <c r="A36" s="616"/>
      <c r="B36" s="632"/>
      <c r="C36" s="636"/>
      <c r="D36" s="18" t="s">
        <v>149</v>
      </c>
      <c r="E36" s="19" t="s">
        <v>150</v>
      </c>
      <c r="F36" s="20">
        <v>3</v>
      </c>
    </row>
    <row r="37" spans="1:6" s="21" customFormat="1" ht="30" customHeight="1" thickBot="1">
      <c r="A37" s="616"/>
      <c r="B37" s="632"/>
      <c r="C37" s="636"/>
      <c r="D37" s="22" t="s">
        <v>151</v>
      </c>
      <c r="E37" s="23" t="s">
        <v>152</v>
      </c>
      <c r="F37" s="24">
        <v>3</v>
      </c>
    </row>
    <row r="38" spans="1:6" s="21" customFormat="1" ht="30" customHeight="1" thickTop="1" thickBot="1">
      <c r="A38" s="616"/>
      <c r="B38" s="632"/>
      <c r="C38" s="636"/>
      <c r="D38" s="18" t="s">
        <v>153</v>
      </c>
      <c r="E38" s="19" t="s">
        <v>154</v>
      </c>
      <c r="F38" s="20">
        <v>3</v>
      </c>
    </row>
    <row r="39" spans="1:6" s="21" customFormat="1" ht="30" customHeight="1" thickBot="1">
      <c r="A39" s="616"/>
      <c r="B39" s="632"/>
      <c r="C39" s="636"/>
      <c r="D39" s="22" t="s">
        <v>155</v>
      </c>
      <c r="E39" s="23" t="s">
        <v>156</v>
      </c>
      <c r="F39" s="24">
        <v>3</v>
      </c>
    </row>
    <row r="40" spans="1:6" s="21" customFormat="1" ht="30" customHeight="1" thickTop="1" thickBot="1">
      <c r="A40" s="630"/>
      <c r="B40" s="633"/>
      <c r="C40" s="637"/>
      <c r="D40" s="18" t="s">
        <v>157</v>
      </c>
      <c r="E40" s="19" t="s">
        <v>158</v>
      </c>
      <c r="F40" s="20">
        <v>3</v>
      </c>
    </row>
    <row r="41" spans="1:6" s="21" customFormat="1" ht="30" customHeight="1" thickBot="1">
      <c r="A41" s="630"/>
      <c r="B41" s="633"/>
      <c r="C41" s="637"/>
      <c r="D41" s="22" t="s">
        <v>159</v>
      </c>
      <c r="E41" s="23" t="s">
        <v>160</v>
      </c>
      <c r="F41" s="24">
        <v>3</v>
      </c>
    </row>
    <row r="42" spans="1:6" s="21" customFormat="1" ht="30" customHeight="1" thickTop="1" thickBot="1">
      <c r="A42" s="630"/>
      <c r="B42" s="633"/>
      <c r="C42" s="637"/>
      <c r="D42" s="18" t="s">
        <v>161</v>
      </c>
      <c r="E42" s="19" t="s">
        <v>162</v>
      </c>
      <c r="F42" s="20">
        <v>3</v>
      </c>
    </row>
    <row r="43" spans="1:6" s="21" customFormat="1" ht="30" customHeight="1" thickBot="1">
      <c r="A43" s="630"/>
      <c r="B43" s="633"/>
      <c r="C43" s="637"/>
      <c r="D43" s="22" t="s">
        <v>163</v>
      </c>
      <c r="E43" s="23" t="s">
        <v>164</v>
      </c>
      <c r="F43" s="24">
        <v>3</v>
      </c>
    </row>
    <row r="44" spans="1:6" s="21" customFormat="1" ht="30" customHeight="1" thickTop="1" thickBot="1">
      <c r="A44" s="630"/>
      <c r="B44" s="633"/>
      <c r="C44" s="637"/>
      <c r="D44" s="18" t="s">
        <v>165</v>
      </c>
      <c r="E44" s="19" t="s">
        <v>166</v>
      </c>
      <c r="F44" s="20">
        <v>3</v>
      </c>
    </row>
    <row r="45" spans="1:6" s="21" customFormat="1" ht="30" customHeight="1" thickBot="1">
      <c r="A45" s="630"/>
      <c r="B45" s="633"/>
      <c r="C45" s="637"/>
      <c r="D45" s="22" t="s">
        <v>167</v>
      </c>
      <c r="E45" s="23" t="s">
        <v>168</v>
      </c>
      <c r="F45" s="24">
        <v>3</v>
      </c>
    </row>
    <row r="46" spans="1:6" s="21" customFormat="1" ht="30" customHeight="1" thickTop="1" thickBot="1">
      <c r="A46" s="630"/>
      <c r="B46" s="633"/>
      <c r="C46" s="637"/>
      <c r="D46" s="18" t="s">
        <v>169</v>
      </c>
      <c r="E46" s="19" t="s">
        <v>170</v>
      </c>
      <c r="F46" s="20">
        <v>3</v>
      </c>
    </row>
    <row r="47" spans="1:6" s="21" customFormat="1" ht="30" customHeight="1" thickBot="1">
      <c r="A47" s="630"/>
      <c r="B47" s="634"/>
      <c r="C47" s="637"/>
      <c r="D47" s="22" t="s">
        <v>171</v>
      </c>
      <c r="E47" s="23" t="s">
        <v>172</v>
      </c>
      <c r="F47" s="24">
        <v>3</v>
      </c>
    </row>
    <row r="48" spans="1:6" s="21" customFormat="1" ht="96" customHeight="1" thickTop="1" thickBot="1">
      <c r="A48" s="32">
        <v>6</v>
      </c>
      <c r="B48" s="33" t="s">
        <v>173</v>
      </c>
      <c r="C48" s="34" t="s">
        <v>174</v>
      </c>
      <c r="D48" s="35" t="s">
        <v>175</v>
      </c>
      <c r="E48" s="35" t="s">
        <v>175</v>
      </c>
      <c r="F48" s="24">
        <v>1</v>
      </c>
    </row>
    <row r="49" spans="1:6" ht="30" customHeight="1" thickTop="1" thickBot="1">
      <c r="A49" s="615">
        <v>8</v>
      </c>
      <c r="B49" s="617" t="s">
        <v>176</v>
      </c>
      <c r="C49" s="624" t="s">
        <v>177</v>
      </c>
      <c r="D49" s="22"/>
      <c r="E49" s="23" t="s">
        <v>178</v>
      </c>
      <c r="F49" s="24">
        <v>1</v>
      </c>
    </row>
    <row r="50" spans="1:6" ht="30" customHeight="1" thickTop="1" thickBot="1">
      <c r="A50" s="616"/>
      <c r="B50" s="618"/>
      <c r="C50" s="625"/>
      <c r="D50" s="18"/>
      <c r="E50" s="19" t="s">
        <v>179</v>
      </c>
      <c r="F50" s="20">
        <v>3</v>
      </c>
    </row>
    <row r="51" spans="1:6" ht="30" customHeight="1" thickBot="1">
      <c r="A51" s="616"/>
      <c r="B51" s="618"/>
      <c r="C51" s="625"/>
      <c r="D51" s="22"/>
      <c r="E51" s="23" t="s">
        <v>180</v>
      </c>
      <c r="F51" s="24">
        <v>2</v>
      </c>
    </row>
    <row r="52" spans="1:6" ht="30" customHeight="1" thickTop="1" thickBot="1">
      <c r="A52" s="616"/>
      <c r="B52" s="618"/>
      <c r="C52" s="625"/>
      <c r="D52" s="18"/>
      <c r="E52" s="19" t="s">
        <v>181</v>
      </c>
      <c r="F52" s="20">
        <v>3</v>
      </c>
    </row>
    <row r="53" spans="1:6" ht="30" customHeight="1" thickBot="1">
      <c r="A53" s="616"/>
      <c r="B53" s="618"/>
      <c r="C53" s="625"/>
      <c r="D53" s="22"/>
      <c r="E53" s="23" t="s">
        <v>182</v>
      </c>
      <c r="F53" s="24">
        <v>5</v>
      </c>
    </row>
    <row r="54" spans="1:6" ht="30" customHeight="1" thickTop="1" thickBot="1">
      <c r="A54" s="616"/>
      <c r="B54" s="618"/>
      <c r="C54" s="625"/>
      <c r="D54" s="18"/>
      <c r="E54" s="19" t="s">
        <v>183</v>
      </c>
      <c r="F54" s="20">
        <v>1</v>
      </c>
    </row>
    <row r="55" spans="1:6" ht="30" customHeight="1" thickBot="1">
      <c r="A55" s="616"/>
      <c r="B55" s="618"/>
      <c r="C55" s="625"/>
      <c r="D55" s="22"/>
      <c r="E55" s="23" t="s">
        <v>184</v>
      </c>
      <c r="F55" s="24">
        <v>1</v>
      </c>
    </row>
    <row r="56" spans="1:6" ht="30" customHeight="1" thickTop="1" thickBot="1">
      <c r="A56" s="616"/>
      <c r="B56" s="618"/>
      <c r="C56" s="625"/>
      <c r="D56" s="18"/>
      <c r="E56" s="19" t="s">
        <v>185</v>
      </c>
      <c r="F56" s="20">
        <v>3</v>
      </c>
    </row>
    <row r="57" spans="1:6" ht="30" customHeight="1" thickBot="1">
      <c r="A57" s="616"/>
      <c r="B57" s="618"/>
      <c r="C57" s="625"/>
      <c r="D57" s="22"/>
      <c r="E57" s="23" t="s">
        <v>186</v>
      </c>
      <c r="F57" s="24">
        <v>3</v>
      </c>
    </row>
    <row r="58" spans="1:6" ht="30" customHeight="1" thickTop="1" thickBot="1">
      <c r="A58" s="616"/>
      <c r="B58" s="618"/>
      <c r="C58" s="625"/>
      <c r="D58" s="22"/>
      <c r="E58" s="23" t="s">
        <v>187</v>
      </c>
      <c r="F58" s="24">
        <v>3</v>
      </c>
    </row>
    <row r="59" spans="1:6" ht="30" customHeight="1" thickTop="1" thickBot="1">
      <c r="A59" s="616"/>
      <c r="B59" s="618"/>
      <c r="C59" s="625"/>
      <c r="D59" s="18"/>
      <c r="E59" s="19" t="s">
        <v>188</v>
      </c>
      <c r="F59" s="20">
        <v>3</v>
      </c>
    </row>
    <row r="60" spans="1:6" ht="30" customHeight="1" thickBot="1">
      <c r="A60" s="616"/>
      <c r="B60" s="618"/>
      <c r="C60" s="625"/>
      <c r="D60" s="22"/>
      <c r="E60" s="23" t="s">
        <v>189</v>
      </c>
      <c r="F60" s="24">
        <v>1</v>
      </c>
    </row>
    <row r="61" spans="1:6" ht="30" customHeight="1" thickTop="1" thickBot="1">
      <c r="A61" s="616"/>
      <c r="B61" s="618"/>
      <c r="C61" s="625"/>
      <c r="D61" s="18"/>
      <c r="E61" s="19" t="s">
        <v>190</v>
      </c>
      <c r="F61" s="20">
        <v>1</v>
      </c>
    </row>
    <row r="62" spans="1:6" ht="30" customHeight="1" thickBot="1">
      <c r="A62" s="616"/>
      <c r="B62" s="618"/>
      <c r="C62" s="625"/>
      <c r="D62" s="22"/>
      <c r="E62" s="23" t="s">
        <v>191</v>
      </c>
      <c r="F62" s="24">
        <v>2</v>
      </c>
    </row>
    <row r="63" spans="1:6" ht="30" customHeight="1" thickTop="1" thickBot="1">
      <c r="A63" s="616"/>
      <c r="B63" s="618"/>
      <c r="C63" s="625"/>
      <c r="D63" s="18"/>
      <c r="E63" s="19" t="s">
        <v>192</v>
      </c>
      <c r="F63" s="20">
        <v>2</v>
      </c>
    </row>
    <row r="64" spans="1:6" ht="30" customHeight="1" thickBot="1">
      <c r="A64" s="616"/>
      <c r="B64" s="623"/>
      <c r="C64" s="626"/>
      <c r="D64" s="22"/>
      <c r="E64" s="23" t="s">
        <v>193</v>
      </c>
      <c r="F64" s="24">
        <v>1</v>
      </c>
    </row>
    <row r="65" spans="1:6" ht="30" customHeight="1" thickTop="1" thickBot="1">
      <c r="A65" s="615">
        <v>9</v>
      </c>
      <c r="B65" s="617" t="s">
        <v>194</v>
      </c>
      <c r="C65" s="619" t="s">
        <v>195</v>
      </c>
      <c r="D65" s="18"/>
      <c r="E65" s="19" t="s">
        <v>196</v>
      </c>
      <c r="F65" s="20">
        <v>3</v>
      </c>
    </row>
    <row r="66" spans="1:6" ht="30" customHeight="1" thickBot="1">
      <c r="A66" s="616"/>
      <c r="B66" s="618"/>
      <c r="C66" s="620"/>
      <c r="D66" s="22"/>
      <c r="E66" s="23" t="s">
        <v>197</v>
      </c>
      <c r="F66" s="24">
        <v>3</v>
      </c>
    </row>
    <row r="67" spans="1:6" ht="30" customHeight="1" thickTop="1" thickBot="1">
      <c r="A67" s="616"/>
      <c r="B67" s="618"/>
      <c r="C67" s="620"/>
      <c r="D67" s="18"/>
      <c r="E67" s="19" t="s">
        <v>198</v>
      </c>
      <c r="F67" s="20">
        <v>1</v>
      </c>
    </row>
    <row r="68" spans="1:6" ht="30" customHeight="1" thickBot="1">
      <c r="A68" s="616"/>
      <c r="B68" s="618"/>
      <c r="C68" s="620"/>
      <c r="D68" s="22"/>
      <c r="E68" s="23" t="s">
        <v>199</v>
      </c>
      <c r="F68" s="24">
        <v>1</v>
      </c>
    </row>
    <row r="69" spans="1:6" ht="30" customHeight="1" thickTop="1" thickBot="1">
      <c r="A69" s="616"/>
      <c r="B69" s="618"/>
      <c r="C69" s="620"/>
      <c r="D69" s="18"/>
      <c r="E69" s="19" t="s">
        <v>200</v>
      </c>
      <c r="F69" s="20">
        <v>5</v>
      </c>
    </row>
    <row r="70" spans="1:6" ht="30" customHeight="1" thickBot="1">
      <c r="A70" s="616"/>
      <c r="B70" s="618"/>
      <c r="C70" s="620"/>
      <c r="D70" s="22"/>
      <c r="E70" s="23" t="s">
        <v>201</v>
      </c>
      <c r="F70" s="24">
        <v>3</v>
      </c>
    </row>
    <row r="71" spans="1:6" ht="30" customHeight="1" thickTop="1" thickBot="1">
      <c r="A71" s="616"/>
      <c r="B71" s="618"/>
      <c r="C71" s="620"/>
      <c r="D71" s="18"/>
      <c r="E71" s="19" t="s">
        <v>202</v>
      </c>
      <c r="F71" s="20">
        <v>2</v>
      </c>
    </row>
    <row r="72" spans="1:6" ht="30" customHeight="1" thickBot="1">
      <c r="A72" s="616"/>
      <c r="B72" s="618"/>
      <c r="C72" s="620"/>
      <c r="D72" s="22"/>
      <c r="E72" s="23" t="s">
        <v>203</v>
      </c>
      <c r="F72" s="24">
        <v>7</v>
      </c>
    </row>
    <row r="73" spans="1:6" ht="30" customHeight="1" thickTop="1" thickBot="1">
      <c r="A73" s="627"/>
      <c r="B73" s="36"/>
      <c r="C73" s="620"/>
      <c r="D73" s="18" t="s">
        <v>204</v>
      </c>
      <c r="E73" s="19" t="s">
        <v>205</v>
      </c>
      <c r="F73" s="20">
        <v>1</v>
      </c>
    </row>
    <row r="74" spans="1:6" ht="30" customHeight="1" thickTop="1" thickBot="1">
      <c r="A74" s="615">
        <v>10</v>
      </c>
      <c r="B74" s="617" t="s">
        <v>206</v>
      </c>
      <c r="C74" s="619" t="s">
        <v>207</v>
      </c>
      <c r="D74" s="22"/>
      <c r="E74" s="23" t="s">
        <v>208</v>
      </c>
      <c r="F74" s="24">
        <v>3</v>
      </c>
    </row>
    <row r="75" spans="1:6" ht="30" customHeight="1" thickTop="1" thickBot="1">
      <c r="A75" s="616"/>
      <c r="B75" s="618"/>
      <c r="C75" s="620"/>
      <c r="D75" s="18"/>
      <c r="E75" s="19" t="s">
        <v>209</v>
      </c>
      <c r="F75" s="20">
        <v>3</v>
      </c>
    </row>
    <row r="76" spans="1:6" ht="30" customHeight="1" thickBot="1">
      <c r="A76" s="616"/>
      <c r="B76" s="618"/>
      <c r="C76" s="620"/>
      <c r="D76" s="22"/>
      <c r="E76" s="23" t="s">
        <v>210</v>
      </c>
      <c r="F76" s="24">
        <v>1</v>
      </c>
    </row>
    <row r="77" spans="1:6" ht="30" customHeight="1" thickTop="1" thickBot="1">
      <c r="A77" s="616"/>
      <c r="B77" s="618"/>
      <c r="C77" s="620"/>
      <c r="D77" s="18"/>
      <c r="E77" s="19" t="s">
        <v>211</v>
      </c>
      <c r="F77" s="20">
        <v>2</v>
      </c>
    </row>
    <row r="78" spans="1:6" ht="30" customHeight="1" thickBot="1">
      <c r="A78" s="616"/>
      <c r="B78" s="618"/>
      <c r="C78" s="620"/>
      <c r="D78" s="22"/>
      <c r="E78" s="23" t="s">
        <v>212</v>
      </c>
      <c r="F78" s="24">
        <v>1</v>
      </c>
    </row>
    <row r="79" spans="1:6" ht="30" customHeight="1" thickTop="1" thickBot="1">
      <c r="A79" s="616"/>
      <c r="B79" s="618"/>
      <c r="C79" s="620"/>
      <c r="D79" s="18"/>
      <c r="E79" s="19" t="s">
        <v>213</v>
      </c>
      <c r="F79" s="20">
        <v>3</v>
      </c>
    </row>
    <row r="80" spans="1:6" ht="30" customHeight="1" thickBot="1">
      <c r="A80" s="616"/>
      <c r="B80" s="618"/>
      <c r="C80" s="620"/>
      <c r="D80" s="22"/>
      <c r="E80" s="23" t="s">
        <v>214</v>
      </c>
      <c r="F80" s="24">
        <v>1</v>
      </c>
    </row>
    <row r="81" spans="1:7" ht="30" customHeight="1" thickTop="1" thickBot="1">
      <c r="A81" s="616"/>
      <c r="B81" s="618"/>
      <c r="C81" s="620"/>
      <c r="D81" s="18"/>
      <c r="E81" s="19" t="s">
        <v>215</v>
      </c>
      <c r="F81" s="20">
        <v>4</v>
      </c>
    </row>
    <row r="82" spans="1:7" ht="30" customHeight="1" thickBot="1">
      <c r="A82" s="616"/>
      <c r="B82" s="618"/>
      <c r="C82" s="620"/>
      <c r="D82" s="22"/>
      <c r="E82" s="23" t="s">
        <v>216</v>
      </c>
      <c r="F82" s="24">
        <v>2</v>
      </c>
    </row>
    <row r="83" spans="1:7" ht="30" customHeight="1" thickTop="1" thickBot="1">
      <c r="A83" s="616"/>
      <c r="B83" s="618"/>
      <c r="C83" s="620"/>
      <c r="D83" s="22"/>
      <c r="E83" s="23" t="s">
        <v>217</v>
      </c>
      <c r="F83" s="24">
        <v>3</v>
      </c>
    </row>
    <row r="84" spans="1:7" s="40" customFormat="1" ht="30" customHeight="1" thickTop="1" thickBot="1">
      <c r="A84" s="616"/>
      <c r="B84" s="618"/>
      <c r="C84" s="620"/>
      <c r="D84" s="37"/>
      <c r="E84" s="38" t="s">
        <v>218</v>
      </c>
      <c r="F84" s="24">
        <v>3</v>
      </c>
      <c r="G84" s="39"/>
    </row>
    <row r="85" spans="1:7" ht="30" customHeight="1" thickTop="1" thickBot="1">
      <c r="A85" s="616"/>
      <c r="B85" s="618"/>
      <c r="C85" s="620"/>
      <c r="D85" s="18"/>
      <c r="E85" s="19" t="s">
        <v>219</v>
      </c>
      <c r="F85" s="20">
        <v>1</v>
      </c>
    </row>
    <row r="86" spans="1:7" ht="30" customHeight="1" thickTop="1" thickBot="1">
      <c r="A86" s="615">
        <v>11</v>
      </c>
      <c r="B86" s="617" t="s">
        <v>220</v>
      </c>
      <c r="C86" s="619" t="s">
        <v>221</v>
      </c>
      <c r="D86" s="22"/>
      <c r="E86" s="23" t="s">
        <v>222</v>
      </c>
      <c r="F86" s="24">
        <v>1</v>
      </c>
    </row>
    <row r="87" spans="1:7" ht="30" customHeight="1" thickTop="1" thickBot="1">
      <c r="A87" s="616"/>
      <c r="B87" s="618"/>
      <c r="C87" s="620"/>
      <c r="D87" s="18"/>
      <c r="E87" s="19" t="s">
        <v>223</v>
      </c>
      <c r="F87" s="20">
        <v>5</v>
      </c>
    </row>
    <row r="88" spans="1:7" ht="30" customHeight="1" thickBot="1">
      <c r="A88" s="616"/>
      <c r="B88" s="618"/>
      <c r="C88" s="620"/>
      <c r="D88" s="22"/>
      <c r="E88" s="23" t="s">
        <v>224</v>
      </c>
      <c r="F88" s="24">
        <v>3</v>
      </c>
    </row>
    <row r="89" spans="1:7" ht="30" customHeight="1" thickTop="1" thickBot="1">
      <c r="A89" s="616"/>
      <c r="B89" s="618"/>
      <c r="C89" s="620"/>
      <c r="D89" s="18"/>
      <c r="E89" s="19" t="s">
        <v>225</v>
      </c>
      <c r="F89" s="20">
        <v>3</v>
      </c>
    </row>
    <row r="90" spans="1:7" ht="30" customHeight="1" thickBot="1">
      <c r="A90" s="616"/>
      <c r="B90" s="618"/>
      <c r="C90" s="620"/>
      <c r="D90" s="22"/>
      <c r="E90" s="23" t="s">
        <v>226</v>
      </c>
      <c r="F90" s="24">
        <v>2</v>
      </c>
    </row>
    <row r="91" spans="1:7" ht="30" customHeight="1" thickTop="1" thickBot="1">
      <c r="A91" s="616"/>
      <c r="B91" s="618"/>
      <c r="C91" s="620"/>
      <c r="D91" s="18"/>
      <c r="E91" s="19" t="s">
        <v>227</v>
      </c>
      <c r="F91" s="20">
        <v>3</v>
      </c>
    </row>
    <row r="92" spans="1:7" ht="30" customHeight="1" thickBot="1">
      <c r="A92" s="616"/>
      <c r="B92" s="618"/>
      <c r="C92" s="620"/>
      <c r="D92" s="22"/>
      <c r="E92" s="23" t="s">
        <v>228</v>
      </c>
      <c r="F92" s="24">
        <v>3</v>
      </c>
    </row>
    <row r="93" spans="1:7" ht="30" customHeight="1" thickTop="1" thickBot="1">
      <c r="A93" s="616"/>
      <c r="B93" s="618"/>
      <c r="C93" s="620"/>
      <c r="D93" s="18"/>
      <c r="E93" s="19" t="s">
        <v>229</v>
      </c>
      <c r="F93" s="20">
        <v>3</v>
      </c>
    </row>
    <row r="94" spans="1:7" ht="30" customHeight="1" thickBot="1">
      <c r="A94" s="616"/>
      <c r="B94" s="618"/>
      <c r="C94" s="620"/>
      <c r="D94" s="22"/>
      <c r="E94" s="23" t="s">
        <v>230</v>
      </c>
      <c r="F94" s="24">
        <v>3</v>
      </c>
    </row>
    <row r="95" spans="1:7" ht="30" customHeight="1" thickTop="1" thickBot="1">
      <c r="A95" s="616"/>
      <c r="B95" s="618"/>
      <c r="C95" s="620"/>
      <c r="D95" s="18"/>
      <c r="E95" s="19" t="s">
        <v>231</v>
      </c>
      <c r="F95" s="20">
        <v>3</v>
      </c>
    </row>
    <row r="96" spans="1:7" ht="30" customHeight="1" thickTop="1" thickBot="1">
      <c r="A96" s="615">
        <v>12</v>
      </c>
      <c r="B96" s="617" t="s">
        <v>232</v>
      </c>
      <c r="C96" s="619" t="s">
        <v>233</v>
      </c>
      <c r="D96" s="22"/>
      <c r="E96" s="23" t="s">
        <v>234</v>
      </c>
      <c r="F96" s="24">
        <v>5</v>
      </c>
    </row>
    <row r="97" spans="1:6" ht="30" customHeight="1" thickTop="1" thickBot="1">
      <c r="A97" s="616"/>
      <c r="B97" s="618"/>
      <c r="C97" s="620"/>
      <c r="D97" s="18"/>
      <c r="E97" s="19" t="s">
        <v>235</v>
      </c>
      <c r="F97" s="20">
        <v>2</v>
      </c>
    </row>
    <row r="98" spans="1:6" ht="30" customHeight="1" thickBot="1">
      <c r="A98" s="616"/>
      <c r="B98" s="618"/>
      <c r="C98" s="620"/>
      <c r="D98" s="22"/>
      <c r="E98" s="23" t="s">
        <v>236</v>
      </c>
      <c r="F98" s="24">
        <v>1</v>
      </c>
    </row>
    <row r="99" spans="1:6" ht="30" customHeight="1" thickTop="1" thickBot="1">
      <c r="A99" s="616"/>
      <c r="B99" s="618"/>
      <c r="C99" s="620"/>
      <c r="D99" s="18"/>
      <c r="E99" s="19" t="s">
        <v>237</v>
      </c>
      <c r="F99" s="20">
        <v>1</v>
      </c>
    </row>
    <row r="100" spans="1:6" ht="30" customHeight="1" thickBot="1">
      <c r="A100" s="616"/>
      <c r="B100" s="618"/>
      <c r="C100" s="620"/>
      <c r="D100" s="22"/>
      <c r="E100" s="23" t="s">
        <v>238</v>
      </c>
      <c r="F100" s="24">
        <v>3</v>
      </c>
    </row>
    <row r="101" spans="1:6" ht="30" customHeight="1" thickTop="1" thickBot="1">
      <c r="A101" s="616"/>
      <c r="B101" s="618"/>
      <c r="C101" s="620"/>
      <c r="D101" s="18"/>
      <c r="E101" s="19" t="s">
        <v>239</v>
      </c>
      <c r="F101" s="20">
        <v>2</v>
      </c>
    </row>
    <row r="102" spans="1:6" ht="30" customHeight="1" thickBot="1">
      <c r="A102" s="616"/>
      <c r="B102" s="618"/>
      <c r="C102" s="620"/>
      <c r="D102" s="22"/>
      <c r="E102" s="23" t="s">
        <v>240</v>
      </c>
      <c r="F102" s="24">
        <v>3</v>
      </c>
    </row>
    <row r="103" spans="1:6" ht="30" customHeight="1" thickTop="1" thickBot="1">
      <c r="A103" s="616"/>
      <c r="B103" s="618"/>
      <c r="C103" s="620"/>
      <c r="D103" s="18"/>
      <c r="E103" s="19" t="s">
        <v>241</v>
      </c>
      <c r="F103" s="20">
        <v>8</v>
      </c>
    </row>
    <row r="104" spans="1:6" ht="30" customHeight="1" thickBot="1">
      <c r="A104" s="616"/>
      <c r="B104" s="618"/>
      <c r="C104" s="620"/>
      <c r="D104" s="22"/>
      <c r="E104" s="23" t="s">
        <v>242</v>
      </c>
      <c r="F104" s="24">
        <v>3</v>
      </c>
    </row>
    <row r="105" spans="1:6" ht="30" customHeight="1" thickTop="1" thickBot="1">
      <c r="A105" s="615">
        <v>13</v>
      </c>
      <c r="B105" s="617" t="s">
        <v>243</v>
      </c>
      <c r="C105" s="619" t="s">
        <v>244</v>
      </c>
      <c r="D105" s="22"/>
      <c r="E105" s="23" t="s">
        <v>245</v>
      </c>
      <c r="F105" s="24">
        <v>3</v>
      </c>
    </row>
    <row r="106" spans="1:6" ht="30" customHeight="1" thickTop="1" thickBot="1">
      <c r="A106" s="616"/>
      <c r="B106" s="618"/>
      <c r="C106" s="620"/>
      <c r="D106" s="18"/>
      <c r="E106" s="19" t="s">
        <v>246</v>
      </c>
      <c r="F106" s="20">
        <v>3</v>
      </c>
    </row>
    <row r="107" spans="1:6" ht="30" customHeight="1" thickBot="1">
      <c r="A107" s="616"/>
      <c r="B107" s="618"/>
      <c r="C107" s="620"/>
      <c r="D107" s="22"/>
      <c r="E107" s="23" t="s">
        <v>247</v>
      </c>
      <c r="F107" s="24">
        <v>2</v>
      </c>
    </row>
    <row r="108" spans="1:6" ht="30" customHeight="1" thickTop="1" thickBot="1">
      <c r="A108" s="616"/>
      <c r="B108" s="618"/>
      <c r="C108" s="620"/>
      <c r="D108" s="18"/>
      <c r="E108" s="19" t="s">
        <v>248</v>
      </c>
      <c r="F108" s="20">
        <v>3</v>
      </c>
    </row>
    <row r="109" spans="1:6" ht="30" customHeight="1" thickBot="1">
      <c r="A109" s="616"/>
      <c r="B109" s="618"/>
      <c r="C109" s="620"/>
      <c r="D109" s="22"/>
      <c r="E109" s="23" t="s">
        <v>249</v>
      </c>
      <c r="F109" s="24">
        <v>3</v>
      </c>
    </row>
    <row r="110" spans="1:6" ht="30" customHeight="1" thickTop="1" thickBot="1">
      <c r="A110" s="616"/>
      <c r="B110" s="618"/>
      <c r="C110" s="620"/>
      <c r="D110" s="18"/>
      <c r="E110" s="19" t="s">
        <v>250</v>
      </c>
      <c r="F110" s="20">
        <v>3</v>
      </c>
    </row>
    <row r="111" spans="1:6" ht="30" customHeight="1" thickTop="1" thickBot="1">
      <c r="A111" s="615">
        <v>14</v>
      </c>
      <c r="B111" s="617" t="s">
        <v>251</v>
      </c>
      <c r="C111" s="619" t="s">
        <v>252</v>
      </c>
      <c r="D111" s="22"/>
      <c r="E111" s="23" t="s">
        <v>253</v>
      </c>
      <c r="F111" s="24">
        <v>3</v>
      </c>
    </row>
    <row r="112" spans="1:6" ht="30" customHeight="1" thickTop="1" thickBot="1">
      <c r="A112" s="616"/>
      <c r="B112" s="618"/>
      <c r="C112" s="620"/>
      <c r="D112" s="22"/>
      <c r="E112" s="41" t="s">
        <v>254</v>
      </c>
      <c r="F112" s="24">
        <v>2</v>
      </c>
    </row>
    <row r="113" spans="1:6" ht="30" customHeight="1" thickTop="1" thickBot="1">
      <c r="A113" s="616"/>
      <c r="B113" s="618"/>
      <c r="C113" s="620"/>
      <c r="D113" s="27"/>
      <c r="E113" s="42" t="s">
        <v>255</v>
      </c>
      <c r="F113" s="20">
        <v>2</v>
      </c>
    </row>
    <row r="114" spans="1:6" ht="30" customHeight="1" thickTop="1" thickBot="1">
      <c r="A114" s="616"/>
      <c r="B114" s="618"/>
      <c r="C114" s="620"/>
      <c r="D114" s="27"/>
      <c r="E114" s="42" t="s">
        <v>256</v>
      </c>
      <c r="F114" s="20">
        <v>1</v>
      </c>
    </row>
    <row r="115" spans="1:6" ht="30" customHeight="1" thickTop="1" thickBot="1">
      <c r="A115" s="615">
        <v>15</v>
      </c>
      <c r="B115" s="617" t="s">
        <v>257</v>
      </c>
      <c r="C115" s="621" t="s">
        <v>258</v>
      </c>
      <c r="D115" s="22"/>
      <c r="E115" s="43" t="s">
        <v>259</v>
      </c>
      <c r="F115" s="24">
        <v>5</v>
      </c>
    </row>
    <row r="116" spans="1:6" ht="30" customHeight="1" thickTop="1" thickBot="1">
      <c r="A116" s="616"/>
      <c r="B116" s="618"/>
      <c r="C116" s="622"/>
      <c r="D116" s="18"/>
      <c r="E116" s="44" t="s">
        <v>260</v>
      </c>
      <c r="F116" s="20">
        <v>5</v>
      </c>
    </row>
    <row r="117" spans="1:6" ht="30" customHeight="1" thickTop="1" thickBot="1">
      <c r="A117" s="616"/>
      <c r="B117" s="618"/>
      <c r="C117" s="622"/>
      <c r="D117" s="22"/>
      <c r="E117" s="45" t="s">
        <v>261</v>
      </c>
      <c r="F117" s="24">
        <v>5</v>
      </c>
    </row>
    <row r="118" spans="1:6" ht="30" customHeight="1" thickTop="1"/>
  </sheetData>
  <mergeCells count="42">
    <mergeCell ref="A1:D1"/>
    <mergeCell ref="A3:C3"/>
    <mergeCell ref="E3:F3"/>
    <mergeCell ref="A5:A9"/>
    <mergeCell ref="B5:B9"/>
    <mergeCell ref="C5:C9"/>
    <mergeCell ref="A10:A15"/>
    <mergeCell ref="B10:B13"/>
    <mergeCell ref="C10:C15"/>
    <mergeCell ref="A16:A22"/>
    <mergeCell ref="B16:B22"/>
    <mergeCell ref="C16:C22"/>
    <mergeCell ref="A23:A33"/>
    <mergeCell ref="B23:B33"/>
    <mergeCell ref="C23:C33"/>
    <mergeCell ref="A34:A47"/>
    <mergeCell ref="B34:B47"/>
    <mergeCell ref="C34:C47"/>
    <mergeCell ref="A49:A64"/>
    <mergeCell ref="B49:B64"/>
    <mergeCell ref="C49:C64"/>
    <mergeCell ref="A65:A73"/>
    <mergeCell ref="B65:B72"/>
    <mergeCell ref="C65:C73"/>
    <mergeCell ref="A74:A85"/>
    <mergeCell ref="B74:B85"/>
    <mergeCell ref="C74:C85"/>
    <mergeCell ref="A86:A95"/>
    <mergeCell ref="B86:B95"/>
    <mergeCell ref="C86:C95"/>
    <mergeCell ref="A96:A104"/>
    <mergeCell ref="B96:B104"/>
    <mergeCell ref="C96:C104"/>
    <mergeCell ref="A105:A110"/>
    <mergeCell ref="B105:B110"/>
    <mergeCell ref="C105:C110"/>
    <mergeCell ref="A111:A114"/>
    <mergeCell ref="B111:B114"/>
    <mergeCell ref="C111:C114"/>
    <mergeCell ref="A115:A117"/>
    <mergeCell ref="B115:B117"/>
    <mergeCell ref="C115:C1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09"/>
  <sheetViews>
    <sheetView workbookViewId="0">
      <selection activeCell="D30" sqref="D30"/>
    </sheetView>
  </sheetViews>
  <sheetFormatPr baseColWidth="10" defaultRowHeight="14.4"/>
  <cols>
    <col min="15" max="15" width="22.44140625" customWidth="1"/>
    <col min="16" max="16" width="20" customWidth="1"/>
    <col min="17" max="17" width="40" customWidth="1"/>
    <col min="18" max="18" width="25.33203125" customWidth="1"/>
    <col min="19" max="19" width="23.44140625" customWidth="1"/>
    <col min="20" max="20" width="15.6640625" customWidth="1"/>
    <col min="21" max="21" width="36.6640625" customWidth="1"/>
    <col min="22" max="22" width="23.88671875" customWidth="1"/>
    <col min="23" max="23" width="51.88671875" customWidth="1"/>
    <col min="24" max="24" width="54.88671875" customWidth="1"/>
    <col min="25" max="25" width="40" customWidth="1"/>
    <col min="26" max="26" width="18.109375" customWidth="1"/>
    <col min="27" max="27" width="36.6640625" customWidth="1"/>
  </cols>
  <sheetData>
    <row r="1" spans="1:28">
      <c r="A1" t="s">
        <v>496</v>
      </c>
      <c r="B1" t="s">
        <v>497</v>
      </c>
      <c r="C1" t="s">
        <v>479</v>
      </c>
      <c r="D1" t="s">
        <v>480</v>
      </c>
      <c r="E1" t="s">
        <v>481</v>
      </c>
      <c r="F1" t="s">
        <v>482</v>
      </c>
      <c r="G1" t="s">
        <v>483</v>
      </c>
      <c r="H1" t="s">
        <v>484</v>
      </c>
      <c r="I1" t="s">
        <v>485</v>
      </c>
      <c r="J1" t="s">
        <v>486</v>
      </c>
      <c r="K1" t="s">
        <v>487</v>
      </c>
      <c r="L1" t="s">
        <v>488</v>
      </c>
      <c r="M1" t="s">
        <v>489</v>
      </c>
      <c r="N1" t="s">
        <v>490</v>
      </c>
      <c r="O1" t="s">
        <v>543</v>
      </c>
      <c r="P1" t="s">
        <v>498</v>
      </c>
      <c r="Q1" t="s">
        <v>546</v>
      </c>
      <c r="R1" t="s">
        <v>547</v>
      </c>
      <c r="S1" t="s">
        <v>544</v>
      </c>
      <c r="T1" t="s">
        <v>545</v>
      </c>
      <c r="U1" t="s">
        <v>550</v>
      </c>
      <c r="V1" t="s">
        <v>551</v>
      </c>
      <c r="W1" t="s">
        <v>552</v>
      </c>
      <c r="X1" t="s">
        <v>554</v>
      </c>
      <c r="Y1" t="s">
        <v>556</v>
      </c>
      <c r="Z1" t="s">
        <v>557</v>
      </c>
      <c r="AA1" t="s">
        <v>558</v>
      </c>
      <c r="AB1" t="s">
        <v>559</v>
      </c>
    </row>
    <row r="2" spans="1:28">
      <c r="A2" t="s">
        <v>268</v>
      </c>
      <c r="B2" t="s">
        <v>304</v>
      </c>
      <c r="E2">
        <v>1</v>
      </c>
      <c r="F2">
        <v>1</v>
      </c>
      <c r="O2">
        <v>1</v>
      </c>
      <c r="P2" s="111">
        <v>46052</v>
      </c>
      <c r="Q2" s="111">
        <v>46057</v>
      </c>
      <c r="R2" s="111">
        <v>46072</v>
      </c>
      <c r="S2">
        <v>0</v>
      </c>
      <c r="T2">
        <v>1</v>
      </c>
      <c r="U2" s="111">
        <v>46107</v>
      </c>
      <c r="Y2">
        <v>1</v>
      </c>
      <c r="Z2" s="111">
        <v>46122</v>
      </c>
      <c r="AA2" s="111">
        <v>46157</v>
      </c>
    </row>
    <row r="3" spans="1:28">
      <c r="A3" t="s">
        <v>433</v>
      </c>
      <c r="B3" t="s">
        <v>434</v>
      </c>
      <c r="R3" s="111">
        <v>15</v>
      </c>
      <c r="U3" s="111">
        <v>50</v>
      </c>
      <c r="AA3" s="111">
        <v>35</v>
      </c>
    </row>
    <row r="4" spans="1:28">
      <c r="A4" t="s">
        <v>269</v>
      </c>
      <c r="B4" t="s">
        <v>305</v>
      </c>
      <c r="O4">
        <v>1</v>
      </c>
      <c r="P4" s="111">
        <v>46049</v>
      </c>
      <c r="Q4" s="111">
        <v>46054</v>
      </c>
      <c r="R4" s="111">
        <v>46069</v>
      </c>
      <c r="U4" s="111">
        <v>46104</v>
      </c>
      <c r="AA4" s="111">
        <v>35</v>
      </c>
    </row>
    <row r="5" spans="1:28">
      <c r="A5" t="s">
        <v>270</v>
      </c>
      <c r="B5" t="s">
        <v>306</v>
      </c>
      <c r="R5" s="111">
        <v>15</v>
      </c>
      <c r="U5" s="111">
        <v>50</v>
      </c>
      <c r="AA5" s="111">
        <v>35</v>
      </c>
    </row>
    <row r="6" spans="1:28">
      <c r="A6" t="s">
        <v>271</v>
      </c>
      <c r="B6" t="s">
        <v>307</v>
      </c>
      <c r="R6" s="111">
        <v>15</v>
      </c>
      <c r="U6" s="111">
        <v>50</v>
      </c>
      <c r="AA6" s="111">
        <v>35</v>
      </c>
    </row>
    <row r="7" spans="1:28">
      <c r="A7" t="s">
        <v>272</v>
      </c>
      <c r="B7" t="s">
        <v>308</v>
      </c>
      <c r="F7">
        <v>1</v>
      </c>
      <c r="G7">
        <v>1</v>
      </c>
      <c r="O7">
        <v>1</v>
      </c>
      <c r="P7" s="111">
        <v>46049</v>
      </c>
      <c r="Q7" s="111">
        <v>46054</v>
      </c>
      <c r="R7" s="111">
        <v>46069</v>
      </c>
      <c r="S7">
        <v>1</v>
      </c>
      <c r="T7">
        <v>1</v>
      </c>
      <c r="U7" s="111">
        <v>46104</v>
      </c>
      <c r="AA7" s="111">
        <v>35</v>
      </c>
    </row>
    <row r="8" spans="1:28">
      <c r="A8" t="s">
        <v>273</v>
      </c>
      <c r="B8" t="s">
        <v>309</v>
      </c>
      <c r="E8">
        <v>5</v>
      </c>
      <c r="R8" s="111">
        <v>15</v>
      </c>
      <c r="U8" s="111">
        <v>50</v>
      </c>
      <c r="AA8" s="111">
        <v>35</v>
      </c>
    </row>
    <row r="9" spans="1:28">
      <c r="A9" t="s">
        <v>274</v>
      </c>
      <c r="B9" t="s">
        <v>310</v>
      </c>
      <c r="G9">
        <v>5</v>
      </c>
      <c r="R9" s="111">
        <v>15</v>
      </c>
      <c r="U9" s="111">
        <v>50</v>
      </c>
      <c r="AA9" s="111">
        <v>35</v>
      </c>
    </row>
    <row r="10" spans="1:28">
      <c r="A10" t="s">
        <v>275</v>
      </c>
      <c r="B10" t="s">
        <v>312</v>
      </c>
      <c r="R10" s="111">
        <v>15</v>
      </c>
      <c r="U10" s="111">
        <v>50</v>
      </c>
      <c r="AA10" s="111">
        <v>35</v>
      </c>
    </row>
    <row r="11" spans="1:28">
      <c r="A11" t="s">
        <v>276</v>
      </c>
      <c r="B11" t="s">
        <v>313</v>
      </c>
      <c r="R11" s="111">
        <v>15</v>
      </c>
      <c r="U11" s="111">
        <v>50</v>
      </c>
      <c r="AA11" s="111">
        <v>35</v>
      </c>
    </row>
    <row r="12" spans="1:28">
      <c r="A12" t="s">
        <v>277</v>
      </c>
      <c r="B12" t="s">
        <v>314</v>
      </c>
      <c r="R12" s="111">
        <v>15</v>
      </c>
      <c r="U12" s="111">
        <v>50</v>
      </c>
      <c r="AA12" s="111">
        <v>35</v>
      </c>
    </row>
    <row r="13" spans="1:28">
      <c r="A13" t="s">
        <v>278</v>
      </c>
      <c r="B13" t="s">
        <v>315</v>
      </c>
      <c r="G13">
        <v>5</v>
      </c>
      <c r="R13" s="111">
        <v>15</v>
      </c>
      <c r="U13" s="111">
        <v>50</v>
      </c>
      <c r="AA13" s="111">
        <v>35</v>
      </c>
    </row>
    <row r="14" spans="1:28">
      <c r="A14" t="s">
        <v>279</v>
      </c>
      <c r="B14" t="s">
        <v>316</v>
      </c>
      <c r="R14" s="111">
        <v>15</v>
      </c>
      <c r="U14" s="111">
        <v>50</v>
      </c>
      <c r="AA14" s="111">
        <v>35</v>
      </c>
    </row>
    <row r="15" spans="1:28">
      <c r="A15" t="s">
        <v>280</v>
      </c>
      <c r="B15" t="s">
        <v>317</v>
      </c>
      <c r="D15">
        <v>5</v>
      </c>
      <c r="R15" s="111">
        <v>15</v>
      </c>
      <c r="U15" s="111">
        <v>50</v>
      </c>
      <c r="AA15" s="111">
        <v>35</v>
      </c>
    </row>
    <row r="16" spans="1:28">
      <c r="A16" t="s">
        <v>281</v>
      </c>
      <c r="B16" t="s">
        <v>265</v>
      </c>
      <c r="R16" s="111">
        <v>15</v>
      </c>
      <c r="U16" s="111">
        <v>50</v>
      </c>
      <c r="AA16" s="111">
        <v>35</v>
      </c>
    </row>
    <row r="17" spans="1:27">
      <c r="A17" t="s">
        <v>282</v>
      </c>
      <c r="B17" t="s">
        <v>318</v>
      </c>
      <c r="O17">
        <v>1</v>
      </c>
      <c r="P17" s="111">
        <v>46049</v>
      </c>
      <c r="Q17" s="111">
        <v>46054</v>
      </c>
      <c r="R17" s="111">
        <v>46069</v>
      </c>
      <c r="S17">
        <v>1</v>
      </c>
      <c r="T17">
        <v>1</v>
      </c>
      <c r="U17" s="111">
        <v>46104</v>
      </c>
      <c r="AA17" s="111">
        <v>35</v>
      </c>
    </row>
    <row r="18" spans="1:27">
      <c r="A18" t="s">
        <v>283</v>
      </c>
      <c r="B18" t="s">
        <v>266</v>
      </c>
      <c r="R18" s="111">
        <v>15</v>
      </c>
      <c r="U18" s="111">
        <v>50</v>
      </c>
      <c r="AA18" s="111">
        <v>35</v>
      </c>
    </row>
    <row r="19" spans="1:27">
      <c r="A19" t="s">
        <v>284</v>
      </c>
      <c r="B19" t="s">
        <v>319</v>
      </c>
      <c r="R19" s="111">
        <v>15</v>
      </c>
      <c r="U19" s="111">
        <v>50</v>
      </c>
      <c r="AA19" s="111">
        <v>35</v>
      </c>
    </row>
    <row r="20" spans="1:27">
      <c r="A20" t="s">
        <v>285</v>
      </c>
      <c r="B20" t="s">
        <v>320</v>
      </c>
      <c r="O20">
        <v>1</v>
      </c>
      <c r="P20" s="111">
        <v>46049</v>
      </c>
      <c r="Q20" s="111">
        <v>46054</v>
      </c>
      <c r="R20" s="111">
        <v>46069</v>
      </c>
      <c r="U20" s="111">
        <v>46104</v>
      </c>
      <c r="AA20" s="111">
        <v>35</v>
      </c>
    </row>
    <row r="21" spans="1:27">
      <c r="A21" t="s">
        <v>286</v>
      </c>
      <c r="B21" t="s">
        <v>321</v>
      </c>
      <c r="R21" s="111">
        <v>15</v>
      </c>
      <c r="U21" s="111">
        <v>50</v>
      </c>
      <c r="AA21" s="111">
        <v>35</v>
      </c>
    </row>
    <row r="22" spans="1:27">
      <c r="A22" t="s">
        <v>287</v>
      </c>
      <c r="B22" t="s">
        <v>322</v>
      </c>
      <c r="O22">
        <v>1</v>
      </c>
      <c r="P22" s="111">
        <v>46049</v>
      </c>
      <c r="Q22" s="111">
        <v>46054</v>
      </c>
      <c r="R22" s="111">
        <v>46069</v>
      </c>
      <c r="U22" s="111">
        <v>46104</v>
      </c>
      <c r="AA22" s="111">
        <v>35</v>
      </c>
    </row>
    <row r="23" spans="1:27">
      <c r="A23" t="s">
        <v>288</v>
      </c>
      <c r="B23" t="s">
        <v>323</v>
      </c>
      <c r="O23">
        <v>1</v>
      </c>
      <c r="P23" s="111">
        <v>46049</v>
      </c>
      <c r="Q23" s="111">
        <v>46054</v>
      </c>
      <c r="R23" s="111">
        <v>46069</v>
      </c>
      <c r="U23" s="111">
        <v>46104</v>
      </c>
      <c r="AA23" s="111">
        <v>35</v>
      </c>
    </row>
    <row r="24" spans="1:27">
      <c r="A24" t="s">
        <v>289</v>
      </c>
      <c r="B24" t="s">
        <v>324</v>
      </c>
      <c r="R24" s="111">
        <v>15</v>
      </c>
      <c r="U24" s="111">
        <v>50</v>
      </c>
      <c r="AA24" s="111">
        <v>35</v>
      </c>
    </row>
    <row r="25" spans="1:27">
      <c r="A25" t="s">
        <v>290</v>
      </c>
      <c r="B25" t="s">
        <v>325</v>
      </c>
      <c r="R25" s="111">
        <v>15</v>
      </c>
      <c r="U25" s="111">
        <v>50</v>
      </c>
      <c r="AA25" s="111">
        <v>35</v>
      </c>
    </row>
    <row r="26" spans="1:27">
      <c r="A26" t="s">
        <v>291</v>
      </c>
      <c r="B26" t="s">
        <v>326</v>
      </c>
      <c r="R26" s="111">
        <v>15</v>
      </c>
      <c r="U26" s="111">
        <v>50</v>
      </c>
      <c r="AA26" s="111">
        <v>35</v>
      </c>
    </row>
    <row r="27" spans="1:27">
      <c r="A27" t="s">
        <v>292</v>
      </c>
      <c r="B27" t="s">
        <v>311</v>
      </c>
      <c r="R27" s="111">
        <v>15</v>
      </c>
      <c r="U27" s="111">
        <v>50</v>
      </c>
      <c r="AA27" s="111">
        <v>35</v>
      </c>
    </row>
    <row r="28" spans="1:27">
      <c r="A28" t="s">
        <v>293</v>
      </c>
      <c r="B28" t="s">
        <v>327</v>
      </c>
      <c r="R28" s="111">
        <v>15</v>
      </c>
      <c r="U28" s="111">
        <v>50</v>
      </c>
      <c r="AA28" s="111">
        <v>35</v>
      </c>
    </row>
    <row r="29" spans="1:27">
      <c r="A29" t="s">
        <v>294</v>
      </c>
      <c r="B29" t="s">
        <v>328</v>
      </c>
      <c r="R29" s="111">
        <v>15</v>
      </c>
      <c r="U29" s="111">
        <v>50</v>
      </c>
      <c r="AA29" s="111">
        <v>35</v>
      </c>
    </row>
    <row r="30" spans="1:27">
      <c r="A30" t="s">
        <v>295</v>
      </c>
      <c r="B30" t="s">
        <v>329</v>
      </c>
      <c r="R30" s="111">
        <v>15</v>
      </c>
      <c r="U30" s="111">
        <v>50</v>
      </c>
      <c r="AA30" s="111">
        <v>35</v>
      </c>
    </row>
    <row r="31" spans="1:27">
      <c r="A31" t="s">
        <v>296</v>
      </c>
      <c r="B31" t="s">
        <v>331</v>
      </c>
      <c r="O31">
        <v>1</v>
      </c>
      <c r="P31" s="111">
        <v>46049</v>
      </c>
      <c r="Q31" s="111">
        <v>46054</v>
      </c>
      <c r="R31" s="111">
        <v>46069</v>
      </c>
      <c r="S31">
        <v>1</v>
      </c>
      <c r="T31">
        <v>1</v>
      </c>
      <c r="U31" s="111">
        <v>46104</v>
      </c>
      <c r="AA31" s="111">
        <v>35</v>
      </c>
    </row>
    <row r="32" spans="1:27">
      <c r="A32" t="s">
        <v>297</v>
      </c>
      <c r="B32" t="s">
        <v>332</v>
      </c>
      <c r="R32" s="111">
        <v>15</v>
      </c>
      <c r="U32" s="111">
        <v>50</v>
      </c>
      <c r="AA32" s="111">
        <v>35</v>
      </c>
    </row>
    <row r="33" spans="1:27">
      <c r="A33" t="s">
        <v>298</v>
      </c>
      <c r="B33" t="s">
        <v>317</v>
      </c>
      <c r="R33" s="111">
        <v>15</v>
      </c>
      <c r="U33" s="111">
        <v>50</v>
      </c>
      <c r="AA33" s="111">
        <v>35</v>
      </c>
    </row>
    <row r="34" spans="1:27">
      <c r="A34" t="s">
        <v>299</v>
      </c>
      <c r="B34" t="s">
        <v>333</v>
      </c>
      <c r="R34" s="111">
        <v>15</v>
      </c>
      <c r="U34" s="111">
        <v>50</v>
      </c>
      <c r="AA34" s="111">
        <v>35</v>
      </c>
    </row>
    <row r="35" spans="1:27">
      <c r="A35" t="s">
        <v>300</v>
      </c>
      <c r="B35" t="s">
        <v>334</v>
      </c>
      <c r="R35" s="111">
        <v>15</v>
      </c>
      <c r="U35" s="111">
        <v>50</v>
      </c>
      <c r="AA35" s="111">
        <v>35</v>
      </c>
    </row>
    <row r="36" spans="1:27">
      <c r="A36" t="s">
        <v>301</v>
      </c>
      <c r="B36" t="s">
        <v>335</v>
      </c>
      <c r="R36" s="111">
        <v>15</v>
      </c>
      <c r="U36" s="111">
        <v>50</v>
      </c>
      <c r="AA36" s="111">
        <v>35</v>
      </c>
    </row>
    <row r="37" spans="1:27">
      <c r="A37" t="s">
        <v>302</v>
      </c>
      <c r="B37" t="s">
        <v>336</v>
      </c>
      <c r="R37" s="111">
        <v>15</v>
      </c>
      <c r="U37" s="111">
        <v>50</v>
      </c>
      <c r="AA37" s="111">
        <v>35</v>
      </c>
    </row>
    <row r="38" spans="1:27">
      <c r="A38" t="s">
        <v>303</v>
      </c>
      <c r="B38" t="s">
        <v>337</v>
      </c>
      <c r="R38" s="111">
        <v>15</v>
      </c>
      <c r="U38" s="111">
        <v>50</v>
      </c>
      <c r="AA38" s="111">
        <v>35</v>
      </c>
    </row>
    <row r="39" spans="1:27">
      <c r="A39" t="s">
        <v>267</v>
      </c>
      <c r="B39" t="s">
        <v>338</v>
      </c>
      <c r="R39" s="111">
        <v>15</v>
      </c>
      <c r="U39" s="111">
        <v>50</v>
      </c>
      <c r="AA39" s="111">
        <v>35</v>
      </c>
    </row>
    <row r="40" spans="1:27">
      <c r="A40" t="s">
        <v>340</v>
      </c>
      <c r="B40" t="s">
        <v>348</v>
      </c>
      <c r="R40" s="111">
        <v>15</v>
      </c>
      <c r="U40" s="111">
        <v>50</v>
      </c>
      <c r="AA40" s="111">
        <v>35</v>
      </c>
    </row>
    <row r="41" spans="1:27">
      <c r="A41" t="s">
        <v>341</v>
      </c>
      <c r="B41" t="s">
        <v>349</v>
      </c>
      <c r="R41" s="111">
        <v>15</v>
      </c>
      <c r="U41" s="111">
        <v>50</v>
      </c>
      <c r="AA41" s="111">
        <v>35</v>
      </c>
    </row>
    <row r="42" spans="1:27">
      <c r="A42" t="s">
        <v>342</v>
      </c>
      <c r="B42" t="s">
        <v>350</v>
      </c>
      <c r="R42" s="111">
        <v>15</v>
      </c>
      <c r="U42" s="111">
        <v>50</v>
      </c>
      <c r="AA42" s="111">
        <v>35</v>
      </c>
    </row>
    <row r="43" spans="1:27">
      <c r="A43" t="s">
        <v>343</v>
      </c>
      <c r="B43" t="s">
        <v>351</v>
      </c>
      <c r="R43" s="111">
        <v>15</v>
      </c>
      <c r="U43" s="111">
        <v>50</v>
      </c>
      <c r="AA43" s="111">
        <v>35</v>
      </c>
    </row>
    <row r="44" spans="1:27">
      <c r="A44" t="s">
        <v>344</v>
      </c>
      <c r="B44" t="s">
        <v>352</v>
      </c>
      <c r="R44" s="111">
        <v>15</v>
      </c>
      <c r="U44" s="111">
        <v>50</v>
      </c>
      <c r="AA44" s="111">
        <v>35</v>
      </c>
    </row>
    <row r="45" spans="1:27">
      <c r="A45" t="s">
        <v>603</v>
      </c>
      <c r="B45" t="s">
        <v>353</v>
      </c>
      <c r="O45">
        <v>1</v>
      </c>
      <c r="P45" s="111">
        <v>46071</v>
      </c>
      <c r="R45" s="111">
        <v>15</v>
      </c>
      <c r="U45" s="111">
        <v>50</v>
      </c>
      <c r="AA45" s="111">
        <v>35</v>
      </c>
    </row>
    <row r="46" spans="1:27">
      <c r="A46" t="s">
        <v>345</v>
      </c>
      <c r="B46" t="s">
        <v>354</v>
      </c>
      <c r="R46" s="111">
        <v>15</v>
      </c>
      <c r="U46" s="111">
        <v>50</v>
      </c>
      <c r="AA46" s="111">
        <v>35</v>
      </c>
    </row>
    <row r="47" spans="1:27">
      <c r="A47" t="s">
        <v>346</v>
      </c>
      <c r="B47" t="s">
        <v>355</v>
      </c>
      <c r="O47">
        <v>1</v>
      </c>
      <c r="P47" s="111">
        <v>46049</v>
      </c>
      <c r="Q47" s="111">
        <v>46054</v>
      </c>
      <c r="R47" s="111">
        <v>46069</v>
      </c>
      <c r="S47">
        <v>1</v>
      </c>
      <c r="T47">
        <v>1</v>
      </c>
      <c r="U47" s="111">
        <v>46104</v>
      </c>
      <c r="AA47" s="111">
        <v>35</v>
      </c>
    </row>
    <row r="48" spans="1:27">
      <c r="A48" t="s">
        <v>347</v>
      </c>
      <c r="B48" t="s">
        <v>356</v>
      </c>
      <c r="R48" s="111">
        <v>15</v>
      </c>
      <c r="U48" s="111">
        <v>50</v>
      </c>
      <c r="AA48" s="111">
        <v>35</v>
      </c>
    </row>
    <row r="49" spans="1:27">
      <c r="A49" t="s">
        <v>357</v>
      </c>
      <c r="B49" t="s">
        <v>358</v>
      </c>
      <c r="R49" s="111">
        <v>15</v>
      </c>
      <c r="U49" s="111">
        <v>50</v>
      </c>
      <c r="AA49" s="111">
        <v>35</v>
      </c>
    </row>
    <row r="50" spans="1:27">
      <c r="A50" t="s">
        <v>362</v>
      </c>
      <c r="B50" t="s">
        <v>367</v>
      </c>
      <c r="R50" s="111">
        <v>15</v>
      </c>
      <c r="U50" s="111">
        <v>50</v>
      </c>
      <c r="AA50" s="111">
        <v>35</v>
      </c>
    </row>
    <row r="51" spans="1:27">
      <c r="A51" t="s">
        <v>363</v>
      </c>
      <c r="B51" t="s">
        <v>364</v>
      </c>
      <c r="O51">
        <v>1</v>
      </c>
      <c r="P51" s="111">
        <v>46049</v>
      </c>
      <c r="Q51" s="111">
        <v>46054</v>
      </c>
      <c r="R51" s="111">
        <v>46069</v>
      </c>
      <c r="U51" s="111">
        <v>46104</v>
      </c>
      <c r="AA51" s="111">
        <v>35</v>
      </c>
    </row>
    <row r="52" spans="1:27">
      <c r="A52" t="s">
        <v>359</v>
      </c>
      <c r="B52" t="s">
        <v>360</v>
      </c>
      <c r="R52" s="111">
        <v>15</v>
      </c>
      <c r="U52" s="111">
        <v>50</v>
      </c>
      <c r="AA52" s="111">
        <v>35</v>
      </c>
    </row>
    <row r="53" spans="1:27">
      <c r="A53" t="s">
        <v>365</v>
      </c>
      <c r="B53" t="s">
        <v>366</v>
      </c>
      <c r="R53" s="111">
        <v>15</v>
      </c>
      <c r="U53" s="111">
        <v>50</v>
      </c>
      <c r="AA53" s="111">
        <v>35</v>
      </c>
    </row>
    <row r="54" spans="1:27">
      <c r="A54" t="s">
        <v>368</v>
      </c>
      <c r="B54" t="s">
        <v>369</v>
      </c>
      <c r="R54" s="111">
        <v>15</v>
      </c>
      <c r="U54" s="111">
        <v>50</v>
      </c>
      <c r="AA54" s="111">
        <v>35</v>
      </c>
    </row>
    <row r="55" spans="1:27">
      <c r="A55" t="s">
        <v>430</v>
      </c>
      <c r="B55" t="s">
        <v>431</v>
      </c>
      <c r="R55" s="111">
        <v>15</v>
      </c>
      <c r="U55" s="111">
        <v>50</v>
      </c>
      <c r="AA55" s="111">
        <v>35</v>
      </c>
    </row>
    <row r="56" spans="1:27">
      <c r="A56" t="s">
        <v>370</v>
      </c>
      <c r="B56" t="s">
        <v>371</v>
      </c>
      <c r="R56" s="111">
        <v>15</v>
      </c>
      <c r="U56" s="111">
        <v>50</v>
      </c>
      <c r="AA56" s="111">
        <v>35</v>
      </c>
    </row>
    <row r="57" spans="1:27">
      <c r="A57" t="s">
        <v>372</v>
      </c>
      <c r="B57" t="s">
        <v>373</v>
      </c>
      <c r="R57" s="111">
        <v>15</v>
      </c>
      <c r="U57" s="111">
        <v>50</v>
      </c>
      <c r="AA57" s="111">
        <v>35</v>
      </c>
    </row>
    <row r="58" spans="1:27">
      <c r="A58" t="s">
        <v>374</v>
      </c>
      <c r="B58" t="s">
        <v>375</v>
      </c>
      <c r="R58" s="111">
        <v>15</v>
      </c>
      <c r="U58" s="111">
        <v>50</v>
      </c>
      <c r="AA58" s="111">
        <v>35</v>
      </c>
    </row>
    <row r="59" spans="1:27">
      <c r="A59" t="s">
        <v>376</v>
      </c>
      <c r="B59" t="s">
        <v>375</v>
      </c>
      <c r="R59" s="111">
        <v>15</v>
      </c>
      <c r="U59" s="111">
        <v>50</v>
      </c>
      <c r="AA59" s="111">
        <v>35</v>
      </c>
    </row>
    <row r="60" spans="1:27">
      <c r="A60" t="s">
        <v>377</v>
      </c>
      <c r="B60" t="s">
        <v>378</v>
      </c>
      <c r="R60" s="111">
        <v>15</v>
      </c>
      <c r="U60" s="111">
        <v>50</v>
      </c>
      <c r="AA60" s="111">
        <v>35</v>
      </c>
    </row>
    <row r="61" spans="1:27">
      <c r="A61" t="s">
        <v>381</v>
      </c>
      <c r="B61" t="s">
        <v>382</v>
      </c>
      <c r="R61" s="111">
        <v>15</v>
      </c>
      <c r="U61" s="111">
        <v>50</v>
      </c>
      <c r="AA61" s="111">
        <v>35</v>
      </c>
    </row>
    <row r="62" spans="1:27">
      <c r="A62" t="s">
        <v>383</v>
      </c>
      <c r="B62" t="s">
        <v>384</v>
      </c>
      <c r="O62">
        <v>1</v>
      </c>
      <c r="P62" s="111">
        <v>46049</v>
      </c>
      <c r="Q62" s="111">
        <v>46054</v>
      </c>
      <c r="R62" s="111">
        <v>46069</v>
      </c>
      <c r="U62" s="111">
        <v>46104</v>
      </c>
      <c r="AA62" s="111">
        <v>35</v>
      </c>
    </row>
    <row r="63" spans="1:27">
      <c r="A63" t="s">
        <v>385</v>
      </c>
      <c r="B63" t="s">
        <v>386</v>
      </c>
      <c r="R63" s="111">
        <v>15</v>
      </c>
      <c r="U63" s="111">
        <v>50</v>
      </c>
      <c r="AA63" s="111">
        <v>35</v>
      </c>
    </row>
    <row r="64" spans="1:27">
      <c r="A64" t="s">
        <v>387</v>
      </c>
      <c r="B64" t="s">
        <v>388</v>
      </c>
      <c r="R64" s="111">
        <v>15</v>
      </c>
      <c r="U64" s="111">
        <v>50</v>
      </c>
      <c r="AA64" s="111">
        <v>35</v>
      </c>
    </row>
    <row r="65" spans="1:27">
      <c r="A65" t="s">
        <v>389</v>
      </c>
      <c r="B65" t="s">
        <v>390</v>
      </c>
      <c r="R65" s="111">
        <v>15</v>
      </c>
      <c r="U65" s="111">
        <v>50</v>
      </c>
      <c r="AA65" s="111">
        <v>35</v>
      </c>
    </row>
    <row r="66" spans="1:27">
      <c r="A66" t="s">
        <v>391</v>
      </c>
      <c r="B66" t="s">
        <v>392</v>
      </c>
      <c r="R66" s="111">
        <v>15</v>
      </c>
      <c r="U66" s="111">
        <v>50</v>
      </c>
      <c r="AA66" s="111">
        <v>35</v>
      </c>
    </row>
    <row r="67" spans="1:27">
      <c r="A67" t="s">
        <v>393</v>
      </c>
      <c r="B67" t="s">
        <v>394</v>
      </c>
      <c r="R67" s="111">
        <v>15</v>
      </c>
      <c r="U67" s="111">
        <v>50</v>
      </c>
      <c r="AA67" s="111">
        <v>35</v>
      </c>
    </row>
    <row r="68" spans="1:27">
      <c r="A68" t="s">
        <v>395</v>
      </c>
      <c r="B68" t="s">
        <v>396</v>
      </c>
      <c r="R68" s="111">
        <v>15</v>
      </c>
      <c r="U68" s="111">
        <v>50</v>
      </c>
      <c r="AA68" s="111">
        <v>35</v>
      </c>
    </row>
    <row r="69" spans="1:27">
      <c r="A69" t="s">
        <v>429</v>
      </c>
      <c r="B69" t="s">
        <v>397</v>
      </c>
      <c r="R69" s="111">
        <v>15</v>
      </c>
      <c r="U69" s="111">
        <v>50</v>
      </c>
      <c r="AA69" s="111">
        <v>35</v>
      </c>
    </row>
    <row r="70" spans="1:27">
      <c r="A70" t="s">
        <v>398</v>
      </c>
      <c r="B70" t="s">
        <v>399</v>
      </c>
      <c r="R70" s="111">
        <v>15</v>
      </c>
      <c r="U70" s="111">
        <v>50</v>
      </c>
      <c r="AA70" s="111">
        <v>35</v>
      </c>
    </row>
    <row r="71" spans="1:27">
      <c r="A71" t="s">
        <v>400</v>
      </c>
      <c r="B71" t="s">
        <v>401</v>
      </c>
      <c r="R71" s="111">
        <v>15</v>
      </c>
      <c r="U71" s="111">
        <v>50</v>
      </c>
      <c r="AA71" s="111">
        <v>35</v>
      </c>
    </row>
    <row r="72" spans="1:27">
      <c r="A72" t="s">
        <v>402</v>
      </c>
      <c r="B72" t="s">
        <v>403</v>
      </c>
      <c r="R72" s="111">
        <v>15</v>
      </c>
      <c r="U72" s="111">
        <v>50</v>
      </c>
      <c r="AA72" s="111">
        <v>35</v>
      </c>
    </row>
    <row r="73" spans="1:27">
      <c r="A73" t="s">
        <v>404</v>
      </c>
      <c r="B73" t="s">
        <v>405</v>
      </c>
      <c r="R73" s="111">
        <v>15</v>
      </c>
      <c r="U73" s="111">
        <v>50</v>
      </c>
      <c r="AA73" s="111">
        <v>35</v>
      </c>
    </row>
    <row r="74" spans="1:27">
      <c r="A74" t="s">
        <v>408</v>
      </c>
      <c r="B74" t="s">
        <v>409</v>
      </c>
      <c r="R74" s="111">
        <v>15</v>
      </c>
      <c r="U74" s="111">
        <v>50</v>
      </c>
      <c r="AA74" s="111">
        <v>35</v>
      </c>
    </row>
    <row r="75" spans="1:27">
      <c r="A75" t="s">
        <v>406</v>
      </c>
      <c r="B75" t="s">
        <v>407</v>
      </c>
      <c r="R75" s="111">
        <v>15</v>
      </c>
      <c r="U75" s="111">
        <v>50</v>
      </c>
      <c r="AA75" s="111">
        <v>35</v>
      </c>
    </row>
    <row r="76" spans="1:27">
      <c r="A76" t="s">
        <v>410</v>
      </c>
      <c r="B76" t="s">
        <v>411</v>
      </c>
      <c r="R76" s="111">
        <v>15</v>
      </c>
      <c r="U76" s="111">
        <v>50</v>
      </c>
      <c r="AA76" s="111">
        <v>35</v>
      </c>
    </row>
    <row r="77" spans="1:27">
      <c r="A77" t="s">
        <v>412</v>
      </c>
      <c r="B77" t="s">
        <v>413</v>
      </c>
      <c r="R77" s="111">
        <v>15</v>
      </c>
      <c r="U77" s="111">
        <v>50</v>
      </c>
      <c r="AA77" s="111">
        <v>35</v>
      </c>
    </row>
    <row r="78" spans="1:27">
      <c r="A78" t="s">
        <v>414</v>
      </c>
      <c r="B78" t="s">
        <v>415</v>
      </c>
      <c r="R78" s="111">
        <v>15</v>
      </c>
      <c r="U78" s="111">
        <v>50</v>
      </c>
      <c r="AA78" s="111">
        <v>35</v>
      </c>
    </row>
    <row r="79" spans="1:27">
      <c r="A79" t="s">
        <v>428</v>
      </c>
      <c r="B79" t="s">
        <v>317</v>
      </c>
      <c r="R79" s="111">
        <v>15</v>
      </c>
      <c r="U79" s="111">
        <v>50</v>
      </c>
      <c r="AA79" s="111">
        <v>35</v>
      </c>
    </row>
    <row r="80" spans="1:27">
      <c r="A80" t="s">
        <v>416</v>
      </c>
      <c r="B80" t="s">
        <v>417</v>
      </c>
      <c r="R80" s="111">
        <v>15</v>
      </c>
      <c r="U80" s="111">
        <v>50</v>
      </c>
      <c r="AA80" s="111">
        <v>35</v>
      </c>
    </row>
    <row r="81" spans="1:27">
      <c r="A81" t="s">
        <v>418</v>
      </c>
      <c r="B81" t="s">
        <v>419</v>
      </c>
      <c r="R81" s="111">
        <v>15</v>
      </c>
      <c r="U81" s="111">
        <v>50</v>
      </c>
      <c r="AA81" s="111">
        <v>35</v>
      </c>
    </row>
    <row r="82" spans="1:27">
      <c r="A82" t="s">
        <v>420</v>
      </c>
      <c r="B82" t="s">
        <v>421</v>
      </c>
      <c r="R82" s="111">
        <v>15</v>
      </c>
      <c r="U82" s="111">
        <v>50</v>
      </c>
      <c r="AA82" s="111">
        <v>35</v>
      </c>
    </row>
    <row r="83" spans="1:27">
      <c r="A83" t="s">
        <v>422</v>
      </c>
      <c r="B83" t="s">
        <v>423</v>
      </c>
      <c r="R83" s="111">
        <v>15</v>
      </c>
      <c r="U83" s="111">
        <v>50</v>
      </c>
      <c r="AA83" s="111">
        <v>35</v>
      </c>
    </row>
    <row r="84" spans="1:27">
      <c r="A84" t="s">
        <v>426</v>
      </c>
      <c r="B84" t="s">
        <v>427</v>
      </c>
      <c r="R84" s="111">
        <v>15</v>
      </c>
      <c r="U84" s="111">
        <v>50</v>
      </c>
      <c r="AA84" s="111">
        <v>35</v>
      </c>
    </row>
    <row r="85" spans="1:27">
      <c r="A85" t="s">
        <v>435</v>
      </c>
      <c r="B85" t="s">
        <v>304</v>
      </c>
      <c r="R85" s="111">
        <v>15</v>
      </c>
      <c r="U85" s="111">
        <v>50</v>
      </c>
      <c r="AA85" s="111">
        <v>35</v>
      </c>
    </row>
    <row r="86" spans="1:27">
      <c r="A86" t="s">
        <v>436</v>
      </c>
      <c r="B86" t="s">
        <v>437</v>
      </c>
      <c r="R86" s="111">
        <v>15</v>
      </c>
      <c r="U86" s="111">
        <v>50</v>
      </c>
      <c r="AA86" s="111">
        <v>35</v>
      </c>
    </row>
    <row r="87" spans="1:27">
      <c r="A87" t="s">
        <v>438</v>
      </c>
      <c r="B87" t="s">
        <v>439</v>
      </c>
      <c r="R87" s="111">
        <v>15</v>
      </c>
      <c r="U87" s="111">
        <v>50</v>
      </c>
      <c r="AA87" s="111">
        <v>35</v>
      </c>
    </row>
    <row r="88" spans="1:27">
      <c r="A88" t="s">
        <v>440</v>
      </c>
      <c r="B88" t="s">
        <v>441</v>
      </c>
      <c r="R88" s="111">
        <v>15</v>
      </c>
      <c r="U88" s="111">
        <v>50</v>
      </c>
      <c r="AA88" s="111">
        <v>35</v>
      </c>
    </row>
    <row r="89" spans="1:27">
      <c r="A89" t="s">
        <v>442</v>
      </c>
      <c r="B89" t="s">
        <v>443</v>
      </c>
      <c r="R89" s="111">
        <v>15</v>
      </c>
      <c r="U89" s="111">
        <v>50</v>
      </c>
      <c r="AA89" s="111">
        <v>35</v>
      </c>
    </row>
    <row r="90" spans="1:27">
      <c r="A90" t="s">
        <v>444</v>
      </c>
      <c r="B90" t="s">
        <v>445</v>
      </c>
      <c r="R90" s="111">
        <v>15</v>
      </c>
      <c r="U90" s="111">
        <v>50</v>
      </c>
      <c r="AA90" s="111">
        <v>35</v>
      </c>
    </row>
    <row r="91" spans="1:27">
      <c r="A91" t="s">
        <v>446</v>
      </c>
      <c r="B91" t="s">
        <v>447</v>
      </c>
      <c r="R91" s="111">
        <v>15</v>
      </c>
      <c r="U91" s="111">
        <v>50</v>
      </c>
      <c r="AA91" s="111">
        <v>35</v>
      </c>
    </row>
    <row r="92" spans="1:27">
      <c r="A92" t="s">
        <v>448</v>
      </c>
      <c r="B92" t="s">
        <v>449</v>
      </c>
      <c r="R92" s="111">
        <v>15</v>
      </c>
      <c r="U92" s="111">
        <v>50</v>
      </c>
      <c r="AA92" s="111">
        <v>35</v>
      </c>
    </row>
    <row r="93" spans="1:27">
      <c r="A93" t="s">
        <v>450</v>
      </c>
      <c r="B93" t="s">
        <v>451</v>
      </c>
      <c r="R93" s="111">
        <v>15</v>
      </c>
      <c r="U93" s="111">
        <v>50</v>
      </c>
      <c r="AA93" s="111">
        <v>35</v>
      </c>
    </row>
    <row r="94" spans="1:27">
      <c r="A94" t="s">
        <v>452</v>
      </c>
      <c r="B94" t="s">
        <v>453</v>
      </c>
      <c r="R94" s="111">
        <v>15</v>
      </c>
      <c r="U94" s="111">
        <v>50</v>
      </c>
      <c r="AA94" s="111">
        <v>35</v>
      </c>
    </row>
    <row r="95" spans="1:27">
      <c r="A95" t="s">
        <v>454</v>
      </c>
      <c r="B95" t="s">
        <v>455</v>
      </c>
      <c r="R95" s="111">
        <v>15</v>
      </c>
      <c r="U95" s="111">
        <v>50</v>
      </c>
      <c r="AA95" s="111">
        <v>35</v>
      </c>
    </row>
    <row r="96" spans="1:27">
      <c r="A96" t="s">
        <v>456</v>
      </c>
      <c r="B96" t="s">
        <v>457</v>
      </c>
      <c r="R96" s="111">
        <v>15</v>
      </c>
      <c r="U96" s="111">
        <v>50</v>
      </c>
      <c r="AA96" s="111">
        <v>35</v>
      </c>
    </row>
    <row r="97" spans="1:27">
      <c r="A97" t="s">
        <v>458</v>
      </c>
      <c r="B97" t="s">
        <v>459</v>
      </c>
      <c r="R97" s="111">
        <v>15</v>
      </c>
      <c r="U97" s="111">
        <v>50</v>
      </c>
      <c r="AA97" s="111">
        <v>35</v>
      </c>
    </row>
    <row r="98" spans="1:27">
      <c r="A98" t="s">
        <v>460</v>
      </c>
      <c r="B98" t="s">
        <v>461</v>
      </c>
      <c r="R98" s="111">
        <v>15</v>
      </c>
      <c r="U98" s="111">
        <v>50</v>
      </c>
      <c r="AA98" s="111">
        <v>35</v>
      </c>
    </row>
    <row r="99" spans="1:27">
      <c r="A99" t="s">
        <v>462</v>
      </c>
      <c r="B99" t="s">
        <v>463</v>
      </c>
      <c r="R99" s="111">
        <v>15</v>
      </c>
      <c r="U99" s="111">
        <v>50</v>
      </c>
      <c r="AA99" s="111">
        <v>35</v>
      </c>
    </row>
    <row r="100" spans="1:27">
      <c r="A100" t="s">
        <v>464</v>
      </c>
      <c r="B100" t="s">
        <v>465</v>
      </c>
      <c r="R100" s="111">
        <v>15</v>
      </c>
      <c r="U100" s="111">
        <v>50</v>
      </c>
      <c r="AA100" s="111">
        <v>35</v>
      </c>
    </row>
    <row r="101" spans="1:27">
      <c r="A101" t="s">
        <v>424</v>
      </c>
      <c r="B101" t="s">
        <v>425</v>
      </c>
      <c r="R101" s="111">
        <v>15</v>
      </c>
      <c r="U101" s="111">
        <v>50</v>
      </c>
      <c r="AA101" s="111">
        <v>35</v>
      </c>
    </row>
    <row r="102" spans="1:27">
      <c r="A102" t="s">
        <v>467</v>
      </c>
      <c r="B102" t="s">
        <v>468</v>
      </c>
      <c r="R102" s="111">
        <v>15</v>
      </c>
      <c r="U102" s="111">
        <v>50</v>
      </c>
      <c r="AA102" s="111">
        <v>35</v>
      </c>
    </row>
    <row r="103" spans="1:27">
      <c r="A103" t="s">
        <v>285</v>
      </c>
      <c r="B103" t="s">
        <v>466</v>
      </c>
      <c r="O103">
        <v>1</v>
      </c>
      <c r="R103" s="111">
        <v>15</v>
      </c>
      <c r="U103" s="111">
        <v>50</v>
      </c>
      <c r="AA103" s="111">
        <v>35</v>
      </c>
    </row>
    <row r="104" spans="1:27">
      <c r="A104" t="s">
        <v>499</v>
      </c>
      <c r="B104" t="s">
        <v>330</v>
      </c>
      <c r="R104" s="111">
        <v>15</v>
      </c>
      <c r="U104" s="111">
        <v>50</v>
      </c>
      <c r="AA104" s="111">
        <v>35</v>
      </c>
    </row>
    <row r="105" spans="1:27">
      <c r="A105" t="s">
        <v>501</v>
      </c>
      <c r="B105" t="s">
        <v>502</v>
      </c>
      <c r="R105" s="111">
        <v>15</v>
      </c>
      <c r="U105" s="111">
        <v>50</v>
      </c>
      <c r="AA105" s="111">
        <v>35</v>
      </c>
    </row>
    <row r="106" spans="1:27">
      <c r="A106" t="s">
        <v>504</v>
      </c>
      <c r="B106" t="s">
        <v>505</v>
      </c>
      <c r="R106" s="111">
        <v>15</v>
      </c>
      <c r="U106" s="111">
        <v>50</v>
      </c>
      <c r="AA106" s="111">
        <v>35</v>
      </c>
    </row>
    <row r="107" spans="1:27">
      <c r="A107" t="s">
        <v>506</v>
      </c>
      <c r="B107" t="s">
        <v>507</v>
      </c>
      <c r="R107" s="111">
        <v>15</v>
      </c>
      <c r="U107" s="111">
        <v>50</v>
      </c>
      <c r="AA107" s="111">
        <v>35</v>
      </c>
    </row>
    <row r="108" spans="1:27">
      <c r="A108" t="s">
        <v>508</v>
      </c>
      <c r="B108" t="s">
        <v>510</v>
      </c>
      <c r="R108" s="111">
        <v>15</v>
      </c>
      <c r="U108" s="111">
        <v>50</v>
      </c>
      <c r="AA108" s="111">
        <v>35</v>
      </c>
    </row>
    <row r="109" spans="1:27">
      <c r="A109" t="s">
        <v>509</v>
      </c>
      <c r="B109" t="s">
        <v>511</v>
      </c>
      <c r="R109" s="111">
        <v>15</v>
      </c>
      <c r="U109" s="111">
        <v>50</v>
      </c>
      <c r="AA109" s="111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2</vt:i4>
      </vt:variant>
    </vt:vector>
  </HeadingPairs>
  <TitlesOfParts>
    <vt:vector size="10" baseType="lpstr">
      <vt:lpstr>AMBERIEU LAGNIEU</vt:lpstr>
      <vt:lpstr>BRSA SORTIES </vt:lpstr>
      <vt:lpstr>Sanctions + absence </vt:lpstr>
      <vt:lpstr>bilan de parcours  + démarches</vt:lpstr>
      <vt:lpstr>Tableau croisé NE PAS TOUCHER</vt:lpstr>
      <vt:lpstr>liste deroulante</vt:lpstr>
      <vt:lpstr>CODIFICATION ACTIVITE</vt:lpstr>
      <vt:lpstr>Feuil1</vt:lpstr>
      <vt:lpstr>'AMBERIEU LAGNIEU'!Zone_d_impression</vt:lpstr>
      <vt:lpstr>'BRSA SORTIES 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Fabienne BESSON</dc:creator>
  <cp:lastModifiedBy>Aviva CLERICI</cp:lastModifiedBy>
  <cp:lastPrinted>2023-12-15T09:13:22Z</cp:lastPrinted>
  <dcterms:created xsi:type="dcterms:W3CDTF">2017-12-13T14:37:52Z</dcterms:created>
  <dcterms:modified xsi:type="dcterms:W3CDTF">2026-09-08T05:57:14Z</dcterms:modified>
</cp:coreProperties>
</file>