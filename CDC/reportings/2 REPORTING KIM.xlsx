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0" yWindow="0" windowWidth="15300" windowHeight="6255" tabRatio="603" activeTab="2"/>
  </bookViews>
  <sheets>
    <sheet name="OYONNAX NANTUA" sheetId="1" r:id="rId1"/>
    <sheet name="BRSA Sorties " sheetId="8" r:id="rId2"/>
    <sheet name="Sanctions + Absences" sheetId="5" r:id="rId3"/>
    <sheet name="Bilan de parcours + démarches" sheetId="6" r:id="rId4"/>
    <sheet name="Tableau croisé ne pas toucher " sheetId="7" r:id="rId5"/>
    <sheet name="liste deroulante" sheetId="2" r:id="rId6"/>
    <sheet name="CODIFICATION ACTIVITE" sheetId="3" r:id="rId7"/>
    <sheet name="SANCTION RM" sheetId="4" r:id="rId8"/>
  </sheets>
  <externalReferences>
    <externalReference r:id="rId9"/>
    <externalReference r:id="rId10"/>
    <externalReference r:id="rId11"/>
  </externalReferences>
  <definedNames>
    <definedName name="_xlnm._FilterDatabase" localSheetId="1" hidden="1">'BRSA Sorties '!$A$12:$CS$12</definedName>
    <definedName name="_xlnm._FilterDatabase" localSheetId="0" hidden="1">'OYONNAX NANTUA'!$A$11:$CS$83</definedName>
    <definedName name="_xlnm.Print_Area" localSheetId="0">'OYONNAX NANTUA'!$A$1:$W$83</definedName>
  </definedNames>
  <calcPr calcId="145621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</pivotCaches>
</workbook>
</file>

<file path=xl/calcChain.xml><?xml version="1.0" encoding="utf-8"?>
<calcChain xmlns="http://schemas.openxmlformats.org/spreadsheetml/2006/main">
  <c r="K161" i="8" l="1"/>
  <c r="K160" i="8" l="1"/>
  <c r="N160" i="8"/>
  <c r="K159" i="8" l="1"/>
  <c r="N159" i="8"/>
  <c r="K158" i="8"/>
  <c r="N158" i="8"/>
  <c r="K80" i="1" l="1"/>
  <c r="K76" i="1"/>
  <c r="K157" i="8" l="1"/>
  <c r="N157" i="8"/>
  <c r="K75" i="1"/>
  <c r="A166" i="5" l="1"/>
  <c r="B166" i="5"/>
  <c r="A167" i="5"/>
  <c r="B167" i="5"/>
  <c r="A168" i="5"/>
  <c r="B168" i="5"/>
  <c r="A169" i="5"/>
  <c r="B169" i="5"/>
  <c r="A170" i="5"/>
  <c r="B170" i="5"/>
  <c r="A171" i="5"/>
  <c r="B171" i="5"/>
  <c r="A172" i="5"/>
  <c r="B172" i="5"/>
  <c r="A173" i="5"/>
  <c r="B173" i="5"/>
  <c r="A174" i="5"/>
  <c r="B174" i="5"/>
  <c r="A175" i="5"/>
  <c r="B175" i="5"/>
  <c r="A176" i="5"/>
  <c r="B176" i="5"/>
  <c r="A177" i="5"/>
  <c r="B177" i="5"/>
  <c r="A178" i="5"/>
  <c r="B178" i="5"/>
  <c r="A179" i="5"/>
  <c r="B179" i="5"/>
  <c r="A180" i="5"/>
  <c r="B180" i="5"/>
  <c r="A181" i="5"/>
  <c r="B181" i="5"/>
  <c r="A182" i="5"/>
  <c r="B182" i="5"/>
  <c r="A183" i="5"/>
  <c r="B183" i="5"/>
  <c r="A184" i="5"/>
  <c r="B184" i="5"/>
  <c r="A185" i="5"/>
  <c r="B185" i="5"/>
  <c r="A186" i="5"/>
  <c r="B186" i="5"/>
  <c r="A187" i="5"/>
  <c r="B187" i="5"/>
  <c r="A188" i="5"/>
  <c r="B188" i="5"/>
  <c r="A189" i="5"/>
  <c r="B189" i="5"/>
  <c r="A190" i="5"/>
  <c r="B190" i="5"/>
  <c r="A191" i="5"/>
  <c r="B191" i="5"/>
  <c r="A192" i="5"/>
  <c r="B192" i="5"/>
  <c r="A193" i="5"/>
  <c r="B193" i="5"/>
  <c r="A194" i="5"/>
  <c r="B194" i="5"/>
  <c r="A195" i="5"/>
  <c r="B195" i="5"/>
  <c r="A196" i="5"/>
  <c r="B196" i="5"/>
  <c r="A197" i="5"/>
  <c r="B197" i="5"/>
  <c r="A198" i="5"/>
  <c r="B198" i="5"/>
  <c r="A199" i="5"/>
  <c r="B199" i="5"/>
  <c r="A200" i="5"/>
  <c r="B200" i="5"/>
  <c r="A201" i="5"/>
  <c r="B201" i="5"/>
  <c r="A202" i="5"/>
  <c r="B202" i="5"/>
  <c r="A203" i="5"/>
  <c r="B203" i="5"/>
  <c r="A204" i="5"/>
  <c r="B204" i="5"/>
  <c r="A149" i="5"/>
  <c r="B149" i="5"/>
  <c r="A150" i="5"/>
  <c r="B150" i="5"/>
  <c r="A151" i="5"/>
  <c r="B151" i="5"/>
  <c r="A152" i="5"/>
  <c r="B152" i="5"/>
  <c r="A153" i="5"/>
  <c r="B153" i="5"/>
  <c r="A154" i="5"/>
  <c r="B154" i="5"/>
  <c r="A155" i="5"/>
  <c r="B155" i="5"/>
  <c r="A156" i="5"/>
  <c r="B156" i="5"/>
  <c r="A157" i="5"/>
  <c r="B157" i="5"/>
  <c r="A158" i="5"/>
  <c r="B158" i="5"/>
  <c r="A159" i="5"/>
  <c r="B159" i="5"/>
  <c r="A160" i="5"/>
  <c r="B160" i="5"/>
  <c r="A161" i="5"/>
  <c r="B161" i="5"/>
  <c r="A162" i="5"/>
  <c r="B162" i="5"/>
  <c r="A163" i="5"/>
  <c r="B163" i="5"/>
  <c r="A164" i="5"/>
  <c r="B164" i="5"/>
  <c r="A165" i="5"/>
  <c r="B165" i="5"/>
  <c r="K78" i="1"/>
  <c r="D7" i="1" l="1"/>
  <c r="K74" i="1" l="1"/>
  <c r="K71" i="1" l="1"/>
  <c r="K70" i="1"/>
  <c r="A145" i="5" l="1"/>
  <c r="B145" i="5"/>
  <c r="A146" i="5"/>
  <c r="B146" i="5"/>
  <c r="A147" i="5"/>
  <c r="B147" i="5"/>
  <c r="A148" i="5"/>
  <c r="B148" i="5"/>
  <c r="A141" i="5"/>
  <c r="B141" i="5"/>
  <c r="A142" i="5"/>
  <c r="B142" i="5"/>
  <c r="A143" i="5"/>
  <c r="B143" i="5"/>
  <c r="A144" i="5"/>
  <c r="B144" i="5"/>
  <c r="K67" i="1" l="1"/>
  <c r="K66" i="1"/>
  <c r="K65" i="1" l="1"/>
  <c r="K156" i="8"/>
  <c r="N156" i="8"/>
  <c r="K155" i="8"/>
  <c r="N155" i="8"/>
  <c r="K154" i="8" l="1"/>
  <c r="N154" i="8"/>
  <c r="K153" i="8" l="1"/>
  <c r="N153" i="8"/>
  <c r="K63" i="1" l="1"/>
  <c r="K47" i="1"/>
  <c r="K151" i="8" l="1"/>
  <c r="N151" i="8"/>
  <c r="K150" i="8" l="1"/>
  <c r="N150" i="8"/>
  <c r="D8" i="8" l="1"/>
  <c r="N145" i="8"/>
  <c r="K145" i="8"/>
  <c r="N144" i="8"/>
  <c r="K144" i="8"/>
  <c r="N143" i="8"/>
  <c r="K143" i="8"/>
  <c r="N142" i="8"/>
  <c r="N141" i="8"/>
  <c r="K141" i="8"/>
  <c r="K140" i="8"/>
  <c r="K139" i="8"/>
  <c r="K136" i="8"/>
  <c r="K135" i="8"/>
  <c r="K134" i="8"/>
  <c r="K133" i="8"/>
  <c r="K127" i="8"/>
  <c r="K124" i="8"/>
  <c r="K123" i="8"/>
  <c r="K121" i="8"/>
  <c r="K120" i="8"/>
  <c r="K119" i="8"/>
  <c r="K118" i="8"/>
  <c r="K117" i="8"/>
  <c r="K116" i="8"/>
  <c r="K115" i="8"/>
  <c r="K113" i="8"/>
  <c r="K111" i="8"/>
  <c r="K110" i="8"/>
  <c r="K109" i="8"/>
  <c r="K108" i="8"/>
  <c r="K107" i="8"/>
  <c r="K105" i="8"/>
  <c r="K102" i="8"/>
  <c r="K98" i="8"/>
  <c r="K97" i="8"/>
  <c r="K96" i="8"/>
  <c r="K95" i="8"/>
  <c r="K93" i="8"/>
  <c r="K90" i="8"/>
  <c r="K87" i="8"/>
  <c r="K86" i="8"/>
  <c r="K85" i="8"/>
  <c r="K84" i="8"/>
  <c r="K83" i="8"/>
  <c r="K81" i="8"/>
  <c r="K80" i="8"/>
  <c r="K79" i="8"/>
  <c r="K78" i="8"/>
  <c r="K76" i="8"/>
  <c r="K75" i="8"/>
  <c r="K74" i="8"/>
  <c r="K73" i="8"/>
  <c r="K72" i="8"/>
  <c r="K71" i="8"/>
  <c r="K70" i="8"/>
  <c r="K69" i="8"/>
  <c r="K68" i="8"/>
  <c r="K67" i="8"/>
  <c r="K65" i="8"/>
  <c r="K64" i="8"/>
  <c r="K63" i="8"/>
  <c r="K61" i="8"/>
  <c r="K59" i="8"/>
  <c r="K58" i="8"/>
  <c r="K56" i="8"/>
  <c r="K55" i="8"/>
  <c r="K54" i="8"/>
  <c r="N31" i="8"/>
  <c r="N30" i="8"/>
  <c r="N29" i="8"/>
  <c r="N28" i="8"/>
  <c r="N27" i="8"/>
  <c r="N26" i="8"/>
  <c r="N25" i="8"/>
  <c r="N24" i="8"/>
  <c r="N23" i="8"/>
  <c r="N22" i="8"/>
  <c r="N21" i="8"/>
  <c r="K21" i="8"/>
  <c r="N20" i="8"/>
  <c r="N19" i="8"/>
  <c r="N18" i="8"/>
  <c r="N17" i="8"/>
  <c r="N16" i="8"/>
  <c r="N15" i="8"/>
  <c r="N14" i="8"/>
  <c r="N13" i="8"/>
  <c r="K52" i="1" l="1"/>
  <c r="K61" i="1" l="1"/>
  <c r="K60" i="1"/>
  <c r="K59" i="1"/>
  <c r="A134" i="5" l="1"/>
  <c r="B134" i="5"/>
  <c r="A135" i="5"/>
  <c r="B135" i="5"/>
  <c r="A136" i="5"/>
  <c r="B136" i="5"/>
  <c r="A137" i="5"/>
  <c r="B137" i="5"/>
  <c r="A138" i="5"/>
  <c r="B138" i="5"/>
  <c r="A139" i="5"/>
  <c r="B139" i="5"/>
  <c r="A140" i="5"/>
  <c r="B140" i="5"/>
  <c r="K55" i="1" l="1"/>
  <c r="A133" i="5" l="1"/>
  <c r="B133" i="5"/>
  <c r="A130" i="5"/>
  <c r="B130" i="5"/>
  <c r="A131" i="5"/>
  <c r="B131" i="5"/>
  <c r="A132" i="5"/>
  <c r="B132" i="5"/>
  <c r="B125" i="5"/>
  <c r="B126" i="5"/>
  <c r="B127" i="5"/>
  <c r="B128" i="5"/>
  <c r="B129" i="5"/>
  <c r="A125" i="5"/>
  <c r="A126" i="5"/>
  <c r="A127" i="5"/>
  <c r="A128" i="5"/>
  <c r="A129" i="5"/>
  <c r="K58" i="1" l="1"/>
  <c r="K50" i="1" l="1"/>
  <c r="B15" i="5" l="1"/>
  <c r="A15" i="5"/>
  <c r="A122" i="5" l="1"/>
  <c r="B122" i="5"/>
  <c r="A123" i="5"/>
  <c r="B123" i="5"/>
  <c r="A124" i="5"/>
  <c r="B124" i="5"/>
  <c r="K53" i="1"/>
  <c r="A67" i="5" l="1"/>
  <c r="K56" i="1" l="1"/>
  <c r="A119" i="5" l="1"/>
  <c r="B119" i="5"/>
  <c r="A120" i="5"/>
  <c r="B120" i="5"/>
  <c r="A121" i="5"/>
  <c r="B121" i="5"/>
  <c r="K32" i="1" l="1"/>
  <c r="W111" i="5"/>
  <c r="AC111" i="5"/>
  <c r="T112" i="5"/>
  <c r="W112" i="5"/>
  <c r="AC112" i="5"/>
  <c r="T113" i="5"/>
  <c r="W113" i="5"/>
  <c r="AC113" i="5"/>
  <c r="T114" i="5"/>
  <c r="W114" i="5"/>
  <c r="AC114" i="5"/>
  <c r="T115" i="5"/>
  <c r="W115" i="5"/>
  <c r="AC115" i="5"/>
  <c r="W116" i="5"/>
  <c r="AC116" i="5"/>
  <c r="T117" i="5"/>
  <c r="W117" i="5"/>
  <c r="AC117" i="5"/>
  <c r="T118" i="5"/>
  <c r="W118" i="5"/>
  <c r="AC118" i="5"/>
  <c r="T119" i="5"/>
  <c r="W119" i="5"/>
  <c r="AC119" i="5"/>
  <c r="T120" i="5"/>
  <c r="W120" i="5"/>
  <c r="AC120" i="5"/>
  <c r="A116" i="5"/>
  <c r="B116" i="5"/>
  <c r="A117" i="5"/>
  <c r="B117" i="5"/>
  <c r="A118" i="5"/>
  <c r="B118" i="5"/>
  <c r="N34" i="1" l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K48" i="1" l="1"/>
  <c r="A115" i="5" l="1"/>
  <c r="B115" i="5"/>
  <c r="A106" i="5"/>
  <c r="B106" i="5"/>
  <c r="A107" i="5"/>
  <c r="B107" i="5"/>
  <c r="A108" i="5"/>
  <c r="B108" i="5"/>
  <c r="A109" i="5"/>
  <c r="B109" i="5"/>
  <c r="A110" i="5"/>
  <c r="B110" i="5"/>
  <c r="A111" i="5"/>
  <c r="B111" i="5"/>
  <c r="A112" i="5"/>
  <c r="B112" i="5"/>
  <c r="A113" i="5"/>
  <c r="B113" i="5"/>
  <c r="A114" i="5"/>
  <c r="B114" i="5"/>
  <c r="K49" i="1"/>
  <c r="K51" i="1" l="1"/>
  <c r="A11" i="5" l="1"/>
  <c r="K46" i="1" l="1"/>
  <c r="K45" i="1" l="1"/>
  <c r="K43" i="1" l="1"/>
  <c r="K44" i="1" l="1"/>
  <c r="A103" i="5" l="1"/>
  <c r="B103" i="5"/>
  <c r="A104" i="5"/>
  <c r="B104" i="5"/>
  <c r="A105" i="5"/>
  <c r="B105" i="5"/>
  <c r="A101" i="5"/>
  <c r="B101" i="5"/>
  <c r="A102" i="5"/>
  <c r="B102" i="5"/>
  <c r="K41" i="1" l="1"/>
  <c r="K42" i="1" l="1"/>
  <c r="K40" i="1"/>
  <c r="K37" i="1" l="1"/>
  <c r="A100" i="5" l="1"/>
  <c r="B100" i="5"/>
  <c r="B99" i="5"/>
  <c r="A99" i="5"/>
  <c r="A7" i="5" l="1"/>
  <c r="A5" i="6" l="1"/>
  <c r="B5" i="6"/>
  <c r="A6" i="6"/>
  <c r="B6" i="6"/>
  <c r="A7" i="6"/>
  <c r="B7" i="6"/>
  <c r="A8" i="6"/>
  <c r="B8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A55" i="6"/>
  <c r="B55" i="6"/>
  <c r="A56" i="6"/>
  <c r="B56" i="6"/>
  <c r="A57" i="6"/>
  <c r="B57" i="6"/>
  <c r="A58" i="6"/>
  <c r="B58" i="6"/>
  <c r="A59" i="6"/>
  <c r="B59" i="6"/>
  <c r="A60" i="6"/>
  <c r="B60" i="6"/>
  <c r="A61" i="6"/>
  <c r="B61" i="6"/>
  <c r="A62" i="6"/>
  <c r="B62" i="6"/>
  <c r="A63" i="6"/>
  <c r="B63" i="6"/>
  <c r="A64" i="6"/>
  <c r="B64" i="6"/>
  <c r="A65" i="6"/>
  <c r="B65" i="6"/>
  <c r="A66" i="6"/>
  <c r="B66" i="6"/>
  <c r="A67" i="6"/>
  <c r="B67" i="6"/>
  <c r="A68" i="6"/>
  <c r="B68" i="6"/>
  <c r="A69" i="6"/>
  <c r="B69" i="6"/>
  <c r="A70" i="6"/>
  <c r="B70" i="6"/>
  <c r="A71" i="6"/>
  <c r="B71" i="6"/>
  <c r="A72" i="6"/>
  <c r="B72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0" i="6"/>
  <c r="B80" i="6"/>
  <c r="A81" i="6"/>
  <c r="B81" i="6"/>
  <c r="A82" i="6"/>
  <c r="B82" i="6"/>
  <c r="A83" i="6"/>
  <c r="B83" i="6"/>
  <c r="A84" i="6"/>
  <c r="B84" i="6"/>
  <c r="A85" i="6"/>
  <c r="B85" i="6"/>
  <c r="A86" i="6"/>
  <c r="B86" i="6"/>
  <c r="A87" i="6"/>
  <c r="B87" i="6"/>
  <c r="A88" i="6"/>
  <c r="B88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B95" i="6"/>
  <c r="B4" i="6"/>
  <c r="A4" i="6"/>
  <c r="A4" i="5"/>
  <c r="B4" i="5"/>
  <c r="A5" i="5"/>
  <c r="B5" i="5"/>
  <c r="A6" i="5"/>
  <c r="B6" i="5"/>
  <c r="B7" i="5"/>
  <c r="A8" i="5"/>
  <c r="B8" i="5"/>
  <c r="A9" i="5"/>
  <c r="B9" i="5"/>
  <c r="A10" i="5"/>
  <c r="B10" i="5"/>
  <c r="B11" i="5"/>
  <c r="A12" i="5"/>
  <c r="B12" i="5"/>
  <c r="A13" i="5"/>
  <c r="B13" i="5"/>
  <c r="A14" i="5"/>
  <c r="B14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A82" i="5"/>
  <c r="B82" i="5"/>
  <c r="A83" i="5"/>
  <c r="B83" i="5"/>
  <c r="A84" i="5"/>
  <c r="B84" i="5"/>
  <c r="A85" i="5"/>
  <c r="B85" i="5"/>
  <c r="A86" i="5"/>
  <c r="B86" i="5"/>
  <c r="A87" i="5"/>
  <c r="B87" i="5"/>
  <c r="A88" i="5"/>
  <c r="B88" i="5"/>
  <c r="A89" i="5"/>
  <c r="B89" i="5"/>
  <c r="A90" i="5"/>
  <c r="B90" i="5"/>
  <c r="A91" i="5"/>
  <c r="B91" i="5"/>
  <c r="A92" i="5"/>
  <c r="B92" i="5"/>
  <c r="A93" i="5"/>
  <c r="B93" i="5"/>
  <c r="A94" i="5"/>
  <c r="B94" i="5"/>
  <c r="B3" i="5"/>
  <c r="A3" i="5"/>
  <c r="AC110" i="5"/>
  <c r="W110" i="5"/>
  <c r="T110" i="5"/>
  <c r="AC109" i="5"/>
  <c r="W109" i="5"/>
  <c r="T109" i="5"/>
  <c r="AC108" i="5"/>
  <c r="W108" i="5"/>
  <c r="T108" i="5"/>
  <c r="AC107" i="5"/>
  <c r="W107" i="5"/>
  <c r="T107" i="5"/>
  <c r="AC106" i="5"/>
  <c r="W106" i="5"/>
  <c r="T106" i="5"/>
  <c r="AC105" i="5"/>
  <c r="W105" i="5"/>
  <c r="T105" i="5"/>
  <c r="AC104" i="5"/>
  <c r="W104" i="5"/>
  <c r="T104" i="5"/>
  <c r="AC103" i="5"/>
  <c r="W103" i="5"/>
  <c r="T103" i="5"/>
  <c r="AC102" i="5"/>
  <c r="W102" i="5"/>
  <c r="T102" i="5"/>
  <c r="AC101" i="5"/>
  <c r="W101" i="5"/>
  <c r="T101" i="5"/>
  <c r="AC100" i="5"/>
  <c r="W100" i="5"/>
  <c r="T100" i="5"/>
  <c r="AC99" i="5"/>
  <c r="W99" i="5"/>
  <c r="T99" i="5"/>
  <c r="AC98" i="5"/>
  <c r="W98" i="5"/>
  <c r="T98" i="5"/>
  <c r="AC97" i="5"/>
  <c r="W97" i="5"/>
  <c r="T97" i="5"/>
  <c r="AC96" i="5"/>
  <c r="W96" i="5"/>
  <c r="T96" i="5"/>
  <c r="AC95" i="5"/>
  <c r="W95" i="5"/>
  <c r="T95" i="5"/>
  <c r="AC94" i="5"/>
  <c r="W94" i="5"/>
  <c r="T94" i="5"/>
  <c r="AC93" i="5"/>
  <c r="W93" i="5"/>
  <c r="T93" i="5"/>
  <c r="AC92" i="5"/>
  <c r="W92" i="5"/>
  <c r="T92" i="5"/>
  <c r="AC91" i="5"/>
  <c r="W91" i="5"/>
  <c r="T91" i="5"/>
  <c r="AC90" i="5"/>
  <c r="W90" i="5"/>
  <c r="T90" i="5"/>
  <c r="AC89" i="5"/>
  <c r="W89" i="5"/>
  <c r="T89" i="5"/>
  <c r="AC88" i="5"/>
  <c r="W88" i="5"/>
  <c r="T88" i="5"/>
  <c r="AC87" i="5"/>
  <c r="W87" i="5"/>
  <c r="T87" i="5"/>
  <c r="AC86" i="5"/>
  <c r="W86" i="5"/>
  <c r="T86" i="5"/>
  <c r="AC85" i="5"/>
  <c r="W85" i="5"/>
  <c r="T85" i="5"/>
  <c r="AC84" i="5"/>
  <c r="W84" i="5"/>
  <c r="T84" i="5"/>
  <c r="AC83" i="5"/>
  <c r="W83" i="5"/>
  <c r="T83" i="5"/>
  <c r="AC82" i="5"/>
  <c r="W82" i="5"/>
  <c r="T82" i="5"/>
  <c r="AC81" i="5"/>
  <c r="W81" i="5"/>
  <c r="T81" i="5"/>
  <c r="AC80" i="5"/>
  <c r="W80" i="5"/>
  <c r="T80" i="5"/>
  <c r="AC79" i="5"/>
  <c r="W79" i="5"/>
  <c r="T79" i="5"/>
  <c r="AC78" i="5"/>
  <c r="W78" i="5"/>
  <c r="T78" i="5"/>
  <c r="AC77" i="5"/>
  <c r="W77" i="5"/>
  <c r="T77" i="5"/>
  <c r="AC76" i="5"/>
  <c r="W76" i="5"/>
  <c r="T76" i="5"/>
  <c r="AC75" i="5"/>
  <c r="W75" i="5"/>
  <c r="T75" i="5"/>
  <c r="AC74" i="5"/>
  <c r="W74" i="5"/>
  <c r="T74" i="5"/>
  <c r="AC73" i="5"/>
  <c r="W73" i="5"/>
  <c r="T73" i="5"/>
  <c r="AC72" i="5"/>
  <c r="W72" i="5"/>
  <c r="T72" i="5"/>
  <c r="AC71" i="5"/>
  <c r="W71" i="5"/>
  <c r="T71" i="5"/>
  <c r="AC70" i="5"/>
  <c r="W70" i="5"/>
  <c r="T70" i="5"/>
  <c r="AC69" i="5"/>
  <c r="W69" i="5"/>
  <c r="T69" i="5"/>
  <c r="AC68" i="5"/>
  <c r="W68" i="5"/>
  <c r="T68" i="5"/>
  <c r="AC67" i="5"/>
  <c r="W67" i="5"/>
  <c r="T67" i="5"/>
  <c r="AC66" i="5"/>
  <c r="W66" i="5"/>
  <c r="T66" i="5"/>
  <c r="AC65" i="5"/>
  <c r="W65" i="5"/>
  <c r="T65" i="5"/>
  <c r="AC64" i="5"/>
  <c r="W64" i="5"/>
  <c r="T64" i="5"/>
  <c r="AC63" i="5"/>
  <c r="W63" i="5"/>
  <c r="T63" i="5"/>
  <c r="AC62" i="5"/>
  <c r="W62" i="5"/>
  <c r="T62" i="5"/>
  <c r="AC61" i="5"/>
  <c r="W61" i="5"/>
  <c r="T61" i="5"/>
  <c r="AC60" i="5"/>
  <c r="W60" i="5"/>
  <c r="T60" i="5"/>
  <c r="AC59" i="5"/>
  <c r="W59" i="5"/>
  <c r="T59" i="5"/>
  <c r="AC58" i="5"/>
  <c r="W58" i="5"/>
  <c r="T58" i="5"/>
  <c r="AC57" i="5"/>
  <c r="W57" i="5"/>
  <c r="T57" i="5"/>
  <c r="AC56" i="5"/>
  <c r="W56" i="5"/>
  <c r="T56" i="5"/>
  <c r="AC55" i="5"/>
  <c r="W55" i="5"/>
  <c r="T55" i="5"/>
  <c r="AC54" i="5"/>
  <c r="W54" i="5"/>
  <c r="T54" i="5"/>
  <c r="AC53" i="5"/>
  <c r="W53" i="5"/>
  <c r="T53" i="5"/>
  <c r="AC52" i="5"/>
  <c r="W52" i="5"/>
  <c r="T52" i="5"/>
  <c r="AC51" i="5"/>
  <c r="W51" i="5"/>
  <c r="T51" i="5"/>
  <c r="AC50" i="5"/>
  <c r="W50" i="5"/>
  <c r="T50" i="5"/>
  <c r="AC49" i="5"/>
  <c r="W49" i="5"/>
  <c r="T49" i="5"/>
  <c r="AC48" i="5"/>
  <c r="W48" i="5"/>
  <c r="T48" i="5"/>
  <c r="AC47" i="5"/>
  <c r="W47" i="5"/>
  <c r="T47" i="5"/>
  <c r="AC46" i="5"/>
  <c r="W46" i="5"/>
  <c r="T46" i="5"/>
  <c r="AC45" i="5"/>
  <c r="W45" i="5"/>
  <c r="T45" i="5"/>
  <c r="AC44" i="5"/>
  <c r="W44" i="5"/>
  <c r="T44" i="5"/>
  <c r="AC43" i="5"/>
  <c r="W43" i="5"/>
  <c r="T43" i="5"/>
  <c r="AC42" i="5"/>
  <c r="W42" i="5"/>
  <c r="T42" i="5"/>
  <c r="AC41" i="5"/>
  <c r="W41" i="5"/>
  <c r="T41" i="5"/>
  <c r="AC40" i="5"/>
  <c r="W40" i="5"/>
  <c r="T40" i="5"/>
  <c r="AC39" i="5"/>
  <c r="W39" i="5"/>
  <c r="T39" i="5"/>
  <c r="AC38" i="5"/>
  <c r="W38" i="5"/>
  <c r="T38" i="5"/>
  <c r="AC37" i="5"/>
  <c r="W37" i="5"/>
  <c r="T37" i="5"/>
  <c r="AC36" i="5"/>
  <c r="W36" i="5"/>
  <c r="T36" i="5"/>
  <c r="AC35" i="5"/>
  <c r="W35" i="5"/>
  <c r="T35" i="5"/>
  <c r="AC34" i="5"/>
  <c r="W34" i="5"/>
  <c r="T34" i="5"/>
  <c r="AC33" i="5"/>
  <c r="W33" i="5"/>
  <c r="T33" i="5"/>
  <c r="AC32" i="5"/>
  <c r="W32" i="5"/>
  <c r="T32" i="5"/>
  <c r="AC31" i="5"/>
  <c r="W31" i="5"/>
  <c r="T31" i="5"/>
  <c r="AC30" i="5"/>
  <c r="W30" i="5"/>
  <c r="T30" i="5"/>
  <c r="AC29" i="5"/>
  <c r="W29" i="5"/>
  <c r="T29" i="5"/>
  <c r="AC28" i="5"/>
  <c r="W28" i="5"/>
  <c r="T28" i="5"/>
  <c r="AC27" i="5"/>
  <c r="W27" i="5"/>
  <c r="T27" i="5"/>
  <c r="AC26" i="5"/>
  <c r="W26" i="5"/>
  <c r="T26" i="5"/>
  <c r="AC25" i="5"/>
  <c r="W25" i="5"/>
  <c r="T25" i="5"/>
  <c r="AC24" i="5"/>
  <c r="W24" i="5"/>
  <c r="T24" i="5"/>
  <c r="AC23" i="5"/>
  <c r="W23" i="5"/>
  <c r="T23" i="5"/>
  <c r="AC22" i="5"/>
  <c r="W22" i="5"/>
  <c r="T22" i="5"/>
  <c r="AC21" i="5"/>
  <c r="W21" i="5"/>
  <c r="T21" i="5"/>
  <c r="AC20" i="5"/>
  <c r="W20" i="5"/>
  <c r="T20" i="5"/>
  <c r="AC19" i="5"/>
  <c r="W19" i="5"/>
  <c r="T19" i="5"/>
  <c r="AC18" i="5"/>
  <c r="W18" i="5"/>
  <c r="T18" i="5"/>
  <c r="AC17" i="5"/>
  <c r="W17" i="5"/>
  <c r="T17" i="5"/>
  <c r="AC16" i="5"/>
  <c r="W16" i="5"/>
  <c r="T16" i="5"/>
  <c r="AC15" i="5"/>
  <c r="W15" i="5"/>
  <c r="T15" i="5"/>
  <c r="AC14" i="5"/>
  <c r="W14" i="5"/>
  <c r="T14" i="5"/>
  <c r="AC13" i="5"/>
  <c r="W13" i="5"/>
  <c r="T13" i="5"/>
  <c r="AC12" i="5"/>
  <c r="W12" i="5"/>
  <c r="T12" i="5"/>
  <c r="AC11" i="5"/>
  <c r="W11" i="5"/>
  <c r="T11" i="5"/>
  <c r="AC10" i="5"/>
  <c r="W10" i="5"/>
  <c r="T10" i="5"/>
  <c r="AC9" i="5"/>
  <c r="W9" i="5"/>
  <c r="T9" i="5"/>
  <c r="AC8" i="5"/>
  <c r="W8" i="5"/>
  <c r="T8" i="5"/>
  <c r="AC7" i="5"/>
  <c r="W7" i="5"/>
  <c r="T7" i="5"/>
  <c r="AC6" i="5"/>
  <c r="W6" i="5"/>
  <c r="T6" i="5"/>
  <c r="AC5" i="5"/>
  <c r="W5" i="5"/>
  <c r="T5" i="5"/>
  <c r="AC4" i="5"/>
  <c r="W4" i="5"/>
  <c r="T4" i="5"/>
  <c r="AC3" i="5"/>
  <c r="T3" i="5"/>
  <c r="W3" i="5" s="1"/>
  <c r="K39" i="1" l="1"/>
  <c r="A28" i="4" l="1"/>
  <c r="K38" i="1" l="1"/>
  <c r="K36" i="1" l="1"/>
  <c r="K34" i="1" l="1"/>
  <c r="K35" i="1"/>
  <c r="K13" i="1" l="1"/>
  <c r="K14" i="1"/>
  <c r="K15" i="1"/>
  <c r="K16" i="1"/>
  <c r="K17" i="1"/>
  <c r="K18" i="1"/>
  <c r="K19" i="1"/>
  <c r="K20" i="1"/>
  <c r="K21" i="1"/>
  <c r="K22" i="1"/>
  <c r="K24" i="1"/>
  <c r="K25" i="1"/>
  <c r="K26" i="1"/>
  <c r="K27" i="1"/>
  <c r="K28" i="1"/>
  <c r="K29" i="1"/>
  <c r="K30" i="1"/>
  <c r="K31" i="1"/>
  <c r="K23" i="1"/>
  <c r="K33" i="1"/>
</calcChain>
</file>

<file path=xl/comments1.xml><?xml version="1.0" encoding="utf-8"?>
<comments xmlns="http://schemas.openxmlformats.org/spreadsheetml/2006/main">
  <authors>
    <author>Celine SARIGOL</author>
  </authors>
  <commentList>
    <comment ref="Q2" authorId="0">
      <text>
        <r>
          <rPr>
            <b/>
            <sz val="9"/>
            <color indexed="81"/>
            <rFont val="Tahoma"/>
            <family val="2"/>
          </rPr>
          <t xml:space="preserve">Celine SARIGOL:
la demande est faite vous mettez 1 si pas faite encore vous mettez 0
</t>
        </r>
      </text>
    </comment>
    <comment ref="S2" authorId="0">
      <text>
        <r>
          <rPr>
            <b/>
            <sz val="9"/>
            <color indexed="81"/>
            <rFont val="Tahoma"/>
            <family val="2"/>
          </rPr>
          <t>Celine SARIGOL:</t>
        </r>
        <r>
          <rPr>
            <sz val="9"/>
            <color indexed="81"/>
            <rFont val="Tahoma"/>
            <family val="2"/>
          </rPr>
          <t xml:space="preserve">
faut mettre la date de l'envoi du courrier pour avoir la date faudrait demander à votre CDS</t>
        </r>
      </text>
    </comment>
    <comment ref="T2" authorId="0">
      <text>
        <r>
          <rPr>
            <b/>
            <sz val="9"/>
            <color indexed="81"/>
            <rFont val="Tahoma"/>
            <family val="2"/>
          </rPr>
          <t>Celine SARIGOL:</t>
        </r>
        <r>
          <rPr>
            <sz val="9"/>
            <color indexed="81"/>
            <rFont val="Tahoma"/>
            <family val="2"/>
          </rPr>
          <t xml:space="preserve">
10 jours + 5 jours de délai postaux</t>
        </r>
      </text>
    </comment>
    <comment ref="U2" authorId="0">
      <text>
        <r>
          <rPr>
            <b/>
            <sz val="9"/>
            <color indexed="81"/>
            <rFont val="Tahoma"/>
            <family val="2"/>
          </rPr>
          <t>Celine SARIGOL : La personne vous a contacté vous mettez 1, si la pers ne vous a pas contacter à la date indiqué dans la cellule à gauche, faut mettre 0 et prévenir le CDS</t>
        </r>
      </text>
    </comment>
    <comment ref="V2" authorId="0">
      <text>
        <r>
          <rPr>
            <b/>
            <sz val="9"/>
            <color indexed="81"/>
            <rFont val="Tahoma"/>
            <family val="2"/>
          </rPr>
          <t>Celine SARIGOL:</t>
        </r>
        <r>
          <rPr>
            <sz val="9"/>
            <color indexed="81"/>
            <rFont val="Tahoma"/>
            <family val="2"/>
          </rPr>
          <t xml:space="preserve">
vous avez prevénu le CDS 1 sinon 0</t>
        </r>
      </text>
    </comment>
    <comment ref="W2" authorId="0">
      <text>
        <r>
          <rPr>
            <b/>
            <sz val="9"/>
            <color indexed="81"/>
            <rFont val="Tahoma"/>
            <family val="2"/>
          </rPr>
          <t>Celine SARIGOL:</t>
        </r>
        <r>
          <rPr>
            <sz val="9"/>
            <color indexed="81"/>
            <rFont val="Tahoma"/>
            <family val="2"/>
          </rPr>
          <t xml:space="preserve">
un deuxième courrier est envoyé dans le cas où la pers ne se manifeste pas, 30 jours + 5 jours de délai postaux</t>
        </r>
      </text>
    </comment>
    <comment ref="X2" authorId="0">
      <text>
        <r>
          <rPr>
            <b/>
            <sz val="9"/>
            <color indexed="81"/>
            <rFont val="Tahoma"/>
            <family val="2"/>
          </rPr>
          <t>Celine SARIGOL:</t>
        </r>
        <r>
          <rPr>
            <sz val="9"/>
            <color indexed="81"/>
            <rFont val="Tahoma"/>
            <family val="2"/>
          </rPr>
          <t xml:space="preserve">
La personne vous a contacté vous mettez 1, si la pers ne vous a pas contacter à la date indiqué dans la cellule à gauche, faut mettre 0 et prévenir le CDS, il faut un justif
</t>
        </r>
      </text>
    </comment>
    <comment ref="Y2" authorId="0">
      <text>
        <r>
          <rPr>
            <b/>
            <sz val="9"/>
            <color indexed="81"/>
            <rFont val="Tahoma"/>
            <family val="2"/>
          </rPr>
          <t>Celine SARIGOL:</t>
        </r>
        <r>
          <rPr>
            <sz val="9"/>
            <color indexed="81"/>
            <rFont val="Tahoma"/>
            <family val="2"/>
          </rPr>
          <t xml:space="preserve">
vous avez prevénu le CDS 1 sinon 0</t>
        </r>
      </text>
    </comment>
  </commentList>
</comments>
</file>

<file path=xl/sharedStrings.xml><?xml version="1.0" encoding="utf-8"?>
<sst xmlns="http://schemas.openxmlformats.org/spreadsheetml/2006/main" count="2233" uniqueCount="1102">
  <si>
    <t>âge</t>
  </si>
  <si>
    <t>H/F</t>
  </si>
  <si>
    <t>Niveau scolaire</t>
  </si>
  <si>
    <t>Motif de sortie</t>
  </si>
  <si>
    <t>Années après le Bac</t>
  </si>
  <si>
    <t>Titre du diplôme</t>
  </si>
  <si>
    <t>Niveau de diplôme</t>
  </si>
  <si>
    <t>-</t>
  </si>
  <si>
    <t>CAP, BEP</t>
  </si>
  <si>
    <t>3 (anciennement V)</t>
  </si>
  <si>
    <t>Bac</t>
  </si>
  <si>
    <t>Baccalauréat</t>
  </si>
  <si>
    <t>4 (anciennement IV)</t>
  </si>
  <si>
    <t>Bac+2</t>
  </si>
  <si>
    <t>DEUG, BTS, DUT, DEUST</t>
  </si>
  <si>
    <t>5 (anciennement III)</t>
  </si>
  <si>
    <t>Bac+3</t>
  </si>
  <si>
    <t>Licence, licence professionnelle</t>
  </si>
  <si>
    <t>6 (anciennement II)</t>
  </si>
  <si>
    <t>Bac+4</t>
  </si>
  <si>
    <t>Maîtrise, master 1</t>
  </si>
  <si>
    <t>Bac+5</t>
  </si>
  <si>
    <t>Master, diplôme d'études approfondies, diplôme d'études supérieures spécialisées, diplôme d'ingénieur</t>
  </si>
  <si>
    <t>7 (anciennement I)</t>
  </si>
  <si>
    <t>Bac+8</t>
  </si>
  <si>
    <t>Doctorat, habilitation à diriger des recherches</t>
  </si>
  <si>
    <t>8 (anciennement I)</t>
  </si>
  <si>
    <t>H</t>
  </si>
  <si>
    <t>F</t>
  </si>
  <si>
    <t>Aucun diplôme</t>
  </si>
  <si>
    <t>CLI</t>
  </si>
  <si>
    <t>CDS</t>
  </si>
  <si>
    <t>DATE ORIENTATION</t>
  </si>
  <si>
    <t>BGE</t>
  </si>
  <si>
    <t>Emploi</t>
  </si>
  <si>
    <t>Formation</t>
  </si>
  <si>
    <t>Créa entreprise</t>
  </si>
  <si>
    <t xml:space="preserve">France Travail </t>
  </si>
  <si>
    <t>Réorientation</t>
  </si>
  <si>
    <t>MSA</t>
  </si>
  <si>
    <t>Sorties</t>
  </si>
  <si>
    <t>Positive</t>
  </si>
  <si>
    <t>Déménagement</t>
  </si>
  <si>
    <t>Fin DD</t>
  </si>
  <si>
    <t>Créa</t>
  </si>
  <si>
    <t>Interim&gt;ou= à 970h cumulées / an</t>
  </si>
  <si>
    <t>CDI &gt;ou= 24h</t>
  </si>
  <si>
    <t>CDD +6mois &gt;ou=254h</t>
  </si>
  <si>
    <t>types</t>
  </si>
  <si>
    <t xml:space="preserve">Sorties </t>
  </si>
  <si>
    <t>France Travail</t>
  </si>
  <si>
    <t>FT SIAE</t>
  </si>
  <si>
    <t>SORTIES sous objectif</t>
  </si>
  <si>
    <t>Sociale AAH</t>
  </si>
  <si>
    <t>Sociale retraite</t>
  </si>
  <si>
    <t>Sociale maternité</t>
  </si>
  <si>
    <t>Social freins+</t>
  </si>
  <si>
    <t>FT acc pro</t>
  </si>
  <si>
    <t>FT acco glo</t>
  </si>
  <si>
    <t>autre</t>
  </si>
  <si>
    <t>Arret mal longue durée</t>
  </si>
  <si>
    <t>PMSMP</t>
  </si>
  <si>
    <t>freins</t>
  </si>
  <si>
    <t>mobilité</t>
  </si>
  <si>
    <t>garde enfants</t>
  </si>
  <si>
    <t>Accompagnement des bénéficiaires du RSA - "CIP +" / 2025</t>
  </si>
  <si>
    <t>Oyonnax</t>
  </si>
  <si>
    <t>Nantua</t>
  </si>
  <si>
    <t>Belley</t>
  </si>
  <si>
    <t>Valserhone</t>
  </si>
  <si>
    <t>Pays de Gex</t>
  </si>
  <si>
    <t>Croix Blanche</t>
  </si>
  <si>
    <t>Pierre Goujon</t>
  </si>
  <si>
    <t>Montrevel</t>
  </si>
  <si>
    <t>Pont de Vaux</t>
  </si>
  <si>
    <t>St Didier sur Chalaronne</t>
  </si>
  <si>
    <t>Trevoux</t>
  </si>
  <si>
    <t>Chatillon sur Chalaronne</t>
  </si>
  <si>
    <t>Amberieu</t>
  </si>
  <si>
    <t>Lagnieu</t>
  </si>
  <si>
    <t>Miribel</t>
  </si>
  <si>
    <t>Renonciation RSA</t>
  </si>
  <si>
    <t>Besoin</t>
  </si>
  <si>
    <t>Ordre</t>
  </si>
  <si>
    <t>Code</t>
  </si>
  <si>
    <t>Libellé</t>
  </si>
  <si>
    <t>Volume horaire Hedbomadaire</t>
  </si>
  <si>
    <t>P01</t>
  </si>
  <si>
    <t>Choisir un métier</t>
  </si>
  <si>
    <t>Identification de ses points forts et de ses compétences</t>
  </si>
  <si>
    <t>Identifier ses points forts et ses compétences</t>
  </si>
  <si>
    <t>Information sur un métier ou un secteur d'activité</t>
  </si>
  <si>
    <t>S'informer sur un métier ou un secteur d'activité</t>
  </si>
  <si>
    <t>Observation en entreprise</t>
  </si>
  <si>
    <t>Réaliser une observation en entreprise</t>
  </si>
  <si>
    <t>Enquête métier afin de mieux connaître un métier</t>
  </si>
  <si>
    <t>Réaliser une enquête métier</t>
  </si>
  <si>
    <t xml:space="preserve">Participation à un salon ou un forum pour s'informer sur un métier </t>
  </si>
  <si>
    <t xml:space="preserve">Participer à un salon ou un forum pour s'informer sur un métier </t>
  </si>
  <si>
    <t>P02</t>
  </si>
  <si>
    <t>Se former</t>
  </si>
  <si>
    <t>Information sur un projet de formation ou de Validation des acquis de l'expérience</t>
  </si>
  <si>
    <t>S'informer sur un projet de formation ou de validation des acquis de l'expérience</t>
  </si>
  <si>
    <t>Montage d'un dossier d’inscription à une formation</t>
  </si>
  <si>
    <t xml:space="preserve">Monter son dossier de formation </t>
  </si>
  <si>
    <t xml:space="preserve">Participation à une formation                                   </t>
  </si>
  <si>
    <t xml:space="preserve">Participer à une formation                                   </t>
  </si>
  <si>
    <t>Participation à un salon ou un forum formation</t>
  </si>
  <si>
    <t>Participer à un salon ou un forum formation</t>
  </si>
  <si>
    <t>Initiation à l'informatique ou à Internet</t>
  </si>
  <si>
    <t>S'initier à l'informatique ou à Internet</t>
  </si>
  <si>
    <t>Participation à un dispositif d'insertion</t>
  </si>
  <si>
    <t>Participer à un dispositif d'insertion</t>
  </si>
  <si>
    <t>P03</t>
  </si>
  <si>
    <t>Préparer sa candidature</t>
  </si>
  <si>
    <t xml:space="preserve">Réalisation d'une démarche de VAE                                       </t>
  </si>
  <si>
    <t xml:space="preserve">Réaliser une démarche de VAE                                       </t>
  </si>
  <si>
    <t>Préparation de ses candidatures (CV, lettre de motivation, book)</t>
  </si>
  <si>
    <t xml:space="preserve"> Réaliser ou mettre à jour son CV sa lettre de motivation ou son portfolio</t>
  </si>
  <si>
    <t>Développer son réseau</t>
  </si>
  <si>
    <t>S'inscrire ou compléter son profil sur un réseau professionnel</t>
  </si>
  <si>
    <t>Réaliser des activités de bénévolat</t>
  </si>
  <si>
    <t>Organiser ses démarches de recherche d’emploi</t>
  </si>
  <si>
    <t>Compléter ou publier son profil de compétence</t>
  </si>
  <si>
    <t>Trouver un emploi</t>
  </si>
  <si>
    <t>Recherche d'offres d'emploi ou d'entreprises</t>
  </si>
  <si>
    <t>Rechercher des offres d'emploi ou d'entreprises</t>
  </si>
  <si>
    <t xml:space="preserve">Participation à un salon ou un forum pour rechercher des offres </t>
  </si>
  <si>
    <t>Participer à un salon ou un forum pour rechercher des offres d'emploi</t>
  </si>
  <si>
    <t xml:space="preserve">Réponse à des offres d'emploi                                           </t>
  </si>
  <si>
    <t xml:space="preserve">Répondre à des offres d'emploi                                           </t>
  </si>
  <si>
    <t>Candidatures spontanées</t>
  </si>
  <si>
    <t>Effectuer des candidatures spontanées</t>
  </si>
  <si>
    <t xml:space="preserve">Réalisation du suivi de ses candidatures et relance des recruteurs </t>
  </si>
  <si>
    <t xml:space="preserve">Réaliser le suivi de ses candidatures et relancer des recruteurs </t>
  </si>
  <si>
    <t>Préparation des entretiens d'embauche</t>
  </si>
  <si>
    <t>Préparer un entretien d'embauche</t>
  </si>
  <si>
    <t>Réalisation d'entretiens d'embauche</t>
  </si>
  <si>
    <t>Réaliser un entretien d'embauche</t>
  </si>
  <si>
    <t xml:space="preserve">Passation de tests de recrutement (concours, casting…) </t>
  </si>
  <si>
    <t xml:space="preserve">Passer des tests de recrutement (concours, casting…) </t>
  </si>
  <si>
    <t>Réalisation d'une mise en situation professionnelle dans une entreprise</t>
  </si>
  <si>
    <t>Réaliser une mise en situation professionnelle dans une entreprise</t>
  </si>
  <si>
    <t>Recherche de missions de service civique</t>
  </si>
  <si>
    <t>Rechercher des missions de service civique</t>
  </si>
  <si>
    <t>S'inscrire sur une plateforme de recrutement (agence d'intérim, cabinet de recrutement, site spécialisé…)</t>
  </si>
  <si>
    <t>P05</t>
  </si>
  <si>
    <t>Ma création et reprise d'entreprise</t>
  </si>
  <si>
    <t>Recherches pour créer ou reprendre une entreprise</t>
  </si>
  <si>
    <t>Effectuer des recherches pour créer ou reprendre une entreprise</t>
  </si>
  <si>
    <t>Réalisation d'une étude de marché auprès de prospects/clients /fournisseurs</t>
  </si>
  <si>
    <t>Réaliser une étude de marché auprès de prospects/clients /fournisseurs</t>
  </si>
  <si>
    <t>Participation à un salon ou forum pour s'informer sur la création entreprise</t>
  </si>
  <si>
    <t>Participer à un salon ou forum pour s'informer sur la création d'entreprise</t>
  </si>
  <si>
    <t>Réalisation d'un business plan afin de préparer la création de son entreprise</t>
  </si>
  <si>
    <t>Réaliser un business plan afin de préparer la création de son entreprise</t>
  </si>
  <si>
    <t>Prise de RDV avec des organismes financiers</t>
  </si>
  <si>
    <t>Prendre rendez-vous avec des organismes financiers</t>
  </si>
  <si>
    <t>Réalisation de démarches juridiques de création d'entreprise</t>
  </si>
  <si>
    <t>Réaliser des démarches juridiques de création d'entreprise</t>
  </si>
  <si>
    <t>Réalisation d'actions de communication pour faire connaitre son entreprise</t>
  </si>
  <si>
    <t>Réaliser des actions de communication pour faire connaître son entreprise</t>
  </si>
  <si>
    <t>Prospection pour développer sa clientèle</t>
  </si>
  <si>
    <t>Prospecter pour développer sa clientèle</t>
  </si>
  <si>
    <t>Développement de nouveaux partenariats</t>
  </si>
  <si>
    <t>Développer de nouveaux partenariats</t>
  </si>
  <si>
    <t>Mise en œuvre d'actions de fidélisation de ses clients ou utilisateurs</t>
  </si>
  <si>
    <t>Mettre en œuvre des actions de fidélisation de ses clients ou utilisateurs</t>
  </si>
  <si>
    <t>Organisation de son activité de dirigeant et de gestion de son entreprise</t>
  </si>
  <si>
    <t>Organiser son activité de dirigeant et la gestion de son entreprise</t>
  </si>
  <si>
    <t xml:space="preserve">Diversification de ses activités en proposant de nouveaux services ou produits </t>
  </si>
  <si>
    <t>Développer son entreprise en diversifiant ses activités</t>
  </si>
  <si>
    <t xml:space="preserve">Développement de son entreprise en procédant à des recrutements </t>
  </si>
  <si>
    <t xml:space="preserve">Développer son entreprise en procédant à des recrutements </t>
  </si>
  <si>
    <t xml:space="preserve">Réalisation d'autres actions pour développer son entreprise </t>
  </si>
  <si>
    <t xml:space="preserve">Réaliser d'autres actions pour développer son entreprise </t>
  </si>
  <si>
    <t>P06</t>
  </si>
  <si>
    <t>Entretiens avec un conseiller</t>
  </si>
  <si>
    <t>Réaliser un entretien avec un conseiller</t>
  </si>
  <si>
    <t>P08</t>
  </si>
  <si>
    <t>Développer sa mobilité</t>
  </si>
  <si>
    <t>Réaliser une démarche pour accéder aux transports en commun</t>
  </si>
  <si>
    <t>Mobiliser le réseau de transports à la demande</t>
  </si>
  <si>
    <t>Acquérir un moyen de locomotion</t>
  </si>
  <si>
    <t>Mobiliser un garage solidaire</t>
  </si>
  <si>
    <t>Constituer un dossier de financement pour l'achat d'un véhicule</t>
  </si>
  <si>
    <t>Louer un moyen de locomotion</t>
  </si>
  <si>
    <t>Participer à un rendez-vous avec un partenaire mobilité</t>
  </si>
  <si>
    <t>Constituer un dossier d'aide à la mobilité</t>
  </si>
  <si>
    <t>Résoudre ses problématiques de mobilité psychologique</t>
  </si>
  <si>
    <t>Entretenir ou réparer son véhicule</t>
  </si>
  <si>
    <t>Mettre en place une solution de covoiturage</t>
  </si>
  <si>
    <t>S'inscrire en auto-école</t>
  </si>
  <si>
    <t>Participer à un cours de code/conduite</t>
  </si>
  <si>
    <t>Passer le code de la route</t>
  </si>
  <si>
    <t>Passer le permis de conduire</t>
  </si>
  <si>
    <t xml:space="preserve">Récupérer son permis de conduire </t>
  </si>
  <si>
    <t>P09</t>
  </si>
  <si>
    <t>Accéder au numérique et en maîtriser les fondamentaux</t>
  </si>
  <si>
    <t xml:space="preserve">Acquérir un équipement informatique </t>
  </si>
  <si>
    <t>Accéder à une connexion Internet</t>
  </si>
  <si>
    <t>Réaliser le test PIX</t>
  </si>
  <si>
    <t>Participer à un rendez-vous avec un partenaire "numérique"</t>
  </si>
  <si>
    <t>Participer à un cours d'initiation à l'informatique/internet</t>
  </si>
  <si>
    <t>S'informer/se former à la confidentialité sur internet (RGPD…)</t>
  </si>
  <si>
    <t>Solliciter l'écrivain public numérique</t>
  </si>
  <si>
    <t>Participer à une formation numérique (PIX)</t>
  </si>
  <si>
    <t>Evaluation des compétences numériques</t>
  </si>
  <si>
    <t>Évaluer ses compétences numériques</t>
  </si>
  <si>
    <t>P10</t>
  </si>
  <si>
    <t>Faire face à des difficultés administratives et juridiques</t>
  </si>
  <si>
    <t>S'informer sur les voies de recours suite à une discrimination</t>
  </si>
  <si>
    <t>Réaliser des démarches administratives liées à l'état civil</t>
  </si>
  <si>
    <t>Participer à un rendez-vous avec un partenaire "administratif"</t>
  </si>
  <si>
    <t>Réaliser une demande de procédure judiciaire</t>
  </si>
  <si>
    <t>Participer à un rendez-vous avec un partenaire "juridique"</t>
  </si>
  <si>
    <t>Faire une demande d'aide juridictionnelle, conseil juridique</t>
  </si>
  <si>
    <t>Réaliser une déclaration de situation (impôt, CAF…)</t>
  </si>
  <si>
    <t>Réaliser une demande à la préfecture</t>
  </si>
  <si>
    <t>Classer ses documents administratifs</t>
  </si>
  <si>
    <t>Réaliser une demande de prestation ou droit (CAF, MSA…)</t>
  </si>
  <si>
    <t>Accéder aux informations et aides disponibles pour les aidants</t>
  </si>
  <si>
    <t xml:space="preserve">S'actualiser et rester inscrit à France Travail </t>
  </si>
  <si>
    <t>P11</t>
  </si>
  <si>
    <t>Faire face à des difficultés de logement</t>
  </si>
  <si>
    <t>Participer à un rendez-vous avec un partenaire logement</t>
  </si>
  <si>
    <t>Réaliser un diagnostic de précarité énergétique</t>
  </si>
  <si>
    <t>Réaliser une demande d'aide d'amélioration de l'habitat</t>
  </si>
  <si>
    <t>Monter un dossier de demande d'aide au logement (DALO, DAHO…)</t>
  </si>
  <si>
    <t>Appeler le 115</t>
  </si>
  <si>
    <t>Réaliser une demande de logement social</t>
  </si>
  <si>
    <t>Réaliser une visite de logement</t>
  </si>
  <si>
    <t>Réaliser une demande de domiciliation auprès d'un CCAS</t>
  </si>
  <si>
    <t>Réaliser des démarches dans le cadre du maintien dans le logement</t>
  </si>
  <si>
    <t>Effectuer des démarches dans le cadre d'une procédure d'expulsion</t>
  </si>
  <si>
    <t>P12</t>
  </si>
  <si>
    <t>Faire face à des difficultés financières</t>
  </si>
  <si>
    <t>Réaliser une demande de plan de surendettement</t>
  </si>
  <si>
    <t>Faire valoir ses droits à une pension (retraite, réversion...)</t>
  </si>
  <si>
    <t>Réaliser une demande d'aide alimentaire</t>
  </si>
  <si>
    <t>Participer à un rendez-vous avec un partenaire "Budget/Finance"</t>
  </si>
  <si>
    <t>Ouvrir un compte bancaire</t>
  </si>
  <si>
    <t>Réaliser une demande de micro-crédit social</t>
  </si>
  <si>
    <t>Réaliser une demande de carte solidaire (SNCF, Pass Solidaire)</t>
  </si>
  <si>
    <t>Monter un dossier financier (microcrédit, FIP, FSL, FAJ...)</t>
  </si>
  <si>
    <t>Se rendre dans un point conseil budget</t>
  </si>
  <si>
    <t>P13</t>
  </si>
  <si>
    <t>Prendre en compte son état de santé</t>
  </si>
  <si>
    <t xml:space="preserve">Effectuer un bilan de santé gratuit (CPAM) </t>
  </si>
  <si>
    <t>Participer à un rendez-vous médical</t>
  </si>
  <si>
    <t>Participer à une activité sportive</t>
  </si>
  <si>
    <t>Constituer un dossier MDPH/invalidité</t>
  </si>
  <si>
    <t>Réaliser des démarches administratives de santé (CMU, CPAM, RQTH...)</t>
  </si>
  <si>
    <t>Rechercher un professionnel de santé</t>
  </si>
  <si>
    <t>P14</t>
  </si>
  <si>
    <t>Surmonter ses contraintes familiales</t>
  </si>
  <si>
    <t>Rechercher un mode de garde</t>
  </si>
  <si>
    <t>Participer à des évènements culturels, artistiques, associatifs</t>
  </si>
  <si>
    <t>Réaliser une démarche d'organisation quotidienne</t>
  </si>
  <si>
    <t>Participer à un rendez-vous avec un partenaire "Famille et Parentalité"</t>
  </si>
  <si>
    <t>P15</t>
  </si>
  <si>
    <t>Développer ses capacités en lecture, écriture et calcul</t>
  </si>
  <si>
    <t>Participer à des cours de français</t>
  </si>
  <si>
    <t>Participer à des cours de lecture/écriture/calcul</t>
  </si>
  <si>
    <t>Réaliser ses heures OFII</t>
  </si>
  <si>
    <t>DATE 1ER RDV fixé</t>
  </si>
  <si>
    <t>Monsieur</t>
  </si>
  <si>
    <t>Madame</t>
  </si>
  <si>
    <t>NOM</t>
  </si>
  <si>
    <t>PRENOM</t>
  </si>
  <si>
    <t>ABID</t>
  </si>
  <si>
    <t>Mimoun</t>
  </si>
  <si>
    <t>AKHMAL</t>
  </si>
  <si>
    <t>Najat</t>
  </si>
  <si>
    <t>ALOUANE</t>
  </si>
  <si>
    <t>Cherif</t>
  </si>
  <si>
    <t>AL-RIHEMAWEE</t>
  </si>
  <si>
    <t>Qays</t>
  </si>
  <si>
    <t>AMAMOU</t>
  </si>
  <si>
    <t>Driss</t>
  </si>
  <si>
    <t>ARBINOT</t>
  </si>
  <si>
    <t>Alexandre</t>
  </si>
  <si>
    <t>AYNE</t>
  </si>
  <si>
    <t>Levent</t>
  </si>
  <si>
    <t>BAJRAMOV</t>
  </si>
  <si>
    <t>Sebastijan</t>
  </si>
  <si>
    <t>BASSI</t>
  </si>
  <si>
    <t>Stephanie</t>
  </si>
  <si>
    <t>Fadime</t>
  </si>
  <si>
    <t>BEDOUI</t>
  </si>
  <si>
    <t>Abdeslam</t>
  </si>
  <si>
    <t>Charlotte</t>
  </si>
  <si>
    <t>BEN MABROUK</t>
  </si>
  <si>
    <t>Souliman</t>
  </si>
  <si>
    <t>BENER</t>
  </si>
  <si>
    <t>Yakup</t>
  </si>
  <si>
    <t>BEQIRI</t>
  </si>
  <si>
    <t>Bejta</t>
  </si>
  <si>
    <t>BERTHET-BONDET</t>
  </si>
  <si>
    <t>Margot</t>
  </si>
  <si>
    <t>Franck</t>
  </si>
  <si>
    <t>Elife</t>
  </si>
  <si>
    <t>BORSLA</t>
  </si>
  <si>
    <t>Tewfik</t>
  </si>
  <si>
    <t>BOSCHMANS</t>
  </si>
  <si>
    <t>SAIDIA</t>
  </si>
  <si>
    <t>Farida</t>
  </si>
  <si>
    <t>BRASSART</t>
  </si>
  <si>
    <t>Cindy</t>
  </si>
  <si>
    <t>CAVDAR</t>
  </si>
  <si>
    <t>Tugay</t>
  </si>
  <si>
    <t>Ibrahim</t>
  </si>
  <si>
    <t>CEYZERIAT</t>
  </si>
  <si>
    <t>Samuel</t>
  </si>
  <si>
    <t>CHAMPEYMOND</t>
  </si>
  <si>
    <t>Pascal</t>
  </si>
  <si>
    <t>CHHUN</t>
  </si>
  <si>
    <t>Sophanna</t>
  </si>
  <si>
    <t>Aziza</t>
  </si>
  <si>
    <t>CIMEN</t>
  </si>
  <si>
    <t>Mehmet</t>
  </si>
  <si>
    <t>COLOMBEL</t>
  </si>
  <si>
    <t>Mickael</t>
  </si>
  <si>
    <t>DESSAINTJEAN</t>
  </si>
  <si>
    <t>Amandine</t>
  </si>
  <si>
    <t>DJELLOUL</t>
  </si>
  <si>
    <t>Assia</t>
  </si>
  <si>
    <t>DUBOT</t>
  </si>
  <si>
    <t>Sébastien</t>
  </si>
  <si>
    <t>DUPUPET</t>
  </si>
  <si>
    <t>Meydhie</t>
  </si>
  <si>
    <t>EL AAROUSSI</t>
  </si>
  <si>
    <t>Chahid</t>
  </si>
  <si>
    <t>EL JABBAR</t>
  </si>
  <si>
    <t>Anass</t>
  </si>
  <si>
    <t>EL KHYAF</t>
  </si>
  <si>
    <t>Anouar</t>
  </si>
  <si>
    <t>EL-HAMDI</t>
  </si>
  <si>
    <t>Mourad</t>
  </si>
  <si>
    <t>ERAMIL</t>
  </si>
  <si>
    <t>Erhan</t>
  </si>
  <si>
    <t>ERSOY</t>
  </si>
  <si>
    <t>Salih</t>
  </si>
  <si>
    <t>EZZARHOUNI</t>
  </si>
  <si>
    <t>Nesrdine</t>
  </si>
  <si>
    <t>Yori-Kin</t>
  </si>
  <si>
    <t>GAYNUTDINOV</t>
  </si>
  <si>
    <t>Rafael</t>
  </si>
  <si>
    <t>GUNDUZ</t>
  </si>
  <si>
    <t>GUNGOR</t>
  </si>
  <si>
    <t>Ciydem</t>
  </si>
  <si>
    <t>IKEN</t>
  </si>
  <si>
    <t>Abdellah</t>
  </si>
  <si>
    <t>JOUINI</t>
  </si>
  <si>
    <t>Mustapha</t>
  </si>
  <si>
    <t>JUILLARD</t>
  </si>
  <si>
    <t>Frédéric</t>
  </si>
  <si>
    <t>KAMENICA</t>
  </si>
  <si>
    <t>Ragip</t>
  </si>
  <si>
    <t>Ardit</t>
  </si>
  <si>
    <t>Zineb</t>
  </si>
  <si>
    <t>KANBOUI</t>
  </si>
  <si>
    <t>Mohammed</t>
  </si>
  <si>
    <t>Ummugulsum</t>
  </si>
  <si>
    <t>KARIAM</t>
  </si>
  <si>
    <t>Omar</t>
  </si>
  <si>
    <t>Nihal</t>
  </si>
  <si>
    <t>KHOMSI</t>
  </si>
  <si>
    <t>Ismaïl</t>
  </si>
  <si>
    <t>KONMAZ</t>
  </si>
  <si>
    <t>Ayse</t>
  </si>
  <si>
    <t>Hamza</t>
  </si>
  <si>
    <t>LEANG DATH</t>
  </si>
  <si>
    <t>Benoît</t>
  </si>
  <si>
    <t>LEMAISTRE</t>
  </si>
  <si>
    <t>Giuseppe</t>
  </si>
  <si>
    <t>Ophelie-kim</t>
  </si>
  <si>
    <t>LOUIS</t>
  </si>
  <si>
    <t>Laura</t>
  </si>
  <si>
    <t>Anas</t>
  </si>
  <si>
    <t>MARECAUX</t>
  </si>
  <si>
    <t>Philippe</t>
  </si>
  <si>
    <t>MEHALLEL</t>
  </si>
  <si>
    <t>Salim</t>
  </si>
  <si>
    <t>MOHAMMAD</t>
  </si>
  <si>
    <t>Sania</t>
  </si>
  <si>
    <t>MOUGEL</t>
  </si>
  <si>
    <t>Jérémy</t>
  </si>
  <si>
    <t>MURET</t>
  </si>
  <si>
    <t>Christelle</t>
  </si>
  <si>
    <t>Mualla</t>
  </si>
  <si>
    <t>NACIRY</t>
  </si>
  <si>
    <t>Moussa</t>
  </si>
  <si>
    <t>NAELS</t>
  </si>
  <si>
    <t>Florian</t>
  </si>
  <si>
    <t>NICOUD</t>
  </si>
  <si>
    <t>Laetitia</t>
  </si>
  <si>
    <t>OULAKBIR</t>
  </si>
  <si>
    <t>Touria</t>
  </si>
  <si>
    <t>OZCAN</t>
  </si>
  <si>
    <t>Okan</t>
  </si>
  <si>
    <t>Kamile</t>
  </si>
  <si>
    <t>OZDEMIR</t>
  </si>
  <si>
    <t>Sengül</t>
  </si>
  <si>
    <t>Songul</t>
  </si>
  <si>
    <t>Emine</t>
  </si>
  <si>
    <t>OZER</t>
  </si>
  <si>
    <t>Nezahat</t>
  </si>
  <si>
    <t>OZPINAR</t>
  </si>
  <si>
    <t>Ali</t>
  </si>
  <si>
    <t>Fatma</t>
  </si>
  <si>
    <t>PISANI</t>
  </si>
  <si>
    <t>POPRAWA</t>
  </si>
  <si>
    <t>Renata</t>
  </si>
  <si>
    <t>PRAK</t>
  </si>
  <si>
    <t>Chantha</t>
  </si>
  <si>
    <t>REGHIOUA</t>
  </si>
  <si>
    <t>Azzouz</t>
  </si>
  <si>
    <t>RHAZI</t>
  </si>
  <si>
    <t>Abdelhakim</t>
  </si>
  <si>
    <t>ROSELL</t>
  </si>
  <si>
    <t>Thibault</t>
  </si>
  <si>
    <t>SAFI</t>
  </si>
  <si>
    <t>Abdul</t>
  </si>
  <si>
    <t>Mohcine</t>
  </si>
  <si>
    <t>SMAAL</t>
  </si>
  <si>
    <t>Samir</t>
  </si>
  <si>
    <t>STEMER</t>
  </si>
  <si>
    <t>Ardita</t>
  </si>
  <si>
    <t>TARDY</t>
  </si>
  <si>
    <t>Anaïs</t>
  </si>
  <si>
    <t>TECHER</t>
  </si>
  <si>
    <t>Anaelle</t>
  </si>
  <si>
    <t>Zeynep</t>
  </si>
  <si>
    <t>TORRES</t>
  </si>
  <si>
    <t>Vicente</t>
  </si>
  <si>
    <t>TUZUN</t>
  </si>
  <si>
    <t>Selda</t>
  </si>
  <si>
    <t>UGUZ</t>
  </si>
  <si>
    <t>Leyla</t>
  </si>
  <si>
    <t>BEN EMBARECK</t>
  </si>
  <si>
    <t>Wassila</t>
  </si>
  <si>
    <t>Steve</t>
  </si>
  <si>
    <t>VELAZQUEZ MAYA</t>
  </si>
  <si>
    <t>Jose</t>
  </si>
  <si>
    <t>VENOT</t>
  </si>
  <si>
    <t>Emilie</t>
  </si>
  <si>
    <t>EL-RHAZZAL</t>
  </si>
  <si>
    <t>Rachida</t>
  </si>
  <si>
    <t>YACOUBI</t>
  </si>
  <si>
    <t>Tarek</t>
  </si>
  <si>
    <t>YILDIRIM</t>
  </si>
  <si>
    <t>Ozcan</t>
  </si>
  <si>
    <t>ZIHRI</t>
  </si>
  <si>
    <t>Rachid</t>
  </si>
  <si>
    <t>BUET</t>
  </si>
  <si>
    <t>Patrice</t>
  </si>
  <si>
    <t>LAMBREZ</t>
  </si>
  <si>
    <t>Angélique</t>
  </si>
  <si>
    <t>BELLOTTO</t>
  </si>
  <si>
    <t>BICER</t>
  </si>
  <si>
    <t>FIORILE</t>
  </si>
  <si>
    <t>LAOUFI</t>
  </si>
  <si>
    <t>LIEU</t>
  </si>
  <si>
    <t>MAADOUR</t>
  </si>
  <si>
    <t>RIVIERE</t>
  </si>
  <si>
    <t>SARROUKH</t>
  </si>
  <si>
    <t>CIP : KIM OU</t>
  </si>
  <si>
    <t>DDE DE CLI</t>
  </si>
  <si>
    <t>COMMENTAIRES /OBSERVATION</t>
  </si>
  <si>
    <t>HASANI</t>
  </si>
  <si>
    <t>ONCUL</t>
  </si>
  <si>
    <t>OUAMALICH</t>
  </si>
  <si>
    <t>Gazmend</t>
  </si>
  <si>
    <t>Samet</t>
  </si>
  <si>
    <t>Youssef</t>
  </si>
  <si>
    <t>KHAROUNI</t>
  </si>
  <si>
    <t>MABROUK</t>
  </si>
  <si>
    <t>Sabrina</t>
  </si>
  <si>
    <t>Wahid</t>
  </si>
  <si>
    <t>Kaïna</t>
  </si>
  <si>
    <t>CONTRAT ENGAGEMENT SIGNE</t>
  </si>
  <si>
    <t>BAYIRTEPE</t>
  </si>
  <si>
    <t>KARAKOC</t>
  </si>
  <si>
    <t>25/07//2025</t>
  </si>
  <si>
    <t>25/09//2025</t>
  </si>
  <si>
    <t>ACCO GLO depuis juin 2025</t>
  </si>
  <si>
    <t>parcours accompagnement FT et suivi formation</t>
  </si>
  <si>
    <t>parti à l'etranger depuis ne s'est jamais inscrit à FT</t>
  </si>
  <si>
    <t>BEDIR</t>
  </si>
  <si>
    <t>certificat medical</t>
  </si>
  <si>
    <t>absent atc 25/09</t>
  </si>
  <si>
    <t>KEPENEK</t>
  </si>
  <si>
    <t>AKAKHIL</t>
  </si>
  <si>
    <t>mobilite</t>
  </si>
  <si>
    <t>MOBILITE</t>
  </si>
  <si>
    <t>SANTE</t>
  </si>
  <si>
    <t>Beneficie de PCH</t>
  </si>
  <si>
    <t>MUTLU</t>
  </si>
  <si>
    <t xml:space="preserve">mobilite </t>
  </si>
  <si>
    <t>fle</t>
  </si>
  <si>
    <t>SAULNIER</t>
  </si>
  <si>
    <t>Isabelle</t>
  </si>
  <si>
    <t>sante mentale</t>
  </si>
  <si>
    <t xml:space="preserve">sante </t>
  </si>
  <si>
    <t>mobilé</t>
  </si>
  <si>
    <t>absent 18/07 et 30/07</t>
  </si>
  <si>
    <t>BRAHIMI</t>
  </si>
  <si>
    <t>CHIRON</t>
  </si>
  <si>
    <t>Absente le 4/8 car en emploi, prochain rdv le 14/10</t>
  </si>
  <si>
    <t>absent 31/07</t>
  </si>
  <si>
    <t>GARDE ENFANTS</t>
  </si>
  <si>
    <t>Absent 01/09</t>
  </si>
  <si>
    <t>travaille en suisse en interim - infirmier voir si tjrs DD</t>
  </si>
  <si>
    <t>SYLLA</t>
  </si>
  <si>
    <t>GUERIAUD</t>
  </si>
  <si>
    <t>BELHASSAN</t>
  </si>
  <si>
    <t>Ilham</t>
  </si>
  <si>
    <t>MARGUIN</t>
  </si>
  <si>
    <t>Frederic</t>
  </si>
  <si>
    <t>oyonnax</t>
  </si>
  <si>
    <t>DAWLATZI</t>
  </si>
  <si>
    <t>Naeem</t>
  </si>
  <si>
    <t>TEKELI</t>
  </si>
  <si>
    <t>Atilyahan</t>
  </si>
  <si>
    <t>GELAJ</t>
  </si>
  <si>
    <t>Bekim</t>
  </si>
  <si>
    <t>PAS VU ENTREE FORMATION INSTALLATEUR THERMIQUE</t>
  </si>
  <si>
    <t xml:space="preserve">NEUVILLE </t>
  </si>
  <si>
    <t>ALLAN</t>
  </si>
  <si>
    <t>KAPTAN</t>
  </si>
  <si>
    <t>Ridvan</t>
  </si>
  <si>
    <t>CAP</t>
  </si>
  <si>
    <t>ESTEVEZ</t>
  </si>
  <si>
    <t>YANN</t>
  </si>
  <si>
    <t>ONDER</t>
  </si>
  <si>
    <t>ONCU</t>
  </si>
  <si>
    <t xml:space="preserve">suivi Mme poulliat AS </t>
  </si>
  <si>
    <t>DATE</t>
  </si>
  <si>
    <t>FIN ACC</t>
  </si>
  <si>
    <t>URCEL</t>
  </si>
  <si>
    <t>SULTANKHEL</t>
  </si>
  <si>
    <t>SAMIULLAH</t>
  </si>
  <si>
    <t>MOHAMMADI</t>
  </si>
  <si>
    <t>NIAZ</t>
  </si>
  <si>
    <t>POURCHOUX</t>
  </si>
  <si>
    <t>GUILLAUME</t>
  </si>
  <si>
    <t>ROCHELLE</t>
  </si>
  <si>
    <t>PATRICIA</t>
  </si>
  <si>
    <t xml:space="preserve">fin rsa + maternite </t>
  </si>
  <si>
    <t>garde enfant</t>
  </si>
  <si>
    <t>sante</t>
  </si>
  <si>
    <t xml:space="preserve">YLMAZ </t>
  </si>
  <si>
    <t>GULBAHAR</t>
  </si>
  <si>
    <t>MOBILITE/SANTE</t>
  </si>
  <si>
    <t>fle +++</t>
  </si>
  <si>
    <t>Absent 17/10</t>
  </si>
  <si>
    <t>sans domicile fixe</t>
  </si>
  <si>
    <t>non</t>
  </si>
  <si>
    <t>Absent 15/12</t>
  </si>
  <si>
    <t>a demenager sur bourg debut decembre</t>
  </si>
  <si>
    <t>CHRISTIAN</t>
  </si>
  <si>
    <t>CLERMONT</t>
  </si>
  <si>
    <t>OZTURK</t>
  </si>
  <si>
    <t>MARIAM</t>
  </si>
  <si>
    <t xml:space="preserve">BICER </t>
  </si>
  <si>
    <t>AZIZ</t>
  </si>
  <si>
    <t xml:space="preserve">CHERIFI </t>
  </si>
  <si>
    <t>HAMZA</t>
  </si>
  <si>
    <t>KUPRA</t>
  </si>
  <si>
    <t>LEGGUI</t>
  </si>
  <si>
    <t>HAFIDA</t>
  </si>
  <si>
    <t>SABRINA</t>
  </si>
  <si>
    <t>28/11/1993 </t>
  </si>
  <si>
    <t>GONNETAN</t>
  </si>
  <si>
    <t>PIERRE</t>
  </si>
  <si>
    <t>NUNES GOUVEIA</t>
  </si>
  <si>
    <t xml:space="preserve">ANNOUR ALI// ABDALLAH  ABDRAMANE </t>
  </si>
  <si>
    <t>ULRICH</t>
  </si>
  <si>
    <t>BENHAMED</t>
  </si>
  <si>
    <t>BANDATIA</t>
  </si>
  <si>
    <t>DERRIEN</t>
  </si>
  <si>
    <t>BRYCE</t>
  </si>
  <si>
    <t>KESKIN //OZYUREK</t>
  </si>
  <si>
    <t>SIOUDA</t>
  </si>
  <si>
    <t>OUSSAMA</t>
  </si>
  <si>
    <t>NEUVILLE</t>
  </si>
  <si>
    <t>Mickael </t>
  </si>
  <si>
    <t>TOURNERY</t>
  </si>
  <si>
    <t>PIERRE-LOU</t>
  </si>
  <si>
    <t>DJIDA</t>
  </si>
  <si>
    <t>MARCHAND/BOUAKKAZ</t>
  </si>
  <si>
    <t>Absent 17/11 et 15/01</t>
  </si>
  <si>
    <t>GARDE ENFANT</t>
  </si>
  <si>
    <t>AMINA</t>
  </si>
  <si>
    <t xml:space="preserve">presription agent de santé / et le voir ensemble pour siae </t>
  </si>
  <si>
    <t>absente au 2e rdv et à l'atelier co / Passage en CLI le  ne s'est jamais représentée</t>
  </si>
  <si>
    <t xml:space="preserve"> Passage en CLI le  ne s'est jamais représentée</t>
  </si>
  <si>
    <t>arret maladie de 3 mois - retour en decembre : voir pmsmp auto ecole</t>
  </si>
  <si>
    <t>absent 30/07 et 09/09 - CLI en decembre 2025 / pas repris contact</t>
  </si>
  <si>
    <t>absent 13/08 et 28/08 - CLI pas repris contact</t>
  </si>
  <si>
    <t>absent 31/07 - ABS JOBDATING + rdv du 20/10 - CLI</t>
  </si>
  <si>
    <t>absent 4/08 et 21/08 - contact repris - ok ce / 2h par semaine : travailler caissier</t>
  </si>
  <si>
    <r>
      <t>aucun projet se bouge</t>
    </r>
    <r>
      <rPr>
        <sz val="9"/>
        <color rgb="FFFF0000"/>
        <rFont val="Arial"/>
        <family val="2"/>
      </rPr>
      <t>r sinon suspension remob</t>
    </r>
  </si>
  <si>
    <t xml:space="preserve">prend cours de francais </t>
  </si>
  <si>
    <t>absent 04/08 et 21/08 - CLI jamais repris contact</t>
  </si>
  <si>
    <t xml:space="preserve">absent 22/07 et ATC 26/08; retour CLI absent 1/12 ATC;8/12 ET 22/12 CM </t>
  </si>
  <si>
    <t>en contrat en Suisse, en attente de réception de son document FIN DD ???? Ou sinon contrôle</t>
  </si>
  <si>
    <t>SUSPENSION REMOBILSATION JAMAIS V</t>
  </si>
  <si>
    <t xml:space="preserve">barriere de la langue - pakistanaise - </t>
  </si>
  <si>
    <t>Absent atc 25/09 SUSPENSION REMOB</t>
  </si>
  <si>
    <t>personne hospitalisée 1j ! Pas de justif, serait partie chez son frere !!!! Voir susp remob</t>
  </si>
  <si>
    <t>CM demandé</t>
  </si>
  <si>
    <t xml:space="preserve"> jusqu'en janvier 108h /mois - CDD successifs</t>
  </si>
  <si>
    <t>Absent 15/09 et 12/11 ATC SUSP REMOB</t>
  </si>
  <si>
    <t>absent 13/08 et 28/08 SUSPENSION REMOB</t>
  </si>
  <si>
    <t>absent 15/09, petite mission interim</t>
  </si>
  <si>
    <t>projet ambulanciere</t>
  </si>
  <si>
    <t>absent 6/08 et 5/01 - SUSPENSION REMOB</t>
  </si>
  <si>
    <t>En emploi interimaire / pbme papier sur SDP impossible d'acceder à son dossier REPRENDRE CONTACT</t>
  </si>
  <si>
    <t>absent ATC du 09/09/25 - Passé en CLI Pas de reprise de contact</t>
  </si>
  <si>
    <t>Absent ATC du 26/08/25 et rdv ind 8/09/25 ENVOI DDE REO SOCIALE ATTENTE</t>
  </si>
  <si>
    <t>aucune demarche - retour CLI decmbre, repris contact</t>
  </si>
  <si>
    <t>9/09 Absent passé CLI pas repris contact</t>
  </si>
  <si>
    <t>3 immersions</t>
  </si>
  <si>
    <t>Absent 19/11 et 16/12 passéen CLI en dcembre pas repris contact</t>
  </si>
  <si>
    <t>Absent 19/11  et  14/01 SUSPENSION REMOB</t>
  </si>
  <si>
    <t xml:space="preserve">3/09 absent a refusé les defricheurs / pas bien passé Startpeople </t>
  </si>
  <si>
    <t>Absent 3/12 et 29/12 SUSPENSION REMOBILILSATION</t>
  </si>
  <si>
    <t>petits contrats interim</t>
  </si>
  <si>
    <t>Absent 15/12 et 14/01 SUSPENSION REMOB</t>
  </si>
  <si>
    <r>
      <t>Nom de l'OPERATEUR :</t>
    </r>
    <r>
      <rPr>
        <sz val="12"/>
        <rFont val="Arial"/>
        <family val="2"/>
      </rPr>
      <t xml:space="preserve"> ALFA3A</t>
    </r>
  </si>
  <si>
    <t>gros soucis de santé prescription agt santé - Inscription GO ON voir CM</t>
  </si>
  <si>
    <t>sclerose en plaque reo sociale attente CM</t>
  </si>
  <si>
    <t>Gabriel</t>
  </si>
  <si>
    <t>Serife</t>
  </si>
  <si>
    <t>Absent 26/01/26</t>
  </si>
  <si>
    <t>ERDOGAN /TEMEL</t>
  </si>
  <si>
    <t xml:space="preserve">SANCTION REMOBILISATION </t>
  </si>
  <si>
    <t>absent 17/09 et 6/01 SUSPENSION REMOBILISATION contrôle administratif demenagment CHALON</t>
  </si>
  <si>
    <t xml:space="preserve"> contrat de travail  cdi 30h</t>
  </si>
  <si>
    <t xml:space="preserve">absent 18/08 et 25/08 - CM </t>
  </si>
  <si>
    <t>600 HEURES OFII Aabsent 30/09 et 4/01 SUSENSION REMOB</t>
  </si>
  <si>
    <t xml:space="preserve">inemployable, parcours santé, examens medicaux </t>
  </si>
  <si>
    <t>DIABY</t>
  </si>
  <si>
    <t xml:space="preserve"> MAMADOU</t>
  </si>
  <si>
    <t>TIMSILINE</t>
  </si>
  <si>
    <t>DJAFFAR</t>
  </si>
  <si>
    <t>SADA</t>
  </si>
  <si>
    <t>THIERRY</t>
  </si>
  <si>
    <t>absent 19/01/26 et 9/02</t>
  </si>
  <si>
    <t>GOUROUVIN</t>
  </si>
  <si>
    <t xml:space="preserve">BALLEIN </t>
  </si>
  <si>
    <t>JEROME</t>
  </si>
  <si>
    <t>MEYREM</t>
  </si>
  <si>
    <t>TRAORE</t>
  </si>
  <si>
    <t>ISSA</t>
  </si>
  <si>
    <t>PONSON</t>
  </si>
  <si>
    <t>FRANCOISE</t>
  </si>
  <si>
    <t xml:space="preserve">NAOUMI </t>
  </si>
  <si>
    <t>MILOUDA</t>
  </si>
  <si>
    <t>YENI /OCAL</t>
  </si>
  <si>
    <t>ERGOC /ERDOGAN</t>
  </si>
  <si>
    <t>langue</t>
  </si>
  <si>
    <t>PILAS</t>
  </si>
  <si>
    <t>SILVIE</t>
  </si>
  <si>
    <t>absente au 2e et 3e rdv : dde cli annulé car mauvaise adresse
absente le 09/02 suspension remobilisation</t>
  </si>
  <si>
    <t>Introuvable sur SDP (jamais venu) - retour cli absent 30/12
absent 16/02 entretien et ATC</t>
  </si>
  <si>
    <t>reven</t>
  </si>
  <si>
    <t>absent 27/01 et 17/02</t>
  </si>
  <si>
    <t xml:space="preserve">absent 5/08 et 21/08 - retour de CLI - positionnement defricheurs
absent le 20/02 entretien ind+ atc </t>
  </si>
  <si>
    <t>Absent 10/12 et 12/01 - SUSPENSION REMOB non soumis droits et devoirs depuis octobre 2025</t>
  </si>
  <si>
    <t>Absent 26/01/26 et le 25/02</t>
  </si>
  <si>
    <t>DATE premier SM</t>
  </si>
  <si>
    <t>non soumis D&amp;D depuis Oct 2025</t>
  </si>
  <si>
    <t>reo sociale suite arret du 16/01 au 22/03</t>
  </si>
  <si>
    <t>2e absence etant l'ATC du 25/09 
Absent 10/02 et 25/02 S/REMOB</t>
  </si>
  <si>
    <r>
      <t xml:space="preserve">PARCOUR PRO FT + CDD AIRE 02/03/26 </t>
    </r>
    <r>
      <rPr>
        <sz val="11"/>
        <color rgb="FFFF0000"/>
        <rFont val="Arial"/>
        <family val="2"/>
      </rPr>
      <t xml:space="preserve">attente de retour insertion </t>
    </r>
  </si>
  <si>
    <t>reçu le 27/02 mais pas inscrite, rendez redonné</t>
  </si>
  <si>
    <t>ABSENT 27/02</t>
  </si>
  <si>
    <t>FLE +++</t>
  </si>
  <si>
    <t>FREINS IDENTIFIES</t>
  </si>
  <si>
    <t>MOTIF de la REO</t>
  </si>
  <si>
    <t xml:space="preserve">DATE SORTIE </t>
  </si>
  <si>
    <t>Saisie FSE</t>
  </si>
  <si>
    <r>
      <t xml:space="preserve">FLE </t>
    </r>
    <r>
      <rPr>
        <sz val="10"/>
        <color theme="1"/>
        <rFont val="Arial"/>
        <family val="2"/>
      </rPr>
      <t>(GoOn-Ifra-Ville Bourg-centre social..)</t>
    </r>
  </si>
  <si>
    <t>Declic Emploi HBA</t>
  </si>
  <si>
    <t>MIFE 01</t>
  </si>
  <si>
    <t xml:space="preserve">AIDE FINANCIERE </t>
  </si>
  <si>
    <t>Conseillers numériques</t>
  </si>
  <si>
    <t>GO ON</t>
  </si>
  <si>
    <t xml:space="preserve">MOBILITE </t>
  </si>
  <si>
    <t xml:space="preserve">ARIANE </t>
  </si>
  <si>
    <t xml:space="preserve">AGENT DE SANTE </t>
  </si>
  <si>
    <t xml:space="preserve">ADAPT </t>
  </si>
  <si>
    <t xml:space="preserve">ORSAC </t>
  </si>
  <si>
    <t>REPIT PARENTAL</t>
  </si>
  <si>
    <t>Clauses sociales</t>
  </si>
  <si>
    <t>Autres (preciser)</t>
  </si>
  <si>
    <t>NOMBRE D OFFRES D EMPLOI PROPOSEES (OE/INFO COLL/jobdating..)(chiffres à cumuler / mois</t>
  </si>
  <si>
    <t>NBRE D ENTRETIENS DE RECRUTEMENT OBTENUS SUITE A VOS OFFRES D EMPLOI(chiffres à cumuler / mois</t>
  </si>
  <si>
    <t>Sortie + sous objectif (les noter en vert tant que vous les garder en suivi dans l'emploi)</t>
  </si>
  <si>
    <t>suspension remob</t>
  </si>
  <si>
    <t>Cli</t>
  </si>
  <si>
    <t xml:space="preserve">Niveau 1 : AVERTISSEMENT AVANT SUSPENSION </t>
  </si>
  <si>
    <t>Niveau 2 : suspension remobilisation</t>
  </si>
  <si>
    <t>Etape 3 : Etape pluridisciplinaire CLI</t>
  </si>
  <si>
    <t>2 eme manquement (process direct etape 3)</t>
  </si>
  <si>
    <t>Nom</t>
  </si>
  <si>
    <t>Prénom</t>
  </si>
  <si>
    <t>1er mois</t>
  </si>
  <si>
    <t>2e mois</t>
  </si>
  <si>
    <t>3e mois</t>
  </si>
  <si>
    <t>4e mois</t>
  </si>
  <si>
    <t>5e mois</t>
  </si>
  <si>
    <t>6e mois</t>
  </si>
  <si>
    <t>7e mois</t>
  </si>
  <si>
    <t>8e mois</t>
  </si>
  <si>
    <t>9e mois</t>
  </si>
  <si>
    <t>10e mois</t>
  </si>
  <si>
    <t>11e mois</t>
  </si>
  <si>
    <t>12e mois</t>
  </si>
  <si>
    <t>Dde etude de situation.</t>
  </si>
  <si>
    <t xml:space="preserve">date de la demande </t>
  </si>
  <si>
    <t>Date courrier CDS (voir extraction transmise)</t>
  </si>
  <si>
    <t>Délai 15 jours pour contact</t>
  </si>
  <si>
    <t xml:space="preserve">Contact BRSA - 15 jours  </t>
  </si>
  <si>
    <t xml:space="preserve">Mail INFO CDS  </t>
  </si>
  <si>
    <t>Délai de 35 jours pour reprendre contact</t>
  </si>
  <si>
    <t xml:space="preserve">le BRSA s'est manifesté ? </t>
  </si>
  <si>
    <t xml:space="preserve">Mail d'info au CDS manifestation ou non dans les 35 jours  </t>
  </si>
  <si>
    <t xml:space="preserve">Date CLI si le BRSA ne s'est pas manifesté au bout des 35 jours </t>
  </si>
  <si>
    <t>date demande étude de situation (Mail CDS)</t>
  </si>
  <si>
    <t>DATE courrier CDS</t>
  </si>
  <si>
    <t xml:space="preserve">35j pour reprendre contact date butoire </t>
  </si>
  <si>
    <t>DATE CLI</t>
  </si>
  <si>
    <t>nombres de démarches / par semaine</t>
  </si>
  <si>
    <t>7 eme mois Bilan fin de parcours</t>
  </si>
  <si>
    <t>14éme mois Bilan définitif</t>
  </si>
  <si>
    <t>nom</t>
  </si>
  <si>
    <t>prenom</t>
  </si>
  <si>
    <t>demande</t>
  </si>
  <si>
    <t>Date</t>
  </si>
  <si>
    <t>Renouvellement</t>
  </si>
  <si>
    <t>13e mois</t>
  </si>
  <si>
    <t xml:space="preserve">Date </t>
  </si>
  <si>
    <t>Préco Réo</t>
  </si>
  <si>
    <t xml:space="preserve"> </t>
  </si>
  <si>
    <t>Tripartite</t>
  </si>
  <si>
    <t>Réo FT</t>
  </si>
  <si>
    <t xml:space="preserve">Absence avant signature CE </t>
  </si>
  <si>
    <t>1ER RDV</t>
  </si>
  <si>
    <t>2EME</t>
  </si>
  <si>
    <t>Absences 2026 cumulées par mois (rdv-atelier-forum-jobdating..)  Après signature CE</t>
  </si>
  <si>
    <t>absent ATC 25/09 ET 6/01 ATC 8/01 : SUSPENSION REMOBILISATION</t>
  </si>
  <si>
    <t>Nombre de H/F</t>
  </si>
  <si>
    <t>Moyenne de âge</t>
  </si>
  <si>
    <t>Valeurs</t>
  </si>
  <si>
    <t>Nombre de CONTRAT ENGAGEMENT SIGNE</t>
  </si>
  <si>
    <t>BILAN PARCOURS (7eme mois)</t>
  </si>
  <si>
    <t>Nombre de Saisie FSE</t>
  </si>
  <si>
    <t xml:space="preserve">Nombre de AIDE FINANCIERE </t>
  </si>
  <si>
    <t>Nombre de BILAN PARCOURS (7eme mois)</t>
  </si>
  <si>
    <t>Somme de PMSMP</t>
  </si>
  <si>
    <t>Étiquettes de lignes</t>
  </si>
  <si>
    <t>(vide)</t>
  </si>
  <si>
    <t>Total général</t>
  </si>
  <si>
    <t>Nombre de Motif de sortie</t>
  </si>
  <si>
    <t>Nombre de MOTIF de la REO</t>
  </si>
  <si>
    <t>Nombre de types</t>
  </si>
  <si>
    <t>Nombre de 1er mois</t>
  </si>
  <si>
    <t>Nombre de 2e mois</t>
  </si>
  <si>
    <t>Nombre de 3e mois</t>
  </si>
  <si>
    <t>Nombre de 4e mois</t>
  </si>
  <si>
    <t>Nombre de 5e mois</t>
  </si>
  <si>
    <t>Nombre de 6e mois</t>
  </si>
  <si>
    <t>Nombre de demande</t>
  </si>
  <si>
    <t>Nombre de Renouvellement</t>
  </si>
  <si>
    <t>Nombre de 8e mois</t>
  </si>
  <si>
    <t>Nombre de 9e mois</t>
  </si>
  <si>
    <t>Nombre de 10e mois</t>
  </si>
  <si>
    <t>Nombre de 11e mois</t>
  </si>
  <si>
    <t>Nombre de 12e mois</t>
  </si>
  <si>
    <t>Nombre de Préco Réo</t>
  </si>
  <si>
    <t xml:space="preserve">Bilan de parcours + démarches </t>
  </si>
  <si>
    <t>Somme de 1ER RDV</t>
  </si>
  <si>
    <t>Somme de 2EME</t>
  </si>
  <si>
    <t>Nombre de 7e mois</t>
  </si>
  <si>
    <t>Nombre de Dde etude de situation.</t>
  </si>
  <si>
    <t xml:space="preserve">Nombre de date de la demande </t>
  </si>
  <si>
    <t>Mauvaise orientation</t>
  </si>
  <si>
    <t>Fin bilan parcours</t>
  </si>
  <si>
    <t>Resultat bilan parcours</t>
  </si>
  <si>
    <t>Reo FT</t>
  </si>
  <si>
    <t>Réo sociale</t>
  </si>
  <si>
    <t>SORTIES DU DISPOSITIF</t>
  </si>
  <si>
    <t>Territoire: CDS OYONNAX NANTUA - LOT 2/ CLPE ZONE 4</t>
  </si>
  <si>
    <t>Stagiaire en formation</t>
  </si>
  <si>
    <t>absent 9/03</t>
  </si>
  <si>
    <t>CDI DEPUIS 3/03</t>
  </si>
  <si>
    <t>GABRIEL</t>
  </si>
  <si>
    <t>Absent 10/02 et le 11/03</t>
  </si>
  <si>
    <t>absent atc 10/03</t>
  </si>
  <si>
    <t>Absent 26/01 et 12/03</t>
  </si>
  <si>
    <t>VACCA</t>
  </si>
  <si>
    <t>NICOLAS</t>
  </si>
  <si>
    <t>LEBRET</t>
  </si>
  <si>
    <t>ISABELLE</t>
  </si>
  <si>
    <t>absent atc 13/01 - Entretien difficile (syndrome de persécution) et 2-/03 rdv de diana- acte de présence au jobdating absent atc 10/02 TRIPARTITE DEMANDE</t>
  </si>
  <si>
    <t>Absent ATC 09/09/25 - creation le 15/02/26</t>
  </si>
  <si>
    <t>Absent 3/12 et 29/12 - SUSPENSION REMOB absent 19/03</t>
  </si>
  <si>
    <t>absent atc 3/03 ,10/03 et 23/03 suspension remo</t>
  </si>
  <si>
    <t xml:space="preserve">absent le 26/08 ATC et le 8/09 - retour de cli : absent sofeo 8/12 ,  ATC 18/12 et 23/12 SANCTION suppression RSA </t>
  </si>
  <si>
    <t>Absent 28/01 et 20/02 sorti rsa 10/03/26 reo sosial 12/03/26</t>
  </si>
  <si>
    <t>mobilte</t>
  </si>
  <si>
    <t xml:space="preserve">Absent 29/12 et 20/01 SUSPENSION REMOB absent 31/03/26 retour suspension </t>
  </si>
  <si>
    <t>absent le 10/02/26 et 11/03 suspension remo</t>
  </si>
  <si>
    <t>SECGIN</t>
  </si>
  <si>
    <t>MERYEM</t>
  </si>
  <si>
    <t>poei 2 mois a oartir du 2/04/26 puis cdi 35h</t>
  </si>
  <si>
    <t>AMMAR </t>
  </si>
  <si>
    <t>Adam</t>
  </si>
  <si>
    <t>FREDERIC</t>
  </si>
  <si>
    <t>COLLOMB</t>
  </si>
  <si>
    <t>CATHERINE</t>
  </si>
  <si>
    <t>MORFIN</t>
  </si>
  <si>
    <t>fle++</t>
  </si>
  <si>
    <t>Gulsah</t>
  </si>
  <si>
    <t>2/09 absente / BB 6 mois + enceinte de 3 mois // absente 03/04</t>
  </si>
  <si>
    <t xml:space="preserve">SANTE </t>
  </si>
  <si>
    <t>CHAMCHAM </t>
  </si>
  <si>
    <t>M'barek</t>
  </si>
  <si>
    <t xml:space="preserve">CHEVAUCHET </t>
  </si>
  <si>
    <t>Andy</t>
  </si>
  <si>
    <t>Chaima</t>
  </si>
  <si>
    <t>EL BARHMI </t>
  </si>
  <si>
    <t xml:space="preserve">JEBARI </t>
  </si>
  <si>
    <t>Naoual</t>
  </si>
  <si>
    <t xml:space="preserve">LOPES CABRAL </t>
  </si>
  <si>
    <t>Pierre</t>
  </si>
  <si>
    <t xml:space="preserve">RISSELIN </t>
  </si>
  <si>
    <t xml:space="preserve">BEL HAJ MOHAMED </t>
  </si>
  <si>
    <t>Ahmed</t>
  </si>
  <si>
    <t>ZIED</t>
  </si>
  <si>
    <t>absent 10/12 ET ATC 8/01 et 15/01 -ATC 16/03 ( justificatif en attente)// absent  7/04 et atc 16/04</t>
  </si>
  <si>
    <t xml:space="preserve"> absent ATC 16/04</t>
  </si>
  <si>
    <t>absent atc 16/04 et 17/04</t>
  </si>
  <si>
    <t>FLE - Défricheur ? Ne va plus au cours de francais / ne parle pas du tout le francais absent  atc 12/02 et entretien 13/04</t>
  </si>
  <si>
    <t>2e rdv 8/09/25// absent 2retour cli 2/12/25  et 24/04/26</t>
  </si>
  <si>
    <t xml:space="preserve">1 refus d offre </t>
  </si>
  <si>
    <t>SAHBAZER </t>
  </si>
  <si>
    <t>Fatih</t>
  </si>
  <si>
    <t>reorientation FT faite sur demande de M. Billoud</t>
  </si>
  <si>
    <t>absent 22/04 et 11/05</t>
  </si>
  <si>
    <t>absente 13/01 et 15/01  FORMATION WEBMARKETER 05/02/26 auto financée</t>
  </si>
  <si>
    <t>demission poste CDI - absent 12/01 et 15/01 26/01- SUSPENSION REMOB
absent ATC 16/03  CDD 2 MOIS</t>
  </si>
  <si>
    <t xml:space="preserve">pbme de diogène - CLI le 16/12/2025 - jamais repris contact // fin rsa </t>
  </si>
  <si>
    <t xml:space="preserve"> PAS ACCES SDP Absent 18/02 et 18/05</t>
  </si>
  <si>
    <t>iae</t>
  </si>
  <si>
    <r>
      <t>22/09 absent passé cli pas repris contact MAIL CDS LE 21/05/26 CAR IL A DE L</t>
    </r>
    <r>
      <rPr>
        <sz val="9"/>
        <color rgb="FFFFC000"/>
        <rFont val="Arial"/>
        <family val="2"/>
      </rPr>
      <t xml:space="preserve"> ARE JUSQU EN 11/26</t>
    </r>
  </si>
  <si>
    <t>renouvellement - 1 mois d'arret maladie - PMSMP aide a domicile ABSENTE 25/05</t>
  </si>
  <si>
    <t>SANCTION REMOB A PREVOIR absent 2/02, atc 10/03 et 26/05</t>
  </si>
  <si>
    <t>IAE</t>
  </si>
  <si>
    <t>agent entretien gle des sces : CDI du 1/12 -  absent 24/11/25  CDD 1/04 AU 30/09/26 130H</t>
  </si>
  <si>
    <t xml:space="preserve">BAMBA </t>
  </si>
  <si>
    <t>Tenimba</t>
  </si>
  <si>
    <t xml:space="preserve">RODRIGUEZ- PODESTA </t>
  </si>
  <si>
    <t>Alexis</t>
  </si>
  <si>
    <t xml:space="preserve">YILDIZ </t>
  </si>
  <si>
    <t>Yusuf</t>
  </si>
  <si>
    <t>Absent 6/01 atc - lui parler du voile… absent atc 10/03 ET 19/05 JOB DATING</t>
  </si>
  <si>
    <t xml:space="preserve">AMAL </t>
  </si>
  <si>
    <t>ROSSIGNOL </t>
  </si>
  <si>
    <t>Tiffany</t>
  </si>
  <si>
    <t xml:space="preserve">BOUNABI </t>
  </si>
  <si>
    <t>Azedine</t>
  </si>
  <si>
    <t>CHAU</t>
  </si>
  <si>
    <t xml:space="preserve">Georges </t>
  </si>
  <si>
    <t xml:space="preserve">FLIPO </t>
  </si>
  <si>
    <t>Morgann</t>
  </si>
  <si>
    <t>absent le02/09  et le 1/10 ATC / pas repris contact Absent 09/06/26</t>
  </si>
  <si>
    <t>absences répétes (agent sante et atelier) / Pas repris contact Absent 9/06/26</t>
  </si>
  <si>
    <t>couturiere poste AIRE absent 22/04 atc /// tripartite le 09/06/26</t>
  </si>
  <si>
    <t>OZKAN</t>
  </si>
  <si>
    <t>absent 19/01/26   CDD 20/04 AU 31/07</t>
  </si>
  <si>
    <t>01/05/206</t>
  </si>
  <si>
    <t>CE Signé</t>
  </si>
  <si>
    <t xml:space="preserve">Fin acc 12 mois </t>
  </si>
  <si>
    <t xml:space="preserve">Radié( e ) suite CLI </t>
  </si>
  <si>
    <t xml:space="preserve">ALCHAB </t>
  </si>
  <si>
    <t>Younes</t>
  </si>
  <si>
    <t xml:space="preserve">MOUHSINE </t>
  </si>
  <si>
    <t>Amine</t>
  </si>
  <si>
    <t xml:space="preserve">OUAFIK </t>
  </si>
  <si>
    <t>Marouane</t>
  </si>
  <si>
    <t xml:space="preserve">SAHLI </t>
  </si>
  <si>
    <t>Rahma</t>
  </si>
  <si>
    <t xml:space="preserve">MICHAUD </t>
  </si>
  <si>
    <t>Thierry</t>
  </si>
  <si>
    <t xml:space="preserve">MAGOUH </t>
  </si>
  <si>
    <t xml:space="preserve">Fikry </t>
  </si>
  <si>
    <t>Agnes</t>
  </si>
  <si>
    <t xml:space="preserve">FAVRAT </t>
  </si>
  <si>
    <t>Carine</t>
  </si>
  <si>
    <t xml:space="preserve">ACHOUR </t>
  </si>
  <si>
    <t>Dora</t>
  </si>
  <si>
    <t>cdi depuis 02/02/26, 35h</t>
  </si>
  <si>
    <t>arret du 05/06 au 05/07</t>
  </si>
  <si>
    <t xml:space="preserve">KABERUKA </t>
  </si>
  <si>
    <t>Nyiramahoro</t>
  </si>
  <si>
    <t>retour CLI - absent 23/12 , atc 3/03 et absent 11/03 FIN DROIT RADIE AU 10/03
 poprawarenata78@gmail.com</t>
  </si>
  <si>
    <t xml:space="preserve">KORUCU </t>
  </si>
  <si>
    <t>Sevcan</t>
  </si>
  <si>
    <t xml:space="preserve">GUNBEY </t>
  </si>
  <si>
    <t>Ayhan</t>
  </si>
  <si>
    <t>ABSENT 27/04 ARRET MALADIE DU 15/06 AU 29/07</t>
  </si>
  <si>
    <t xml:space="preserve">Absent  ATC 16/04 et 23/06 incarceration </t>
  </si>
  <si>
    <t xml:space="preserve">GARRA MALEM </t>
  </si>
  <si>
    <t xml:space="preserve">Saida </t>
  </si>
  <si>
    <t>absent atc 18/06 et rdv 23/06</t>
  </si>
  <si>
    <t>P8</t>
  </si>
  <si>
    <t>P9</t>
  </si>
  <si>
    <t>P16</t>
  </si>
  <si>
    <t>P17</t>
  </si>
  <si>
    <t>P21</t>
  </si>
  <si>
    <t>P23</t>
  </si>
  <si>
    <t>P25</t>
  </si>
  <si>
    <t>P42</t>
  </si>
  <si>
    <t>P43</t>
  </si>
  <si>
    <t>P45</t>
  </si>
  <si>
    <t>P46</t>
  </si>
  <si>
    <t>P47</t>
  </si>
  <si>
    <t>P48</t>
  </si>
  <si>
    <t>P49</t>
  </si>
  <si>
    <t>P50</t>
  </si>
  <si>
    <t>P51</t>
  </si>
  <si>
    <t>P53</t>
  </si>
  <si>
    <t>P72</t>
  </si>
  <si>
    <t>P73</t>
  </si>
  <si>
    <t>P74</t>
  </si>
  <si>
    <t>P92</t>
  </si>
  <si>
    <t>P93</t>
  </si>
  <si>
    <t>P94</t>
  </si>
  <si>
    <t>P95</t>
  </si>
  <si>
    <t>P102</t>
  </si>
  <si>
    <t>P113</t>
  </si>
  <si>
    <t>P116</t>
  </si>
  <si>
    <t>P121</t>
  </si>
  <si>
    <t>P122</t>
  </si>
  <si>
    <t>P123</t>
  </si>
  <si>
    <t>P140</t>
  </si>
  <si>
    <t>P156</t>
  </si>
  <si>
    <t>P157</t>
  </si>
  <si>
    <t>P158</t>
  </si>
  <si>
    <t>P161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</si>
  <si>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</si>
  <si>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</si>
  <si>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</si>
  <si>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</si>
  <si>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</si>
  <si>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</si>
  <si>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</si>
  <si>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</si>
  <si>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</si>
  <si>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</si>
  <si>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</si>
  <si>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</si>
  <si>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</si>
  <si>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</si>
  <si>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P316</t>
  </si>
  <si>
    <t>P317</t>
  </si>
  <si>
    <t>P423</t>
  </si>
  <si>
    <t>P477</t>
  </si>
  <si>
    <t>P481</t>
  </si>
  <si>
    <t>P483</t>
  </si>
  <si>
    <t>P484</t>
  </si>
  <si>
    <t>P486</t>
  </si>
  <si>
    <t>P488</t>
  </si>
  <si>
    <t>P497</t>
  </si>
  <si>
    <t>P512</t>
  </si>
  <si>
    <t>P513</t>
  </si>
  <si>
    <t>P514</t>
  </si>
  <si>
    <t>P737</t>
  </si>
  <si>
    <t>P762</t>
  </si>
  <si>
    <t>P764</t>
  </si>
  <si>
    <t>P766</t>
  </si>
  <si>
    <t>P767</t>
  </si>
  <si>
    <t>P771</t>
  </si>
  <si>
    <t>P779</t>
  </si>
  <si>
    <t>P820</t>
  </si>
  <si>
    <t>P977</t>
  </si>
  <si>
    <t>P978</t>
  </si>
  <si>
    <t>P1003</t>
  </si>
  <si>
    <t>P1004</t>
  </si>
  <si>
    <t>P1005</t>
  </si>
  <si>
    <t>P1010</t>
  </si>
  <si>
    <t>P1015</t>
  </si>
  <si>
    <t>P1115</t>
  </si>
  <si>
    <t>P1116</t>
  </si>
  <si>
    <t>P1117</t>
  </si>
  <si>
    <t>P1123</t>
  </si>
  <si>
    <t>P1143</t>
  </si>
  <si>
    <t>P1144</t>
  </si>
  <si>
    <t>P1145</t>
  </si>
  <si>
    <t>P1146</t>
  </si>
  <si>
    <t>P1147</t>
  </si>
  <si>
    <t>P861</t>
  </si>
  <si>
    <t>P1212</t>
  </si>
  <si>
    <t xml:space="preserve">ABSENT 18/06 </t>
  </si>
  <si>
    <t>ABSENT 12/06/26 et 26/06</t>
  </si>
  <si>
    <t xml:space="preserve"> Kamel  </t>
  </si>
  <si>
    <t xml:space="preserve">SOLTANI </t>
  </si>
  <si>
    <t xml:space="preserve">BUFFARD </t>
  </si>
  <si>
    <t xml:space="preserve">Jessica </t>
  </si>
  <si>
    <t>NEM</t>
  </si>
  <si>
    <t>Chan</t>
  </si>
  <si>
    <t xml:space="preserve">BELHADJ </t>
  </si>
  <si>
    <t xml:space="preserve"> Lila </t>
  </si>
  <si>
    <t xml:space="preserve">DE BONA </t>
  </si>
  <si>
    <t xml:space="preserve"> Vanessa </t>
  </si>
  <si>
    <t>CENGIZ</t>
  </si>
  <si>
    <t xml:space="preserve"> Elif </t>
  </si>
  <si>
    <t xml:space="preserve"> Christelle  </t>
  </si>
  <si>
    <t xml:space="preserve">FICHOT </t>
  </si>
  <si>
    <t xml:space="preserve">DEDIC </t>
  </si>
  <si>
    <r>
      <t xml:space="preserve"> Hanifa</t>
    </r>
    <r>
      <rPr>
        <sz val="10"/>
        <color rgb="FF000000"/>
        <rFont val="Euphemia"/>
        <family val="2"/>
      </rPr>
      <t xml:space="preserve"> </t>
    </r>
  </si>
  <si>
    <t>VAHA  </t>
  </si>
  <si>
    <t xml:space="preserve"> Perline  </t>
  </si>
  <si>
    <t>Absent 22/06/26 et 7/07</t>
  </si>
  <si>
    <t>P1267</t>
  </si>
  <si>
    <t xml:space="preserve">BUISSON </t>
  </si>
  <si>
    <r>
      <t xml:space="preserve">TOURI </t>
    </r>
    <r>
      <rPr>
        <sz val="10"/>
        <color rgb="FF000000"/>
        <rFont val="Euphemia"/>
        <family val="2"/>
      </rPr>
      <t xml:space="preserve"> </t>
    </r>
  </si>
  <si>
    <r>
      <t xml:space="preserve"> Nabila</t>
    </r>
    <r>
      <rPr>
        <sz val="10"/>
        <color rgb="FF000000"/>
        <rFont val="Euphemia"/>
        <family val="2"/>
      </rPr>
      <t xml:space="preserve"> </t>
    </r>
  </si>
  <si>
    <t>MUREKEYISONI/ KAZIBAKE</t>
  </si>
  <si>
    <t>absent 16/06 et job dating 9/07</t>
  </si>
  <si>
    <t>absent 11/08 et 28/08 - contact repris pour signer CE - Absent 31/12 ATC //contrôle le 22/04 // absent le 7/05 et ATC 12/05 // absent le 13/07</t>
  </si>
  <si>
    <t>absent me 13/07</t>
  </si>
  <si>
    <t>STELLFELD  </t>
  </si>
  <si>
    <t xml:space="preserve"> Fanny  </t>
  </si>
  <si>
    <t xml:space="preserve">DJANE LOU </t>
  </si>
  <si>
    <t xml:space="preserve"> Nikima </t>
  </si>
  <si>
    <t xml:space="preserve">Sommes des sorties </t>
  </si>
  <si>
    <t xml:space="preserve">Somme de BRSA suivi - en cours  </t>
  </si>
  <si>
    <t>contrat en Espagne qui s'est avéré etre une arnaque - demarches santé - fait des demarches en suisse
 absent le 05/06 // CDI 13/07/26</t>
  </si>
  <si>
    <t xml:space="preserve">MIHOUBI </t>
  </si>
  <si>
    <t xml:space="preserve">Francois </t>
  </si>
  <si>
    <t xml:space="preserve">DA SILVA </t>
  </si>
  <si>
    <t>Sihem</t>
  </si>
  <si>
    <t xml:space="preserve">MAGOURA </t>
  </si>
  <si>
    <t xml:space="preserve">Fouzi </t>
  </si>
  <si>
    <t xml:space="preserve">KHAJOU </t>
  </si>
  <si>
    <t xml:space="preserve">Kamale </t>
  </si>
  <si>
    <t xml:space="preserve"> Fatima </t>
  </si>
  <si>
    <t xml:space="preserve">MESSAOUDI /ATTAR </t>
  </si>
  <si>
    <t xml:space="preserve"> Naima </t>
  </si>
  <si>
    <t>ENFANTS MDPH</t>
  </si>
  <si>
    <t xml:space="preserve">SOARES LIMA </t>
  </si>
  <si>
    <t xml:space="preserve"> Emelly </t>
  </si>
  <si>
    <t xml:space="preserve">BOCKSTAL </t>
  </si>
  <si>
    <t xml:space="preserve">Sabine </t>
  </si>
  <si>
    <t>ABSENT 6/07 CDI 01/06/26</t>
  </si>
  <si>
    <t>absent 02/07 et 17/07</t>
  </si>
  <si>
    <t> Zine-El-Abidine</t>
  </si>
  <si>
    <t>SUSPENSION REMOBILISATION - 3j Aire arret / marie blachère arrêt  / contrat intermarché arret //CDD TRANSPORT FONTAINE 15H</t>
  </si>
  <si>
    <t>P1390</t>
  </si>
  <si>
    <t>P1391</t>
  </si>
  <si>
    <t>P1403</t>
  </si>
  <si>
    <t>P1404</t>
  </si>
  <si>
    <t>P22</t>
  </si>
  <si>
    <t>21/007/26</t>
  </si>
  <si>
    <t>absente 23/07</t>
  </si>
  <si>
    <t>MAEVA</t>
  </si>
  <si>
    <t>congés posés sur FT nouveau rdv le 25/08</t>
  </si>
  <si>
    <t>P1438</t>
  </si>
  <si>
    <t>ZRIBI/OUESLATI</t>
  </si>
  <si>
    <t>MEJBER / MAROINE</t>
  </si>
  <si>
    <t xml:space="preserve">ZITOUNI </t>
  </si>
  <si>
    <t xml:space="preserve"> Ouarda </t>
  </si>
  <si>
    <t>MANDOKHAIL</t>
  </si>
  <si>
    <t xml:space="preserve"> Faiz </t>
  </si>
  <si>
    <t xml:space="preserve"> Raouf </t>
  </si>
  <si>
    <t>absent 28/07</t>
  </si>
  <si>
    <t xml:space="preserve">absente le 29/09 - projet ambulanciere </t>
  </si>
  <si>
    <t>FLE</t>
  </si>
  <si>
    <t>absente 30/07</t>
  </si>
  <si>
    <t xml:space="preserve">MEHARI GEBREMESKEL </t>
  </si>
  <si>
    <t xml:space="preserve">Robel </t>
  </si>
  <si>
    <t xml:space="preserve">Zuno </t>
  </si>
  <si>
    <t>Nathalie</t>
  </si>
  <si>
    <t xml:space="preserve">Ouarda </t>
  </si>
  <si>
    <t>recyclaire</t>
  </si>
  <si>
    <t>11/08//26</t>
  </si>
  <si>
    <t xml:space="preserve">A refusé l'offre d'Alpy 01/09/26 // </t>
  </si>
  <si>
    <t>ABSENT 01/09</t>
  </si>
  <si>
    <t xml:space="preserve">MAADINI </t>
  </si>
  <si>
    <t xml:space="preserve">Mounir </t>
  </si>
  <si>
    <t xml:space="preserve">BOUSHABA </t>
  </si>
  <si>
    <t xml:space="preserve">Riad </t>
  </si>
  <si>
    <t>projet aide soignante</t>
  </si>
  <si>
    <t>absent 27/08 et 08/09</t>
  </si>
  <si>
    <t>absente 24/07 et 10/08</t>
  </si>
  <si>
    <t>absent 08/09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</si>
</sst>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77">
    <font>
      <sz val="11"/>
      <color theme="1"/>
      <name val="Calibri"/>
      <family val="2"/>
      <scheme val="minor"/>
    </font>
    <font>
      <sz val="10"/>
      <color theme="1"/>
      <name val="Euphemia"/>
      <family val="2"/>
    </font>
    <font>
      <sz val="10"/>
      <color rgb="FFFFFFFF"/>
      <name val="&amp;quot"/>
    </font>
    <font>
      <sz val="10"/>
      <color rgb="FF414856"/>
      <name val="&amp;quot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Times New Roman"/>
      <family val="1"/>
    </font>
    <font>
      <b/>
      <sz val="10"/>
      <color theme="1"/>
      <name val="Calibri"/>
      <family val="2"/>
      <scheme val="minor"/>
    </font>
    <font>
      <sz val="12"/>
      <name val="Times New Roman"/>
      <family val="1"/>
    </font>
    <font>
      <b/>
      <sz val="10"/>
      <color theme="0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0"/>
      <name val="Verdan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theme="6" tint="-0.499984740745262"/>
      <name val="Arial"/>
      <family val="2"/>
    </font>
    <font>
      <b/>
      <sz val="12"/>
      <color rgb="FFFF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  <font>
      <sz val="9"/>
      <color rgb="FF414042"/>
      <name val="Arial"/>
      <family val="2"/>
    </font>
    <font>
      <b/>
      <sz val="9"/>
      <color rgb="FFFF0000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3"/>
      <name val="Arial"/>
      <family val="2"/>
    </font>
    <font>
      <b/>
      <sz val="5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4"/>
      <color theme="1"/>
      <name val="Calibri"/>
      <family val="2"/>
      <scheme val="minor"/>
    </font>
    <font>
      <sz val="10"/>
      <color rgb="FF000000"/>
      <name val="Euphemia"/>
      <family val="2"/>
    </font>
    <font>
      <sz val="9"/>
      <color rgb="FF000000"/>
      <name val="Times New Roman"/>
      <family val="1"/>
    </font>
    <font>
      <sz val="10"/>
      <color rgb="FF414042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Arial"/>
      <family val="2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3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9"/>
      <color rgb="FFFFC000"/>
      <name val="Arial"/>
      <family val="2"/>
    </font>
    <font>
      <u/>
      <sz val="11"/>
      <color theme="10"/>
      <name val="Calibri"/>
      <family val="2"/>
      <scheme val="minor"/>
    </font>
    <font>
      <sz val="10"/>
      <name val="Euphemia"/>
      <family val="2"/>
    </font>
    <font>
      <sz val="10"/>
      <color indexed="8"/>
      <name val="Marianne"/>
    </font>
    <font>
      <sz val="9"/>
      <color rgb="FF333333"/>
      <name val="Arial"/>
      <family val="2"/>
    </font>
    <font>
      <b/>
      <i/>
      <sz val="12"/>
      <color theme="0"/>
      <name val="Arial"/>
      <family val="2"/>
    </font>
    <font>
      <b/>
      <sz val="12"/>
      <color theme="0"/>
      <name val="Arial"/>
      <family val="2"/>
    </font>
    <font>
      <sz val="11"/>
      <color rgb="FF333333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B6BA8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A6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60497A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981C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indexed="9"/>
      </patternFill>
    </fill>
    <fill>
      <patternFill patternType="solid">
        <fgColor theme="0"/>
      </patternFill>
    </fill>
    <fill>
      <patternFill patternType="solid">
        <fgColor rgb="FF92D050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ck">
        <color theme="3"/>
      </bottom>
      <diagonal/>
    </border>
    <border>
      <left/>
      <right/>
      <top/>
      <bottom style="thin">
        <color indexed="64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 style="thin">
        <color indexed="64"/>
      </left>
      <right/>
      <top style="thick">
        <color theme="3"/>
      </top>
      <bottom/>
      <diagonal/>
    </border>
    <border>
      <left style="thick">
        <color rgb="FF002060"/>
      </left>
      <right style="thick">
        <color rgb="FF002060"/>
      </right>
      <top/>
      <bottom/>
      <diagonal/>
    </border>
    <border>
      <left style="medium">
        <color rgb="FF002060"/>
      </left>
      <right style="thick">
        <color rgb="FF002060"/>
      </right>
      <top/>
      <bottom/>
      <diagonal/>
    </border>
    <border>
      <left style="thick">
        <color theme="3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ck">
        <color rgb="FF002060"/>
      </left>
      <right style="thick">
        <color rgb="FF002060"/>
      </right>
      <top style="medium">
        <color rgb="FF002060"/>
      </top>
      <bottom style="thick">
        <color rgb="FF002060"/>
      </bottom>
      <diagonal/>
    </border>
    <border>
      <left style="medium">
        <color rgb="FF002060"/>
      </left>
      <right style="thick">
        <color rgb="FF002060"/>
      </right>
      <top style="medium">
        <color rgb="FF002060"/>
      </top>
      <bottom style="thick">
        <color rgb="FF002060"/>
      </bottom>
      <diagonal/>
    </border>
    <border>
      <left style="thick">
        <color theme="3"/>
      </left>
      <right style="thick">
        <color theme="3"/>
      </right>
      <top style="thick">
        <color theme="3"/>
      </top>
      <bottom/>
      <diagonal/>
    </border>
    <border>
      <left style="thick">
        <color theme="3"/>
      </left>
      <right style="thin">
        <color indexed="64"/>
      </right>
      <top style="thick">
        <color theme="3"/>
      </top>
      <bottom/>
      <diagonal/>
    </border>
    <border>
      <left style="thin">
        <color indexed="64"/>
      </left>
      <right style="thick">
        <color rgb="FF002060"/>
      </right>
      <top style="thick">
        <color theme="3"/>
      </top>
      <bottom/>
      <diagonal/>
    </border>
    <border>
      <left style="thick">
        <color theme="3"/>
      </left>
      <right style="thick">
        <color theme="3"/>
      </right>
      <top/>
      <bottom/>
      <diagonal/>
    </border>
    <border>
      <left style="thick">
        <color theme="3"/>
      </left>
      <right style="thin">
        <color indexed="64"/>
      </right>
      <top/>
      <bottom/>
      <diagonal/>
    </border>
    <border>
      <left style="thin">
        <color indexed="64"/>
      </left>
      <right style="thick">
        <color rgb="FF002060"/>
      </right>
      <top/>
      <bottom/>
      <diagonal/>
    </border>
    <border>
      <left style="thick">
        <color theme="3"/>
      </left>
      <right style="thick">
        <color theme="3"/>
      </right>
      <top/>
      <bottom style="thick">
        <color theme="3"/>
      </bottom>
      <diagonal/>
    </border>
    <border>
      <left style="thin">
        <color indexed="64"/>
      </left>
      <right style="thick">
        <color rgb="FF002060"/>
      </right>
      <top/>
      <bottom style="thick">
        <color theme="3"/>
      </bottom>
      <diagonal/>
    </border>
    <border>
      <left style="thick">
        <color rgb="FF002060"/>
      </left>
      <right/>
      <top/>
      <bottom/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2060"/>
      </left>
      <right style="thick">
        <color rgb="FF002060"/>
      </right>
      <top style="thin">
        <color indexed="64"/>
      </top>
      <bottom style="thick">
        <color rgb="FF002060"/>
      </bottom>
      <diagonal/>
    </border>
    <border>
      <left/>
      <right/>
      <top style="thick">
        <color theme="3"/>
      </top>
      <bottom/>
      <diagonal/>
    </border>
    <border>
      <left style="thick">
        <color theme="3"/>
      </left>
      <right style="thin">
        <color indexed="64"/>
      </right>
      <top/>
      <bottom style="thick">
        <color theme="3"/>
      </bottom>
      <diagonal/>
    </border>
    <border>
      <left style="thick">
        <color rgb="FF1F497D"/>
      </left>
      <right style="thick">
        <color rgb="FF002060"/>
      </right>
      <top style="thick">
        <color rgb="FF1F497D"/>
      </top>
      <bottom style="thick">
        <color rgb="FF1F497D"/>
      </bottom>
      <diagonal/>
    </border>
    <border>
      <left style="thick">
        <color rgb="FF002060"/>
      </left>
      <right/>
      <top style="thick">
        <color rgb="FF1F497D"/>
      </top>
      <bottom style="thick">
        <color rgb="FF1F497D"/>
      </bottom>
      <diagonal/>
    </border>
    <border>
      <left/>
      <right style="thin">
        <color indexed="64"/>
      </right>
      <top style="thin">
        <color rgb="FF9BC2E6"/>
      </top>
      <bottom/>
      <diagonal/>
    </border>
    <border>
      <left style="thick">
        <color rgb="FF002060"/>
      </left>
      <right style="thick">
        <color rgb="FF002060"/>
      </right>
      <top style="thick">
        <color theme="3"/>
      </top>
      <bottom/>
      <diagonal/>
    </border>
    <border>
      <left/>
      <right style="thin">
        <color indexed="64"/>
      </right>
      <top/>
      <bottom style="thin">
        <color rgb="FF9BC2E6"/>
      </bottom>
      <diagonal/>
    </border>
    <border>
      <left style="thick">
        <color rgb="FF002060"/>
      </left>
      <right style="thick">
        <color rgb="FF002060"/>
      </right>
      <top/>
      <bottom style="thick">
        <color theme="3"/>
      </bottom>
      <diagonal/>
    </border>
    <border>
      <left/>
      <right/>
      <top style="thin">
        <color rgb="FF9BC2E6"/>
      </top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 style="medium">
        <color rgb="FF002060"/>
      </left>
      <right style="thick">
        <color rgb="FF002060"/>
      </right>
      <top style="medium">
        <color rgb="FF002060"/>
      </top>
      <bottom/>
      <diagonal/>
    </border>
    <border>
      <left style="thick">
        <color theme="3"/>
      </left>
      <right style="thick">
        <color theme="3"/>
      </right>
      <top style="thick">
        <color theme="3" tint="-0.499984740745262"/>
      </top>
      <bottom/>
      <diagonal/>
    </border>
    <border>
      <left style="thin">
        <color indexed="64"/>
      </left>
      <right/>
      <top style="thin">
        <color rgb="FF9BC2E6"/>
      </top>
      <bottom/>
      <diagonal/>
    </border>
    <border>
      <left style="thick">
        <color rgb="FF002060"/>
      </left>
      <right style="thick">
        <color rgb="FF002060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rgb="FF002060"/>
      </left>
      <right style="thick">
        <color rgb="FF002060"/>
      </right>
      <top/>
      <bottom style="thick">
        <color rgb="FF00206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9" fillId="0" borderId="0"/>
    <xf numFmtId="0" fontId="7" fillId="0" borderId="0"/>
    <xf numFmtId="0" fontId="70" fillId="0" borderId="0" applyNumberFormat="0" applyFill="0" applyBorder="0" applyAlignment="0" applyProtection="0"/>
  </cellStyleXfs>
  <cellXfs count="672">
    <xf numFmtId="0" fontId="0" fillId="0" borderId="0" xfId="0"/>
    <xf numFmtId="0" fontId="2" fillId="5" borderId="10" xfId="0" applyFont="1" applyFill="1" applyBorder="1" applyAlignment="1">
      <alignment horizontal="left" vertical="center" wrapText="1"/>
    </xf>
    <xf numFmtId="0" fontId="3" fillId="6" borderId="11" xfId="0" applyFont="1" applyFill="1" applyBorder="1" applyAlignment="1">
      <alignment vertical="center" wrapText="1"/>
    </xf>
    <xf numFmtId="0" fontId="3" fillId="6" borderId="12" xfId="0" applyFont="1" applyFill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5" fillId="8" borderId="0" xfId="0" applyFont="1" applyFill="1"/>
    <xf numFmtId="0" fontId="5" fillId="0" borderId="0" xfId="0" applyFont="1"/>
    <xf numFmtId="0" fontId="10" fillId="8" borderId="0" xfId="0" applyFont="1" applyFill="1" applyAlignment="1">
      <alignment horizontal="center" vertical="center" wrapText="1"/>
    </xf>
    <xf numFmtId="0" fontId="10" fillId="9" borderId="0" xfId="0" quotePrefix="1" applyFont="1" applyFill="1" applyAlignment="1">
      <alignment horizontal="center" vertical="center" wrapText="1"/>
    </xf>
    <xf numFmtId="164" fontId="11" fillId="9" borderId="0" xfId="0" quotePrefix="1" applyNumberFormat="1" applyFont="1" applyFill="1" applyAlignment="1">
      <alignment horizontal="center" vertical="center" wrapText="1"/>
    </xf>
    <xf numFmtId="0" fontId="10" fillId="9" borderId="15" xfId="0" quotePrefix="1" applyFont="1" applyFill="1" applyBorder="1" applyAlignment="1">
      <alignment horizontal="center" vertical="center" wrapText="1"/>
    </xf>
    <xf numFmtId="0" fontId="10" fillId="9" borderId="16" xfId="0" quotePrefix="1" applyFont="1" applyFill="1" applyBorder="1" applyAlignment="1">
      <alignment horizontal="center" vertical="center" wrapText="1"/>
    </xf>
    <xf numFmtId="0" fontId="4" fillId="12" borderId="19" xfId="0" applyFont="1" applyFill="1" applyBorder="1" applyAlignment="1">
      <alignment vertical="center" wrapText="1"/>
    </xf>
    <xf numFmtId="0" fontId="4" fillId="12" borderId="20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13" borderId="23" xfId="0" applyFont="1" applyFill="1" applyBorder="1" applyAlignment="1">
      <alignment vertical="center" wrapText="1"/>
    </xf>
    <xf numFmtId="0" fontId="4" fillId="13" borderId="2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10" fillId="15" borderId="29" xfId="0" applyFont="1" applyFill="1" applyBorder="1" applyAlignment="1">
      <alignment horizontal="center" vertical="center" wrapText="1"/>
    </xf>
    <xf numFmtId="0" fontId="4" fillId="12" borderId="33" xfId="0" applyFont="1" applyFill="1" applyBorder="1" applyAlignment="1">
      <alignment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4" fillId="13" borderId="35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5" fillId="19" borderId="38" xfId="0" applyFont="1" applyFill="1" applyBorder="1" applyAlignment="1">
      <alignment horizontal="center" vertical="center" wrapText="1"/>
    </xf>
    <xf numFmtId="0" fontId="16" fillId="20" borderId="38" xfId="0" applyFont="1" applyFill="1" applyBorder="1" applyAlignment="1">
      <alignment vertical="center" wrapText="1"/>
    </xf>
    <xf numFmtId="0" fontId="16" fillId="20" borderId="39" xfId="0" applyFont="1" applyFill="1" applyBorder="1" applyAlignment="1">
      <alignment horizontal="center" vertical="center" textRotation="90" wrapText="1"/>
    </xf>
    <xf numFmtId="0" fontId="4" fillId="21" borderId="20" xfId="0" applyFont="1" applyFill="1" applyBorder="1" applyAlignment="1">
      <alignment horizontal="left" vertical="center" wrapText="1"/>
    </xf>
    <xf numFmtId="0" fontId="17" fillId="22" borderId="9" xfId="0" applyFont="1" applyFill="1" applyBorder="1" applyAlignment="1">
      <alignment horizontal="center" vertical="center" wrapText="1"/>
    </xf>
    <xf numFmtId="0" fontId="8" fillId="13" borderId="23" xfId="0" applyFont="1" applyFill="1" applyBorder="1" applyAlignment="1">
      <alignment vertical="center" wrapText="1"/>
    </xf>
    <xf numFmtId="0" fontId="8" fillId="13" borderId="24" xfId="0" applyFont="1" applyFill="1" applyBorder="1" applyAlignment="1">
      <alignment horizontal="left" vertical="center" wrapText="1"/>
    </xf>
    <xf numFmtId="0" fontId="18" fillId="0" borderId="0" xfId="0" applyFont="1"/>
    <xf numFmtId="0" fontId="14" fillId="0" borderId="0" xfId="0" applyFont="1"/>
    <xf numFmtId="0" fontId="4" fillId="13" borderId="46" xfId="0" applyFont="1" applyFill="1" applyBorder="1" applyAlignment="1">
      <alignment horizontal="left" vertical="center" wrapText="1"/>
    </xf>
    <xf numFmtId="0" fontId="4" fillId="12" borderId="47" xfId="0" applyFont="1" applyFill="1" applyBorder="1" applyAlignment="1">
      <alignment horizontal="left" vertical="center" wrapText="1"/>
    </xf>
    <xf numFmtId="0" fontId="4" fillId="13" borderId="49" xfId="0" applyFont="1" applyFill="1" applyBorder="1" applyAlignment="1">
      <alignment horizontal="left" vertical="center" wrapText="1"/>
    </xf>
    <xf numFmtId="0" fontId="4" fillId="12" borderId="49" xfId="0" applyFont="1" applyFill="1" applyBorder="1" applyAlignment="1">
      <alignment horizontal="left" vertical="center" wrapText="1"/>
    </xf>
    <xf numFmtId="0" fontId="4" fillId="13" borderId="50" xfId="0" applyFont="1" applyFill="1" applyBorder="1" applyAlignment="1">
      <alignment horizontal="left" vertical="center" wrapText="1"/>
    </xf>
    <xf numFmtId="16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20" fillId="24" borderId="51" xfId="0" applyFont="1" applyFill="1" applyBorder="1" applyAlignment="1">
      <alignment horizontal="left" vertical="center" wrapText="1"/>
    </xf>
    <xf numFmtId="14" fontId="20" fillId="24" borderId="51" xfId="0" applyNumberFormat="1" applyFont="1" applyFill="1" applyBorder="1" applyAlignment="1">
      <alignment horizontal="center" vertical="center"/>
    </xf>
    <xf numFmtId="0" fontId="20" fillId="24" borderId="5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0" borderId="0" xfId="0" applyFont="1"/>
    <xf numFmtId="0" fontId="21" fillId="7" borderId="0" xfId="0" applyFont="1" applyFill="1"/>
    <xf numFmtId="0" fontId="21" fillId="4" borderId="0" xfId="0" applyFont="1" applyFill="1"/>
    <xf numFmtId="0" fontId="20" fillId="24" borderId="51" xfId="0" applyFont="1" applyFill="1" applyBorder="1" applyAlignment="1">
      <alignment horizontal="center" vertical="center" wrapText="1"/>
    </xf>
    <xf numFmtId="0" fontId="24" fillId="0" borderId="0" xfId="0" applyFont="1"/>
    <xf numFmtId="0" fontId="22" fillId="0" borderId="0" xfId="0" applyFont="1" applyAlignment="1">
      <alignment horizontal="center"/>
    </xf>
    <xf numFmtId="0" fontId="25" fillId="0" borderId="0" xfId="0" applyFont="1" applyAlignment="1"/>
    <xf numFmtId="49" fontId="26" fillId="0" borderId="0" xfId="0" applyNumberFormat="1" applyFont="1" applyAlignment="1"/>
    <xf numFmtId="49" fontId="27" fillId="0" borderId="0" xfId="0" applyNumberFormat="1" applyFont="1" applyAlignment="1"/>
    <xf numFmtId="0" fontId="28" fillId="24" borderId="51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/>
    <xf numFmtId="0" fontId="29" fillId="0" borderId="1" xfId="0" applyFont="1" applyFill="1" applyBorder="1" applyAlignment="1"/>
    <xf numFmtId="0" fontId="29" fillId="28" borderId="1" xfId="0" applyFont="1" applyFill="1" applyBorder="1" applyAlignment="1"/>
    <xf numFmtId="0" fontId="30" fillId="0" borderId="5" xfId="0" applyFont="1" applyFill="1" applyBorder="1" applyAlignment="1">
      <alignment horizontal="center" vertical="center"/>
    </xf>
    <xf numFmtId="0" fontId="29" fillId="0" borderId="5" xfId="0" applyFont="1" applyFill="1" applyBorder="1" applyAlignment="1">
      <alignment horizontal="left" vertical="center"/>
    </xf>
    <xf numFmtId="0" fontId="29" fillId="4" borderId="1" xfId="0" applyFont="1" applyFill="1" applyBorder="1" applyAlignment="1">
      <alignment horizontal="center" vertical="center"/>
    </xf>
    <xf numFmtId="0" fontId="29" fillId="4" borderId="0" xfId="0" applyFont="1" applyFill="1"/>
    <xf numFmtId="0" fontId="29" fillId="0" borderId="0" xfId="0" applyFont="1"/>
    <xf numFmtId="0" fontId="29" fillId="30" borderId="1" xfId="0" applyFont="1" applyFill="1" applyBorder="1" applyAlignment="1"/>
    <xf numFmtId="0" fontId="29" fillId="30" borderId="0" xfId="0" applyFont="1" applyFill="1"/>
    <xf numFmtId="0" fontId="24" fillId="4" borderId="0" xfId="0" applyFont="1" applyFill="1"/>
    <xf numFmtId="0" fontId="24" fillId="7" borderId="0" xfId="0" applyFont="1" applyFill="1"/>
    <xf numFmtId="0" fontId="24" fillId="30" borderId="0" xfId="0" applyFont="1" applyFill="1"/>
    <xf numFmtId="0" fontId="20" fillId="24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14" fontId="20" fillId="24" borderId="1" xfId="0" applyNumberFormat="1" applyFont="1" applyFill="1" applyBorder="1" applyAlignment="1">
      <alignment horizontal="center" vertical="center"/>
    </xf>
    <xf numFmtId="0" fontId="29" fillId="4" borderId="1" xfId="0" applyFont="1" applyFill="1" applyBorder="1" applyAlignment="1"/>
    <xf numFmtId="14" fontId="20" fillId="0" borderId="1" xfId="0" applyNumberFormat="1" applyFont="1" applyFill="1" applyBorder="1" applyAlignment="1">
      <alignment horizontal="center" vertical="center" wrapText="1"/>
    </xf>
    <xf numFmtId="0" fontId="24" fillId="0" borderId="0" xfId="0" applyFont="1" applyBorder="1"/>
    <xf numFmtId="0" fontId="30" fillId="4" borderId="5" xfId="0" applyFont="1" applyFill="1" applyBorder="1" applyAlignment="1">
      <alignment horizontal="center" vertical="center"/>
    </xf>
    <xf numFmtId="0" fontId="20" fillId="29" borderId="51" xfId="0" applyFont="1" applyFill="1" applyBorder="1" applyAlignment="1">
      <alignment horizontal="left" vertical="center" wrapText="1"/>
    </xf>
    <xf numFmtId="0" fontId="28" fillId="29" borderId="51" xfId="0" applyFont="1" applyFill="1" applyBorder="1" applyAlignment="1">
      <alignment horizontal="left" vertical="center" wrapText="1"/>
    </xf>
    <xf numFmtId="14" fontId="20" fillId="29" borderId="51" xfId="0" applyNumberFormat="1" applyFont="1" applyFill="1" applyBorder="1" applyAlignment="1">
      <alignment horizontal="center" vertical="center"/>
    </xf>
    <xf numFmtId="0" fontId="20" fillId="29" borderId="51" xfId="0" applyFont="1" applyFill="1" applyBorder="1" applyAlignment="1">
      <alignment horizontal="center" vertical="center"/>
    </xf>
    <xf numFmtId="0" fontId="29" fillId="4" borderId="5" xfId="0" applyFont="1" applyFill="1" applyBorder="1" applyAlignment="1">
      <alignment horizontal="left" vertical="center"/>
    </xf>
    <xf numFmtId="14" fontId="20" fillId="4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0" fillId="24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0" fillId="29" borderId="51" xfId="0" applyFont="1" applyFill="1" applyBorder="1" applyAlignment="1">
      <alignment horizontal="center" vertical="center" wrapText="1"/>
    </xf>
    <xf numFmtId="0" fontId="33" fillId="29" borderId="51" xfId="0" applyFont="1" applyFill="1" applyBorder="1" applyAlignment="1">
      <alignment horizontal="center" vertical="center" wrapText="1"/>
    </xf>
    <xf numFmtId="0" fontId="20" fillId="29" borderId="52" xfId="0" applyFont="1" applyFill="1" applyBorder="1" applyAlignment="1">
      <alignment horizontal="center" wrapText="1"/>
    </xf>
    <xf numFmtId="0" fontId="20" fillId="0" borderId="1" xfId="0" applyFont="1" applyFill="1" applyBorder="1" applyAlignment="1">
      <alignment horizontal="center" vertical="center" wrapText="1"/>
    </xf>
    <xf numFmtId="14" fontId="29" fillId="0" borderId="1" xfId="0" applyNumberFormat="1" applyFont="1" applyFill="1" applyBorder="1" applyAlignment="1">
      <alignment horizontal="center" vertical="center"/>
    </xf>
    <xf numFmtId="14" fontId="29" fillId="4" borderId="1" xfId="0" applyNumberFormat="1" applyFont="1" applyFill="1" applyBorder="1" applyAlignment="1">
      <alignment horizontal="center" vertical="center"/>
    </xf>
    <xf numFmtId="14" fontId="29" fillId="30" borderId="1" xfId="0" applyNumberFormat="1" applyFont="1" applyFill="1" applyBorder="1" applyAlignment="1">
      <alignment horizontal="center" vertical="center"/>
    </xf>
    <xf numFmtId="14" fontId="20" fillId="30" borderId="1" xfId="0" applyNumberFormat="1" applyFont="1" applyFill="1" applyBorder="1" applyAlignment="1">
      <alignment horizontal="center" vertical="center" wrapText="1"/>
    </xf>
    <xf numFmtId="0" fontId="20" fillId="29" borderId="52" xfId="0" applyFont="1" applyFill="1" applyBorder="1" applyAlignment="1">
      <alignment wrapText="1"/>
    </xf>
    <xf numFmtId="0" fontId="28" fillId="29" borderId="52" xfId="0" applyFont="1" applyFill="1" applyBorder="1" applyAlignment="1">
      <alignment wrapText="1"/>
    </xf>
    <xf numFmtId="14" fontId="20" fillId="29" borderId="52" xfId="0" applyNumberFormat="1" applyFont="1" applyFill="1" applyBorder="1" applyAlignment="1">
      <alignment horizontal="center" vertical="center"/>
    </xf>
    <xf numFmtId="0" fontId="20" fillId="29" borderId="52" xfId="0" applyFont="1" applyFill="1" applyBorder="1" applyAlignment="1">
      <alignment horizontal="center"/>
    </xf>
    <xf numFmtId="0" fontId="29" fillId="4" borderId="1" xfId="0" applyFont="1" applyFill="1" applyBorder="1" applyAlignment="1">
      <alignment wrapText="1"/>
    </xf>
    <xf numFmtId="0" fontId="24" fillId="4" borderId="1" xfId="0" applyFont="1" applyFill="1" applyBorder="1" applyAlignment="1"/>
    <xf numFmtId="0" fontId="29" fillId="0" borderId="1" xfId="0" applyFont="1" applyFill="1" applyBorder="1" applyAlignment="1">
      <alignment horizontal="center"/>
    </xf>
    <xf numFmtId="0" fontId="29" fillId="4" borderId="1" xfId="0" applyFont="1" applyFill="1" applyBorder="1" applyAlignment="1">
      <alignment horizontal="center"/>
    </xf>
    <xf numFmtId="0" fontId="29" fillId="3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39" fillId="0" borderId="0" xfId="0" applyFont="1" applyAlignment="1"/>
    <xf numFmtId="0" fontId="39" fillId="0" borderId="0" xfId="0" applyFont="1" applyAlignment="1">
      <alignment horizontal="center"/>
    </xf>
    <xf numFmtId="0" fontId="41" fillId="0" borderId="0" xfId="0" applyFont="1" applyAlignment="1"/>
    <xf numFmtId="0" fontId="40" fillId="4" borderId="0" xfId="0" applyFont="1" applyFill="1" applyAlignment="1">
      <alignment horizontal="center"/>
    </xf>
    <xf numFmtId="0" fontId="41" fillId="0" borderId="0" xfId="0" applyFont="1" applyAlignment="1">
      <alignment horizontal="center" vertical="center"/>
    </xf>
    <xf numFmtId="14" fontId="41" fillId="0" borderId="0" xfId="0" applyNumberFormat="1" applyFont="1" applyAlignment="1"/>
    <xf numFmtId="0" fontId="4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2" fillId="0" borderId="0" xfId="0" applyFont="1" applyAlignment="1"/>
    <xf numFmtId="0" fontId="24" fillId="0" borderId="0" xfId="0" applyFont="1" applyAlignment="1">
      <alignment horizontal="center"/>
    </xf>
    <xf numFmtId="0" fontId="40" fillId="4" borderId="0" xfId="0" applyFont="1" applyFill="1" applyAlignment="1">
      <alignment horizontal="center" vertical="center"/>
    </xf>
    <xf numFmtId="14" fontId="40" fillId="4" borderId="0" xfId="0" applyNumberFormat="1" applyFont="1" applyFill="1" applyAlignment="1">
      <alignment horizontal="center"/>
    </xf>
    <xf numFmtId="0" fontId="43" fillId="0" borderId="0" xfId="0" applyFont="1" applyAlignment="1">
      <alignment horizontal="center"/>
    </xf>
    <xf numFmtId="49" fontId="39" fillId="0" borderId="0" xfId="0" applyNumberFormat="1" applyFont="1" applyAlignment="1"/>
    <xf numFmtId="49" fontId="23" fillId="4" borderId="0" xfId="0" applyNumberFormat="1" applyFont="1" applyFill="1" applyAlignment="1">
      <alignment horizontal="center"/>
    </xf>
    <xf numFmtId="49" fontId="39" fillId="4" borderId="0" xfId="0" applyNumberFormat="1" applyFont="1" applyFill="1" applyAlignment="1"/>
    <xf numFmtId="49" fontId="39" fillId="0" borderId="0" xfId="0" applyNumberFormat="1" applyFont="1" applyAlignment="1">
      <alignment horizontal="center"/>
    </xf>
    <xf numFmtId="49" fontId="39" fillId="0" borderId="0" xfId="0" applyNumberFormat="1" applyFont="1" applyAlignment="1">
      <alignment horizontal="left"/>
    </xf>
    <xf numFmtId="49" fontId="40" fillId="0" borderId="0" xfId="0" applyNumberFormat="1" applyFont="1" applyAlignment="1"/>
    <xf numFmtId="0" fontId="40" fillId="0" borderId="0" xfId="0" applyFont="1" applyAlignment="1">
      <alignment horizontal="center"/>
    </xf>
    <xf numFmtId="0" fontId="44" fillId="4" borderId="0" xfId="0" applyFont="1" applyFill="1" applyAlignment="1">
      <alignment horizontal="center"/>
    </xf>
    <xf numFmtId="14" fontId="45" fillId="0" borderId="0" xfId="0" applyNumberFormat="1" applyFont="1" applyAlignment="1">
      <alignment horizontal="center"/>
    </xf>
    <xf numFmtId="0" fontId="40" fillId="0" borderId="0" xfId="0" applyFont="1" applyAlignment="1">
      <alignment horizontal="left"/>
    </xf>
    <xf numFmtId="0" fontId="31" fillId="3" borderId="5" xfId="0" applyFont="1" applyFill="1" applyBorder="1" applyAlignment="1">
      <alignment vertical="center" wrapText="1"/>
    </xf>
    <xf numFmtId="0" fontId="21" fillId="0" borderId="1" xfId="0" applyFont="1" applyBorder="1"/>
    <xf numFmtId="0" fontId="28" fillId="24" borderId="1" xfId="0" applyFont="1" applyFill="1" applyBorder="1" applyAlignment="1">
      <alignment horizontal="center" vertical="center" wrapText="1"/>
    </xf>
    <xf numFmtId="0" fontId="20" fillId="24" borderId="1" xfId="0" applyFont="1" applyFill="1" applyBorder="1" applyAlignment="1">
      <alignment horizontal="center" vertical="center"/>
    </xf>
    <xf numFmtId="14" fontId="21" fillId="0" borderId="1" xfId="0" applyNumberFormat="1" applyFont="1" applyFill="1" applyBorder="1" applyAlignment="1">
      <alignment horizontal="center"/>
    </xf>
    <xf numFmtId="0" fontId="21" fillId="4" borderId="0" xfId="0" applyFont="1" applyFill="1" applyAlignment="1">
      <alignment horizontal="center"/>
    </xf>
    <xf numFmtId="0" fontId="19" fillId="4" borderId="0" xfId="0" applyFont="1" applyFill="1"/>
    <xf numFmtId="0" fontId="21" fillId="0" borderId="0" xfId="0" applyFont="1" applyAlignment="1">
      <alignment horizontal="left"/>
    </xf>
    <xf numFmtId="0" fontId="21" fillId="4" borderId="0" xfId="0" applyFont="1" applyFill="1" applyAlignment="1">
      <alignment horizontal="center" vertical="center"/>
    </xf>
    <xf numFmtId="14" fontId="21" fillId="4" borderId="0" xfId="0" applyNumberFormat="1" applyFont="1" applyFill="1" applyAlignment="1">
      <alignment horizontal="center"/>
    </xf>
    <xf numFmtId="0" fontId="31" fillId="4" borderId="5" xfId="0" applyFont="1" applyFill="1" applyBorder="1" applyAlignment="1">
      <alignment vertical="center" wrapText="1"/>
    </xf>
    <xf numFmtId="0" fontId="48" fillId="0" borderId="0" xfId="0" applyFont="1" applyAlignment="1">
      <alignment horizontal="center" vertical="center"/>
    </xf>
    <xf numFmtId="0" fontId="20" fillId="29" borderId="52" xfId="0" applyFont="1" applyFill="1" applyBorder="1" applyAlignment="1">
      <alignment horizontal="center" vertical="center" wrapText="1"/>
    </xf>
    <xf numFmtId="0" fontId="20" fillId="29" borderId="5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29" borderId="51" xfId="0" applyFont="1" applyFill="1" applyBorder="1" applyAlignment="1">
      <alignment horizontal="center" vertical="center" wrapText="1"/>
    </xf>
    <xf numFmtId="0" fontId="29" fillId="4" borderId="5" xfId="0" applyFont="1" applyFill="1" applyBorder="1" applyAlignment="1">
      <alignment horizontal="center" vertical="center"/>
    </xf>
    <xf numFmtId="0" fontId="31" fillId="4" borderId="5" xfId="0" applyFont="1" applyFill="1" applyBorder="1" applyAlignment="1">
      <alignment horizontal="center" vertical="center" wrapText="1"/>
    </xf>
    <xf numFmtId="0" fontId="28" fillId="29" borderId="52" xfId="0" applyFont="1" applyFill="1" applyBorder="1" applyAlignment="1">
      <alignment horizontal="center" vertical="center" wrapText="1"/>
    </xf>
    <xf numFmtId="0" fontId="29" fillId="4" borderId="0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 wrapText="1"/>
    </xf>
    <xf numFmtId="0" fontId="28" fillId="29" borderId="1" xfId="0" applyFont="1" applyFill="1" applyBorder="1" applyAlignment="1">
      <alignment horizontal="center" vertical="center" wrapText="1"/>
    </xf>
    <xf numFmtId="14" fontId="20" fillId="29" borderId="1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0" fontId="20" fillId="29" borderId="5" xfId="0" applyFont="1" applyFill="1" applyBorder="1" applyAlignment="1">
      <alignment horizontal="center" vertical="center" wrapText="1"/>
    </xf>
    <xf numFmtId="0" fontId="28" fillId="29" borderId="5" xfId="0" applyFont="1" applyFill="1" applyBorder="1" applyAlignment="1">
      <alignment horizontal="center" vertical="center" wrapText="1"/>
    </xf>
    <xf numFmtId="14" fontId="20" fillId="29" borderId="5" xfId="0" applyNumberFormat="1" applyFont="1" applyFill="1" applyBorder="1" applyAlignment="1">
      <alignment horizontal="center" vertical="center"/>
    </xf>
    <xf numFmtId="0" fontId="20" fillId="29" borderId="5" xfId="0" applyFont="1" applyFill="1" applyBorder="1" applyAlignment="1">
      <alignment horizontal="center" vertical="center"/>
    </xf>
    <xf numFmtId="0" fontId="20" fillId="29" borderId="53" xfId="0" applyFont="1" applyFill="1" applyBorder="1" applyAlignment="1">
      <alignment horizontal="center" vertical="center" wrapText="1"/>
    </xf>
    <xf numFmtId="14" fontId="37" fillId="4" borderId="0" xfId="0" applyNumberFormat="1" applyFont="1" applyFill="1" applyAlignment="1">
      <alignment horizontal="center"/>
    </xf>
    <xf numFmtId="14" fontId="51" fillId="0" borderId="0" xfId="0" applyNumberFormat="1" applyFont="1"/>
    <xf numFmtId="0" fontId="21" fillId="4" borderId="1" xfId="0" applyFont="1" applyFill="1" applyBorder="1" applyAlignment="1"/>
    <xf numFmtId="0" fontId="21" fillId="4" borderId="1" xfId="0" applyFont="1" applyFill="1" applyBorder="1" applyAlignment="1">
      <alignment horizontal="center"/>
    </xf>
    <xf numFmtId="14" fontId="20" fillId="29" borderId="1" xfId="0" applyNumberFormat="1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left" vertical="center"/>
    </xf>
    <xf numFmtId="14" fontId="32" fillId="29" borderId="1" xfId="0" applyNumberFormat="1" applyFont="1" applyFill="1" applyBorder="1" applyAlignment="1">
      <alignment horizontal="center" vertical="center"/>
    </xf>
    <xf numFmtId="0" fontId="32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14" fontId="0" fillId="32" borderId="0" xfId="0" applyNumberFormat="1" applyFill="1" applyAlignment="1">
      <alignment horizontal="center" vertical="center"/>
    </xf>
    <xf numFmtId="14" fontId="0" fillId="13" borderId="0" xfId="0" applyNumberFormat="1" applyFill="1" applyAlignment="1">
      <alignment horizontal="center" vertical="center"/>
    </xf>
    <xf numFmtId="0" fontId="52" fillId="4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 wrapText="1"/>
    </xf>
    <xf numFmtId="0" fontId="38" fillId="29" borderId="1" xfId="0" applyFont="1" applyFill="1" applyBorder="1" applyAlignment="1">
      <alignment horizontal="center" vertical="center" wrapText="1"/>
    </xf>
    <xf numFmtId="14" fontId="33" fillId="4" borderId="0" xfId="0" applyNumberFormat="1" applyFont="1" applyFill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53" fillId="12" borderId="1" xfId="0" applyFont="1" applyFill="1" applyBorder="1" applyAlignment="1">
      <alignment horizontal="center" vertical="center"/>
    </xf>
    <xf numFmtId="0" fontId="38" fillId="4" borderId="5" xfId="0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/>
    </xf>
    <xf numFmtId="14" fontId="0" fillId="30" borderId="0" xfId="0" applyNumberFormat="1" applyFill="1" applyAlignment="1">
      <alignment horizontal="center" vertical="center"/>
    </xf>
    <xf numFmtId="49" fontId="40" fillId="0" borderId="0" xfId="0" applyNumberFormat="1" applyFont="1" applyAlignment="1"/>
    <xf numFmtId="49" fontId="39" fillId="0" borderId="0" xfId="0" applyNumberFormat="1" applyFont="1" applyAlignment="1"/>
    <xf numFmtId="164" fontId="19" fillId="0" borderId="0" xfId="0" applyNumberFormat="1" applyFont="1" applyFill="1" applyBorder="1" applyAlignment="1">
      <alignment horizontal="center" vertical="center" wrapText="1"/>
    </xf>
    <xf numFmtId="0" fontId="54" fillId="0" borderId="0" xfId="0" applyFont="1" applyAlignment="1"/>
    <xf numFmtId="0" fontId="54" fillId="4" borderId="0" xfId="0" applyFont="1" applyFill="1" applyAlignment="1">
      <alignment horizontal="center"/>
    </xf>
    <xf numFmtId="0" fontId="0" fillId="0" borderId="1" xfId="0" applyBorder="1"/>
    <xf numFmtId="0" fontId="56" fillId="26" borderId="1" xfId="0" applyFont="1" applyFill="1" applyBorder="1" applyAlignment="1">
      <alignment horizontal="center" vertical="center" wrapText="1"/>
    </xf>
    <xf numFmtId="0" fontId="57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57" fillId="36" borderId="1" xfId="0" applyFont="1" applyFill="1" applyBorder="1" applyAlignment="1">
      <alignment horizontal="center" vertical="center" wrapText="1"/>
    </xf>
    <xf numFmtId="0" fontId="8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0" fontId="58" fillId="33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57" fillId="2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9" fillId="0" borderId="1" xfId="0" applyFont="1" applyFill="1" applyBorder="1"/>
    <xf numFmtId="0" fontId="59" fillId="0" borderId="1" xfId="0" applyFont="1" applyFill="1" applyBorder="1" applyAlignment="1">
      <alignment horizontal="center"/>
    </xf>
    <xf numFmtId="14" fontId="6" fillId="0" borderId="1" xfId="0" applyNumberFormat="1" applyFont="1" applyFill="1" applyBorder="1"/>
    <xf numFmtId="14" fontId="59" fillId="0" borderId="1" xfId="0" applyNumberFormat="1" applyFont="1" applyFill="1" applyBorder="1"/>
    <xf numFmtId="0" fontId="59" fillId="0" borderId="0" xfId="0" applyFont="1" applyFill="1"/>
    <xf numFmtId="0" fontId="5" fillId="0" borderId="1" xfId="0" applyFont="1" applyBorder="1"/>
    <xf numFmtId="14" fontId="0" fillId="0" borderId="1" xfId="0" applyNumberFormat="1" applyBorder="1"/>
    <xf numFmtId="0" fontId="59" fillId="10" borderId="0" xfId="0" applyFont="1" applyFill="1"/>
    <xf numFmtId="0" fontId="0" fillId="10" borderId="0" xfId="0" applyFill="1"/>
    <xf numFmtId="0" fontId="0" fillId="0" borderId="0" xfId="0" applyAlignment="1">
      <alignment horizontal="center"/>
    </xf>
    <xf numFmtId="0" fontId="0" fillId="0" borderId="0" xfId="0" applyFill="1"/>
    <xf numFmtId="0" fontId="57" fillId="27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37" borderId="1" xfId="0" applyFill="1" applyBorder="1" applyAlignment="1">
      <alignment wrapText="1"/>
    </xf>
    <xf numFmtId="0" fontId="0" fillId="37" borderId="1" xfId="0" applyFill="1" applyBorder="1"/>
    <xf numFmtId="14" fontId="0" fillId="37" borderId="1" xfId="0" applyNumberFormat="1" applyFill="1" applyBorder="1"/>
    <xf numFmtId="0" fontId="0" fillId="37" borderId="0" xfId="0" applyFill="1" applyBorder="1"/>
    <xf numFmtId="14" fontId="61" fillId="37" borderId="1" xfId="0" applyNumberFormat="1" applyFont="1" applyFill="1" applyBorder="1" applyAlignment="1">
      <alignment horizontal="center" vertical="center" wrapText="1"/>
    </xf>
    <xf numFmtId="14" fontId="24" fillId="37" borderId="1" xfId="0" applyNumberFormat="1" applyFont="1" applyFill="1" applyBorder="1"/>
    <xf numFmtId="0" fontId="0" fillId="37" borderId="0" xfId="0" applyFill="1"/>
    <xf numFmtId="0" fontId="0" fillId="0" borderId="1" xfId="0" applyFill="1" applyBorder="1"/>
    <xf numFmtId="0" fontId="5" fillId="0" borderId="1" xfId="0" applyFont="1" applyFill="1" applyBorder="1"/>
    <xf numFmtId="14" fontId="60" fillId="0" borderId="1" xfId="0" applyNumberFormat="1" applyFont="1" applyFill="1" applyBorder="1"/>
    <xf numFmtId="14" fontId="0" fillId="0" borderId="1" xfId="0" applyNumberFormat="1" applyFill="1" applyBorder="1"/>
    <xf numFmtId="14" fontId="5" fillId="0" borderId="1" xfId="0" applyNumberFormat="1" applyFont="1" applyFill="1" applyBorder="1"/>
    <xf numFmtId="14" fontId="0" fillId="0" borderId="1" xfId="0" applyNumberFormat="1" applyFont="1" applyFill="1" applyBorder="1"/>
    <xf numFmtId="0" fontId="57" fillId="38" borderId="1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61" fillId="0" borderId="1" xfId="0" applyNumberFormat="1" applyFont="1" applyFill="1" applyBorder="1" applyAlignment="1">
      <alignment horizontal="center" vertical="center" wrapText="1"/>
    </xf>
    <xf numFmtId="14" fontId="24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40" fillId="0" borderId="0" xfId="0" applyFont="1" applyFill="1" applyAlignment="1"/>
    <xf numFmtId="0" fontId="40" fillId="0" borderId="0" xfId="0" applyFont="1" applyFill="1" applyAlignment="1">
      <alignment horizontal="center"/>
    </xf>
    <xf numFmtId="0" fontId="40" fillId="4" borderId="0" xfId="0" applyFont="1" applyFill="1" applyBorder="1" applyAlignment="1">
      <alignment horizontal="center"/>
    </xf>
    <xf numFmtId="0" fontId="42" fillId="0" borderId="0" xfId="0" applyFont="1" applyFill="1" applyBorder="1" applyAlignment="1">
      <alignment vertical="center" wrapText="1"/>
    </xf>
    <xf numFmtId="14" fontId="40" fillId="0" borderId="0" xfId="0" applyNumberFormat="1" applyFont="1" applyFill="1" applyBorder="1" applyAlignment="1">
      <alignment horizontal="center"/>
    </xf>
    <xf numFmtId="0" fontId="40" fillId="0" borderId="0" xfId="0" applyFont="1" applyFill="1" applyBorder="1" applyAlignment="1"/>
    <xf numFmtId="164" fontId="19" fillId="0" borderId="0" xfId="0" applyNumberFormat="1" applyFont="1" applyFill="1" applyBorder="1" applyAlignment="1">
      <alignment vertical="center" wrapText="1"/>
    </xf>
    <xf numFmtId="0" fontId="43" fillId="0" borderId="0" xfId="0" applyFont="1" applyAlignment="1"/>
    <xf numFmtId="0" fontId="30" fillId="4" borderId="6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/>
    <xf numFmtId="0" fontId="21" fillId="4" borderId="4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/>
    </xf>
    <xf numFmtId="14" fontId="20" fillId="0" borderId="1" xfId="0" applyNumberFormat="1" applyFont="1" applyFill="1" applyBorder="1" applyAlignment="1">
      <alignment horizontal="center" vertical="center"/>
    </xf>
    <xf numFmtId="0" fontId="20" fillId="24" borderId="1" xfId="0" applyFont="1" applyFill="1" applyBorder="1" applyAlignment="1">
      <alignment horizontal="left"/>
    </xf>
    <xf numFmtId="0" fontId="33" fillId="24" borderId="1" xfId="0" applyFont="1" applyFill="1" applyBorder="1" applyAlignment="1">
      <alignment horizontal="center" vertical="center" wrapText="1"/>
    </xf>
    <xf numFmtId="0" fontId="20" fillId="29" borderId="1" xfId="0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horizontal="left" vertical="center"/>
    </xf>
    <xf numFmtId="0" fontId="35" fillId="29" borderId="1" xfId="0" applyFont="1" applyFill="1" applyBorder="1" applyAlignment="1">
      <alignment horizontal="center" vertical="center" wrapText="1"/>
    </xf>
    <xf numFmtId="0" fontId="20" fillId="29" borderId="1" xfId="0" applyFont="1" applyFill="1" applyBorder="1" applyAlignment="1">
      <alignment horizontal="left"/>
    </xf>
    <xf numFmtId="0" fontId="32" fillId="4" borderId="1" xfId="0" applyFont="1" applyFill="1" applyBorder="1" applyAlignment="1">
      <alignment horizontal="center" vertical="center" wrapText="1"/>
    </xf>
    <xf numFmtId="0" fontId="20" fillId="31" borderId="1" xfId="0" applyFont="1" applyFill="1" applyBorder="1" applyAlignment="1">
      <alignment horizontal="left" vertical="center" wrapText="1"/>
    </xf>
    <xf numFmtId="0" fontId="20" fillId="31" borderId="1" xfId="0" applyFont="1" applyFill="1" applyBorder="1" applyAlignment="1">
      <alignment horizontal="center" vertical="center" wrapText="1"/>
    </xf>
    <xf numFmtId="0" fontId="20" fillId="31" borderId="1" xfId="0" applyFont="1" applyFill="1" applyBorder="1" applyAlignment="1">
      <alignment horizontal="center" vertical="center"/>
    </xf>
    <xf numFmtId="0" fontId="29" fillId="30" borderId="1" xfId="0" applyFont="1" applyFill="1" applyBorder="1" applyAlignment="1">
      <alignment horizontal="left" vertical="center"/>
    </xf>
    <xf numFmtId="14" fontId="20" fillId="31" borderId="1" xfId="0" applyNumberFormat="1" applyFont="1" applyFill="1" applyBorder="1" applyAlignment="1">
      <alignment horizontal="center" vertical="center"/>
    </xf>
    <xf numFmtId="14" fontId="20" fillId="31" borderId="1" xfId="0" applyNumberFormat="1" applyFont="1" applyFill="1" applyBorder="1" applyAlignment="1">
      <alignment horizontal="center" vertical="center" wrapText="1"/>
    </xf>
    <xf numFmtId="0" fontId="32" fillId="30" borderId="1" xfId="0" applyFont="1" applyFill="1" applyBorder="1" applyAlignment="1">
      <alignment horizontal="center" vertical="center" wrapText="1"/>
    </xf>
    <xf numFmtId="0" fontId="20" fillId="31" borderId="1" xfId="0" applyFont="1" applyFill="1" applyBorder="1" applyAlignment="1">
      <alignment horizontal="left"/>
    </xf>
    <xf numFmtId="0" fontId="34" fillId="4" borderId="1" xfId="0" applyFont="1" applyFill="1" applyBorder="1" applyAlignment="1">
      <alignment horizontal="center" vertical="center" wrapText="1"/>
    </xf>
    <xf numFmtId="0" fontId="29" fillId="24" borderId="1" xfId="0" applyFont="1" applyFill="1" applyBorder="1" applyAlignment="1">
      <alignment horizontal="center" vertical="center" wrapText="1"/>
    </xf>
    <xf numFmtId="14" fontId="20" fillId="0" borderId="1" xfId="0" applyNumberFormat="1" applyFont="1" applyFill="1" applyBorder="1" applyAlignment="1">
      <alignment horizontal="center"/>
    </xf>
    <xf numFmtId="0" fontId="32" fillId="29" borderId="1" xfId="0" applyFont="1" applyFill="1" applyBorder="1" applyAlignment="1">
      <alignment horizontal="center" vertical="center" wrapText="1"/>
    </xf>
    <xf numFmtId="0" fontId="32" fillId="24" borderId="1" xfId="0" applyFont="1" applyFill="1" applyBorder="1" applyAlignment="1">
      <alignment horizontal="center" vertical="center" wrapText="1"/>
    </xf>
    <xf numFmtId="0" fontId="20" fillId="24" borderId="1" xfId="0" applyFont="1" applyFill="1" applyBorder="1" applyAlignment="1">
      <alignment wrapText="1"/>
    </xf>
    <xf numFmtId="0" fontId="20" fillId="24" borderId="1" xfId="0" applyFont="1" applyFill="1" applyBorder="1" applyAlignment="1">
      <alignment horizontal="center" wrapText="1"/>
    </xf>
    <xf numFmtId="0" fontId="20" fillId="24" borderId="1" xfId="0" applyFont="1" applyFill="1" applyBorder="1" applyAlignment="1">
      <alignment horizontal="center"/>
    </xf>
    <xf numFmtId="14" fontId="20" fillId="24" borderId="1" xfId="0" applyNumberFormat="1" applyFont="1" applyFill="1" applyBorder="1" applyAlignment="1">
      <alignment horizontal="center"/>
    </xf>
    <xf numFmtId="0" fontId="20" fillId="29" borderId="1" xfId="0" applyFont="1" applyFill="1" applyBorder="1" applyAlignment="1">
      <alignment wrapText="1"/>
    </xf>
    <xf numFmtId="0" fontId="20" fillId="29" borderId="1" xfId="0" applyFont="1" applyFill="1" applyBorder="1" applyAlignment="1">
      <alignment horizontal="center" wrapText="1"/>
    </xf>
    <xf numFmtId="0" fontId="20" fillId="29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left"/>
    </xf>
    <xf numFmtId="14" fontId="20" fillId="29" borderId="1" xfId="0" applyNumberFormat="1" applyFont="1" applyFill="1" applyBorder="1" applyAlignment="1">
      <alignment horizontal="center"/>
    </xf>
    <xf numFmtId="14" fontId="50" fillId="24" borderId="1" xfId="0" applyNumberFormat="1" applyFont="1" applyFill="1" applyBorder="1"/>
    <xf numFmtId="0" fontId="29" fillId="24" borderId="1" xfId="0" applyFont="1" applyFill="1" applyBorder="1" applyAlignment="1">
      <alignment horizontal="left" vertical="center" wrapText="1"/>
    </xf>
    <xf numFmtId="0" fontId="29" fillId="24" borderId="1" xfId="0" applyFont="1" applyFill="1" applyBorder="1" applyAlignment="1">
      <alignment horizontal="center" vertical="center"/>
    </xf>
    <xf numFmtId="14" fontId="29" fillId="24" borderId="1" xfId="0" applyNumberFormat="1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 wrapText="1"/>
    </xf>
    <xf numFmtId="0" fontId="29" fillId="24" borderId="1" xfId="0" applyFont="1" applyFill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20" fillId="0" borderId="1" xfId="0" applyFont="1" applyBorder="1"/>
    <xf numFmtId="14" fontId="29" fillId="0" borderId="1" xfId="0" applyNumberFormat="1" applyFont="1" applyFill="1" applyBorder="1" applyAlignment="1">
      <alignment horizontal="center" vertical="center" wrapText="1"/>
    </xf>
    <xf numFmtId="14" fontId="32" fillId="4" borderId="1" xfId="0" applyNumberFormat="1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/>
    </xf>
    <xf numFmtId="0" fontId="20" fillId="4" borderId="1" xfId="0" applyFont="1" applyFill="1" applyBorder="1"/>
    <xf numFmtId="0" fontId="21" fillId="0" borderId="1" xfId="0" applyFont="1" applyBorder="1" applyAlignment="1">
      <alignment horizontal="left"/>
    </xf>
    <xf numFmtId="0" fontId="21" fillId="0" borderId="1" xfId="0" applyFont="1" applyFill="1" applyBorder="1" applyAlignment="1"/>
    <xf numFmtId="0" fontId="20" fillId="41" borderId="1" xfId="0" applyFont="1" applyFill="1" applyBorder="1" applyAlignment="1">
      <alignment horizontal="left" vertical="center" wrapText="1"/>
    </xf>
    <xf numFmtId="0" fontId="20" fillId="41" borderId="1" xfId="0" applyFont="1" applyFill="1" applyBorder="1" applyAlignment="1">
      <alignment horizontal="center" vertical="center" wrapText="1"/>
    </xf>
    <xf numFmtId="0" fontId="20" fillId="41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left" vertical="center"/>
    </xf>
    <xf numFmtId="14" fontId="20" fillId="41" borderId="1" xfId="0" applyNumberFormat="1" applyFont="1" applyFill="1" applyBorder="1" applyAlignment="1">
      <alignment horizontal="center" vertical="center"/>
    </xf>
    <xf numFmtId="14" fontId="29" fillId="26" borderId="1" xfId="0" applyNumberFormat="1" applyFont="1" applyFill="1" applyBorder="1" applyAlignment="1">
      <alignment horizontal="center" vertical="center"/>
    </xf>
    <xf numFmtId="14" fontId="20" fillId="26" borderId="1" xfId="0" applyNumberFormat="1" applyFont="1" applyFill="1" applyBorder="1" applyAlignment="1">
      <alignment horizontal="center" vertical="center" wrapText="1"/>
    </xf>
    <xf numFmtId="14" fontId="24" fillId="26" borderId="1" xfId="0" applyNumberFormat="1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center" vertical="center" wrapText="1"/>
    </xf>
    <xf numFmtId="0" fontId="29" fillId="26" borderId="1" xfId="0" applyFont="1" applyFill="1" applyBorder="1" applyAlignment="1"/>
    <xf numFmtId="0" fontId="29" fillId="26" borderId="1" xfId="0" applyFont="1" applyFill="1" applyBorder="1" applyAlignment="1">
      <alignment horizontal="center"/>
    </xf>
    <xf numFmtId="0" fontId="20" fillId="41" borderId="1" xfId="0" applyFont="1" applyFill="1" applyBorder="1" applyAlignment="1">
      <alignment horizontal="left"/>
    </xf>
    <xf numFmtId="0" fontId="29" fillId="26" borderId="0" xfId="0" applyFont="1" applyFill="1"/>
    <xf numFmtId="14" fontId="24" fillId="30" borderId="1" xfId="0" applyNumberFormat="1" applyFont="1" applyFill="1" applyBorder="1" applyAlignment="1">
      <alignment horizontal="center" vertical="center" wrapText="1"/>
    </xf>
    <xf numFmtId="0" fontId="43" fillId="26" borderId="1" xfId="0" applyFont="1" applyFill="1" applyBorder="1" applyAlignment="1">
      <alignment horizontal="center" vertical="center" wrapText="1"/>
    </xf>
    <xf numFmtId="0" fontId="23" fillId="26" borderId="1" xfId="0" applyFont="1" applyFill="1" applyBorder="1" applyAlignment="1">
      <alignment horizontal="center" vertical="center"/>
    </xf>
    <xf numFmtId="0" fontId="21" fillId="26" borderId="1" xfId="0" applyFont="1" applyFill="1" applyBorder="1" applyAlignment="1">
      <alignment horizontal="center" vertical="center"/>
    </xf>
    <xf numFmtId="0" fontId="21" fillId="26" borderId="4" xfId="0" applyFont="1" applyFill="1" applyBorder="1" applyAlignment="1">
      <alignment horizontal="center" vertical="center"/>
    </xf>
    <xf numFmtId="14" fontId="50" fillId="41" borderId="1" xfId="0" applyNumberFormat="1" applyFont="1" applyFill="1" applyBorder="1"/>
    <xf numFmtId="0" fontId="27" fillId="0" borderId="0" xfId="0" applyFont="1" applyFill="1" applyAlignment="1">
      <alignment horizontal="center"/>
    </xf>
    <xf numFmtId="0" fontId="65" fillId="0" borderId="0" xfId="0" applyFont="1" applyFill="1" applyAlignment="1">
      <alignment horizontal="center"/>
    </xf>
    <xf numFmtId="0" fontId="39" fillId="30" borderId="61" xfId="0" applyFont="1" applyFill="1" applyBorder="1" applyAlignment="1">
      <alignment horizontal="center"/>
    </xf>
    <xf numFmtId="0" fontId="54" fillId="0" borderId="58" xfId="0" applyFont="1" applyFill="1" applyBorder="1" applyAlignment="1"/>
    <xf numFmtId="14" fontId="41" fillId="0" borderId="59" xfId="0" applyNumberFormat="1" applyFont="1" applyFill="1" applyBorder="1" applyAlignment="1"/>
    <xf numFmtId="0" fontId="41" fillId="0" borderId="59" xfId="0" applyFont="1" applyFill="1" applyBorder="1" applyAlignment="1"/>
    <xf numFmtId="0" fontId="41" fillId="0" borderId="60" xfId="0" applyFont="1" applyFill="1" applyBorder="1" applyAlignment="1">
      <alignment horizontal="center"/>
    </xf>
    <xf numFmtId="0" fontId="39" fillId="26" borderId="3" xfId="0" applyFont="1" applyFill="1" applyBorder="1" applyAlignment="1">
      <alignment horizontal="center"/>
    </xf>
    <xf numFmtId="0" fontId="39" fillId="28" borderId="67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14" fontId="24" fillId="4" borderId="1" xfId="0" applyNumberFormat="1" applyFont="1" applyFill="1" applyBorder="1" applyAlignment="1">
      <alignment horizontal="center" vertical="center" wrapText="1"/>
    </xf>
    <xf numFmtId="14" fontId="29" fillId="4" borderId="1" xfId="0" applyNumberFormat="1" applyFont="1" applyFill="1" applyBorder="1" applyAlignment="1"/>
    <xf numFmtId="0" fontId="36" fillId="4" borderId="0" xfId="0" applyFont="1" applyFill="1" applyBorder="1" applyAlignment="1">
      <alignment horizontal="center" vertical="center"/>
    </xf>
    <xf numFmtId="14" fontId="50" fillId="29" borderId="1" xfId="0" applyNumberFormat="1" applyFont="1" applyFill="1" applyBorder="1"/>
    <xf numFmtId="14" fontId="68" fillId="0" borderId="1" xfId="0" applyNumberFormat="1" applyFont="1" applyBorder="1" applyAlignment="1">
      <alignment horizontal="center" vertical="center"/>
    </xf>
    <xf numFmtId="14" fontId="68" fillId="0" borderId="1" xfId="0" applyNumberFormat="1" applyFont="1" applyBorder="1" applyAlignment="1">
      <alignment horizontal="center" vertical="center"/>
    </xf>
    <xf numFmtId="14" fontId="68" fillId="0" borderId="1" xfId="0" applyNumberFormat="1" applyFont="1" applyBorder="1" applyAlignment="1">
      <alignment horizontal="center" vertical="center"/>
    </xf>
    <xf numFmtId="14" fontId="68" fillId="0" borderId="1" xfId="0" applyNumberFormat="1" applyFont="1" applyBorder="1" applyAlignment="1">
      <alignment horizontal="center" vertical="center"/>
    </xf>
    <xf numFmtId="14" fontId="68" fillId="0" borderId="1" xfId="0" applyNumberFormat="1" applyFont="1" applyBorder="1" applyAlignment="1">
      <alignment horizontal="center" vertical="center"/>
    </xf>
    <xf numFmtId="14" fontId="68" fillId="0" borderId="1" xfId="0" applyNumberFormat="1" applyFont="1" applyBorder="1" applyAlignment="1">
      <alignment horizontal="center" vertical="center"/>
    </xf>
    <xf numFmtId="14" fontId="68" fillId="0" borderId="1" xfId="0" applyNumberFormat="1" applyFont="1" applyBorder="1" applyAlignment="1">
      <alignment horizontal="center" vertical="center"/>
    </xf>
    <xf numFmtId="14" fontId="29" fillId="0" borderId="1" xfId="0" applyNumberFormat="1" applyFont="1" applyFill="1" applyBorder="1" applyAlignment="1"/>
    <xf numFmtId="14" fontId="29" fillId="30" borderId="1" xfId="0" applyNumberFormat="1" applyFont="1" applyFill="1" applyBorder="1" applyAlignment="1"/>
    <xf numFmtId="0" fontId="21" fillId="30" borderId="0" xfId="0" applyFont="1" applyFill="1"/>
    <xf numFmtId="14" fontId="20" fillId="4" borderId="1" xfId="0" applyNumberFormat="1" applyFont="1" applyFill="1" applyBorder="1" applyAlignment="1">
      <alignment horizontal="center" vertical="center"/>
    </xf>
    <xf numFmtId="0" fontId="21" fillId="30" borderId="1" xfId="0" applyFont="1" applyFill="1" applyBorder="1" applyAlignment="1">
      <alignment horizontal="center" vertical="center"/>
    </xf>
    <xf numFmtId="0" fontId="43" fillId="30" borderId="1" xfId="0" applyFont="1" applyFill="1" applyBorder="1" applyAlignment="1">
      <alignment horizontal="center" vertical="center" wrapText="1"/>
    </xf>
    <xf numFmtId="0" fontId="23" fillId="30" borderId="1" xfId="0" applyFont="1" applyFill="1" applyBorder="1" applyAlignment="1">
      <alignment horizontal="center" vertical="center"/>
    </xf>
    <xf numFmtId="0" fontId="21" fillId="30" borderId="4" xfId="0" applyFont="1" applyFill="1" applyBorder="1" applyAlignment="1">
      <alignment horizontal="center" vertical="center"/>
    </xf>
    <xf numFmtId="0" fontId="36" fillId="4" borderId="2" xfId="0" applyFont="1" applyFill="1" applyBorder="1" applyAlignment="1">
      <alignment horizontal="center" vertical="center"/>
    </xf>
    <xf numFmtId="14" fontId="20" fillId="30" borderId="1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left" vertical="top" wrapText="1"/>
    </xf>
    <xf numFmtId="0" fontId="20" fillId="24" borderId="1" xfId="0" applyFont="1" applyFill="1" applyBorder="1" applyAlignment="1">
      <alignment horizontal="left" vertical="top" wrapText="1"/>
    </xf>
    <xf numFmtId="0" fontId="20" fillId="29" borderId="4" xfId="0" applyFont="1" applyFill="1" applyBorder="1" applyAlignment="1">
      <alignment horizontal="left" vertical="center" wrapText="1"/>
    </xf>
    <xf numFmtId="0" fontId="20" fillId="29" borderId="4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29" fillId="4" borderId="7" xfId="0" applyFont="1" applyFill="1" applyBorder="1" applyAlignment="1"/>
    <xf numFmtId="0" fontId="29" fillId="0" borderId="7" xfId="0" applyFont="1" applyFill="1" applyBorder="1" applyAlignment="1"/>
    <xf numFmtId="0" fontId="21" fillId="0" borderId="57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4" fillId="0" borderId="1" xfId="0" applyFont="1" applyBorder="1"/>
    <xf numFmtId="0" fontId="59" fillId="4" borderId="1" xfId="0" applyFont="1" applyFill="1" applyBorder="1"/>
    <xf numFmtId="0" fontId="0" fillId="4" borderId="1" xfId="0" applyFill="1" applyBorder="1"/>
    <xf numFmtId="0" fontId="59" fillId="4" borderId="1" xfId="0" applyFont="1" applyFill="1" applyBorder="1" applyAlignment="1">
      <alignment horizontal="center"/>
    </xf>
    <xf numFmtId="14" fontId="5" fillId="4" borderId="1" xfId="0" applyNumberFormat="1" applyFont="1" applyFill="1" applyBorder="1"/>
    <xf numFmtId="14" fontId="0" fillId="4" borderId="1" xfId="0" applyNumberFormat="1" applyFont="1" applyFill="1" applyBorder="1"/>
    <xf numFmtId="14" fontId="0" fillId="4" borderId="1" xfId="0" applyNumberFormat="1" applyFill="1" applyBorder="1"/>
    <xf numFmtId="0" fontId="0" fillId="4" borderId="0" xfId="0" applyFill="1"/>
    <xf numFmtId="17" fontId="5" fillId="4" borderId="1" xfId="0" applyNumberFormat="1" applyFont="1" applyFill="1" applyBorder="1"/>
    <xf numFmtId="14" fontId="0" fillId="4" borderId="0" xfId="0" applyNumberFormat="1" applyFill="1"/>
    <xf numFmtId="14" fontId="68" fillId="4" borderId="1" xfId="0" applyNumberFormat="1" applyFont="1" applyFill="1" applyBorder="1" applyAlignment="1">
      <alignment horizontal="center" vertical="center"/>
    </xf>
    <xf numFmtId="14" fontId="0" fillId="0" borderId="0" xfId="0" applyNumberFormat="1" applyFill="1"/>
    <xf numFmtId="0" fontId="21" fillId="4" borderId="55" xfId="0" applyFont="1" applyFill="1" applyBorder="1"/>
    <xf numFmtId="0" fontId="21" fillId="4" borderId="5" xfId="0" applyFont="1" applyFill="1" applyBorder="1"/>
    <xf numFmtId="0" fontId="29" fillId="4" borderId="0" xfId="0" applyFont="1" applyFill="1" applyBorder="1"/>
    <xf numFmtId="0" fontId="20" fillId="24" borderId="1" xfId="0" applyFont="1" applyFill="1" applyBorder="1" applyAlignment="1">
      <alignment horizontal="left" vertical="center"/>
    </xf>
    <xf numFmtId="14" fontId="21" fillId="0" borderId="7" xfId="0" applyNumberFormat="1" applyFont="1" applyBorder="1" applyAlignment="1">
      <alignment horizontal="center" vertical="center"/>
    </xf>
    <xf numFmtId="0" fontId="5" fillId="4" borderId="1" xfId="0" applyFont="1" applyFill="1" applyBorder="1"/>
    <xf numFmtId="14" fontId="60" fillId="4" borderId="1" xfId="0" applyNumberFormat="1" applyFont="1" applyFill="1" applyBorder="1"/>
    <xf numFmtId="0" fontId="30" fillId="30" borderId="6" xfId="0" applyFont="1" applyFill="1" applyBorder="1" applyAlignment="1">
      <alignment horizontal="center" vertical="center"/>
    </xf>
    <xf numFmtId="0" fontId="29" fillId="30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 wrapText="1"/>
    </xf>
    <xf numFmtId="0" fontId="29" fillId="30" borderId="0" xfId="0" applyFont="1" applyFill="1" applyAlignment="1">
      <alignment horizontal="center" vertical="center"/>
    </xf>
    <xf numFmtId="0" fontId="24" fillId="30" borderId="0" xfId="0" applyFont="1" applyFill="1" applyAlignment="1">
      <alignment horizontal="center" vertical="center"/>
    </xf>
    <xf numFmtId="0" fontId="29" fillId="30" borderId="1" xfId="0" applyFont="1" applyFill="1" applyBorder="1" applyAlignment="1">
      <alignment wrapText="1"/>
    </xf>
    <xf numFmtId="14" fontId="59" fillId="4" borderId="1" xfId="0" applyNumberFormat="1" applyFont="1" applyFill="1" applyBorder="1" applyAlignment="1">
      <alignment horizontal="center"/>
    </xf>
    <xf numFmtId="0" fontId="36" fillId="26" borderId="2" xfId="0" applyFont="1" applyFill="1" applyBorder="1" applyAlignment="1">
      <alignment horizontal="center" vertical="center"/>
    </xf>
    <xf numFmtId="0" fontId="35" fillId="29" borderId="1" xfId="0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vertical="center"/>
    </xf>
    <xf numFmtId="0" fontId="30" fillId="26" borderId="6" xfId="0" applyFont="1" applyFill="1" applyBorder="1" applyAlignment="1">
      <alignment horizontal="center" vertical="center"/>
    </xf>
    <xf numFmtId="0" fontId="34" fillId="26" borderId="1" xfId="0" applyFont="1" applyFill="1" applyBorder="1" applyAlignment="1">
      <alignment horizontal="center" vertical="center" wrapText="1"/>
    </xf>
    <xf numFmtId="0" fontId="24" fillId="26" borderId="0" xfId="0" applyFont="1" applyFill="1"/>
    <xf numFmtId="0" fontId="0" fillId="4" borderId="1" xfId="0" applyFill="1" applyBorder="1" applyAlignment="1">
      <alignment wrapText="1"/>
    </xf>
    <xf numFmtId="14" fontId="42" fillId="0" borderId="0" xfId="0" applyNumberFormat="1" applyFont="1" applyAlignment="1"/>
    <xf numFmtId="14" fontId="24" fillId="0" borderId="1" xfId="0" applyNumberFormat="1" applyFont="1" applyFill="1" applyBorder="1" applyAlignment="1">
      <alignment horizontal="left" vertical="center" wrapText="1"/>
    </xf>
    <xf numFmtId="14" fontId="24" fillId="0" borderId="1" xfId="0" applyNumberFormat="1" applyFont="1" applyFill="1" applyBorder="1" applyAlignment="1"/>
    <xf numFmtId="14" fontId="24" fillId="0" borderId="1" xfId="0" applyNumberFormat="1" applyFont="1" applyFill="1" applyBorder="1" applyAlignment="1">
      <alignment vertical="center"/>
    </xf>
    <xf numFmtId="14" fontId="24" fillId="38" borderId="1" xfId="0" applyNumberFormat="1" applyFont="1" applyFill="1" applyBorder="1" applyAlignment="1"/>
    <xf numFmtId="14" fontId="24" fillId="30" borderId="1" xfId="0" applyNumberFormat="1" applyFont="1" applyFill="1" applyBorder="1" applyAlignment="1"/>
    <xf numFmtId="14" fontId="24" fillId="0" borderId="1" xfId="0" applyNumberFormat="1" applyFont="1" applyFill="1" applyBorder="1" applyAlignment="1">
      <alignment horizontal="right" vertical="center"/>
    </xf>
    <xf numFmtId="14" fontId="24" fillId="0" borderId="5" xfId="0" applyNumberFormat="1" applyFont="1" applyFill="1" applyBorder="1" applyAlignment="1"/>
    <xf numFmtId="14" fontId="61" fillId="0" borderId="1" xfId="0" applyNumberFormat="1" applyFont="1" applyFill="1" applyBorder="1" applyAlignment="1">
      <alignment horizontal="left" vertical="center" wrapText="1"/>
    </xf>
    <xf numFmtId="14" fontId="24" fillId="0" borderId="1" xfId="0" applyNumberFormat="1" applyFont="1" applyFill="1" applyBorder="1" applyAlignment="1">
      <alignment horizontal="center"/>
    </xf>
    <xf numFmtId="14" fontId="61" fillId="30" borderId="1" xfId="0" applyNumberFormat="1" applyFont="1" applyFill="1" applyBorder="1" applyAlignment="1">
      <alignment horizontal="center" vertical="center" wrapText="1"/>
    </xf>
    <xf numFmtId="14" fontId="43" fillId="0" borderId="1" xfId="0" applyNumberFormat="1" applyFont="1" applyFill="1" applyBorder="1" applyAlignment="1"/>
    <xf numFmtId="0" fontId="24" fillId="0" borderId="1" xfId="0" applyFont="1" applyFill="1" applyBorder="1"/>
    <xf numFmtId="0" fontId="61" fillId="0" borderId="1" xfId="0" applyFont="1" applyFill="1" applyBorder="1" applyAlignment="1">
      <alignment horizontal="left" vertical="center" wrapText="1"/>
    </xf>
    <xf numFmtId="14" fontId="24" fillId="0" borderId="1" xfId="0" applyNumberFormat="1" applyFont="1" applyFill="1" applyBorder="1"/>
    <xf numFmtId="0" fontId="24" fillId="4" borderId="1" xfId="0" applyFont="1" applyFill="1" applyBorder="1"/>
    <xf numFmtId="0" fontId="21" fillId="4" borderId="1" xfId="0" applyFont="1" applyFill="1" applyBorder="1"/>
    <xf numFmtId="0" fontId="21" fillId="0" borderId="1" xfId="0" applyFont="1" applyFill="1" applyBorder="1" applyAlignment="1">
      <alignment horizontal="left"/>
    </xf>
    <xf numFmtId="0" fontId="24" fillId="0" borderId="1" xfId="0" applyFont="1" applyBorder="1" applyAlignment="1">
      <alignment horizontal="center"/>
    </xf>
    <xf numFmtId="0" fontId="19" fillId="4" borderId="1" xfId="0" applyFont="1" applyFill="1" applyBorder="1"/>
    <xf numFmtId="14" fontId="24" fillId="38" borderId="1" xfId="0" applyNumberFormat="1" applyFont="1" applyFill="1" applyBorder="1" applyAlignment="1">
      <alignment horizontal="center" vertical="center" wrapText="1"/>
    </xf>
    <xf numFmtId="0" fontId="24" fillId="30" borderId="1" xfId="0" applyFont="1" applyFill="1" applyBorder="1" applyAlignment="1"/>
    <xf numFmtId="0" fontId="43" fillId="30" borderId="1" xfId="0" applyFont="1" applyFill="1" applyBorder="1" applyAlignment="1">
      <alignment horizontal="left" vertical="center" wrapText="1"/>
    </xf>
    <xf numFmtId="14" fontId="43" fillId="30" borderId="1" xfId="0" applyNumberFormat="1" applyFont="1" applyFill="1" applyBorder="1" applyAlignment="1">
      <alignment horizontal="center" vertical="center" wrapText="1"/>
    </xf>
    <xf numFmtId="14" fontId="61" fillId="30" borderId="1" xfId="0" applyNumberFormat="1" applyFont="1" applyFill="1" applyBorder="1" applyAlignment="1">
      <alignment horizontal="left" vertical="center" wrapText="1"/>
    </xf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77" xfId="0" applyBorder="1"/>
    <xf numFmtId="14" fontId="21" fillId="0" borderId="1" xfId="0" applyNumberFormat="1" applyFont="1" applyFill="1" applyBorder="1" applyAlignment="1">
      <alignment horizontal="center" vertical="center"/>
    </xf>
    <xf numFmtId="14" fontId="24" fillId="26" borderId="1" xfId="0" applyNumberFormat="1" applyFont="1" applyFill="1" applyBorder="1" applyAlignment="1"/>
    <xf numFmtId="0" fontId="24" fillId="26" borderId="1" xfId="0" applyFont="1" applyFill="1" applyBorder="1" applyAlignment="1"/>
    <xf numFmtId="0" fontId="0" fillId="27" borderId="0" xfId="0" applyFill="1"/>
    <xf numFmtId="0" fontId="70" fillId="0" borderId="1" xfId="3" applyBorder="1"/>
    <xf numFmtId="0" fontId="72" fillId="42" borderId="1" xfId="0" applyFont="1" applyFill="1" applyBorder="1" applyAlignment="1">
      <alignment horizontal="left" vertical="center" wrapText="1"/>
    </xf>
    <xf numFmtId="14" fontId="59" fillId="0" borderId="1" xfId="0" applyNumberFormat="1" applyFont="1" applyFill="1" applyBorder="1" applyAlignment="1">
      <alignment horizontal="center"/>
    </xf>
    <xf numFmtId="0" fontId="73" fillId="0" borderId="0" xfId="0" applyFont="1"/>
    <xf numFmtId="14" fontId="5" fillId="0" borderId="1" xfId="0" applyNumberFormat="1" applyFont="1" applyBorder="1"/>
    <xf numFmtId="14" fontId="24" fillId="4" borderId="1" xfId="0" applyNumberFormat="1" applyFont="1" applyFill="1" applyBorder="1" applyAlignment="1"/>
    <xf numFmtId="0" fontId="72" fillId="43" borderId="1" xfId="0" applyFont="1" applyFill="1" applyBorder="1" applyAlignment="1">
      <alignment horizontal="left" vertical="center" wrapText="1"/>
    </xf>
    <xf numFmtId="0" fontId="36" fillId="4" borderId="6" xfId="0" applyFont="1" applyFill="1" applyBorder="1" applyAlignment="1">
      <alignment horizontal="center"/>
    </xf>
    <xf numFmtId="14" fontId="20" fillId="29" borderId="1" xfId="0" applyNumberFormat="1" applyFont="1" applyFill="1" applyBorder="1" applyAlignment="1">
      <alignment horizontal="center" wrapText="1"/>
    </xf>
    <xf numFmtId="14" fontId="29" fillId="4" borderId="1" xfId="0" applyNumberFormat="1" applyFont="1" applyFill="1" applyBorder="1" applyAlignment="1">
      <alignment horizontal="center"/>
    </xf>
    <xf numFmtId="14" fontId="20" fillId="4" borderId="1" xfId="0" applyNumberFormat="1" applyFont="1" applyFill="1" applyBorder="1" applyAlignment="1">
      <alignment horizontal="center" wrapText="1"/>
    </xf>
    <xf numFmtId="14" fontId="24" fillId="4" borderId="1" xfId="0" applyNumberFormat="1" applyFont="1" applyFill="1" applyBorder="1" applyAlignment="1">
      <alignment horizontal="center" wrapText="1"/>
    </xf>
    <xf numFmtId="0" fontId="43" fillId="4" borderId="1" xfId="0" applyFont="1" applyFill="1" applyBorder="1" applyAlignment="1">
      <alignment horizontal="center" wrapText="1"/>
    </xf>
    <xf numFmtId="0" fontId="23" fillId="4" borderId="1" xfId="0" applyFont="1" applyFill="1" applyBorder="1" applyAlignment="1">
      <alignment horizontal="center"/>
    </xf>
    <xf numFmtId="14" fontId="24" fillId="4" borderId="1" xfId="0" applyNumberFormat="1" applyFont="1" applyFill="1" applyBorder="1" applyAlignment="1">
      <alignment horizontal="center"/>
    </xf>
    <xf numFmtId="0" fontId="72" fillId="43" borderId="1" xfId="0" applyFont="1" applyFill="1" applyBorder="1" applyAlignment="1">
      <alignment horizontal="center" wrapText="1"/>
    </xf>
    <xf numFmtId="0" fontId="24" fillId="4" borderId="1" xfId="0" applyFont="1" applyFill="1" applyBorder="1" applyAlignment="1">
      <alignment horizontal="center"/>
    </xf>
    <xf numFmtId="49" fontId="40" fillId="0" borderId="0" xfId="0" applyNumberFormat="1" applyFont="1" applyAlignment="1"/>
    <xf numFmtId="49" fontId="39" fillId="0" borderId="0" xfId="0" applyNumberFormat="1" applyFont="1" applyAlignment="1"/>
    <xf numFmtId="49" fontId="74" fillId="8" borderId="78" xfId="0" applyNumberFormat="1" applyFont="1" applyFill="1" applyBorder="1" applyAlignment="1">
      <alignment horizontal="center" vertical="center" wrapText="1"/>
    </xf>
    <xf numFmtId="0" fontId="54" fillId="0" borderId="59" xfId="0" applyFont="1" applyBorder="1" applyAlignment="1"/>
    <xf numFmtId="14" fontId="42" fillId="0" borderId="59" xfId="0" applyNumberFormat="1" applyFont="1" applyBorder="1" applyAlignment="1"/>
    <xf numFmtId="0" fontId="29" fillId="0" borderId="1" xfId="0" applyFont="1" applyFill="1" applyBorder="1" applyAlignment="1">
      <alignment vertical="center"/>
    </xf>
    <xf numFmtId="0" fontId="21" fillId="0" borderId="1" xfId="0" applyFont="1" applyFill="1" applyBorder="1"/>
    <xf numFmtId="0" fontId="24" fillId="0" borderId="1" xfId="0" applyFont="1" applyFill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4" fontId="24" fillId="0" borderId="5" xfId="0" applyNumberFormat="1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9" fillId="4" borderId="5" xfId="0" applyFont="1" applyFill="1" applyBorder="1" applyAlignment="1">
      <alignment horizontal="center"/>
    </xf>
    <xf numFmtId="0" fontId="29" fillId="4" borderId="5" xfId="0" applyFont="1" applyFill="1" applyBorder="1" applyAlignment="1"/>
    <xf numFmtId="0" fontId="29" fillId="0" borderId="5" xfId="0" applyFont="1" applyFill="1" applyBorder="1" applyAlignment="1"/>
    <xf numFmtId="0" fontId="21" fillId="0" borderId="55" xfId="0" applyFont="1" applyBorder="1" applyAlignment="1">
      <alignment horizontal="center" vertical="center"/>
    </xf>
    <xf numFmtId="0" fontId="24" fillId="4" borderId="7" xfId="0" applyFont="1" applyFill="1" applyBorder="1"/>
    <xf numFmtId="0" fontId="21" fillId="0" borderId="7" xfId="0" applyFont="1" applyBorder="1"/>
    <xf numFmtId="0" fontId="21" fillId="4" borderId="7" xfId="0" applyFont="1" applyFill="1" applyBorder="1" applyAlignment="1">
      <alignment horizontal="center"/>
    </xf>
    <xf numFmtId="0" fontId="21" fillId="4" borderId="7" xfId="0" applyFont="1" applyFill="1" applyBorder="1"/>
    <xf numFmtId="0" fontId="21" fillId="0" borderId="7" xfId="0" applyFont="1" applyFill="1" applyBorder="1" applyAlignment="1">
      <alignment horizontal="center"/>
    </xf>
    <xf numFmtId="0" fontId="21" fillId="0" borderId="7" xfId="0" applyFont="1" applyFill="1" applyBorder="1" applyAlignment="1">
      <alignment horizontal="left"/>
    </xf>
    <xf numFmtId="0" fontId="20" fillId="0" borderId="7" xfId="0" applyFont="1" applyFill="1" applyBorder="1" applyAlignment="1">
      <alignment horizontal="center" vertical="center" wrapText="1"/>
    </xf>
    <xf numFmtId="14" fontId="21" fillId="0" borderId="7" xfId="0" applyNumberFormat="1" applyFont="1" applyFill="1" applyBorder="1" applyAlignment="1">
      <alignment horizontal="center"/>
    </xf>
    <xf numFmtId="14" fontId="61" fillId="0" borderId="7" xfId="0" applyNumberFormat="1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center"/>
    </xf>
    <xf numFmtId="0" fontId="24" fillId="0" borderId="7" xfId="0" applyFont="1" applyBorder="1"/>
    <xf numFmtId="0" fontId="21" fillId="0" borderId="7" xfId="0" applyFont="1" applyBorder="1" applyAlignment="1">
      <alignment horizontal="center"/>
    </xf>
    <xf numFmtId="0" fontId="30" fillId="0" borderId="1" xfId="0" applyFont="1" applyFill="1" applyBorder="1" applyAlignment="1">
      <alignment vertical="center"/>
    </xf>
    <xf numFmtId="0" fontId="19" fillId="0" borderId="1" xfId="0" applyFont="1" applyFill="1" applyBorder="1"/>
    <xf numFmtId="2" fontId="75" fillId="8" borderId="0" xfId="0" applyNumberFormat="1" applyFont="1" applyFill="1" applyAlignment="1">
      <alignment horizontal="center" vertical="center"/>
    </xf>
    <xf numFmtId="49" fontId="75" fillId="8" borderId="0" xfId="0" applyNumberFormat="1" applyFont="1" applyFill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72" fillId="44" borderId="1" xfId="0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horizontal="center"/>
    </xf>
    <xf numFmtId="0" fontId="20" fillId="29" borderId="1" xfId="0" applyFont="1" applyFill="1" applyBorder="1" applyAlignment="1">
      <alignment horizontal="left" wrapText="1"/>
    </xf>
    <xf numFmtId="14" fontId="61" fillId="0" borderId="1" xfId="0" applyNumberFormat="1" applyFont="1" applyFill="1" applyBorder="1" applyAlignment="1">
      <alignment horizontal="center" wrapText="1"/>
    </xf>
    <xf numFmtId="0" fontId="32" fillId="4" borderId="1" xfId="0" applyFont="1" applyFill="1" applyBorder="1" applyAlignment="1">
      <alignment horizontal="center" wrapText="1"/>
    </xf>
    <xf numFmtId="0" fontId="72" fillId="42" borderId="1" xfId="0" applyFont="1" applyFill="1" applyBorder="1" applyAlignment="1">
      <alignment horizontal="left" wrapText="1"/>
    </xf>
    <xf numFmtId="0" fontId="29" fillId="4" borderId="0" xfId="0" applyFont="1" applyFill="1" applyAlignment="1"/>
    <xf numFmtId="0" fontId="21" fillId="4" borderId="0" xfId="0" applyFont="1" applyFill="1" applyAlignment="1"/>
    <xf numFmtId="0" fontId="20" fillId="29" borderId="1" xfId="0" applyFont="1" applyFill="1" applyBorder="1" applyAlignment="1">
      <alignment horizontal="left" vertical="center"/>
    </xf>
    <xf numFmtId="14" fontId="29" fillId="4" borderId="1" xfId="0" applyNumberFormat="1" applyFont="1" applyFill="1" applyBorder="1" applyAlignment="1">
      <alignment vertical="center"/>
    </xf>
    <xf numFmtId="0" fontId="29" fillId="4" borderId="0" xfId="0" applyFont="1" applyFill="1" applyAlignment="1">
      <alignment vertical="center"/>
    </xf>
    <xf numFmtId="0" fontId="21" fillId="4" borderId="0" xfId="0" applyFont="1" applyFill="1" applyAlignment="1">
      <alignment vertical="center"/>
    </xf>
    <xf numFmtId="0" fontId="24" fillId="0" borderId="1" xfId="0" applyFont="1" applyFill="1" applyBorder="1" applyAlignment="1">
      <alignment vertical="center"/>
    </xf>
    <xf numFmtId="0" fontId="76" fillId="0" borderId="0" xfId="0" applyFont="1"/>
    <xf numFmtId="49" fontId="39" fillId="4" borderId="0" xfId="0" applyNumberFormat="1" applyFont="1" applyFill="1" applyAlignment="1">
      <alignment horizontal="center"/>
    </xf>
    <xf numFmtId="2" fontId="75" fillId="8" borderId="79" xfId="0" applyNumberFormat="1" applyFont="1" applyFill="1" applyBorder="1" applyAlignment="1">
      <alignment horizontal="center"/>
    </xf>
    <xf numFmtId="14" fontId="49" fillId="0" borderId="1" xfId="0" applyNumberFormat="1" applyFont="1" applyBorder="1" applyAlignment="1">
      <alignment horizontal="center"/>
    </xf>
    <xf numFmtId="14" fontId="50" fillId="24" borderId="1" xfId="0" applyNumberFormat="1" applyFont="1" applyFill="1" applyBorder="1" applyAlignment="1">
      <alignment horizontal="center"/>
    </xf>
    <xf numFmtId="14" fontId="50" fillId="29" borderId="1" xfId="0" applyNumberFormat="1" applyFont="1" applyFill="1" applyBorder="1" applyAlignment="1">
      <alignment horizontal="center"/>
    </xf>
    <xf numFmtId="14" fontId="50" fillId="31" borderId="1" xfId="0" applyNumberFormat="1" applyFont="1" applyFill="1" applyBorder="1" applyAlignment="1">
      <alignment horizontal="center"/>
    </xf>
    <xf numFmtId="0" fontId="20" fillId="31" borderId="1" xfId="0" applyFont="1" applyFill="1" applyBorder="1" applyAlignment="1">
      <alignment wrapText="1"/>
    </xf>
    <xf numFmtId="0" fontId="20" fillId="31" borderId="1" xfId="0" applyFont="1" applyFill="1" applyBorder="1" applyAlignment="1">
      <alignment horizontal="center" wrapText="1"/>
    </xf>
    <xf numFmtId="0" fontId="20" fillId="31" borderId="1" xfId="0" applyFont="1" applyFill="1" applyBorder="1" applyAlignment="1">
      <alignment horizontal="center"/>
    </xf>
    <xf numFmtId="0" fontId="29" fillId="30" borderId="1" xfId="0" applyFont="1" applyFill="1" applyBorder="1" applyAlignment="1">
      <alignment horizontal="left"/>
    </xf>
    <xf numFmtId="14" fontId="20" fillId="31" borderId="1" xfId="0" applyNumberFormat="1" applyFont="1" applyFill="1" applyBorder="1" applyAlignment="1">
      <alignment horizontal="center"/>
    </xf>
    <xf numFmtId="14" fontId="43" fillId="30" borderId="1" xfId="0" applyNumberFormat="1" applyFont="1" applyFill="1" applyBorder="1" applyAlignment="1"/>
    <xf numFmtId="0" fontId="59" fillId="27" borderId="1" xfId="0" applyFont="1" applyFill="1" applyBorder="1"/>
    <xf numFmtId="0" fontId="0" fillId="27" borderId="1" xfId="0" applyFill="1" applyBorder="1"/>
    <xf numFmtId="0" fontId="59" fillId="27" borderId="1" xfId="0" applyFont="1" applyFill="1" applyBorder="1" applyAlignment="1">
      <alignment horizontal="center"/>
    </xf>
    <xf numFmtId="14" fontId="5" fillId="27" borderId="1" xfId="0" applyNumberFormat="1" applyFont="1" applyFill="1" applyBorder="1"/>
    <xf numFmtId="14" fontId="59" fillId="27" borderId="1" xfId="0" applyNumberFormat="1" applyFont="1" applyFill="1" applyBorder="1" applyAlignment="1">
      <alignment horizontal="center"/>
    </xf>
    <xf numFmtId="14" fontId="0" fillId="27" borderId="1" xfId="0" applyNumberFormat="1" applyFont="1" applyFill="1" applyBorder="1"/>
    <xf numFmtId="14" fontId="0" fillId="27" borderId="1" xfId="0" applyNumberFormat="1" applyFill="1" applyBorder="1"/>
    <xf numFmtId="14" fontId="20" fillId="41" borderId="1" xfId="0" applyNumberFormat="1" applyFont="1" applyFill="1" applyBorder="1" applyAlignment="1">
      <alignment horizontal="center" vertical="center" wrapText="1"/>
    </xf>
    <xf numFmtId="14" fontId="20" fillId="29" borderId="1" xfId="0" applyNumberFormat="1" applyFont="1" applyFill="1" applyBorder="1"/>
    <xf numFmtId="14" fontId="24" fillId="4" borderId="1" xfId="0" applyNumberFormat="1" applyFont="1" applyFill="1" applyBorder="1" applyAlignment="1">
      <alignment horizontal="center" vertical="center"/>
    </xf>
    <xf numFmtId="0" fontId="71" fillId="4" borderId="1" xfId="0" applyFont="1" applyFill="1" applyBorder="1"/>
    <xf numFmtId="0" fontId="59" fillId="4" borderId="0" xfId="0" applyFont="1" applyFill="1"/>
    <xf numFmtId="0" fontId="1" fillId="0" borderId="0" xfId="0" applyFont="1"/>
    <xf numFmtId="0" fontId="49" fillId="0" borderId="0" xfId="0" applyFont="1"/>
    <xf numFmtId="0" fontId="25" fillId="0" borderId="58" xfId="0" applyFont="1" applyFill="1" applyBorder="1" applyAlignment="1">
      <alignment horizontal="center"/>
    </xf>
    <xf numFmtId="0" fontId="25" fillId="0" borderId="59" xfId="0" applyFont="1" applyFill="1" applyBorder="1" applyAlignment="1">
      <alignment horizontal="center"/>
    </xf>
    <xf numFmtId="0" fontId="25" fillId="0" borderId="60" xfId="0" applyFont="1" applyFill="1" applyBorder="1" applyAlignment="1">
      <alignment horizontal="center"/>
    </xf>
    <xf numFmtId="49" fontId="26" fillId="0" borderId="62" xfId="0" applyNumberFormat="1" applyFont="1" applyFill="1" applyBorder="1" applyAlignment="1">
      <alignment horizontal="center"/>
    </xf>
    <xf numFmtId="49" fontId="26" fillId="0" borderId="0" xfId="0" applyNumberFormat="1" applyFont="1" applyFill="1" applyBorder="1" applyAlignment="1">
      <alignment horizontal="center"/>
    </xf>
    <xf numFmtId="49" fontId="26" fillId="0" borderId="63" xfId="0" applyNumberFormat="1" applyFont="1" applyFill="1" applyBorder="1" applyAlignment="1">
      <alignment horizontal="center"/>
    </xf>
    <xf numFmtId="0" fontId="54" fillId="0" borderId="62" xfId="0" applyFont="1" applyFill="1" applyBorder="1" applyAlignment="1">
      <alignment horizontal="left"/>
    </xf>
    <xf numFmtId="0" fontId="54" fillId="0" borderId="0" xfId="0" applyFont="1" applyFill="1" applyBorder="1" applyAlignment="1">
      <alignment horizontal="left"/>
    </xf>
    <xf numFmtId="0" fontId="54" fillId="0" borderId="63" xfId="0" applyFont="1" applyFill="1" applyBorder="1" applyAlignment="1">
      <alignment horizontal="left"/>
    </xf>
    <xf numFmtId="49" fontId="39" fillId="0" borderId="64" xfId="0" applyNumberFormat="1" applyFont="1" applyFill="1" applyBorder="1" applyAlignment="1">
      <alignment horizontal="center"/>
    </xf>
    <xf numFmtId="49" fontId="39" fillId="0" borderId="65" xfId="0" applyNumberFormat="1" applyFont="1" applyFill="1" applyBorder="1" applyAlignment="1">
      <alignment horizontal="center"/>
    </xf>
    <xf numFmtId="49" fontId="39" fillId="0" borderId="66" xfId="0" applyNumberFormat="1" applyFont="1" applyFill="1" applyBorder="1" applyAlignment="1">
      <alignment horizontal="center"/>
    </xf>
    <xf numFmtId="0" fontId="54" fillId="0" borderId="64" xfId="0" applyFont="1" applyFill="1" applyBorder="1" applyAlignment="1">
      <alignment horizontal="left" vertical="top"/>
    </xf>
    <xf numFmtId="0" fontId="54" fillId="0" borderId="65" xfId="0" applyFont="1" applyFill="1" applyBorder="1" applyAlignment="1">
      <alignment horizontal="left" vertical="top"/>
    </xf>
    <xf numFmtId="0" fontId="54" fillId="0" borderId="66" xfId="0" applyFont="1" applyFill="1" applyBorder="1" applyAlignment="1">
      <alignment horizontal="left" vertical="top"/>
    </xf>
    <xf numFmtId="49" fontId="40" fillId="0" borderId="0" xfId="0" applyNumberFormat="1" applyFont="1" applyAlignment="1"/>
    <xf numFmtId="49" fontId="39" fillId="0" borderId="0" xfId="0" applyNumberFormat="1" applyFont="1" applyAlignment="1"/>
    <xf numFmtId="0" fontId="29" fillId="0" borderId="9" xfId="0" applyFont="1" applyBorder="1" applyAlignment="1">
      <alignment horizontal="center"/>
    </xf>
    <xf numFmtId="0" fontId="31" fillId="2" borderId="1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20" fillId="25" borderId="1" xfId="0" applyFont="1" applyFill="1" applyBorder="1" applyAlignment="1">
      <alignment horizontal="center" vertical="center" wrapText="1"/>
    </xf>
    <xf numFmtId="0" fontId="20" fillId="25" borderId="5" xfId="0" applyFont="1" applyFill="1" applyBorder="1" applyAlignment="1">
      <alignment horizontal="center" vertical="center" wrapText="1"/>
    </xf>
    <xf numFmtId="0" fontId="47" fillId="27" borderId="1" xfId="0" applyFont="1" applyFill="1" applyBorder="1" applyAlignment="1">
      <alignment horizontal="center" vertical="center" wrapText="1"/>
    </xf>
    <xf numFmtId="0" fontId="47" fillId="27" borderId="5" xfId="0" applyFont="1" applyFill="1" applyBorder="1" applyAlignment="1">
      <alignment horizontal="center" vertical="center" wrapText="1"/>
    </xf>
    <xf numFmtId="0" fontId="31" fillId="27" borderId="1" xfId="0" applyFont="1" applyFill="1" applyBorder="1" applyAlignment="1">
      <alignment horizontal="center" vertical="center" wrapText="1"/>
    </xf>
    <xf numFmtId="0" fontId="31" fillId="27" borderId="5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35" borderId="5" xfId="0" applyFont="1" applyFill="1" applyBorder="1" applyAlignment="1">
      <alignment horizontal="center" vertical="center" wrapText="1"/>
    </xf>
    <xf numFmtId="14" fontId="31" fillId="35" borderId="1" xfId="0" applyNumberFormat="1" applyFont="1" applyFill="1" applyBorder="1" applyAlignment="1">
      <alignment horizontal="center" vertical="center" wrapText="1"/>
    </xf>
    <xf numFmtId="14" fontId="31" fillId="35" borderId="5" xfId="0" applyNumberFormat="1" applyFont="1" applyFill="1" applyBorder="1" applyAlignment="1">
      <alignment horizontal="center" vertical="center" wrapText="1"/>
    </xf>
    <xf numFmtId="0" fontId="31" fillId="34" borderId="4" xfId="0" applyFont="1" applyFill="1" applyBorder="1" applyAlignment="1">
      <alignment horizontal="center" vertical="center" wrapText="1"/>
    </xf>
    <xf numFmtId="0" fontId="31" fillId="34" borderId="55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34" borderId="5" xfId="0" applyFont="1" applyFill="1" applyBorder="1" applyAlignment="1">
      <alignment horizontal="center" vertical="center" wrapText="1"/>
    </xf>
    <xf numFmtId="0" fontId="42" fillId="4" borderId="5" xfId="0" applyFont="1" applyFill="1" applyBorder="1" applyAlignment="1">
      <alignment horizontal="center" vertical="center"/>
    </xf>
    <xf numFmtId="0" fontId="42" fillId="4" borderId="8" xfId="0" applyFont="1" applyFill="1" applyBorder="1" applyAlignment="1">
      <alignment horizontal="center" vertical="center"/>
    </xf>
    <xf numFmtId="0" fontId="46" fillId="4" borderId="5" xfId="0" applyFont="1" applyFill="1" applyBorder="1" applyAlignment="1">
      <alignment horizontal="center" vertical="center"/>
    </xf>
    <xf numFmtId="0" fontId="46" fillId="4" borderId="8" xfId="0" applyFont="1" applyFill="1" applyBorder="1" applyAlignment="1">
      <alignment horizontal="center" vertical="center"/>
    </xf>
    <xf numFmtId="0" fontId="31" fillId="26" borderId="5" xfId="0" applyFont="1" applyFill="1" applyBorder="1" applyAlignment="1">
      <alignment horizontal="center" vertical="center" wrapText="1"/>
    </xf>
    <xf numFmtId="0" fontId="31" fillId="26" borderId="8" xfId="0" applyFont="1" applyFill="1" applyBorder="1" applyAlignment="1">
      <alignment horizontal="center" vertical="center" wrapText="1"/>
    </xf>
    <xf numFmtId="0" fontId="41" fillId="30" borderId="0" xfId="0" applyFont="1" applyFill="1" applyAlignment="1">
      <alignment horizontal="center" vertical="center"/>
    </xf>
    <xf numFmtId="164" fontId="62" fillId="40" borderId="0" xfId="0" applyNumberFormat="1" applyFont="1" applyFill="1" applyBorder="1" applyAlignment="1">
      <alignment horizontal="center" vertical="center" wrapText="1"/>
    </xf>
    <xf numFmtId="164" fontId="62" fillId="40" borderId="16" xfId="0" applyNumberFormat="1" applyFont="1" applyFill="1" applyBorder="1" applyAlignment="1">
      <alignment horizontal="center" vertical="center" wrapText="1"/>
    </xf>
    <xf numFmtId="164" fontId="64" fillId="40" borderId="1" xfId="0" applyNumberFormat="1" applyFont="1" applyFill="1" applyBorder="1" applyAlignment="1">
      <alignment horizontal="center" vertical="center" wrapText="1"/>
    </xf>
    <xf numFmtId="164" fontId="64" fillId="40" borderId="5" xfId="0" applyNumberFormat="1" applyFont="1" applyFill="1" applyBorder="1" applyAlignment="1">
      <alignment horizontal="center" vertical="center" wrapText="1"/>
    </xf>
    <xf numFmtId="164" fontId="64" fillId="8" borderId="1" xfId="0" applyNumberFormat="1" applyFont="1" applyFill="1" applyBorder="1" applyAlignment="1">
      <alignment horizontal="center" vertical="center" textRotation="45" wrapText="1"/>
    </xf>
    <xf numFmtId="164" fontId="64" fillId="8" borderId="5" xfId="0" applyNumberFormat="1" applyFont="1" applyFill="1" applyBorder="1" applyAlignment="1">
      <alignment horizontal="center" vertical="center" textRotation="45" wrapText="1"/>
    </xf>
    <xf numFmtId="0" fontId="42" fillId="2" borderId="1" xfId="0" applyFont="1" applyFill="1" applyBorder="1" applyAlignment="1">
      <alignment horizontal="center" vertical="center"/>
    </xf>
    <xf numFmtId="0" fontId="42" fillId="2" borderId="5" xfId="0" applyFont="1" applyFill="1" applyBorder="1" applyAlignment="1">
      <alignment horizontal="center" vertical="center"/>
    </xf>
    <xf numFmtId="164" fontId="62" fillId="40" borderId="1" xfId="0" applyNumberFormat="1" applyFont="1" applyFill="1" applyBorder="1" applyAlignment="1">
      <alignment horizontal="center" vertical="center" wrapText="1"/>
    </xf>
    <xf numFmtId="164" fontId="62" fillId="40" borderId="5" xfId="0" applyNumberFormat="1" applyFont="1" applyFill="1" applyBorder="1" applyAlignment="1">
      <alignment horizontal="center" vertical="center" wrapText="1"/>
    </xf>
    <xf numFmtId="164" fontId="63" fillId="40" borderId="1" xfId="0" applyNumberFormat="1" applyFont="1" applyFill="1" applyBorder="1" applyAlignment="1">
      <alignment horizontal="center" vertical="center" wrapText="1"/>
    </xf>
    <xf numFmtId="164" fontId="63" fillId="40" borderId="5" xfId="0" applyNumberFormat="1" applyFont="1" applyFill="1" applyBorder="1" applyAlignment="1">
      <alignment horizontal="center" vertical="center" wrapText="1"/>
    </xf>
    <xf numFmtId="0" fontId="36" fillId="26" borderId="1" xfId="0" applyFont="1" applyFill="1" applyBorder="1" applyAlignment="1">
      <alignment horizontal="center" vertical="center" textRotation="70"/>
    </xf>
    <xf numFmtId="0" fontId="36" fillId="26" borderId="5" xfId="0" applyFont="1" applyFill="1" applyBorder="1" applyAlignment="1">
      <alignment horizontal="center" vertical="center" textRotation="70"/>
    </xf>
    <xf numFmtId="0" fontId="36" fillId="26" borderId="1" xfId="0" applyFont="1" applyFill="1" applyBorder="1" applyAlignment="1">
      <alignment horizontal="center" vertical="center" textRotation="70" wrapText="1"/>
    </xf>
    <xf numFmtId="0" fontId="36" fillId="26" borderId="5" xfId="0" applyFont="1" applyFill="1" applyBorder="1" applyAlignment="1">
      <alignment horizontal="center" vertical="center" textRotation="70" wrapText="1"/>
    </xf>
    <xf numFmtId="0" fontId="42" fillId="35" borderId="6" xfId="0" applyFont="1" applyFill="1" applyBorder="1" applyAlignment="1">
      <alignment horizontal="center" vertical="center" wrapText="1"/>
    </xf>
    <xf numFmtId="0" fontId="42" fillId="35" borderId="55" xfId="0" applyFont="1" applyFill="1" applyBorder="1" applyAlignment="1">
      <alignment horizontal="center" vertical="center" wrapText="1"/>
    </xf>
    <xf numFmtId="0" fontId="42" fillId="35" borderId="56" xfId="0" applyFont="1" applyFill="1" applyBorder="1" applyAlignment="1">
      <alignment horizontal="center" vertical="center" wrapText="1"/>
    </xf>
    <xf numFmtId="0" fontId="42" fillId="35" borderId="57" xfId="0" applyFont="1" applyFill="1" applyBorder="1" applyAlignment="1">
      <alignment horizontal="center" vertical="center" wrapText="1"/>
    </xf>
    <xf numFmtId="0" fontId="40" fillId="34" borderId="6" xfId="0" applyFont="1" applyFill="1" applyBorder="1" applyAlignment="1">
      <alignment horizontal="center"/>
    </xf>
    <xf numFmtId="0" fontId="40" fillId="34" borderId="54" xfId="0" applyFont="1" applyFill="1" applyBorder="1" applyAlignment="1">
      <alignment horizontal="center"/>
    </xf>
    <xf numFmtId="0" fontId="40" fillId="34" borderId="55" xfId="0" applyFont="1" applyFill="1" applyBorder="1" applyAlignment="1">
      <alignment horizontal="center"/>
    </xf>
    <xf numFmtId="0" fontId="40" fillId="34" borderId="56" xfId="0" applyFont="1" applyFill="1" applyBorder="1" applyAlignment="1">
      <alignment horizontal="center"/>
    </xf>
    <xf numFmtId="0" fontId="40" fillId="34" borderId="16" xfId="0" applyFont="1" applyFill="1" applyBorder="1" applyAlignment="1">
      <alignment horizontal="center"/>
    </xf>
    <xf numFmtId="0" fontId="40" fillId="34" borderId="57" xfId="0" applyFont="1" applyFill="1" applyBorder="1" applyAlignment="1">
      <alignment horizontal="center"/>
    </xf>
    <xf numFmtId="0" fontId="42" fillId="39" borderId="68" xfId="0" applyFont="1" applyFill="1" applyBorder="1" applyAlignment="1">
      <alignment horizontal="center" vertical="center" wrapText="1"/>
    </xf>
    <xf numFmtId="0" fontId="42" fillId="39" borderId="7" xfId="0" applyFont="1" applyFill="1" applyBorder="1" applyAlignment="1">
      <alignment horizontal="center" vertical="center" wrapText="1"/>
    </xf>
    <xf numFmtId="164" fontId="36" fillId="12" borderId="5" xfId="0" applyNumberFormat="1" applyFont="1" applyFill="1" applyBorder="1" applyAlignment="1">
      <alignment horizontal="center" vertical="center" wrapText="1"/>
    </xf>
    <xf numFmtId="164" fontId="36" fillId="12" borderId="7" xfId="0" applyNumberFormat="1" applyFont="1" applyFill="1" applyBorder="1" applyAlignment="1">
      <alignment horizontal="center" vertical="center" wrapText="1"/>
    </xf>
    <xf numFmtId="14" fontId="42" fillId="35" borderId="1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42" fillId="35" borderId="1" xfId="0" applyFont="1" applyFill="1" applyBorder="1" applyAlignment="1">
      <alignment horizontal="center" vertical="center" wrapText="1"/>
    </xf>
    <xf numFmtId="164" fontId="22" fillId="2" borderId="5" xfId="0" applyNumberFormat="1" applyFont="1" applyFill="1" applyBorder="1" applyAlignment="1">
      <alignment horizontal="center" vertical="center" wrapText="1"/>
    </xf>
    <xf numFmtId="164" fontId="22" fillId="2" borderId="8" xfId="0" applyNumberFormat="1" applyFont="1" applyFill="1" applyBorder="1" applyAlignment="1">
      <alignment horizontal="center" vertical="center" wrapText="1"/>
    </xf>
    <xf numFmtId="164" fontId="22" fillId="26" borderId="1" xfId="0" applyNumberFormat="1" applyFont="1" applyFill="1" applyBorder="1" applyAlignment="1">
      <alignment horizontal="center" vertical="center" textRotation="70" wrapText="1"/>
    </xf>
    <xf numFmtId="164" fontId="22" fillId="26" borderId="5" xfId="0" applyNumberFormat="1" applyFont="1" applyFill="1" applyBorder="1" applyAlignment="1">
      <alignment horizontal="center" vertical="center" textRotation="70" wrapText="1"/>
    </xf>
    <xf numFmtId="0" fontId="55" fillId="27" borderId="2" xfId="0" applyFont="1" applyFill="1" applyBorder="1" applyAlignment="1">
      <alignment horizontal="center" wrapText="1"/>
    </xf>
    <xf numFmtId="0" fontId="55" fillId="27" borderId="3" xfId="0" applyFont="1" applyFill="1" applyBorder="1" applyAlignment="1">
      <alignment horizontal="center" wrapText="1"/>
    </xf>
    <xf numFmtId="0" fontId="55" fillId="27" borderId="4" xfId="0" applyFont="1" applyFill="1" applyBorder="1" applyAlignment="1">
      <alignment horizontal="center" wrapText="1"/>
    </xf>
    <xf numFmtId="0" fontId="56" fillId="36" borderId="1" xfId="0" applyFont="1" applyFill="1" applyBorder="1" applyAlignment="1">
      <alignment horizontal="center"/>
    </xf>
    <xf numFmtId="0" fontId="54" fillId="33" borderId="1" xfId="0" applyFont="1" applyFill="1" applyBorder="1" applyAlignment="1">
      <alignment horizontal="center"/>
    </xf>
    <xf numFmtId="0" fontId="56" fillId="28" borderId="56" xfId="0" applyFont="1" applyFill="1" applyBorder="1" applyAlignment="1">
      <alignment horizontal="center" vertical="center" wrapText="1"/>
    </xf>
    <xf numFmtId="0" fontId="56" fillId="28" borderId="16" xfId="0" applyFont="1" applyFill="1" applyBorder="1" applyAlignment="1">
      <alignment horizontal="center" vertical="center" wrapText="1"/>
    </xf>
    <xf numFmtId="0" fontId="0" fillId="38" borderId="2" xfId="0" applyFill="1" applyBorder="1" applyAlignment="1">
      <alignment horizontal="center" wrapText="1"/>
    </xf>
    <xf numFmtId="0" fontId="0" fillId="38" borderId="4" xfId="0" applyFill="1" applyBorder="1" applyAlignment="1">
      <alignment horizontal="center" wrapText="1"/>
    </xf>
    <xf numFmtId="0" fontId="0" fillId="27" borderId="6" xfId="0" applyFill="1" applyBorder="1" applyAlignment="1">
      <alignment horizontal="center"/>
    </xf>
    <xf numFmtId="0" fontId="0" fillId="27" borderId="54" xfId="0" applyFill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37" borderId="5" xfId="0" applyFill="1" applyBorder="1" applyAlignment="1">
      <alignment horizontal="center"/>
    </xf>
    <xf numFmtId="0" fontId="0" fillId="37" borderId="5" xfId="0" applyFill="1" applyBorder="1" applyAlignment="1">
      <alignment horizontal="center" wrapText="1"/>
    </xf>
    <xf numFmtId="164" fontId="12" fillId="10" borderId="17" xfId="0" applyNumberFormat="1" applyFont="1" applyFill="1" applyBorder="1" applyAlignment="1">
      <alignment horizontal="center" vertical="center" wrapText="1"/>
    </xf>
    <xf numFmtId="164" fontId="12" fillId="10" borderId="21" xfId="0" applyNumberFormat="1" applyFont="1" applyFill="1" applyBorder="1" applyAlignment="1">
      <alignment horizontal="center" vertical="center" wrapText="1"/>
    </xf>
    <xf numFmtId="0" fontId="17" fillId="22" borderId="40" xfId="0" applyFont="1" applyFill="1" applyBorder="1" applyAlignment="1">
      <alignment horizontal="center" vertical="center" wrapText="1"/>
    </xf>
    <xf numFmtId="0" fontId="17" fillId="22" borderId="9" xfId="0" applyFont="1" applyFill="1" applyBorder="1" applyAlignment="1">
      <alignment horizontal="center" vertical="center" wrapText="1"/>
    </xf>
    <xf numFmtId="0" fontId="17" fillId="22" borderId="44" xfId="0" applyFont="1" applyFill="1" applyBorder="1" applyAlignment="1">
      <alignment horizontal="center" vertical="center" wrapText="1"/>
    </xf>
    <xf numFmtId="0" fontId="17" fillId="22" borderId="0" xfId="0" applyFont="1" applyFill="1" applyAlignment="1">
      <alignment horizontal="center" vertical="center" wrapText="1"/>
    </xf>
    <xf numFmtId="0" fontId="17" fillId="22" borderId="48" xfId="0" applyFont="1" applyFill="1" applyBorder="1" applyAlignment="1">
      <alignment horizontal="center" vertical="center" wrapText="1"/>
    </xf>
    <xf numFmtId="0" fontId="17" fillId="22" borderId="22" xfId="0" applyFont="1" applyFill="1" applyBorder="1" applyAlignment="1">
      <alignment horizontal="center" vertical="center" wrapText="1"/>
    </xf>
    <xf numFmtId="0" fontId="17" fillId="22" borderId="42" xfId="0" applyFont="1" applyFill="1" applyBorder="1" applyAlignment="1">
      <alignment horizontal="center" vertical="center" wrapText="1"/>
    </xf>
    <xf numFmtId="0" fontId="10" fillId="23" borderId="41" xfId="0" applyFont="1" applyFill="1" applyBorder="1" applyAlignment="1">
      <alignment horizontal="center" vertical="center" textRotation="90" wrapText="1"/>
    </xf>
    <xf numFmtId="0" fontId="10" fillId="23" borderId="19" xfId="0" applyFont="1" applyFill="1" applyBorder="1" applyAlignment="1">
      <alignment horizontal="center" vertical="center" textRotation="90" wrapText="1"/>
    </xf>
    <xf numFmtId="0" fontId="10" fillId="23" borderId="43" xfId="0" applyFont="1" applyFill="1" applyBorder="1" applyAlignment="1">
      <alignment horizontal="center" vertical="center" textRotation="90" wrapText="1"/>
    </xf>
    <xf numFmtId="164" fontId="12" fillId="10" borderId="45" xfId="0" applyNumberFormat="1" applyFont="1" applyFill="1" applyBorder="1" applyAlignment="1">
      <alignment horizontal="center" vertical="center" wrapText="1"/>
    </xf>
    <xf numFmtId="0" fontId="10" fillId="17" borderId="21" xfId="0" applyFont="1" applyFill="1" applyBorder="1" applyAlignment="1">
      <alignment horizontal="center" vertical="center" wrapText="1"/>
    </xf>
    <xf numFmtId="0" fontId="10" fillId="17" borderId="22" xfId="0" applyFont="1" applyFill="1" applyBorder="1" applyAlignment="1">
      <alignment horizontal="center" vertical="center" textRotation="90" wrapText="1"/>
    </xf>
    <xf numFmtId="164" fontId="13" fillId="10" borderId="21" xfId="0" applyNumberFormat="1" applyFont="1" applyFill="1" applyBorder="1" applyAlignment="1">
      <alignment horizontal="center" vertical="center" wrapText="1"/>
    </xf>
    <xf numFmtId="0" fontId="10" fillId="18" borderId="26" xfId="0" applyFont="1" applyFill="1" applyBorder="1" applyAlignment="1">
      <alignment horizontal="center" vertical="center" wrapText="1"/>
    </xf>
    <xf numFmtId="0" fontId="10" fillId="18" borderId="29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vertical="center" wrapText="1"/>
    </xf>
    <xf numFmtId="0" fontId="5" fillId="0" borderId="37" xfId="0" applyFont="1" applyBorder="1" applyAlignment="1">
      <alignment vertical="center" wrapText="1"/>
    </xf>
    <xf numFmtId="0" fontId="10" fillId="18" borderId="36" xfId="0" applyFont="1" applyFill="1" applyBorder="1" applyAlignment="1">
      <alignment horizontal="center" vertical="center" textRotation="90" wrapText="1"/>
    </xf>
    <xf numFmtId="0" fontId="10" fillId="18" borderId="0" xfId="0" applyFont="1" applyFill="1" applyAlignment="1">
      <alignment horizontal="center" vertical="center" textRotation="90" wrapText="1"/>
    </xf>
    <xf numFmtId="0" fontId="5" fillId="0" borderId="0" xfId="0" applyFont="1" applyAlignment="1">
      <alignment vertical="center" wrapText="1"/>
    </xf>
    <xf numFmtId="164" fontId="12" fillId="14" borderId="25" xfId="0" applyNumberFormat="1" applyFont="1" applyFill="1" applyBorder="1" applyAlignment="1">
      <alignment horizontal="center" vertical="center" wrapText="1"/>
    </xf>
    <xf numFmtId="164" fontId="12" fillId="14" borderId="28" xfId="0" applyNumberFormat="1" applyFont="1" applyFill="1" applyBorder="1" applyAlignment="1">
      <alignment horizontal="center" vertical="center" wrapText="1"/>
    </xf>
    <xf numFmtId="164" fontId="12" fillId="14" borderId="31" xfId="0" applyNumberFormat="1" applyFont="1" applyFill="1" applyBorder="1" applyAlignment="1">
      <alignment horizontal="center" vertical="center" wrapText="1"/>
    </xf>
    <xf numFmtId="0" fontId="10" fillId="15" borderId="26" xfId="0" applyFont="1" applyFill="1" applyBorder="1" applyAlignment="1">
      <alignment horizontal="center" vertical="center" wrapText="1"/>
    </xf>
    <xf numFmtId="0" fontId="10" fillId="15" borderId="29" xfId="0" applyFont="1" applyFill="1" applyBorder="1" applyAlignment="1">
      <alignment horizontal="center" vertical="center" wrapText="1"/>
    </xf>
    <xf numFmtId="0" fontId="10" fillId="15" borderId="27" xfId="0" applyFont="1" applyFill="1" applyBorder="1" applyAlignment="1">
      <alignment horizontal="center" vertical="center" textRotation="90" wrapText="1"/>
    </xf>
    <xf numFmtId="0" fontId="10" fillId="15" borderId="30" xfId="0" applyFont="1" applyFill="1" applyBorder="1" applyAlignment="1">
      <alignment horizontal="center" vertical="center" textRotation="90" wrapText="1"/>
    </xf>
    <xf numFmtId="0" fontId="10" fillId="15" borderId="32" xfId="0" applyFont="1" applyFill="1" applyBorder="1" applyAlignment="1">
      <alignment horizontal="center" vertical="center" textRotation="90" wrapText="1"/>
    </xf>
    <xf numFmtId="164" fontId="12" fillId="10" borderId="25" xfId="0" applyNumberFormat="1" applyFont="1" applyFill="1" applyBorder="1" applyAlignment="1">
      <alignment horizontal="center" vertical="center"/>
    </xf>
    <xf numFmtId="164" fontId="12" fillId="10" borderId="28" xfId="0" applyNumberFormat="1" applyFont="1" applyFill="1" applyBorder="1" applyAlignment="1">
      <alignment horizontal="center" vertical="center"/>
    </xf>
    <xf numFmtId="0" fontId="10" fillId="16" borderId="26" xfId="0" applyFont="1" applyFill="1" applyBorder="1" applyAlignment="1">
      <alignment horizontal="center" vertical="center" wrapText="1"/>
    </xf>
    <xf numFmtId="0" fontId="10" fillId="16" borderId="29" xfId="0" applyFont="1" applyFill="1" applyBorder="1" applyAlignment="1">
      <alignment horizontal="center" vertical="center" wrapText="1"/>
    </xf>
    <xf numFmtId="0" fontId="10" fillId="16" borderId="27" xfId="0" applyFont="1" applyFill="1" applyBorder="1" applyAlignment="1">
      <alignment horizontal="center" vertical="center" textRotation="90" wrapText="1"/>
    </xf>
    <xf numFmtId="0" fontId="10" fillId="16" borderId="30" xfId="0" applyFont="1" applyFill="1" applyBorder="1" applyAlignment="1">
      <alignment horizontal="center" vertical="center" textRotation="90" wrapText="1"/>
    </xf>
    <xf numFmtId="0" fontId="10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9" borderId="0" xfId="0" quotePrefix="1" applyFont="1" applyFill="1" applyAlignment="1">
      <alignment horizontal="center" vertical="center" wrapText="1"/>
    </xf>
    <xf numFmtId="0" fontId="10" fillId="11" borderId="17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0" fillId="11" borderId="18" xfId="0" applyFont="1" applyFill="1" applyBorder="1" applyAlignment="1">
      <alignment horizontal="center" vertical="center" textRotation="90" wrapText="1"/>
    </xf>
    <xf numFmtId="0" fontId="5" fillId="0" borderId="22" xfId="0" applyFont="1" applyBorder="1" applyAlignment="1">
      <alignment horizontal="center" vertical="center" textRotation="90" wrapText="1"/>
    </xf>
    <xf numFmtId="0" fontId="48" fillId="0" borderId="0" xfId="0" applyFont="1" applyAlignment="1">
      <alignment horizontal="center"/>
    </xf>
    <xf numFmtId="14" fontId="21" fillId="26" borderId="1" xfId="0" applyNumberFormat="1" applyFont="1" applyFill="1" applyBorder="1" applyAlignment="1">
      <alignment horizontal="center"/>
    </xf>
    <xf numFmtId="0" fontId="21" fillId="26" borderId="1" xfId="0" applyFont="1" applyFill="1" applyBorder="1" applyAlignment="1">
      <alignment horizontal="center"/>
    </xf>
    <xf numFmtId="0" fontId="21" fillId="26" borderId="1" xfId="0" applyFont="1" applyFill="1" applyBorder="1"/>
    <xf numFmtId="0" fontId="24" fillId="26" borderId="1" xfId="0" applyFont="1" applyFill="1" applyBorder="1" applyAlignment="1">
      <alignment horizontal="center"/>
    </xf>
    <xf numFmtId="0" fontId="24" fillId="26" borderId="1" xfId="0" applyFont="1" applyFill="1" applyBorder="1"/>
  </cellXfs>
  <cellStyles count="4">
    <cellStyle name="Lien hypertexte" xfId="3" builtinId="8"/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colors>
    <mruColors>
      <color rgb="FFC981C2"/>
      <color rgb="FF00FFCC"/>
      <color rgb="FF9966FF"/>
      <color rgb="FF95FDFB"/>
      <color rgb="FFFDBFF9"/>
      <color rgb="FFB3C1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externalLink" Target="externalLinks/externalLink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rinne.devitis/Downloads/KIM%20OU%20REPORTING%20CIP+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ING%20CELIN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MBERIEU\Codif\ANNEXE%201%20%20Tableau%20quantitatif%20Ainsertion%20+%20%202021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YONNAX NANTUA"/>
      <sheetName val="liste deroulante"/>
      <sheetName val="CODIFICATION ACTIVITE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YONNAX NANTUA"/>
      <sheetName val="Sanctions + absence "/>
      <sheetName val="bilan de parcours  + démarches"/>
      <sheetName val="Tableau croisé "/>
      <sheetName val="liste deroulante"/>
      <sheetName val="CODIFICATION ACTIVITE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LISTE DEROULANTE"/>
    </sheetNames>
    <sheetDataSet>
      <sheetData sheetId="0"/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eline SARIGOL" refreshedDate="46189.382078703704" createdVersion="6" refreshedVersion="6" minRefreshableVersion="3" recordCount="234">
  <cacheSource type="worksheet">
    <worksheetSource ref="A3:S237" sheet="Bilan de parcours + démarches"/>
  </cacheSource>
  <cacheFields count="19">
    <cacheField name="nom" numFmtId="0">
      <sharedItems containsBlank="1"/>
    </cacheField>
    <cacheField name="prenom" numFmtId="0">
      <sharedItems containsBlank="1"/>
    </cacheField>
    <cacheField name="1er mois" numFmtId="0">
      <sharedItems containsNonDate="0" containsString="0" containsBlank="1"/>
    </cacheField>
    <cacheField name="2e mois" numFmtId="0">
      <sharedItems containsNonDate="0" containsString="0" containsBlank="1"/>
    </cacheField>
    <cacheField name="3e mois" numFmtId="0">
      <sharedItems containsNonDate="0" containsString="0" containsBlank="1"/>
    </cacheField>
    <cacheField name="4e mois" numFmtId="0">
      <sharedItems containsBlank="1"/>
    </cacheField>
    <cacheField name="5e mois" numFmtId="0">
      <sharedItems containsNonDate="0" containsString="0" containsBlank="1"/>
    </cacheField>
    <cacheField name="6e mois" numFmtId="0">
      <sharedItems containsString="0" containsBlank="1" containsNumber="1" containsInteger="1" minValue="1" maxValue="1"/>
    </cacheField>
    <cacheField name="demande" numFmtId="0">
      <sharedItems containsBlank="1"/>
    </cacheField>
    <cacheField name="Date" numFmtId="0">
      <sharedItems containsNonDate="0" containsDate="1" containsString="0" containsBlank="1" minDate="2026-01-21T00:00:00" maxDate="2026-05-28T00:00:00"/>
    </cacheField>
    <cacheField name="Renouvellement" numFmtId="0">
      <sharedItems containsString="0" containsBlank="1" containsNumber="1" containsInteger="1" minValue="0" maxValue="1"/>
    </cacheField>
    <cacheField name="8e mois" numFmtId="0">
      <sharedItems containsString="0" containsBlank="1" containsNumber="1" containsInteger="1" minValue="3" maxValue="3"/>
    </cacheField>
    <cacheField name="9e mois" numFmtId="0">
      <sharedItems containsNonDate="0" containsString="0" containsBlank="1"/>
    </cacheField>
    <cacheField name="10e mois" numFmtId="0">
      <sharedItems containsNonDate="0" containsString="0" containsBlank="1"/>
    </cacheField>
    <cacheField name="11e mois" numFmtId="0">
      <sharedItems containsNonDate="0" containsString="0" containsBlank="1"/>
    </cacheField>
    <cacheField name="12e mois" numFmtId="0">
      <sharedItems containsNonDate="0" containsString="0" containsBlank="1"/>
    </cacheField>
    <cacheField name="13e mois" numFmtId="0">
      <sharedItems containsNonDate="0" containsString="0" containsBlank="1"/>
    </cacheField>
    <cacheField name="Date " numFmtId="0">
      <sharedItems containsNonDate="0" containsString="0" containsBlank="1"/>
    </cacheField>
    <cacheField name="Préco Ré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eline SARIGOL" refreshedDate="46189.382108449077" createdVersion="6" refreshedVersion="6" minRefreshableVersion="3" recordCount="108">
  <cacheSource type="worksheet">
    <worksheetSource ref="A2:AC110" sheet="Sanctions + Absences"/>
  </cacheSource>
  <cacheFields count="29">
    <cacheField name="Nom" numFmtId="0">
      <sharedItems/>
    </cacheField>
    <cacheField name="Prénom" numFmtId="0">
      <sharedItems/>
    </cacheField>
    <cacheField name="1ER RDV" numFmtId="0">
      <sharedItems containsString="0" containsBlank="1" containsNumber="1" containsInteger="1" minValue="1" maxValue="2"/>
    </cacheField>
    <cacheField name="2EME" numFmtId="0">
      <sharedItems containsString="0" containsBlank="1" containsNumber="1" containsInteger="1" minValue="1" maxValue="1"/>
    </cacheField>
    <cacheField name="1er mois" numFmtId="0">
      <sharedItems containsString="0" containsBlank="1" containsNumber="1" containsInteger="1" minValue="1" maxValue="4"/>
    </cacheField>
    <cacheField name="2e mois" numFmtId="0">
      <sharedItems containsString="0" containsBlank="1" containsNumber="1" containsInteger="1" minValue="1" maxValue="1"/>
    </cacheField>
    <cacheField name="3e mois" numFmtId="0">
      <sharedItems containsString="0" containsBlank="1" containsNumber="1" containsInteger="1" minValue="1" maxValue="2"/>
    </cacheField>
    <cacheField name="4e mois" numFmtId="0">
      <sharedItems containsString="0" containsBlank="1" containsNumber="1" containsInteger="1" minValue="1" maxValue="1"/>
    </cacheField>
    <cacheField name="5e mois" numFmtId="0">
      <sharedItems containsString="0" containsBlank="1" containsNumber="1" containsInteger="1" minValue="1" maxValue="1"/>
    </cacheField>
    <cacheField name="6e mois" numFmtId="0">
      <sharedItems containsString="0" containsBlank="1" containsNumber="1" containsInteger="1" minValue="1" maxValue="2"/>
    </cacheField>
    <cacheField name="7e mois" numFmtId="0">
      <sharedItems containsString="0" containsBlank="1" containsNumber="1" containsInteger="1" minValue="1" maxValue="1"/>
    </cacheField>
    <cacheField name="8e mois" numFmtId="0">
      <sharedItems containsString="0" containsBlank="1" containsNumber="1" containsInteger="1" minValue="1" maxValue="1"/>
    </cacheField>
    <cacheField name="9e mois" numFmtId="0">
      <sharedItems containsString="0" containsBlank="1" containsNumber="1" containsInteger="1" minValue="1" maxValue="1"/>
    </cacheField>
    <cacheField name="10e mois" numFmtId="0">
      <sharedItems containsString="0" containsBlank="1" containsNumber="1" containsInteger="1" minValue="1" maxValue="1"/>
    </cacheField>
    <cacheField name="11e mois" numFmtId="0">
      <sharedItems containsString="0" containsBlank="1" containsNumber="1" containsInteger="1" minValue="1" maxValue="1"/>
    </cacheField>
    <cacheField name="12e mois" numFmtId="0">
      <sharedItems containsNonDate="0" containsString="0" containsBlank="1"/>
    </cacheField>
    <cacheField name="Dde etude de situation." numFmtId="0">
      <sharedItems containsString="0" containsBlank="1" containsNumber="1" containsInteger="1" minValue="1" maxValue="1"/>
    </cacheField>
    <cacheField name="date de la demande " numFmtId="0">
      <sharedItems containsNonDate="0" containsDate="1" containsString="0" containsBlank="1" minDate="2026-02-01T00:00:00" maxDate="2026-06-09T00:00:00"/>
    </cacheField>
    <cacheField name="Date courrier CDS (voir extraction transmise)" numFmtId="0">
      <sharedItems containsNonDate="0" containsDate="1" containsString="0" containsBlank="1" minDate="2026-02-09T00:00:00" maxDate="2026-05-20T00:00:00"/>
    </cacheField>
    <cacheField name="Délai 15 jours pour contact" numFmtId="14">
      <sharedItems containsSemiMixedTypes="0" containsNonDate="0" containsDate="1" containsString="0" minDate="1900-01-14T00:00:00" maxDate="2026-06-04T00:00:00"/>
    </cacheField>
    <cacheField name="Contact BRSA - 15 jours  " numFmtId="0">
      <sharedItems containsNonDate="0" containsString="0" containsBlank="1"/>
    </cacheField>
    <cacheField name="Mail INFO CDS  " numFmtId="0">
      <sharedItems containsNonDate="0" containsString="0" containsBlank="1"/>
    </cacheField>
    <cacheField name="Délai de 35 jours pour reprendre contact" numFmtId="14">
      <sharedItems containsSemiMixedTypes="0" containsNonDate="0" containsDate="1" containsString="0" minDate="1900-02-18T00:00:00" maxDate="2026-07-09T00:00:00"/>
    </cacheField>
    <cacheField name="le BRSA s'est manifesté ? " numFmtId="0">
      <sharedItems containsNonDate="0" containsString="0" containsBlank="1"/>
    </cacheField>
    <cacheField name="Mail d'info au CDS manifestation ou non dans les 35 jours  " numFmtId="0">
      <sharedItems containsString="0" containsBlank="1" containsNumber="1" containsInteger="1" minValue="1" maxValue="1"/>
    </cacheField>
    <cacheField name="Date CLI si le BRSA ne s'est pas manifesté au bout des 35 jours " numFmtId="0">
      <sharedItems containsNonDate="0" containsDate="1" containsString="0" containsBlank="1" minDate="2026-05-01T00:00:00" maxDate="2026-06-24T00:00:00"/>
    </cacheField>
    <cacheField name="date demande étude de situation (Mail CDS)" numFmtId="0">
      <sharedItems containsNonDate="0" containsString="0" containsBlank="1"/>
    </cacheField>
    <cacheField name="DATE courrier CDS" numFmtId="0">
      <sharedItems containsNonDate="0" containsString="0" containsBlank="1"/>
    </cacheField>
    <cacheField name="35j pour reprendre contact date butoire " numFmtId="14">
      <sharedItems containsSemiMixedTypes="0" containsNonDate="0" containsDate="1" containsString="0" minDate="1900-02-03T00:00:00" maxDate="1900-02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Celine SARIGOL" refreshedDate="46189.386196180552" createdVersion="6" refreshedVersion="6" minRefreshableVersion="3" recordCount="529">
  <cacheSource type="worksheet">
    <worksheetSource ref="B136" sheet="OYONNAX NANTUA"/>
  </cacheSource>
  <cacheFields count="1">
    <cacheField name="H/F" numFmtId="0">
      <sharedItems containsBlank="1" count="3">
        <m/>
        <s v="Madame"/>
        <s v="Monsieu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Celine SARIGOL" refreshedDate="46189.386268634262" createdVersion="6" refreshedVersion="6" minRefreshableVersion="3" recordCount="132">
  <cacheSource type="worksheet">
    <worksheetSource ref="B136:AM136" sheet="OYONNAX NANTUA"/>
  </cacheSource>
  <cacheFields count="38">
    <cacheField name="H/F" numFmtId="0">
      <sharedItems containsBlank="1"/>
    </cacheField>
    <cacheField name="NOM" numFmtId="0">
      <sharedItems containsBlank="1"/>
    </cacheField>
    <cacheField name="PRENOM" numFmtId="0">
      <sharedItems containsBlank="1"/>
    </cacheField>
    <cacheField name="âge" numFmtId="0">
      <sharedItems containsString="0" containsBlank="1" containsNumber="1" containsInteger="1" minValue="25" maxValue="76"/>
    </cacheField>
    <cacheField name="Niveau scolaire" numFmtId="0">
      <sharedItems containsBlank="1"/>
    </cacheField>
    <cacheField name="CDS" numFmtId="0">
      <sharedItems containsBlank="1"/>
    </cacheField>
    <cacheField name="DATE ORIENTATION" numFmtId="0">
      <sharedItems containsNonDate="0" containsDate="1" containsString="0" containsBlank="1" minDate="2025-04-17T00:00:00" maxDate="2026-06-04T00:00:00"/>
    </cacheField>
    <cacheField name="DATE 1ER RDV fixé" numFmtId="0">
      <sharedItems containsDate="1" containsBlank="1" containsMixedTypes="1" minDate="2005-09-08T00:00:00" maxDate="2026-06-24T00:00:00"/>
    </cacheField>
    <cacheField name="CONTRAT ENGAGEMENT SIGNE" numFmtId="0">
      <sharedItems containsDate="1" containsBlank="1" containsMixedTypes="1" minDate="2025-07-16T00:00:00" maxDate="2026-06-16T00:00:00"/>
    </cacheField>
    <cacheField name="FIN ACC" numFmtId="0">
      <sharedItems containsNonDate="0" containsDate="1" containsString="0" containsBlank="1" minDate="2026-01-12T00:00:00" maxDate="2026-12-13T00:00:00"/>
    </cacheField>
    <cacheField name="BILAN PARCOURS (7eme mois)" numFmtId="0">
      <sharedItems containsBlank="1"/>
    </cacheField>
    <cacheField name="CE Signé" numFmtId="0">
      <sharedItems containsNonDate="0" containsString="0" containsBlank="1"/>
    </cacheField>
    <cacheField name="Fin acc 12 mois " numFmtId="14">
      <sharedItems containsNonDate="0" containsDate="1" containsString="0" containsBlank="1" minDate="1900-06-28T00:00:00" maxDate="1900-06-29T00:00:00"/>
    </cacheField>
    <cacheField name="1" numFmtId="0">
      <sharedItems containsBlank="1"/>
    </cacheField>
    <cacheField name="2" numFmtId="0">
      <sharedItems containsBlank="1"/>
    </cacheField>
    <cacheField name="autre" numFmtId="0">
      <sharedItems containsNonDate="0" containsString="0" containsBlank="1"/>
    </cacheField>
    <cacheField name="NOMBRE D OFFRES D EMPLOI PROPOSEES (OE/INFO COLL/jobdating..)(chiffres à cumuler / mois" numFmtId="0">
      <sharedItems containsString="0" containsBlank="1" containsNumber="1" containsInteger="1" minValue="0" maxValue="8"/>
    </cacheField>
    <cacheField name="NBRE D ENTRETIENS DE RECRUTEMENT OBTENUS SUITE A VOS OFFRES D EMPLOI(chiffres à cumuler / mois" numFmtId="0">
      <sharedItems containsString="0" containsBlank="1" containsNumber="1" containsInteger="1" minValue="1" maxValue="4"/>
    </cacheField>
    <cacheField name="PMSMP" numFmtId="0">
      <sharedItems containsString="0" containsBlank="1" containsNumber="1" containsInteger="1" minValue="0" maxValue="4"/>
    </cacheField>
    <cacheField name="Motif de sortie" numFmtId="0">
      <sharedItems containsBlank="1" count="5">
        <m/>
        <s v="Réorientation"/>
        <s v="Renonciation RSA"/>
        <s v="autre"/>
        <s v="Positive" u="1"/>
      </sharedItems>
    </cacheField>
    <cacheField name="MOTIF de la REO" numFmtId="0">
      <sharedItems containsBlank="1" count="9">
        <m/>
        <s v="Social freins+"/>
        <s v="Sociale retraite"/>
        <s v="FT acc pro"/>
        <s v="Arret mal longue durée"/>
        <s v="Sociale AAH"/>
        <s v="FT acco glo"/>
        <s v="BGE"/>
        <s v="Sociale maternité"/>
      </sharedItems>
    </cacheField>
    <cacheField name="types" numFmtId="0">
      <sharedItems containsBlank="1" count="4">
        <m/>
        <s v="France Travail"/>
        <s v="FT SIAE"/>
        <s v="CDD +6mois &gt;ou=254h" u="1"/>
      </sharedItems>
    </cacheField>
    <cacheField name="DATE SORTIE " numFmtId="0">
      <sharedItems containsNonDate="0" containsDate="1" containsString="0" containsBlank="1" minDate="2026-02-25T00:00:00" maxDate="2026-03-21T00:00:00"/>
    </cacheField>
    <cacheField name="Saisie FSE" numFmtId="0">
      <sharedItems containsString="0" containsBlank="1" containsNumber="1" containsInteger="1" minValue="1" maxValue="1"/>
    </cacheField>
    <cacheField name="FLE (GoOn-Ifra-Ville Bourg-centre social..)" numFmtId="0">
      <sharedItems containsNonDate="0" containsString="0" containsBlank="1"/>
    </cacheField>
    <cacheField name="Declic Emploi HBA" numFmtId="0">
      <sharedItems containsNonDate="0" containsString="0" containsBlank="1"/>
    </cacheField>
    <cacheField name="MIFE 01" numFmtId="0">
      <sharedItems containsNonDate="0" containsString="0" containsBlank="1"/>
    </cacheField>
    <cacheField name="AIDE FINANCIERE " numFmtId="0">
      <sharedItems containsNonDate="0" containsString="0" containsBlank="1"/>
    </cacheField>
    <cacheField name="Conseillers numériques" numFmtId="0">
      <sharedItems containsString="0" containsBlank="1" containsNumber="1" containsInteger="1" minValue="1" maxValue="1"/>
    </cacheField>
    <cacheField name="GO ON" numFmtId="0">
      <sharedItems containsString="0" containsBlank="1" containsNumber="1" containsInteger="1" minValue="1" maxValue="1"/>
    </cacheField>
    <cacheField name="MOBILITE " numFmtId="0">
      <sharedItems containsNonDate="0" containsString="0" containsBlank="1"/>
    </cacheField>
    <cacheField name="ARIANE " numFmtId="0">
      <sharedItems containsNonDate="0" containsString="0" containsBlank="1"/>
    </cacheField>
    <cacheField name="AGENT DE SANTE " numFmtId="0">
      <sharedItems containsString="0" containsBlank="1" containsNumber="1" containsInteger="1" minValue="1" maxValue="1"/>
    </cacheField>
    <cacheField name="ADAPT " numFmtId="0">
      <sharedItems containsNonDate="0" containsString="0" containsBlank="1"/>
    </cacheField>
    <cacheField name="ORSAC " numFmtId="0">
      <sharedItems containsNonDate="0" containsString="0" containsBlank="1"/>
    </cacheField>
    <cacheField name="REPIT PARENTAL" numFmtId="0">
      <sharedItems containsNonDate="0" containsString="0" containsBlank="1"/>
    </cacheField>
    <cacheField name="Clauses sociales" numFmtId="0">
      <sharedItems containsNonDate="0" containsString="0" containsBlank="1"/>
    </cacheField>
    <cacheField name="Autres (preciser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Celine SARIGOL" refreshedDate="46189.386902199076" createdVersion="6" refreshedVersion="6" minRefreshableVersion="3" recordCount="524">
  <cacheSource type="worksheet">
    <worksheetSource ref="B136:AO136" sheet="OYONNAX NANTUA"/>
  </cacheSource>
  <cacheFields count="40">
    <cacheField name="H/F" numFmtId="0">
      <sharedItems containsBlank="1"/>
    </cacheField>
    <cacheField name="NOM" numFmtId="0">
      <sharedItems containsBlank="1"/>
    </cacheField>
    <cacheField name="PRENOM" numFmtId="0">
      <sharedItems containsBlank="1"/>
    </cacheField>
    <cacheField name="âge" numFmtId="0">
      <sharedItems containsString="0" containsBlank="1" containsNumber="1" containsInteger="1" minValue="25" maxValue="76"/>
    </cacheField>
    <cacheField name="Niveau scolaire" numFmtId="0">
      <sharedItems containsBlank="1"/>
    </cacheField>
    <cacheField name="CDS" numFmtId="0">
      <sharedItems containsBlank="1"/>
    </cacheField>
    <cacheField name="DATE ORIENTATION" numFmtId="0">
      <sharedItems containsNonDate="0" containsDate="1" containsString="0" containsBlank="1" minDate="2025-04-17T00:00:00" maxDate="2026-06-04T00:00:00"/>
    </cacheField>
    <cacheField name="DATE 1ER RDV fixé" numFmtId="0">
      <sharedItems containsDate="1" containsBlank="1" containsMixedTypes="1" minDate="2005-09-08T00:00:00" maxDate="2026-06-24T00:00:00"/>
    </cacheField>
    <cacheField name="CONTRAT ENGAGEMENT SIGNE" numFmtId="0">
      <sharedItems containsDate="1" containsBlank="1" containsMixedTypes="1" minDate="2025-07-16T00:00:00" maxDate="2026-12-29T00:00:00"/>
    </cacheField>
    <cacheField name="FIN ACC" numFmtId="0">
      <sharedItems containsNonDate="0" containsDate="1" containsString="0" containsBlank="1" minDate="1900-06-28T00:00:00" maxDate="2027-06-27T00:00:00"/>
    </cacheField>
    <cacheField name="BILAN PARCOURS (7eme mois)" numFmtId="0">
      <sharedItems containsBlank="1"/>
    </cacheField>
    <cacheField name="CE Signé" numFmtId="0">
      <sharedItems containsNonDate="0" containsString="0" containsBlank="1"/>
    </cacheField>
    <cacheField name="Fin acc 12 mois " numFmtId="14">
      <sharedItems containsNonDate="0" containsDate="1" containsString="0" containsBlank="1" minDate="1900-06-28T00:00:00" maxDate="1900-06-29T00:00:00"/>
    </cacheField>
    <cacheField name="1" numFmtId="0">
      <sharedItems containsBlank="1"/>
    </cacheField>
    <cacheField name="2" numFmtId="0">
      <sharedItems containsBlank="1"/>
    </cacheField>
    <cacheField name="autre" numFmtId="0">
      <sharedItems containsNonDate="0" containsString="0" containsBlank="1"/>
    </cacheField>
    <cacheField name="NOMBRE D OFFRES D EMPLOI PROPOSEES (OE/INFO COLL/jobdating..)(chiffres à cumuler / mois" numFmtId="0">
      <sharedItems containsString="0" containsBlank="1" containsNumber="1" containsInteger="1" minValue="0" maxValue="8"/>
    </cacheField>
    <cacheField name="NBRE D ENTRETIENS DE RECRUTEMENT OBTENUS SUITE A VOS OFFRES D EMPLOI(chiffres à cumuler / mois" numFmtId="0">
      <sharedItems containsString="0" containsBlank="1" containsNumber="1" containsInteger="1" minValue="1" maxValue="4"/>
    </cacheField>
    <cacheField name="PMSMP" numFmtId="0">
      <sharedItems containsString="0" containsBlank="1" containsNumber="1" containsInteger="1" minValue="0" maxValue="4"/>
    </cacheField>
    <cacheField name="Motif de sortie" numFmtId="0">
      <sharedItems containsBlank="1"/>
    </cacheField>
    <cacheField name="MOTIF de la REO" numFmtId="0">
      <sharedItems containsBlank="1"/>
    </cacheField>
    <cacheField name="types" numFmtId="0">
      <sharedItems containsBlank="1"/>
    </cacheField>
    <cacheField name="DATE SORTIE " numFmtId="0">
      <sharedItems containsDate="1" containsBlank="1" containsMixedTypes="1" minDate="2025-09-01T00:00:00" maxDate="2026-06-10T00:00:00"/>
    </cacheField>
    <cacheField name="Saisie FSE" numFmtId="0">
      <sharedItems containsString="0" containsBlank="1" containsNumber="1" containsInteger="1" minValue="1" maxValue="1"/>
    </cacheField>
    <cacheField name="FLE (GoOn-Ifra-Ville Bourg-centre social..)" numFmtId="0">
      <sharedItems containsNonDate="0" containsString="0" containsBlank="1"/>
    </cacheField>
    <cacheField name="Declic Emploi HBA" numFmtId="0">
      <sharedItems containsNonDate="0" containsString="0" containsBlank="1"/>
    </cacheField>
    <cacheField name="MIFE 01" numFmtId="0">
      <sharedItems containsNonDate="0" containsString="0" containsBlank="1"/>
    </cacheField>
    <cacheField name="AIDE FINANCIERE " numFmtId="0">
      <sharedItems containsNonDate="0" containsString="0" containsBlank="1"/>
    </cacheField>
    <cacheField name="Conseillers numériques" numFmtId="0">
      <sharedItems containsString="0" containsBlank="1" containsNumber="1" containsInteger="1" minValue="1" maxValue="1"/>
    </cacheField>
    <cacheField name="GO ON" numFmtId="0">
      <sharedItems containsString="0" containsBlank="1" containsNumber="1" containsInteger="1" minValue="1" maxValue="1"/>
    </cacheField>
    <cacheField name="MOBILITE " numFmtId="0">
      <sharedItems containsNonDate="0" containsString="0" containsBlank="1"/>
    </cacheField>
    <cacheField name="ARIANE " numFmtId="0">
      <sharedItems containsNonDate="0" containsString="0" containsBlank="1"/>
    </cacheField>
    <cacheField name="AGENT DE SANTE " numFmtId="0">
      <sharedItems containsString="0" containsBlank="1" containsNumber="1" containsInteger="1" minValue="1" maxValue="1"/>
    </cacheField>
    <cacheField name="ADAPT " numFmtId="0">
      <sharedItems containsNonDate="0" containsString="0" containsBlank="1"/>
    </cacheField>
    <cacheField name="ORSAC " numFmtId="0">
      <sharedItems containsNonDate="0" containsString="0" containsBlank="1"/>
    </cacheField>
    <cacheField name="REPIT PARENTAL" numFmtId="0">
      <sharedItems containsNonDate="0" containsString="0" containsBlank="1"/>
    </cacheField>
    <cacheField name="Clauses sociales" numFmtId="0">
      <sharedItems containsNonDate="0" containsString="0" containsBlank="1"/>
    </cacheField>
    <cacheField name="Autres (preciser)" numFmtId="0">
      <sharedItems containsBlank="1"/>
    </cacheField>
    <cacheField name="COMMENTAIRES /OBSERVATION" numFmtId="0">
      <sharedItems containsBlank="1"/>
    </cacheField>
    <cacheField name="DDE DE CLI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Celine SARIGOL" refreshedDate="46189.388842592591" createdVersion="6" refreshedVersion="6" minRefreshableVersion="3" recordCount="452">
  <cacheSource type="worksheet">
    <worksheetSource ref="B136:AM136" sheet="OYONNAX NANTUA"/>
  </cacheSource>
  <cacheFields count="38">
    <cacheField name="H/F" numFmtId="0">
      <sharedItems containsBlank="1"/>
    </cacheField>
    <cacheField name="NOM" numFmtId="0">
      <sharedItems containsBlank="1"/>
    </cacheField>
    <cacheField name="PRENOM" numFmtId="0">
      <sharedItems containsBlank="1"/>
    </cacheField>
    <cacheField name="âge" numFmtId="0">
      <sharedItems containsString="0" containsBlank="1" containsNumber="1" containsInteger="1" minValue="25" maxValue="76"/>
    </cacheField>
    <cacheField name="Niveau scolaire" numFmtId="0">
      <sharedItems containsBlank="1"/>
    </cacheField>
    <cacheField name="CDS" numFmtId="0">
      <sharedItems containsBlank="1"/>
    </cacheField>
    <cacheField name="DATE ORIENTATION" numFmtId="0">
      <sharedItems containsNonDate="0" containsDate="1" containsString="0" containsBlank="1" minDate="2025-04-17T00:00:00" maxDate="2026-06-04T00:00:00"/>
    </cacheField>
    <cacheField name="DATE 1ER RDV fixé" numFmtId="0">
      <sharedItems containsDate="1" containsBlank="1" containsMixedTypes="1" minDate="2005-09-08T00:00:00" maxDate="2026-06-24T00:00:00"/>
    </cacheField>
    <cacheField name="CONTRAT ENGAGEMENT SIGNE" numFmtId="0">
      <sharedItems containsDate="1" containsBlank="1" containsMixedTypes="1" minDate="2025-07-16T00:00:00" maxDate="2026-12-29T00:00:00"/>
    </cacheField>
    <cacheField name="FIN ACC" numFmtId="0">
      <sharedItems containsNonDate="0" containsDate="1" containsString="0" containsBlank="1" minDate="1900-06-28T00:00:00" maxDate="2027-06-27T00:00:00"/>
    </cacheField>
    <cacheField name="BILAN PARCOURS (7eme mois)" numFmtId="0">
      <sharedItems containsBlank="1"/>
    </cacheField>
    <cacheField name="CE Signé" numFmtId="0">
      <sharedItems containsNonDate="0" containsString="0" containsBlank="1"/>
    </cacheField>
    <cacheField name="Fin acc 12 mois " numFmtId="14">
      <sharedItems containsNonDate="0" containsDate="1" containsString="0" containsBlank="1" minDate="1900-06-28T00:00:00" maxDate="1900-06-29T00:00:00"/>
    </cacheField>
    <cacheField name="1" numFmtId="0">
      <sharedItems containsBlank="1"/>
    </cacheField>
    <cacheField name="2" numFmtId="0">
      <sharedItems containsBlank="1"/>
    </cacheField>
    <cacheField name="autre" numFmtId="0">
      <sharedItems containsNonDate="0" containsString="0" containsBlank="1"/>
    </cacheField>
    <cacheField name="NOMBRE D OFFRES D EMPLOI PROPOSEES (OE/INFO COLL/jobdating..)(chiffres à cumuler / mois" numFmtId="0">
      <sharedItems containsString="0" containsBlank="1" containsNumber="1" containsInteger="1" minValue="0" maxValue="8"/>
    </cacheField>
    <cacheField name="NBRE D ENTRETIENS DE RECRUTEMENT OBTENUS SUITE A VOS OFFRES D EMPLOI(chiffres à cumuler / mois" numFmtId="0">
      <sharedItems containsString="0" containsBlank="1" containsNumber="1" containsInteger="1" minValue="1" maxValue="4"/>
    </cacheField>
    <cacheField name="PMSMP" numFmtId="0">
      <sharedItems containsString="0" containsBlank="1" containsNumber="1" containsInteger="1" minValue="0" maxValue="4"/>
    </cacheField>
    <cacheField name="Motif de sortie" numFmtId="0">
      <sharedItems containsBlank="1" count="7">
        <m/>
        <s v="Réorientation"/>
        <s v="Renonciation RSA"/>
        <s v="autre"/>
        <s v="Fin DD"/>
        <s v="Positive"/>
        <s v="Déménagement"/>
      </sharedItems>
    </cacheField>
    <cacheField name="MOTIF de la REO" numFmtId="0">
      <sharedItems containsBlank="1" count="9">
        <m/>
        <s v="Social freins+"/>
        <s v="Sociale retraite"/>
        <s v="FT acc pro"/>
        <s v="Arret mal longue durée"/>
        <s v="Sociale AAH"/>
        <s v="FT acco glo"/>
        <s v="BGE"/>
        <s v="Sociale maternité"/>
      </sharedItems>
    </cacheField>
    <cacheField name="types" numFmtId="0">
      <sharedItems containsBlank="1"/>
    </cacheField>
    <cacheField name="DATE SORTIE " numFmtId="0">
      <sharedItems containsDate="1" containsBlank="1" containsMixedTypes="1" minDate="2025-09-01T00:00:00" maxDate="2026-06-10T00:00:00"/>
    </cacheField>
    <cacheField name="Saisie FSE" numFmtId="0">
      <sharedItems containsString="0" containsBlank="1" containsNumber="1" containsInteger="1" minValue="1" maxValue="1"/>
    </cacheField>
    <cacheField name="FLE (GoOn-Ifra-Ville Bourg-centre social..)" numFmtId="0">
      <sharedItems containsNonDate="0" containsString="0" containsBlank="1"/>
    </cacheField>
    <cacheField name="Declic Emploi HBA" numFmtId="0">
      <sharedItems containsNonDate="0" containsString="0" containsBlank="1"/>
    </cacheField>
    <cacheField name="MIFE 01" numFmtId="0">
      <sharedItems containsNonDate="0" containsString="0" containsBlank="1"/>
    </cacheField>
    <cacheField name="AIDE FINANCIERE " numFmtId="0">
      <sharedItems containsNonDate="0" containsString="0" containsBlank="1"/>
    </cacheField>
    <cacheField name="Conseillers numériques" numFmtId="0">
      <sharedItems containsString="0" containsBlank="1" containsNumber="1" containsInteger="1" minValue="1" maxValue="1"/>
    </cacheField>
    <cacheField name="GO ON" numFmtId="0">
      <sharedItems containsString="0" containsBlank="1" containsNumber="1" containsInteger="1" minValue="1" maxValue="1"/>
    </cacheField>
    <cacheField name="MOBILITE " numFmtId="0">
      <sharedItems containsNonDate="0" containsString="0" containsBlank="1"/>
    </cacheField>
    <cacheField name="ARIANE " numFmtId="0">
      <sharedItems containsNonDate="0" containsString="0" containsBlank="1"/>
    </cacheField>
    <cacheField name="AGENT DE SANTE " numFmtId="0">
      <sharedItems containsString="0" containsBlank="1" containsNumber="1" containsInteger="1" minValue="1" maxValue="1"/>
    </cacheField>
    <cacheField name="ADAPT " numFmtId="0">
      <sharedItems containsNonDate="0" containsString="0" containsBlank="1"/>
    </cacheField>
    <cacheField name="ORSAC " numFmtId="0">
      <sharedItems containsNonDate="0" containsString="0" containsBlank="1"/>
    </cacheField>
    <cacheField name="REPIT PARENTAL" numFmtId="0">
      <sharedItems containsNonDate="0" containsString="0" containsBlank="1"/>
    </cacheField>
    <cacheField name="Clauses sociales" numFmtId="0">
      <sharedItems containsNonDate="0" containsString="0" containsBlank="1"/>
    </cacheField>
    <cacheField name="Autres (preciser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Celine SARIGOL" refreshedDate="46189.391200231483" createdVersion="6" refreshedVersion="6" minRefreshableVersion="3" recordCount="290">
  <cacheSource type="worksheet">
    <worksheetSource ref="B136:AM136" sheet="OYONNAX NANTUA"/>
  </cacheSource>
  <cacheFields count="38">
    <cacheField name="H/F" numFmtId="0">
      <sharedItems containsBlank="1"/>
    </cacheField>
    <cacheField name="NOM" numFmtId="0">
      <sharedItems containsBlank="1"/>
    </cacheField>
    <cacheField name="PRENOM" numFmtId="0">
      <sharedItems containsBlank="1"/>
    </cacheField>
    <cacheField name="âge" numFmtId="0">
      <sharedItems containsString="0" containsBlank="1" containsNumber="1" containsInteger="1" minValue="25" maxValue="76"/>
    </cacheField>
    <cacheField name="Niveau scolaire" numFmtId="0">
      <sharedItems containsBlank="1"/>
    </cacheField>
    <cacheField name="CDS" numFmtId="0">
      <sharedItems containsBlank="1"/>
    </cacheField>
    <cacheField name="DATE ORIENTATION" numFmtId="0">
      <sharedItems containsNonDate="0" containsDate="1" containsString="0" containsBlank="1" minDate="2025-04-17T00:00:00" maxDate="2026-06-04T00:00:00"/>
    </cacheField>
    <cacheField name="DATE 1ER RDV fixé" numFmtId="0">
      <sharedItems containsDate="1" containsBlank="1" containsMixedTypes="1" minDate="2005-09-08T00:00:00" maxDate="2026-06-24T00:00:00"/>
    </cacheField>
    <cacheField name="CONTRAT ENGAGEMENT SIGNE" numFmtId="0">
      <sharedItems containsDate="1" containsBlank="1" containsMixedTypes="1" minDate="2025-07-16T00:00:00" maxDate="2026-12-29T00:00:00"/>
    </cacheField>
    <cacheField name="FIN ACC" numFmtId="0">
      <sharedItems containsNonDate="0" containsDate="1" containsString="0" containsBlank="1" minDate="1900-06-28T00:00:00" maxDate="2027-06-27T00:00:00"/>
    </cacheField>
    <cacheField name="BILAN PARCOURS (7eme mois)" numFmtId="0">
      <sharedItems containsBlank="1"/>
    </cacheField>
    <cacheField name="CE Signé" numFmtId="0">
      <sharedItems containsNonDate="0" containsString="0" containsBlank="1"/>
    </cacheField>
    <cacheField name="Fin acc 12 mois " numFmtId="14">
      <sharedItems containsNonDate="0" containsDate="1" containsString="0" containsBlank="1" minDate="1900-06-28T00:00:00" maxDate="1900-06-29T00:00:00"/>
    </cacheField>
    <cacheField name="1" numFmtId="0">
      <sharedItems containsBlank="1"/>
    </cacheField>
    <cacheField name="2" numFmtId="0">
      <sharedItems containsBlank="1"/>
    </cacheField>
    <cacheField name="autre" numFmtId="0">
      <sharedItems containsNonDate="0" containsString="0" containsBlank="1"/>
    </cacheField>
    <cacheField name="NOMBRE D OFFRES D EMPLOI PROPOSEES (OE/INFO COLL/jobdating..)(chiffres à cumuler / mois" numFmtId="0">
      <sharedItems containsString="0" containsBlank="1" containsNumber="1" containsInteger="1" minValue="0" maxValue="8"/>
    </cacheField>
    <cacheField name="NBRE D ENTRETIENS DE RECRUTEMENT OBTENUS SUITE A VOS OFFRES D EMPLOI(chiffres à cumuler / mois" numFmtId="0">
      <sharedItems containsString="0" containsBlank="1" containsNumber="1" containsInteger="1" minValue="1" maxValue="4"/>
    </cacheField>
    <cacheField name="PMSMP" numFmtId="0">
      <sharedItems containsString="0" containsBlank="1" containsNumber="1" containsInteger="1" minValue="0" maxValue="4"/>
    </cacheField>
    <cacheField name="Motif de sortie" numFmtId="0">
      <sharedItems containsBlank="1"/>
    </cacheField>
    <cacheField name="MOTIF de la REO" numFmtId="0">
      <sharedItems containsBlank="1"/>
    </cacheField>
    <cacheField name="types" numFmtId="0">
      <sharedItems containsBlank="1" count="6">
        <m/>
        <s v="France Travail"/>
        <s v="FT SIAE"/>
        <s v="CDI &gt;ou= 24h"/>
        <s v="Créa"/>
        <s v="Stagiaire en formation"/>
      </sharedItems>
    </cacheField>
    <cacheField name="DATE SORTIE " numFmtId="0">
      <sharedItems containsDate="1" containsBlank="1" containsMixedTypes="1" minDate="2025-09-01T00:00:00" maxDate="2026-06-10T00:00:00"/>
    </cacheField>
    <cacheField name="Saisie FSE" numFmtId="0">
      <sharedItems containsString="0" containsBlank="1" containsNumber="1" containsInteger="1" minValue="1" maxValue="1"/>
    </cacheField>
    <cacheField name="FLE (GoOn-Ifra-Ville Bourg-centre social..)" numFmtId="0">
      <sharedItems containsNonDate="0" containsString="0" containsBlank="1"/>
    </cacheField>
    <cacheField name="Declic Emploi HBA" numFmtId="0">
      <sharedItems containsNonDate="0" containsString="0" containsBlank="1"/>
    </cacheField>
    <cacheField name="MIFE 01" numFmtId="0">
      <sharedItems containsNonDate="0" containsString="0" containsBlank="1"/>
    </cacheField>
    <cacheField name="AIDE FINANCIERE " numFmtId="0">
      <sharedItems containsNonDate="0" containsString="0" containsBlank="1"/>
    </cacheField>
    <cacheField name="Conseillers numériques" numFmtId="0">
      <sharedItems containsString="0" containsBlank="1" containsNumber="1" containsInteger="1" minValue="1" maxValue="1"/>
    </cacheField>
    <cacheField name="GO ON" numFmtId="0">
      <sharedItems containsString="0" containsBlank="1" containsNumber="1" containsInteger="1" minValue="1" maxValue="1"/>
    </cacheField>
    <cacheField name="MOBILITE " numFmtId="0">
      <sharedItems containsNonDate="0" containsString="0" containsBlank="1"/>
    </cacheField>
    <cacheField name="ARIANE " numFmtId="0">
      <sharedItems containsNonDate="0" containsString="0" containsBlank="1"/>
    </cacheField>
    <cacheField name="AGENT DE SANTE " numFmtId="0">
      <sharedItems containsString="0" containsBlank="1" containsNumber="1" containsInteger="1" minValue="1" maxValue="1"/>
    </cacheField>
    <cacheField name="ADAPT " numFmtId="0">
      <sharedItems containsNonDate="0" containsString="0" containsBlank="1"/>
    </cacheField>
    <cacheField name="ORSAC " numFmtId="0">
      <sharedItems containsNonDate="0" containsString="0" containsBlank="1"/>
    </cacheField>
    <cacheField name="REPIT PARENTAL" numFmtId="0">
      <sharedItems containsNonDate="0" containsString="0" containsBlank="1"/>
    </cacheField>
    <cacheField name="Clauses sociales" numFmtId="0">
      <sharedItems containsNonDate="0" containsString="0" containsBlank="1"/>
    </cacheField>
    <cacheField name="Autres (preciser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s v="AKHMAL"/>
    <s v="Najat"/>
    <m/>
    <m/>
    <m/>
    <m/>
    <m/>
    <m/>
    <s v="Renouvellement"/>
    <d v="2026-03-20T00:00:00"/>
    <m/>
    <m/>
    <m/>
    <m/>
    <m/>
    <m/>
    <m/>
    <m/>
    <m/>
  </r>
  <r>
    <s v="AL-RIHEMAWEE"/>
    <s v="Qays"/>
    <m/>
    <m/>
    <m/>
    <m/>
    <m/>
    <m/>
    <m/>
    <m/>
    <m/>
    <m/>
    <m/>
    <m/>
    <m/>
    <m/>
    <m/>
    <m/>
    <m/>
  </r>
  <r>
    <s v="ARBINOT"/>
    <s v="Alexandre"/>
    <m/>
    <m/>
    <m/>
    <m/>
    <m/>
    <m/>
    <s v="Renouvellement"/>
    <d v="2026-02-11T00:00:00"/>
    <n v="1"/>
    <m/>
    <m/>
    <m/>
    <m/>
    <m/>
    <m/>
    <m/>
    <m/>
  </r>
  <r>
    <s v="BASSI"/>
    <s v="Stephanie"/>
    <m/>
    <m/>
    <m/>
    <m/>
    <m/>
    <m/>
    <m/>
    <m/>
    <m/>
    <m/>
    <m/>
    <m/>
    <m/>
    <m/>
    <m/>
    <m/>
    <m/>
  </r>
  <r>
    <s v="BAYIRTEPE"/>
    <s v="Gulsah"/>
    <m/>
    <m/>
    <m/>
    <m/>
    <m/>
    <m/>
    <m/>
    <m/>
    <m/>
    <m/>
    <m/>
    <m/>
    <m/>
    <m/>
    <m/>
    <m/>
    <m/>
  </r>
  <r>
    <s v="BERTHET-BONDET"/>
    <s v="Franck"/>
    <m/>
    <m/>
    <m/>
    <m/>
    <m/>
    <m/>
    <m/>
    <m/>
    <m/>
    <m/>
    <m/>
    <m/>
    <m/>
    <m/>
    <m/>
    <m/>
    <m/>
  </r>
  <r>
    <s v="BOSCHMANS"/>
    <s v="Franck"/>
    <m/>
    <m/>
    <m/>
    <m/>
    <m/>
    <m/>
    <m/>
    <m/>
    <m/>
    <m/>
    <m/>
    <m/>
    <m/>
    <m/>
    <m/>
    <m/>
    <m/>
  </r>
  <r>
    <s v="BRAHIMI"/>
    <s v="Farida"/>
    <m/>
    <m/>
    <m/>
    <m/>
    <m/>
    <m/>
    <m/>
    <m/>
    <m/>
    <m/>
    <m/>
    <m/>
    <m/>
    <m/>
    <m/>
    <m/>
    <m/>
  </r>
  <r>
    <s v="BRASSART"/>
    <s v="Cindy"/>
    <m/>
    <m/>
    <m/>
    <m/>
    <m/>
    <m/>
    <m/>
    <m/>
    <m/>
    <m/>
    <m/>
    <m/>
    <m/>
    <m/>
    <m/>
    <m/>
    <m/>
  </r>
  <r>
    <s v="CAVDAR"/>
    <s v="Tugay"/>
    <m/>
    <m/>
    <m/>
    <m/>
    <m/>
    <m/>
    <m/>
    <m/>
    <m/>
    <m/>
    <m/>
    <m/>
    <m/>
    <m/>
    <m/>
    <m/>
    <m/>
  </r>
  <r>
    <s v="CHHUN"/>
    <s v="Sophanna"/>
    <m/>
    <m/>
    <m/>
    <m/>
    <m/>
    <m/>
    <s v="Renouvellement"/>
    <d v="2026-03-09T00:00:00"/>
    <n v="0"/>
    <m/>
    <m/>
    <m/>
    <m/>
    <m/>
    <m/>
    <m/>
    <m/>
  </r>
  <r>
    <s v="CIMEN"/>
    <s v="Mehmet"/>
    <m/>
    <m/>
    <m/>
    <m/>
    <m/>
    <m/>
    <m/>
    <m/>
    <m/>
    <m/>
    <m/>
    <m/>
    <m/>
    <m/>
    <m/>
    <m/>
    <m/>
  </r>
  <r>
    <s v="COLOMBEL"/>
    <s v="Mickael"/>
    <m/>
    <m/>
    <m/>
    <m/>
    <m/>
    <m/>
    <m/>
    <m/>
    <m/>
    <m/>
    <m/>
    <m/>
    <m/>
    <m/>
    <m/>
    <m/>
    <m/>
  </r>
  <r>
    <s v="DESSAINTJEAN"/>
    <s v="Amandine"/>
    <m/>
    <m/>
    <m/>
    <m/>
    <m/>
    <m/>
    <s v="Renouvellement"/>
    <d v="2026-04-02T00:00:00"/>
    <m/>
    <n v="3"/>
    <m/>
    <m/>
    <m/>
    <m/>
    <m/>
    <m/>
    <m/>
  </r>
  <r>
    <s v="DUBOT"/>
    <s v="Sébastien"/>
    <m/>
    <m/>
    <m/>
    <m/>
    <m/>
    <m/>
    <m/>
    <m/>
    <m/>
    <m/>
    <m/>
    <m/>
    <m/>
    <m/>
    <m/>
    <m/>
    <m/>
  </r>
  <r>
    <s v="EL JABBAR"/>
    <s v="Anass"/>
    <m/>
    <m/>
    <m/>
    <m/>
    <m/>
    <m/>
    <m/>
    <m/>
    <m/>
    <m/>
    <m/>
    <m/>
    <m/>
    <m/>
    <m/>
    <m/>
    <m/>
  </r>
  <r>
    <s v="EL-HAMDI"/>
    <s v="Mourad"/>
    <m/>
    <m/>
    <m/>
    <m/>
    <m/>
    <m/>
    <m/>
    <m/>
    <m/>
    <m/>
    <m/>
    <m/>
    <m/>
    <m/>
    <m/>
    <m/>
    <m/>
  </r>
  <r>
    <s v="ERAMIL"/>
    <s v="Erhan"/>
    <m/>
    <m/>
    <m/>
    <m/>
    <m/>
    <m/>
    <m/>
    <m/>
    <m/>
    <m/>
    <m/>
    <m/>
    <m/>
    <m/>
    <m/>
    <m/>
    <m/>
  </r>
  <r>
    <s v="ERSOY"/>
    <s v="Salih"/>
    <m/>
    <m/>
    <m/>
    <m/>
    <m/>
    <m/>
    <m/>
    <m/>
    <m/>
    <m/>
    <m/>
    <m/>
    <m/>
    <m/>
    <m/>
    <m/>
    <m/>
  </r>
  <r>
    <s v="EZZARHOUNI"/>
    <s v="Nesrdine"/>
    <m/>
    <m/>
    <m/>
    <m/>
    <m/>
    <m/>
    <s v="Réo FT"/>
    <d v="2026-03-17T00:00:00"/>
    <m/>
    <m/>
    <m/>
    <m/>
    <m/>
    <m/>
    <m/>
    <m/>
    <m/>
  </r>
  <r>
    <s v="GAYNUTDINOV"/>
    <s v="Rafael"/>
    <m/>
    <m/>
    <m/>
    <m/>
    <m/>
    <m/>
    <m/>
    <m/>
    <m/>
    <m/>
    <m/>
    <m/>
    <m/>
    <m/>
    <m/>
    <m/>
    <m/>
  </r>
  <r>
    <s v="JUILLARD"/>
    <s v="Frédéric"/>
    <m/>
    <m/>
    <m/>
    <m/>
    <m/>
    <m/>
    <s v="Renouvellement"/>
    <d v="2026-03-13T00:00:00"/>
    <n v="1"/>
    <m/>
    <m/>
    <m/>
    <m/>
    <m/>
    <m/>
    <m/>
    <m/>
  </r>
  <r>
    <s v="KAMENICA"/>
    <s v="Ardit"/>
    <m/>
    <m/>
    <m/>
    <m/>
    <m/>
    <m/>
    <m/>
    <m/>
    <m/>
    <m/>
    <m/>
    <m/>
    <m/>
    <m/>
    <m/>
    <m/>
    <m/>
  </r>
  <r>
    <s v="KANBOUI"/>
    <s v="Zineb"/>
    <m/>
    <m/>
    <m/>
    <m/>
    <m/>
    <m/>
    <s v="Renouvellement"/>
    <d v="2026-04-13T00:00:00"/>
    <m/>
    <m/>
    <m/>
    <m/>
    <m/>
    <m/>
    <m/>
    <m/>
    <m/>
  </r>
  <r>
    <s v="KARIAM"/>
    <s v="Omar"/>
    <m/>
    <m/>
    <m/>
    <m/>
    <m/>
    <m/>
    <m/>
    <m/>
    <m/>
    <m/>
    <m/>
    <m/>
    <m/>
    <m/>
    <m/>
    <m/>
    <m/>
  </r>
  <r>
    <s v="KONMAZ"/>
    <s v="Ayse"/>
    <m/>
    <m/>
    <m/>
    <m/>
    <m/>
    <m/>
    <s v="Renouvellement"/>
    <d v="2026-04-13T00:00:00"/>
    <m/>
    <m/>
    <m/>
    <m/>
    <m/>
    <m/>
    <m/>
    <m/>
    <m/>
  </r>
  <r>
    <s v="LAOUFI"/>
    <s v="Hamza"/>
    <m/>
    <m/>
    <m/>
    <m/>
    <m/>
    <m/>
    <m/>
    <m/>
    <m/>
    <m/>
    <m/>
    <m/>
    <m/>
    <m/>
    <m/>
    <m/>
    <m/>
  </r>
  <r>
    <s v="LEANG DATH"/>
    <s v="Benoît"/>
    <m/>
    <m/>
    <m/>
    <m/>
    <m/>
    <m/>
    <s v="Renouvellement"/>
    <d v="2026-01-21T00:00:00"/>
    <n v="1"/>
    <m/>
    <m/>
    <m/>
    <m/>
    <m/>
    <m/>
    <m/>
    <m/>
  </r>
  <r>
    <s v="LIEU"/>
    <s v="Ophelie-kim"/>
    <m/>
    <m/>
    <m/>
    <m/>
    <m/>
    <m/>
    <m/>
    <m/>
    <m/>
    <m/>
    <m/>
    <m/>
    <m/>
    <m/>
    <m/>
    <m/>
    <m/>
  </r>
  <r>
    <s v="MAADOUR"/>
    <s v="Anas"/>
    <m/>
    <m/>
    <m/>
    <m/>
    <m/>
    <m/>
    <m/>
    <m/>
    <m/>
    <m/>
    <m/>
    <m/>
    <m/>
    <m/>
    <m/>
    <m/>
    <m/>
  </r>
  <r>
    <s v="MEHALLEL"/>
    <s v="Salim"/>
    <m/>
    <m/>
    <m/>
    <m/>
    <m/>
    <m/>
    <s v="Renouvellement"/>
    <d v="2026-02-23T00:00:00"/>
    <n v="1"/>
    <m/>
    <m/>
    <m/>
    <m/>
    <m/>
    <m/>
    <m/>
    <m/>
  </r>
  <r>
    <s v="MOHAMMAD"/>
    <s v="Sania"/>
    <m/>
    <m/>
    <m/>
    <m/>
    <m/>
    <m/>
    <m/>
    <m/>
    <m/>
    <m/>
    <m/>
    <m/>
    <m/>
    <m/>
    <m/>
    <m/>
    <m/>
  </r>
  <r>
    <s v="MUTLU"/>
    <s v="Mualla"/>
    <m/>
    <m/>
    <m/>
    <m/>
    <m/>
    <m/>
    <s v="Renouvellement"/>
    <d v="2026-04-14T00:00:00"/>
    <m/>
    <m/>
    <m/>
    <m/>
    <m/>
    <m/>
    <m/>
    <m/>
    <m/>
  </r>
  <r>
    <s v="NACIRY"/>
    <s v="Moussa"/>
    <m/>
    <m/>
    <m/>
    <m/>
    <m/>
    <m/>
    <s v="Renouvellement"/>
    <d v="2026-04-01T00:00:00"/>
    <m/>
    <m/>
    <m/>
    <m/>
    <m/>
    <m/>
    <m/>
    <m/>
    <m/>
  </r>
  <r>
    <s v="OULAKBIR"/>
    <s v="Touria"/>
    <m/>
    <m/>
    <m/>
    <m/>
    <m/>
    <m/>
    <s v="Réo FT"/>
    <d v="2026-05-27T00:00:00"/>
    <m/>
    <m/>
    <m/>
    <m/>
    <m/>
    <m/>
    <m/>
    <m/>
    <m/>
  </r>
  <r>
    <s v="OZCAN"/>
    <s v="Okan"/>
    <m/>
    <m/>
    <m/>
    <m/>
    <m/>
    <m/>
    <m/>
    <m/>
    <m/>
    <m/>
    <m/>
    <m/>
    <m/>
    <m/>
    <m/>
    <m/>
    <m/>
  </r>
  <r>
    <s v="OZCAN"/>
    <s v="Kamile"/>
    <m/>
    <m/>
    <m/>
    <m/>
    <m/>
    <m/>
    <m/>
    <m/>
    <m/>
    <m/>
    <m/>
    <m/>
    <m/>
    <m/>
    <m/>
    <m/>
    <m/>
  </r>
  <r>
    <s v="OZDEMIR"/>
    <s v="Songul"/>
    <m/>
    <m/>
    <m/>
    <m/>
    <m/>
    <m/>
    <s v="Renouvellement"/>
    <d v="2026-04-22T00:00:00"/>
    <m/>
    <m/>
    <m/>
    <m/>
    <m/>
    <m/>
    <m/>
    <m/>
    <m/>
  </r>
  <r>
    <s v="OZDEMIR"/>
    <s v="Emine"/>
    <m/>
    <m/>
    <m/>
    <m/>
    <m/>
    <m/>
    <m/>
    <m/>
    <m/>
    <m/>
    <m/>
    <m/>
    <m/>
    <m/>
    <m/>
    <m/>
    <m/>
  </r>
  <r>
    <s v="OZER"/>
    <s v="Ismaïl"/>
    <m/>
    <m/>
    <m/>
    <m/>
    <m/>
    <m/>
    <m/>
    <m/>
    <m/>
    <m/>
    <m/>
    <m/>
    <m/>
    <m/>
    <m/>
    <m/>
    <m/>
  </r>
  <r>
    <s v="OZKAN"/>
    <s v="Nezahat"/>
    <m/>
    <m/>
    <m/>
    <m/>
    <m/>
    <m/>
    <s v="Renouvellement"/>
    <d v="2026-04-13T00:00:00"/>
    <m/>
    <m/>
    <m/>
    <m/>
    <m/>
    <m/>
    <m/>
    <m/>
    <m/>
  </r>
  <r>
    <s v="OZTURK"/>
    <s v="Fatma"/>
    <m/>
    <m/>
    <m/>
    <m/>
    <m/>
    <m/>
    <s v="Renouvellement"/>
    <d v="2026-04-03T00:00:00"/>
    <m/>
    <m/>
    <m/>
    <m/>
    <m/>
    <m/>
    <m/>
    <m/>
    <m/>
  </r>
  <r>
    <s v="POPRAWA"/>
    <s v="Renata"/>
    <m/>
    <m/>
    <m/>
    <m/>
    <m/>
    <m/>
    <m/>
    <m/>
    <m/>
    <m/>
    <m/>
    <m/>
    <m/>
    <m/>
    <m/>
    <m/>
    <m/>
  </r>
  <r>
    <s v="ROSELL"/>
    <s v="Thibault"/>
    <m/>
    <m/>
    <m/>
    <m/>
    <m/>
    <m/>
    <m/>
    <m/>
    <m/>
    <m/>
    <m/>
    <m/>
    <m/>
    <m/>
    <m/>
    <m/>
    <m/>
  </r>
  <r>
    <s v="SAFI"/>
    <s v="Abdul"/>
    <m/>
    <m/>
    <m/>
    <m/>
    <m/>
    <m/>
    <m/>
    <m/>
    <m/>
    <m/>
    <m/>
    <m/>
    <m/>
    <m/>
    <m/>
    <m/>
    <m/>
  </r>
  <r>
    <s v="SARROUKH"/>
    <s v="Mohcine"/>
    <m/>
    <m/>
    <m/>
    <m/>
    <m/>
    <m/>
    <m/>
    <m/>
    <m/>
    <m/>
    <m/>
    <m/>
    <m/>
    <m/>
    <m/>
    <m/>
    <m/>
  </r>
  <r>
    <s v="SMAAL"/>
    <s v="Samir"/>
    <m/>
    <m/>
    <m/>
    <m/>
    <m/>
    <m/>
    <m/>
    <m/>
    <m/>
    <m/>
    <m/>
    <m/>
    <m/>
    <m/>
    <m/>
    <m/>
    <m/>
  </r>
  <r>
    <s v="TARDY"/>
    <s v="Anaïs"/>
    <m/>
    <m/>
    <m/>
    <m/>
    <m/>
    <m/>
    <m/>
    <d v="2026-04-17T00:00:00"/>
    <m/>
    <m/>
    <m/>
    <m/>
    <m/>
    <m/>
    <m/>
    <m/>
    <m/>
  </r>
  <r>
    <s v="TECHER"/>
    <s v="Anaelle"/>
    <m/>
    <m/>
    <m/>
    <m/>
    <m/>
    <n v="1"/>
    <s v="Renouvellement"/>
    <d v="2026-04-13T00:00:00"/>
    <m/>
    <m/>
    <m/>
    <m/>
    <m/>
    <m/>
    <m/>
    <m/>
    <m/>
  </r>
  <r>
    <s v="TORRES"/>
    <s v="Vicente"/>
    <m/>
    <m/>
    <m/>
    <m/>
    <m/>
    <m/>
    <s v="BGE"/>
    <d v="2026-04-01T00:00:00"/>
    <m/>
    <m/>
    <m/>
    <m/>
    <m/>
    <m/>
    <m/>
    <m/>
    <m/>
  </r>
  <r>
    <s v="BEN EMBARECK"/>
    <s v="Wassila"/>
    <m/>
    <m/>
    <m/>
    <m/>
    <m/>
    <m/>
    <m/>
    <m/>
    <m/>
    <m/>
    <m/>
    <m/>
    <m/>
    <m/>
    <m/>
    <m/>
    <m/>
  </r>
  <r>
    <s v="URCEL"/>
    <s v="Steve"/>
    <m/>
    <m/>
    <m/>
    <m/>
    <m/>
    <m/>
    <m/>
    <m/>
    <m/>
    <m/>
    <m/>
    <m/>
    <m/>
    <m/>
    <m/>
    <m/>
    <m/>
  </r>
  <r>
    <s v="VENOT"/>
    <s v="Emilie"/>
    <m/>
    <m/>
    <m/>
    <m/>
    <m/>
    <m/>
    <m/>
    <m/>
    <m/>
    <m/>
    <m/>
    <m/>
    <m/>
    <m/>
    <m/>
    <m/>
    <m/>
  </r>
  <r>
    <s v="LAMBREZ"/>
    <s v="Angélique"/>
    <m/>
    <m/>
    <m/>
    <m/>
    <m/>
    <m/>
    <s v="Renouvellement"/>
    <d v="2026-04-14T00:00:00"/>
    <m/>
    <m/>
    <m/>
    <m/>
    <m/>
    <m/>
    <m/>
    <m/>
    <m/>
  </r>
  <r>
    <s v="HASANI"/>
    <s v="Gazmend"/>
    <m/>
    <m/>
    <m/>
    <m/>
    <m/>
    <m/>
    <m/>
    <m/>
    <m/>
    <m/>
    <m/>
    <m/>
    <m/>
    <m/>
    <m/>
    <m/>
    <m/>
  </r>
  <r>
    <s v="ONCUL"/>
    <s v="Samet"/>
    <m/>
    <m/>
    <m/>
    <m/>
    <m/>
    <m/>
    <m/>
    <m/>
    <m/>
    <m/>
    <m/>
    <m/>
    <m/>
    <m/>
    <m/>
    <m/>
    <m/>
  </r>
  <r>
    <s v="AKAKHIL"/>
    <s v="Mohammed"/>
    <m/>
    <m/>
    <m/>
    <m/>
    <m/>
    <m/>
    <m/>
    <m/>
    <m/>
    <m/>
    <m/>
    <m/>
    <m/>
    <m/>
    <m/>
    <m/>
    <m/>
  </r>
  <r>
    <s v="KHAROUNI"/>
    <s v="Kaïna"/>
    <m/>
    <m/>
    <m/>
    <m/>
    <m/>
    <m/>
    <s v="Réo FT"/>
    <m/>
    <m/>
    <m/>
    <m/>
    <m/>
    <m/>
    <m/>
    <m/>
    <m/>
    <m/>
  </r>
  <r>
    <s v="GUERIAUD"/>
    <s v="Sabrina"/>
    <m/>
    <m/>
    <m/>
    <m/>
    <m/>
    <n v="1"/>
    <s v="Renouvellement"/>
    <d v="2026-05-22T00:00:00"/>
    <m/>
    <m/>
    <m/>
    <m/>
    <m/>
    <m/>
    <m/>
    <m/>
    <m/>
  </r>
  <r>
    <s v="BELHASSAN"/>
    <s v="Ilham"/>
    <m/>
    <m/>
    <m/>
    <m/>
    <m/>
    <m/>
    <m/>
    <m/>
    <m/>
    <m/>
    <m/>
    <m/>
    <m/>
    <m/>
    <m/>
    <m/>
    <m/>
  </r>
  <r>
    <s v="TEKELI"/>
    <s v="Atilyahan"/>
    <m/>
    <m/>
    <m/>
    <m/>
    <m/>
    <m/>
    <m/>
    <m/>
    <m/>
    <m/>
    <m/>
    <m/>
    <m/>
    <m/>
    <m/>
    <m/>
    <m/>
  </r>
  <r>
    <s v="GELAJ"/>
    <s v="Bekim"/>
    <m/>
    <m/>
    <m/>
    <m/>
    <m/>
    <m/>
    <m/>
    <m/>
    <m/>
    <m/>
    <m/>
    <m/>
    <m/>
    <m/>
    <m/>
    <m/>
    <m/>
  </r>
  <r>
    <s v="RIVIERE"/>
    <s v="Cindy"/>
    <m/>
    <m/>
    <m/>
    <m/>
    <m/>
    <m/>
    <s v="Renouvellement"/>
    <d v="2026-04-10T00:00:00"/>
    <m/>
    <m/>
    <m/>
    <m/>
    <m/>
    <m/>
    <m/>
    <m/>
    <m/>
  </r>
  <r>
    <s v="NEUVILLE "/>
    <s v="ALLAN"/>
    <m/>
    <m/>
    <m/>
    <m/>
    <m/>
    <m/>
    <m/>
    <m/>
    <m/>
    <m/>
    <m/>
    <m/>
    <m/>
    <m/>
    <m/>
    <m/>
    <m/>
  </r>
  <r>
    <s v="KAPTAN"/>
    <s v="Ridvan"/>
    <m/>
    <m/>
    <m/>
    <m/>
    <m/>
    <m/>
    <m/>
    <m/>
    <m/>
    <m/>
    <m/>
    <m/>
    <m/>
    <m/>
    <m/>
    <m/>
    <m/>
  </r>
  <r>
    <s v="ONCU"/>
    <s v="ONDER"/>
    <m/>
    <m/>
    <m/>
    <m/>
    <m/>
    <m/>
    <m/>
    <m/>
    <m/>
    <m/>
    <m/>
    <m/>
    <m/>
    <m/>
    <m/>
    <m/>
    <m/>
  </r>
  <r>
    <s v="SULTANKHEL"/>
    <s v="SAMIULLAH"/>
    <m/>
    <m/>
    <m/>
    <m/>
    <m/>
    <m/>
    <m/>
    <m/>
    <m/>
    <m/>
    <m/>
    <m/>
    <m/>
    <m/>
    <m/>
    <m/>
    <m/>
  </r>
  <r>
    <s v="ROCHELLE"/>
    <s v="PATRICIA"/>
    <m/>
    <m/>
    <m/>
    <m/>
    <m/>
    <m/>
    <m/>
    <m/>
    <m/>
    <m/>
    <m/>
    <m/>
    <m/>
    <m/>
    <m/>
    <m/>
    <m/>
  </r>
  <r>
    <s v="CLERMONT"/>
    <s v="CHRISTIAN"/>
    <m/>
    <m/>
    <m/>
    <m/>
    <m/>
    <m/>
    <m/>
    <m/>
    <m/>
    <m/>
    <m/>
    <m/>
    <m/>
    <m/>
    <m/>
    <m/>
    <m/>
  </r>
  <r>
    <s v="ANNOUR ALI// ABDALLAH  ABDRAMANE "/>
    <s v="MARIAM"/>
    <m/>
    <m/>
    <m/>
    <m/>
    <m/>
    <m/>
    <m/>
    <m/>
    <m/>
    <m/>
    <m/>
    <m/>
    <m/>
    <m/>
    <m/>
    <m/>
    <m/>
  </r>
  <r>
    <s v="CHERIFI "/>
    <s v="HAMZA"/>
    <m/>
    <m/>
    <m/>
    <m/>
    <m/>
    <m/>
    <m/>
    <m/>
    <m/>
    <m/>
    <m/>
    <m/>
    <m/>
    <m/>
    <m/>
    <m/>
    <m/>
  </r>
  <r>
    <s v="LEGGUI"/>
    <s v="HAFIDA"/>
    <m/>
    <m/>
    <m/>
    <m/>
    <m/>
    <m/>
    <m/>
    <m/>
    <m/>
    <m/>
    <m/>
    <m/>
    <m/>
    <m/>
    <m/>
    <m/>
    <m/>
  </r>
  <r>
    <s v="NUNES GOUVEIA"/>
    <s v="SABRINA"/>
    <m/>
    <m/>
    <m/>
    <m/>
    <m/>
    <m/>
    <m/>
    <m/>
    <m/>
    <m/>
    <m/>
    <m/>
    <m/>
    <m/>
    <m/>
    <m/>
    <m/>
  </r>
  <r>
    <s v="GONNETAN"/>
    <s v="PIERRE"/>
    <m/>
    <m/>
    <m/>
    <m/>
    <m/>
    <m/>
    <m/>
    <m/>
    <m/>
    <m/>
    <m/>
    <m/>
    <m/>
    <m/>
    <m/>
    <m/>
    <m/>
  </r>
  <r>
    <s v="BANDATIA"/>
    <s v="ULRICH"/>
    <m/>
    <m/>
    <m/>
    <m/>
    <m/>
    <m/>
    <m/>
    <m/>
    <m/>
    <m/>
    <m/>
    <m/>
    <m/>
    <m/>
    <m/>
    <m/>
    <m/>
  </r>
  <r>
    <s v="BENHAMED"/>
    <s v="ZIED"/>
    <m/>
    <m/>
    <m/>
    <m/>
    <m/>
    <m/>
    <m/>
    <m/>
    <m/>
    <m/>
    <m/>
    <m/>
    <m/>
    <m/>
    <m/>
    <m/>
    <m/>
  </r>
  <r>
    <s v="DERRIEN"/>
    <s v="BRYCE"/>
    <m/>
    <m/>
    <m/>
    <m/>
    <m/>
    <m/>
    <m/>
    <m/>
    <m/>
    <m/>
    <m/>
    <m/>
    <m/>
    <m/>
    <m/>
    <m/>
    <m/>
  </r>
  <r>
    <s v="SIOUDA"/>
    <s v="OUSSAMA"/>
    <m/>
    <m/>
    <m/>
    <s v="1 refus d offre "/>
    <m/>
    <m/>
    <m/>
    <m/>
    <m/>
    <m/>
    <m/>
    <m/>
    <m/>
    <m/>
    <m/>
    <m/>
    <m/>
  </r>
  <r>
    <s v="NEUVILLE"/>
    <s v="Mickael "/>
    <m/>
    <m/>
    <m/>
    <m/>
    <m/>
    <m/>
    <m/>
    <m/>
    <m/>
    <m/>
    <m/>
    <m/>
    <m/>
    <m/>
    <m/>
    <m/>
    <m/>
  </r>
  <r>
    <s v="TOURNERY"/>
    <s v="PIERRE-LOU"/>
    <m/>
    <m/>
    <m/>
    <m/>
    <m/>
    <m/>
    <m/>
    <m/>
    <m/>
    <m/>
    <m/>
    <m/>
    <m/>
    <m/>
    <m/>
    <m/>
    <m/>
  </r>
  <r>
    <s v="MARCHAND/BOUAKKAZ"/>
    <s v="DJIDA"/>
    <m/>
    <m/>
    <m/>
    <m/>
    <m/>
    <m/>
    <m/>
    <m/>
    <m/>
    <m/>
    <m/>
    <m/>
    <m/>
    <m/>
    <m/>
    <m/>
    <m/>
  </r>
  <r>
    <s v="YILDIRIM"/>
    <s v="AMINA"/>
    <m/>
    <m/>
    <m/>
    <m/>
    <m/>
    <m/>
    <m/>
    <m/>
    <m/>
    <m/>
    <m/>
    <m/>
    <m/>
    <m/>
    <m/>
    <m/>
    <m/>
  </r>
  <r>
    <s v="GOUROUVIN"/>
    <s v="Gabriel"/>
    <m/>
    <m/>
    <m/>
    <m/>
    <m/>
    <m/>
    <m/>
    <m/>
    <m/>
    <m/>
    <m/>
    <m/>
    <m/>
    <m/>
    <m/>
    <m/>
    <m/>
  </r>
  <r>
    <s v="YENI /OCAL"/>
    <s v="Serife"/>
    <m/>
    <m/>
    <m/>
    <m/>
    <m/>
    <m/>
    <m/>
    <m/>
    <m/>
    <m/>
    <m/>
    <m/>
    <m/>
    <m/>
    <m/>
    <m/>
    <m/>
  </r>
  <r>
    <s v="DIABY"/>
    <s v=" MAMADOU"/>
    <m/>
    <m/>
    <m/>
    <m/>
    <m/>
    <m/>
    <m/>
    <m/>
    <m/>
    <m/>
    <m/>
    <m/>
    <m/>
    <m/>
    <m/>
    <m/>
    <m/>
  </r>
  <r>
    <s v="TIMSILINE"/>
    <s v="DJAFFAR"/>
    <m/>
    <m/>
    <m/>
    <m/>
    <m/>
    <m/>
    <m/>
    <m/>
    <m/>
    <m/>
    <m/>
    <m/>
    <m/>
    <m/>
    <m/>
    <m/>
    <m/>
  </r>
  <r>
    <s v="SADA"/>
    <s v="THIERRY"/>
    <m/>
    <m/>
    <m/>
    <m/>
    <m/>
    <m/>
    <m/>
    <m/>
    <m/>
    <m/>
    <m/>
    <m/>
    <m/>
    <m/>
    <m/>
    <m/>
    <m/>
  </r>
  <r>
    <s v="BALLEIN "/>
    <s v="JEROME"/>
    <m/>
    <m/>
    <m/>
    <m/>
    <m/>
    <m/>
    <s v="Réo FT"/>
    <d v="2026-04-01T00:00:00"/>
    <m/>
    <m/>
    <m/>
    <m/>
    <m/>
    <m/>
    <m/>
    <m/>
    <m/>
  </r>
  <r>
    <s v="ERGOC /ERDOGAN"/>
    <s v="MEYREM"/>
    <m/>
    <m/>
    <m/>
    <m/>
    <m/>
    <m/>
    <m/>
    <m/>
    <m/>
    <m/>
    <m/>
    <m/>
    <m/>
    <m/>
    <m/>
    <m/>
    <m/>
  </r>
  <r>
    <s v="TRAORE"/>
    <s v="ISSA"/>
    <m/>
    <m/>
    <m/>
    <m/>
    <m/>
    <m/>
    <m/>
    <m/>
    <m/>
    <m/>
    <m/>
    <m/>
    <m/>
    <m/>
    <m/>
    <m/>
    <m/>
  </r>
  <r>
    <s v="PONSON"/>
    <s v="FRANCOISE"/>
    <m/>
    <m/>
    <m/>
    <m/>
    <m/>
    <m/>
    <m/>
    <m/>
    <m/>
    <m/>
    <m/>
    <m/>
    <m/>
    <m/>
    <m/>
    <m/>
    <m/>
  </r>
  <r>
    <s v="NAOUMI "/>
    <s v="MILOUDA"/>
    <m/>
    <m/>
    <m/>
    <m/>
    <m/>
    <m/>
    <m/>
    <m/>
    <m/>
    <m/>
    <m/>
    <m/>
    <m/>
    <m/>
    <m/>
    <m/>
    <m/>
  </r>
  <r>
    <s v="GOUROUVIN"/>
    <s v="GABRIEL"/>
    <m/>
    <m/>
    <m/>
    <m/>
    <m/>
    <m/>
    <m/>
    <m/>
    <m/>
    <m/>
    <m/>
    <m/>
    <m/>
    <m/>
    <m/>
    <m/>
    <m/>
  </r>
  <r>
    <s v="LEBRET"/>
    <s v="ISABELLE"/>
    <m/>
    <m/>
    <m/>
    <m/>
    <m/>
    <m/>
    <m/>
    <m/>
    <m/>
    <m/>
    <m/>
    <m/>
    <m/>
    <m/>
    <m/>
    <m/>
    <m/>
  </r>
  <r>
    <s v="SECGIN"/>
    <s v="MERYEM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AKHMAL"/>
    <s v="Najat"/>
    <m/>
    <m/>
    <m/>
    <m/>
    <m/>
    <m/>
    <m/>
    <m/>
    <m/>
    <m/>
    <m/>
    <m/>
    <n v="1"/>
    <m/>
    <m/>
    <m/>
    <m/>
    <d v="1900-01-14T00:00:00"/>
    <m/>
    <m/>
    <d v="1900-02-18T00:00:00"/>
    <m/>
    <m/>
    <m/>
    <m/>
    <m/>
    <d v="1900-02-03T00:00:00"/>
  </r>
  <r>
    <s v="AL-RIHEMAWEE"/>
    <s v="Qays"/>
    <n v="1"/>
    <m/>
    <m/>
    <m/>
    <m/>
    <m/>
    <m/>
    <n v="1"/>
    <m/>
    <n v="1"/>
    <m/>
    <m/>
    <m/>
    <m/>
    <n v="1"/>
    <d v="2026-04-20T00:00:00"/>
    <m/>
    <d v="1900-01-14T00:00:00"/>
    <m/>
    <m/>
    <d v="1900-02-18T00:00:00"/>
    <m/>
    <m/>
    <m/>
    <m/>
    <m/>
    <d v="1900-02-03T00:00:00"/>
  </r>
  <r>
    <s v="ARBINOT"/>
    <s v="Alexandr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BASSI"/>
    <s v="Stephanie"/>
    <m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BAYIRTEPE"/>
    <s v="Gulsah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BERTHET-BONDET"/>
    <s v="Franck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BOSCHMANS"/>
    <s v="Franck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BRAHIMI"/>
    <s v="Farida"/>
    <n v="1"/>
    <m/>
    <m/>
    <n v="1"/>
    <m/>
    <n v="1"/>
    <m/>
    <m/>
    <m/>
    <n v="1"/>
    <m/>
    <m/>
    <m/>
    <m/>
    <n v="1"/>
    <d v="2026-04-24T00:00:00"/>
    <m/>
    <d v="1900-01-14T00:00:00"/>
    <m/>
    <m/>
    <d v="1900-02-18T00:00:00"/>
    <m/>
    <m/>
    <m/>
    <m/>
    <m/>
    <d v="1900-02-03T00:00:00"/>
  </r>
  <r>
    <s v="BRASSART"/>
    <s v="Cindy"/>
    <n v="1"/>
    <n v="1"/>
    <m/>
    <m/>
    <m/>
    <m/>
    <m/>
    <m/>
    <m/>
    <m/>
    <m/>
    <m/>
    <m/>
    <m/>
    <n v="1"/>
    <d v="2026-02-13T00:00:00"/>
    <d v="2026-03-09T00:00:00"/>
    <d v="2026-03-24T00:00:00"/>
    <m/>
    <m/>
    <d v="2026-04-28T00:00:00"/>
    <m/>
    <m/>
    <d v="2026-05-01T00:00:00"/>
    <m/>
    <m/>
    <d v="1900-02-03T00:00:00"/>
  </r>
  <r>
    <s v="CAVDAR"/>
    <s v="Tugay"/>
    <n v="1"/>
    <m/>
    <m/>
    <n v="1"/>
    <m/>
    <m/>
    <m/>
    <m/>
    <m/>
    <n v="1"/>
    <m/>
    <m/>
    <m/>
    <m/>
    <m/>
    <m/>
    <m/>
    <d v="1900-01-14T00:00:00"/>
    <m/>
    <m/>
    <d v="1900-02-18T00:00:00"/>
    <m/>
    <m/>
    <m/>
    <m/>
    <m/>
    <d v="1900-02-03T00:00:00"/>
  </r>
  <r>
    <s v="CHHUN"/>
    <s v="Sophann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CIMEN"/>
    <s v="Mehmet"/>
    <n v="1"/>
    <m/>
    <n v="1"/>
    <m/>
    <m/>
    <m/>
    <m/>
    <m/>
    <m/>
    <m/>
    <m/>
    <n v="1"/>
    <m/>
    <m/>
    <m/>
    <m/>
    <m/>
    <d v="1900-01-14T00:00:00"/>
    <m/>
    <m/>
    <d v="1900-02-18T00:00:00"/>
    <m/>
    <m/>
    <m/>
    <m/>
    <m/>
    <d v="1900-02-03T00:00:00"/>
  </r>
  <r>
    <s v="COLOMBEL"/>
    <s v="Mickael"/>
    <n v="1"/>
    <n v="1"/>
    <m/>
    <m/>
    <m/>
    <m/>
    <m/>
    <m/>
    <m/>
    <m/>
    <m/>
    <m/>
    <m/>
    <m/>
    <n v="1"/>
    <d v="2026-02-06T00:00:00"/>
    <d v="2026-02-09T00:00:00"/>
    <d v="2026-02-24T00:00:00"/>
    <m/>
    <m/>
    <d v="2026-03-31T00:00:00"/>
    <m/>
    <m/>
    <m/>
    <m/>
    <m/>
    <d v="1900-02-03T00:00:00"/>
  </r>
  <r>
    <s v="DESSAINTJEAN"/>
    <s v="Amandine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DUBOT"/>
    <s v="Sébastien"/>
    <n v="1"/>
    <n v="1"/>
    <m/>
    <m/>
    <m/>
    <m/>
    <m/>
    <m/>
    <m/>
    <m/>
    <m/>
    <m/>
    <m/>
    <m/>
    <n v="1"/>
    <d v="2026-02-25T00:00:00"/>
    <d v="2026-03-02T00:00:00"/>
    <d v="2026-03-17T00:00:00"/>
    <m/>
    <m/>
    <d v="2026-04-21T00:00:00"/>
    <m/>
    <n v="1"/>
    <d v="2026-05-01T00:00:00"/>
    <m/>
    <m/>
    <d v="1900-02-03T00:00:00"/>
  </r>
  <r>
    <s v="EL JABBAR"/>
    <s v="Anass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EL-HAMDI"/>
    <s v="Mourad"/>
    <n v="1"/>
    <n v="1"/>
    <m/>
    <m/>
    <m/>
    <m/>
    <m/>
    <m/>
    <m/>
    <m/>
    <m/>
    <m/>
    <m/>
    <m/>
    <n v="1"/>
    <d v="2026-02-24T00:00:00"/>
    <m/>
    <d v="1900-01-14T00:00:00"/>
    <m/>
    <m/>
    <d v="1900-02-18T00:00:00"/>
    <m/>
    <m/>
    <m/>
    <m/>
    <m/>
    <d v="1900-02-03T00:00:00"/>
  </r>
  <r>
    <s v="ERAMIL"/>
    <s v="Erhan"/>
    <n v="1"/>
    <n v="1"/>
    <m/>
    <n v="1"/>
    <m/>
    <m/>
    <m/>
    <n v="2"/>
    <m/>
    <m/>
    <m/>
    <m/>
    <m/>
    <m/>
    <n v="1"/>
    <d v="2026-04-24T00:00:00"/>
    <d v="2026-05-19T00:00:00"/>
    <d v="2026-06-03T00:00:00"/>
    <m/>
    <m/>
    <d v="2026-07-08T00:00:00"/>
    <m/>
    <m/>
    <m/>
    <m/>
    <m/>
    <d v="1900-02-03T00:00:00"/>
  </r>
  <r>
    <s v="ERSOY"/>
    <s v="Salih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EZZARHOUNI"/>
    <s v="Nesrdin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GAYNUTDINOV"/>
    <s v="Rafael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JUILLARD"/>
    <s v="Frédéric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KAMENICA"/>
    <s v="Ardit"/>
    <m/>
    <m/>
    <m/>
    <m/>
    <m/>
    <m/>
    <m/>
    <m/>
    <m/>
    <m/>
    <m/>
    <m/>
    <m/>
    <m/>
    <n v="1"/>
    <d v="2026-02-06T00:00:00"/>
    <d v="2026-03-10T00:00:00"/>
    <d v="2026-03-25T00:00:00"/>
    <m/>
    <m/>
    <d v="2026-04-29T00:00:00"/>
    <m/>
    <m/>
    <m/>
    <m/>
    <m/>
    <d v="1900-02-03T00:00:00"/>
  </r>
  <r>
    <s v="KANBOUI"/>
    <s v="Zineb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KARIAM"/>
    <s v="Omar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KONMAZ"/>
    <s v="Ayse"/>
    <n v="1"/>
    <m/>
    <m/>
    <m/>
    <m/>
    <m/>
    <m/>
    <m/>
    <m/>
    <m/>
    <m/>
    <m/>
    <m/>
    <m/>
    <n v="1"/>
    <m/>
    <m/>
    <d v="1900-01-14T00:00:00"/>
    <m/>
    <m/>
    <d v="1900-02-18T00:00:00"/>
    <m/>
    <m/>
    <m/>
    <m/>
    <m/>
    <d v="1900-02-03T00:00:00"/>
  </r>
  <r>
    <s v="LAOUFI"/>
    <s v="Hamz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LEANG DATH"/>
    <s v="Benoît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LIEU"/>
    <s v="Ophelie-kim"/>
    <n v="1"/>
    <n v="1"/>
    <m/>
    <m/>
    <m/>
    <m/>
    <m/>
    <m/>
    <m/>
    <m/>
    <m/>
    <m/>
    <m/>
    <m/>
    <n v="1"/>
    <d v="2026-04-08T00:00:00"/>
    <m/>
    <d v="1900-01-14T00:00:00"/>
    <m/>
    <m/>
    <d v="1900-02-18T00:00:00"/>
    <m/>
    <m/>
    <m/>
    <m/>
    <m/>
    <d v="1900-02-03T00:00:00"/>
  </r>
  <r>
    <s v="MAADOUR"/>
    <s v="Anas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MEHALLEL"/>
    <s v="Salim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MOHAMMAD"/>
    <s v="Sania"/>
    <n v="1"/>
    <m/>
    <m/>
    <m/>
    <m/>
    <m/>
    <m/>
    <m/>
    <n v="1"/>
    <m/>
    <m/>
    <m/>
    <m/>
    <m/>
    <m/>
    <m/>
    <m/>
    <d v="1900-01-14T00:00:00"/>
    <m/>
    <m/>
    <d v="1900-02-18T00:00:00"/>
    <m/>
    <m/>
    <m/>
    <m/>
    <m/>
    <d v="1900-02-03T00:00:00"/>
  </r>
  <r>
    <s v="MUTLU"/>
    <s v="Mualla"/>
    <m/>
    <m/>
    <m/>
    <m/>
    <m/>
    <m/>
    <m/>
    <m/>
    <n v="1"/>
    <m/>
    <m/>
    <m/>
    <m/>
    <m/>
    <m/>
    <m/>
    <m/>
    <d v="1900-01-14T00:00:00"/>
    <m/>
    <m/>
    <d v="1900-02-18T00:00:00"/>
    <m/>
    <m/>
    <m/>
    <m/>
    <m/>
    <d v="1900-02-03T00:00:00"/>
  </r>
  <r>
    <s v="NACIRY"/>
    <s v="Moussa"/>
    <m/>
    <m/>
    <m/>
    <m/>
    <m/>
    <m/>
    <m/>
    <n v="2"/>
    <m/>
    <n v="1"/>
    <m/>
    <m/>
    <m/>
    <m/>
    <m/>
    <m/>
    <m/>
    <d v="1900-01-14T00:00:00"/>
    <m/>
    <m/>
    <d v="1900-02-18T00:00:00"/>
    <m/>
    <m/>
    <m/>
    <m/>
    <m/>
    <d v="1900-02-03T00:00:00"/>
  </r>
  <r>
    <s v="OULAKBIR"/>
    <s v="Touria"/>
    <m/>
    <m/>
    <m/>
    <n v="1"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OZCAN"/>
    <s v="Okan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OZCAN"/>
    <s v="Kamil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OZDEMIR"/>
    <s v="Songul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OZDEMIR"/>
    <s v="Emine"/>
    <n v="1"/>
    <m/>
    <m/>
    <m/>
    <m/>
    <m/>
    <m/>
    <m/>
    <m/>
    <m/>
    <m/>
    <m/>
    <m/>
    <m/>
    <n v="1"/>
    <d v="2026-02-06T00:00:00"/>
    <d v="2026-02-09T00:00:00"/>
    <d v="2026-02-24T00:00:00"/>
    <m/>
    <m/>
    <d v="2026-03-31T00:00:00"/>
    <m/>
    <m/>
    <m/>
    <m/>
    <m/>
    <d v="1900-02-03T00:00:00"/>
  </r>
  <r>
    <s v="OZER"/>
    <s v="Ismaïl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OZKAN"/>
    <s v="Nezahat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OZTURK"/>
    <s v="Fatm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POPRAWA"/>
    <s v="Renata"/>
    <n v="1"/>
    <n v="1"/>
    <m/>
    <m/>
    <n v="2"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ROSELL"/>
    <s v="Thibault"/>
    <n v="1"/>
    <m/>
    <m/>
    <m/>
    <m/>
    <m/>
    <m/>
    <m/>
    <m/>
    <m/>
    <m/>
    <m/>
    <m/>
    <m/>
    <n v="1"/>
    <m/>
    <d v="2026-02-09T00:00:00"/>
    <d v="2026-02-24T00:00:00"/>
    <m/>
    <m/>
    <d v="2026-03-31T00:00:00"/>
    <m/>
    <m/>
    <m/>
    <m/>
    <m/>
    <d v="1900-02-03T00:00:00"/>
  </r>
  <r>
    <s v="SAFI"/>
    <s v="Abdul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SARROUKH"/>
    <s v="Mohcine"/>
    <m/>
    <m/>
    <m/>
    <m/>
    <m/>
    <n v="1"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SMAAL"/>
    <s v="Samir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TARDY"/>
    <s v="Anaïs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TECHER"/>
    <s v="Anaelle"/>
    <m/>
    <m/>
    <m/>
    <m/>
    <m/>
    <m/>
    <n v="1"/>
    <n v="1"/>
    <m/>
    <m/>
    <n v="1"/>
    <m/>
    <m/>
    <m/>
    <m/>
    <d v="2026-05-26T00:00:00"/>
    <m/>
    <d v="1900-01-14T00:00:00"/>
    <m/>
    <m/>
    <d v="1900-02-18T00:00:00"/>
    <m/>
    <m/>
    <m/>
    <m/>
    <m/>
    <d v="1900-02-03T00:00:00"/>
  </r>
  <r>
    <s v="TORRES"/>
    <s v="Vicente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BEN EMBARECK"/>
    <s v="Wassila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URCEL"/>
    <s v="Steve"/>
    <m/>
    <m/>
    <m/>
    <m/>
    <m/>
    <m/>
    <m/>
    <n v="2"/>
    <m/>
    <m/>
    <m/>
    <m/>
    <m/>
    <m/>
    <m/>
    <d v="2026-06-08T00:00:00"/>
    <m/>
    <d v="1900-01-14T00:00:00"/>
    <m/>
    <m/>
    <d v="1900-02-18T00:00:00"/>
    <m/>
    <m/>
    <m/>
    <m/>
    <m/>
    <d v="1900-02-03T00:00:00"/>
  </r>
  <r>
    <s v="VENOT"/>
    <s v="Emilie"/>
    <n v="1"/>
    <m/>
    <m/>
    <m/>
    <m/>
    <m/>
    <m/>
    <m/>
    <m/>
    <n v="1"/>
    <m/>
    <m/>
    <m/>
    <m/>
    <n v="1"/>
    <d v="2026-04-09T00:00:00"/>
    <d v="2026-04-13T00:00:00"/>
    <d v="2026-04-28T00:00:00"/>
    <m/>
    <m/>
    <d v="2026-06-02T00:00:00"/>
    <m/>
    <m/>
    <m/>
    <m/>
    <m/>
    <d v="1900-02-03T00:00:00"/>
  </r>
  <r>
    <s v="LAMBREZ"/>
    <s v="Angéliqu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HASANI"/>
    <s v="Gazmend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ONCUL"/>
    <s v="Samet"/>
    <n v="1"/>
    <n v="1"/>
    <m/>
    <m/>
    <m/>
    <m/>
    <m/>
    <m/>
    <m/>
    <m/>
    <m/>
    <m/>
    <m/>
    <m/>
    <n v="1"/>
    <d v="2026-02-17T00:00:00"/>
    <m/>
    <d v="1900-01-14T00:00:00"/>
    <m/>
    <m/>
    <d v="1900-02-18T00:00:00"/>
    <m/>
    <m/>
    <m/>
    <m/>
    <m/>
    <d v="1900-02-03T00:00:00"/>
  </r>
  <r>
    <s v="AKAKHIL"/>
    <s v="Mohammed"/>
    <n v="1"/>
    <m/>
    <m/>
    <m/>
    <m/>
    <m/>
    <m/>
    <m/>
    <m/>
    <m/>
    <m/>
    <m/>
    <m/>
    <m/>
    <n v="1"/>
    <d v="2026-02-06T00:00:00"/>
    <m/>
    <d v="1900-01-14T00:00:00"/>
    <m/>
    <m/>
    <d v="1900-02-18T00:00:00"/>
    <m/>
    <m/>
    <m/>
    <m/>
    <m/>
    <d v="1900-02-03T00:00:00"/>
  </r>
  <r>
    <s v="KHAROUNI"/>
    <s v="Kaïn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GUERIAUD"/>
    <s v="Sabrina"/>
    <m/>
    <m/>
    <n v="1"/>
    <m/>
    <n v="1"/>
    <m/>
    <m/>
    <m/>
    <m/>
    <m/>
    <m/>
    <m/>
    <m/>
    <m/>
    <m/>
    <d v="2026-06-01T00:00:00"/>
    <m/>
    <d v="1900-01-14T00:00:00"/>
    <m/>
    <m/>
    <d v="1900-02-18T00:00:00"/>
    <m/>
    <m/>
    <m/>
    <m/>
    <m/>
    <d v="1900-02-03T00:00:00"/>
  </r>
  <r>
    <s v="BELHASSAN"/>
    <s v="Ilham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TEKELI"/>
    <s v="Atilyahan"/>
    <n v="1"/>
    <n v="1"/>
    <m/>
    <m/>
    <m/>
    <m/>
    <m/>
    <m/>
    <m/>
    <m/>
    <m/>
    <m/>
    <m/>
    <m/>
    <n v="1"/>
    <d v="2026-02-06T00:00:00"/>
    <m/>
    <d v="1900-01-14T00:00:00"/>
    <m/>
    <m/>
    <d v="1900-02-18T00:00:00"/>
    <m/>
    <m/>
    <m/>
    <m/>
    <m/>
    <d v="1900-02-03T00:00:00"/>
  </r>
  <r>
    <s v="GELAJ"/>
    <s v="Bekim"/>
    <n v="1"/>
    <m/>
    <m/>
    <m/>
    <m/>
    <m/>
    <m/>
    <m/>
    <m/>
    <m/>
    <m/>
    <m/>
    <m/>
    <m/>
    <n v="1"/>
    <d v="2026-02-20T00:00:00"/>
    <m/>
    <d v="1900-01-14T00:00:00"/>
    <m/>
    <m/>
    <d v="1900-02-18T00:00:00"/>
    <m/>
    <m/>
    <m/>
    <m/>
    <m/>
    <d v="1900-02-03T00:00:00"/>
  </r>
  <r>
    <s v="RIVIERE"/>
    <s v="Cindy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NEUVILLE "/>
    <s v="ALLAN"/>
    <n v="1"/>
    <n v="1"/>
    <m/>
    <m/>
    <m/>
    <m/>
    <m/>
    <m/>
    <m/>
    <m/>
    <m/>
    <m/>
    <m/>
    <m/>
    <n v="1"/>
    <d v="2026-02-06T00:00:00"/>
    <m/>
    <d v="1900-01-14T00:00:00"/>
    <m/>
    <m/>
    <d v="1900-02-18T00:00:00"/>
    <m/>
    <m/>
    <m/>
    <m/>
    <m/>
    <d v="1900-02-03T00:00:00"/>
  </r>
  <r>
    <s v="KAPTAN"/>
    <s v="Ridvan"/>
    <m/>
    <n v="1"/>
    <m/>
    <m/>
    <m/>
    <m/>
    <m/>
    <m/>
    <m/>
    <m/>
    <m/>
    <m/>
    <m/>
    <m/>
    <n v="1"/>
    <d v="2026-04-16T00:00:00"/>
    <m/>
    <d v="1900-01-14T00:00:00"/>
    <m/>
    <m/>
    <d v="1900-02-18T00:00:00"/>
    <m/>
    <m/>
    <d v="2026-06-23T00:00:00"/>
    <m/>
    <m/>
    <d v="1900-02-03T00:00:00"/>
  </r>
  <r>
    <s v="ONCU"/>
    <s v="ONDER"/>
    <n v="2"/>
    <n v="1"/>
    <m/>
    <m/>
    <m/>
    <m/>
    <m/>
    <m/>
    <m/>
    <m/>
    <m/>
    <m/>
    <m/>
    <m/>
    <n v="1"/>
    <d v="2026-02-17T00:00:00"/>
    <m/>
    <d v="1900-01-14T00:00:00"/>
    <m/>
    <m/>
    <d v="1900-02-18T00:00:00"/>
    <m/>
    <m/>
    <m/>
    <m/>
    <m/>
    <d v="1900-02-03T00:00:00"/>
  </r>
  <r>
    <s v="SULTANKHEL"/>
    <s v="SAMIULLAH"/>
    <n v="1"/>
    <n v="1"/>
    <m/>
    <m/>
    <m/>
    <m/>
    <m/>
    <m/>
    <m/>
    <m/>
    <m/>
    <m/>
    <m/>
    <m/>
    <n v="1"/>
    <m/>
    <d v="2026-02-09T00:00:00"/>
    <d v="2026-02-24T00:00:00"/>
    <m/>
    <m/>
    <d v="2026-03-31T00:00:00"/>
    <m/>
    <m/>
    <m/>
    <m/>
    <m/>
    <d v="1900-02-03T00:00:00"/>
  </r>
  <r>
    <s v="ROCHELLE"/>
    <s v="PATRICI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CLERMONT"/>
    <s v="CHRISTIAN"/>
    <n v="1"/>
    <n v="1"/>
    <m/>
    <m/>
    <m/>
    <m/>
    <m/>
    <m/>
    <m/>
    <m/>
    <m/>
    <m/>
    <m/>
    <m/>
    <n v="1"/>
    <d v="2026-02-01T00:00:00"/>
    <d v="2026-02-09T00:00:00"/>
    <d v="2026-02-24T00:00:00"/>
    <m/>
    <m/>
    <d v="2026-03-31T00:00:00"/>
    <m/>
    <m/>
    <m/>
    <m/>
    <m/>
    <d v="1900-02-03T00:00:00"/>
  </r>
  <r>
    <s v="ANNOUR ALI// ABDALLAH  ABDRAMANE "/>
    <s v="MARIAM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CHERIFI "/>
    <s v="HAMZA"/>
    <n v="1"/>
    <m/>
    <m/>
    <m/>
    <m/>
    <m/>
    <m/>
    <m/>
    <m/>
    <m/>
    <m/>
    <m/>
    <m/>
    <m/>
    <n v="1"/>
    <d v="2026-02-27T00:00:00"/>
    <d v="2026-03-11T00:00:00"/>
    <d v="2026-03-26T00:00:00"/>
    <m/>
    <m/>
    <d v="2026-04-30T00:00:00"/>
    <m/>
    <m/>
    <m/>
    <m/>
    <m/>
    <d v="1900-02-03T00:00:00"/>
  </r>
  <r>
    <s v="LEGGUI"/>
    <s v="HAFIDA"/>
    <n v="1"/>
    <m/>
    <m/>
    <m/>
    <m/>
    <n v="1"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NUNES GOUVEIA"/>
    <s v="SABRINA"/>
    <n v="1"/>
    <n v="1"/>
    <m/>
    <m/>
    <m/>
    <m/>
    <m/>
    <m/>
    <m/>
    <m/>
    <m/>
    <m/>
    <m/>
    <m/>
    <m/>
    <m/>
    <d v="2026-02-11T00:00:00"/>
    <d v="2026-02-26T00:00:00"/>
    <m/>
    <m/>
    <d v="2026-04-02T00:00:00"/>
    <m/>
    <m/>
    <m/>
    <m/>
    <m/>
    <d v="1900-02-03T00:00:00"/>
  </r>
  <r>
    <s v="GONNETAN"/>
    <s v="PIERR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BANDATIA"/>
    <s v="ULRICH"/>
    <m/>
    <m/>
    <m/>
    <m/>
    <m/>
    <n v="1"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BENHAMED"/>
    <s v="ZIED"/>
    <n v="1"/>
    <n v="1"/>
    <m/>
    <m/>
    <m/>
    <m/>
    <m/>
    <m/>
    <m/>
    <m/>
    <m/>
    <m/>
    <m/>
    <m/>
    <n v="1"/>
    <m/>
    <m/>
    <d v="1900-01-14T00:00:00"/>
    <m/>
    <m/>
    <d v="1900-02-18T00:00:00"/>
    <m/>
    <m/>
    <m/>
    <m/>
    <m/>
    <d v="1900-02-03T00:00:00"/>
  </r>
  <r>
    <s v="DERRIEN"/>
    <s v="BRYCE"/>
    <n v="1"/>
    <n v="1"/>
    <m/>
    <m/>
    <m/>
    <m/>
    <m/>
    <m/>
    <m/>
    <m/>
    <m/>
    <m/>
    <m/>
    <m/>
    <n v="1"/>
    <m/>
    <d v="2026-02-25T00:00:00"/>
    <d v="2026-03-12T00:00:00"/>
    <m/>
    <m/>
    <d v="2026-04-16T00:00:00"/>
    <m/>
    <m/>
    <d v="2026-05-12T00:00:00"/>
    <m/>
    <m/>
    <d v="1900-02-03T00:00:00"/>
  </r>
  <r>
    <s v="SIOUDA"/>
    <s v="OUSSAMA"/>
    <m/>
    <m/>
    <m/>
    <n v="1"/>
    <m/>
    <m/>
    <m/>
    <n v="1"/>
    <m/>
    <m/>
    <m/>
    <m/>
    <m/>
    <m/>
    <n v="1"/>
    <m/>
    <d v="2026-05-19T00:00:00"/>
    <d v="2026-06-03T00:00:00"/>
    <m/>
    <m/>
    <d v="2026-07-08T00:00:00"/>
    <m/>
    <m/>
    <m/>
    <m/>
    <m/>
    <d v="1900-02-03T00:00:00"/>
  </r>
  <r>
    <s v="NEUVILLE"/>
    <s v="Mickael "/>
    <m/>
    <m/>
    <m/>
    <m/>
    <n v="1"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TOURNERY"/>
    <s v="PIERRE-LOU"/>
    <n v="1"/>
    <n v="1"/>
    <m/>
    <m/>
    <m/>
    <m/>
    <m/>
    <m/>
    <m/>
    <m/>
    <m/>
    <m/>
    <m/>
    <m/>
    <n v="1"/>
    <m/>
    <m/>
    <d v="1900-01-14T00:00:00"/>
    <m/>
    <m/>
    <d v="1900-02-18T00:00:00"/>
    <m/>
    <m/>
    <m/>
    <m/>
    <m/>
    <d v="1900-02-03T00:00:00"/>
  </r>
  <r>
    <s v="MARCHAND/BOUAKKAZ"/>
    <s v="DJID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YILDIRIM"/>
    <s v="AMIN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GOUROUVIN"/>
    <s v="Gabriel"/>
    <n v="1"/>
    <n v="1"/>
    <m/>
    <m/>
    <m/>
    <m/>
    <m/>
    <m/>
    <m/>
    <m/>
    <m/>
    <m/>
    <m/>
    <m/>
    <n v="1"/>
    <d v="2026-03-11T00:00:00"/>
    <d v="2026-04-01T00:00:00"/>
    <d v="2026-04-16T00:00:00"/>
    <m/>
    <m/>
    <d v="2026-05-21T00:00:00"/>
    <m/>
    <m/>
    <d v="2026-05-12T00:00:00"/>
    <m/>
    <m/>
    <d v="1900-02-03T00:00:00"/>
  </r>
  <r>
    <s v="YENI /OCAL"/>
    <s v="Serif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DIABY"/>
    <s v=" MAMADOU"/>
    <m/>
    <m/>
    <n v="4"/>
    <m/>
    <m/>
    <m/>
    <m/>
    <m/>
    <m/>
    <m/>
    <m/>
    <m/>
    <m/>
    <m/>
    <n v="1"/>
    <d v="2026-03-23T00:00:00"/>
    <m/>
    <d v="1900-01-14T00:00:00"/>
    <m/>
    <m/>
    <d v="1900-02-18T00:00:00"/>
    <m/>
    <m/>
    <d v="2026-05-20T00:00:00"/>
    <m/>
    <m/>
    <d v="1900-02-03T00:00:00"/>
  </r>
  <r>
    <s v="TIMSILINE"/>
    <s v="DJAFFAR"/>
    <m/>
    <m/>
    <m/>
    <m/>
    <n v="1"/>
    <n v="1"/>
    <m/>
    <m/>
    <m/>
    <m/>
    <m/>
    <m/>
    <m/>
    <m/>
    <n v="1"/>
    <d v="2026-04-17T00:00:00"/>
    <d v="2026-05-01T00:00:00"/>
    <d v="2026-05-16T00:00:00"/>
    <m/>
    <m/>
    <d v="2026-06-20T00:00:00"/>
    <m/>
    <m/>
    <d v="2026-06-23T00:00:00"/>
    <m/>
    <m/>
    <d v="1900-02-03T00:00:00"/>
  </r>
  <r>
    <s v="SADA"/>
    <s v="THIERRY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BALLEIN "/>
    <s v="JEROM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ERGOC /ERDOGAN"/>
    <s v="MEYREM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TRAORE"/>
    <s v="ISSA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PONSON"/>
    <s v="FRANCOIS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NAOUMI "/>
    <s v="MILOUDA"/>
    <m/>
    <m/>
    <n v="1"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MORFIN"/>
    <s v="FREDERIC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LEBRET"/>
    <s v="ISABELL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SECGIN"/>
    <s v="MERYEM"/>
    <m/>
    <m/>
    <m/>
    <n v="1"/>
    <n v="1"/>
    <m/>
    <m/>
    <m/>
    <m/>
    <m/>
    <m/>
    <m/>
    <m/>
    <m/>
    <n v="1"/>
    <d v="2026-05-12T00:00:00"/>
    <d v="2026-05-13T00:00:00"/>
    <d v="2026-05-28T00:00:00"/>
    <m/>
    <m/>
    <d v="2026-07-02T00:00:00"/>
    <m/>
    <m/>
    <m/>
    <m/>
    <m/>
    <d v="1900-02-03T00:00:00"/>
  </r>
  <r>
    <s v="COLLOMB"/>
    <s v="CATHERIN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CHAMCHAM "/>
    <s v="M'barek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CHEVAUCHET "/>
    <s v="Andy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EL BARHMI "/>
    <s v="Chaim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JEBARI "/>
    <s v="Naoual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LOPES CABRAL "/>
    <s v="Jose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RISSELIN "/>
    <s v="Pierr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BEL HAJ MOHAMED "/>
    <s v="Ahmed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SAHBAZER "/>
    <s v="Fatih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AMAL "/>
    <s v=" Zine-El-Abidi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BAMBA "/>
    <s v="Tenimb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RODRIGUEZ- PODESTA "/>
    <s v="Alexis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  <r>
    <s v="YILDIZ "/>
    <s v="Yusuf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9">
  <r>
    <x v="0"/>
  </r>
  <r>
    <x v="1"/>
  </r>
  <r>
    <x v="2"/>
  </r>
  <r>
    <x v="2"/>
  </r>
  <r>
    <x v="1"/>
  </r>
  <r>
    <x v="2"/>
  </r>
  <r>
    <x v="2"/>
  </r>
  <r>
    <x v="1"/>
  </r>
  <r>
    <x v="2"/>
  </r>
  <r>
    <x v="2"/>
  </r>
  <r>
    <x v="2"/>
  </r>
  <r>
    <x v="2"/>
  </r>
  <r>
    <x v="1"/>
  </r>
  <r>
    <x v="1"/>
  </r>
  <r>
    <x v="2"/>
  </r>
  <r>
    <x v="1"/>
  </r>
  <r>
    <x v="1"/>
  </r>
  <r>
    <x v="2"/>
  </r>
  <r>
    <x v="1"/>
  </r>
  <r>
    <x v="1"/>
  </r>
  <r>
    <x v="1"/>
  </r>
  <r>
    <x v="2"/>
  </r>
  <r>
    <x v="2"/>
  </r>
  <r>
    <x v="1"/>
  </r>
  <r>
    <x v="1"/>
  </r>
  <r>
    <x v="2"/>
  </r>
  <r>
    <x v="2"/>
  </r>
  <r>
    <x v="1"/>
  </r>
  <r>
    <x v="1"/>
  </r>
  <r>
    <x v="2"/>
  </r>
  <r>
    <x v="1"/>
  </r>
  <r>
    <x v="2"/>
  </r>
  <r>
    <x v="2"/>
  </r>
  <r>
    <x v="2"/>
  </r>
  <r>
    <x v="1"/>
  </r>
  <r>
    <x v="2"/>
  </r>
  <r>
    <x v="1"/>
  </r>
  <r>
    <x v="1"/>
  </r>
  <r>
    <x v="2"/>
  </r>
  <r>
    <x v="1"/>
  </r>
  <r>
    <x v="1"/>
  </r>
  <r>
    <x v="1"/>
  </r>
  <r>
    <x v="2"/>
  </r>
  <r>
    <x v="2"/>
  </r>
  <r>
    <x v="1"/>
  </r>
  <r>
    <x v="2"/>
  </r>
  <r>
    <x v="2"/>
  </r>
  <r>
    <x v="2"/>
  </r>
  <r>
    <x v="2"/>
  </r>
  <r>
    <x v="2"/>
  </r>
  <r>
    <x v="1"/>
  </r>
  <r>
    <x v="2"/>
  </r>
  <r>
    <x v="2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1"/>
  </r>
  <r>
    <x v="1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1"/>
  </r>
  <r>
    <x v="2"/>
  </r>
  <r>
    <x v="1"/>
  </r>
  <r>
    <x v="2"/>
  </r>
  <r>
    <x v="2"/>
  </r>
  <r>
    <x v="1"/>
  </r>
  <r>
    <x v="2"/>
  </r>
  <r>
    <x v="1"/>
  </r>
  <r>
    <x v="1"/>
  </r>
  <r>
    <x v="1"/>
  </r>
  <r>
    <x v="1"/>
  </r>
  <r>
    <x v="2"/>
  </r>
  <r>
    <x v="2"/>
  </r>
  <r>
    <x v="2"/>
  </r>
  <r>
    <x v="1"/>
  </r>
  <r>
    <x v="2"/>
  </r>
  <r>
    <x v="1"/>
  </r>
  <r>
    <x v="2"/>
  </r>
  <r>
    <x v="2"/>
  </r>
  <r>
    <x v="1"/>
  </r>
  <r>
    <x v="1"/>
  </r>
  <r>
    <x v="1"/>
  </r>
  <r>
    <x v="2"/>
  </r>
  <r>
    <x v="2"/>
  </r>
  <r>
    <x v="2"/>
  </r>
  <r>
    <x v="2"/>
  </r>
  <r>
    <x v="1"/>
  </r>
  <r>
    <x v="1"/>
  </r>
  <r>
    <x v="2"/>
  </r>
  <r>
    <x v="2"/>
  </r>
  <r>
    <x v="1"/>
  </r>
  <r>
    <x v="1"/>
  </r>
  <r>
    <x v="1"/>
  </r>
  <r>
    <x v="2"/>
  </r>
  <r>
    <x v="2"/>
  </r>
  <r>
    <x v="1"/>
  </r>
  <r>
    <x v="2"/>
  </r>
  <r>
    <x v="2"/>
  </r>
  <r>
    <x v="1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1"/>
  </r>
  <r>
    <x v="2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1"/>
  </r>
  <r>
    <x v="2"/>
  </r>
  <r>
    <x v="1"/>
  </r>
  <r>
    <x v="2"/>
  </r>
  <r>
    <x v="1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2"/>
  </r>
  <r>
    <x v="2"/>
  </r>
  <r>
    <x v="2"/>
  </r>
  <r>
    <x v="1"/>
  </r>
  <r>
    <x v="2"/>
  </r>
  <r>
    <x v="2"/>
  </r>
  <r>
    <x v="1"/>
  </r>
  <r>
    <x v="2"/>
  </r>
  <r>
    <x v="2"/>
  </r>
  <r>
    <x v="2"/>
  </r>
  <r>
    <x v="1"/>
  </r>
  <r>
    <x v="2"/>
  </r>
  <r>
    <x v="2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m/>
    <m/>
    <m/>
    <m/>
    <m/>
    <m/>
    <m/>
    <m/>
    <m/>
    <m/>
    <m/>
    <m/>
    <m/>
    <m/>
    <m/>
    <m/>
    <m/>
    <m/>
    <m/>
    <x v="0"/>
    <x v="0"/>
    <x v="0"/>
    <m/>
    <m/>
    <m/>
    <m/>
    <m/>
    <m/>
    <m/>
    <m/>
    <m/>
    <m/>
    <m/>
    <m/>
    <m/>
    <m/>
    <m/>
    <m/>
  </r>
  <r>
    <s v="Madame"/>
    <s v="AKHMAL"/>
    <s v="Najat"/>
    <n v="44"/>
    <m/>
    <s v="Oyonnax"/>
    <d v="2025-07-07T00:00:00"/>
    <d v="2025-07-21T00:00:00"/>
    <d v="2025-07-21T00:00:00"/>
    <d v="2026-01-17T00:00:00"/>
    <s v="Renouvellement"/>
    <m/>
    <d v="1900-06-28T00:00:00"/>
    <s v="mobilité"/>
    <s v="sante"/>
    <m/>
    <n v="0"/>
    <m/>
    <m/>
    <x v="0"/>
    <x v="0"/>
    <x v="0"/>
    <m/>
    <n v="1"/>
    <m/>
    <m/>
    <m/>
    <m/>
    <n v="1"/>
    <m/>
    <m/>
    <m/>
    <m/>
    <m/>
    <m/>
    <m/>
    <m/>
    <m/>
  </r>
  <r>
    <s v="Monsieur"/>
    <s v="AL-RIHEMAWEE"/>
    <s v="Qays"/>
    <n v="54"/>
    <m/>
    <s v="Oyonnax"/>
    <d v="2025-06-27T00:00:00"/>
    <d v="2025-07-30T00:00:00"/>
    <d v="2025-09-30T00:00:00"/>
    <d v="2026-03-29T00:00:00"/>
    <s v="Renouvellement"/>
    <m/>
    <d v="1900-06-28T00:00:00"/>
    <s v="mobilite"/>
    <s v="sante mentale"/>
    <m/>
    <n v="3"/>
    <n v="2"/>
    <m/>
    <x v="0"/>
    <x v="0"/>
    <x v="0"/>
    <m/>
    <n v="1"/>
    <m/>
    <m/>
    <m/>
    <m/>
    <m/>
    <n v="1"/>
    <m/>
    <m/>
    <m/>
    <m/>
    <m/>
    <m/>
    <m/>
    <m/>
  </r>
  <r>
    <s v="Monsieur"/>
    <s v="ARBINOT"/>
    <s v="Alexandre"/>
    <n v="40"/>
    <m/>
    <s v="Nantua"/>
    <d v="2025-06-20T00:00:00"/>
    <d v="2025-08-11T00:00:00"/>
    <d v="2025-08-11T00:00:00"/>
    <d v="2026-02-07T00:00:00"/>
    <s v="Renouvellement"/>
    <m/>
    <d v="1900-06-28T00:00:00"/>
    <s v="SANTE"/>
    <s v="MOBILITE"/>
    <m/>
    <n v="0"/>
    <m/>
    <n v="1"/>
    <x v="0"/>
    <x v="0"/>
    <x v="0"/>
    <m/>
    <n v="1"/>
    <m/>
    <m/>
    <m/>
    <m/>
    <m/>
    <m/>
    <m/>
    <m/>
    <m/>
    <m/>
    <m/>
    <m/>
    <m/>
    <m/>
  </r>
  <r>
    <s v="Madame"/>
    <s v="BRAHIMI"/>
    <s v="Farida"/>
    <n v="56"/>
    <m/>
    <s v="Oyonnax"/>
    <d v="2025-07-02T00:00:00"/>
    <s v="25/07//2025"/>
    <d v="2025-08-13T00:00:00"/>
    <d v="2026-02-09T00:00:00"/>
    <m/>
    <m/>
    <d v="1900-06-28T00:00:00"/>
    <s v="SANTE"/>
    <s v="MOBILITE"/>
    <m/>
    <m/>
    <m/>
    <m/>
    <x v="1"/>
    <x v="1"/>
    <x v="0"/>
    <d v="2026-03-20T00:00:00"/>
    <n v="1"/>
    <m/>
    <m/>
    <m/>
    <m/>
    <m/>
    <m/>
    <m/>
    <m/>
    <m/>
    <m/>
    <m/>
    <m/>
    <m/>
    <m/>
  </r>
  <r>
    <s v="Monsieur"/>
    <s v="CAVDAR"/>
    <s v="Tugay"/>
    <n v="26"/>
    <m/>
    <s v="Oyonnax"/>
    <d v="2025-05-28T00:00:00"/>
    <d v="2025-08-25T00:00:00"/>
    <d v="2025-09-29T00:00:00"/>
    <d v="2026-03-28T00:00:00"/>
    <m/>
    <m/>
    <d v="1900-06-28T00:00:00"/>
    <s v="SANTE"/>
    <s v="MOBILITE"/>
    <m/>
    <m/>
    <m/>
    <m/>
    <x v="0"/>
    <x v="0"/>
    <x v="0"/>
    <m/>
    <n v="1"/>
    <m/>
    <m/>
    <m/>
    <m/>
    <m/>
    <m/>
    <m/>
    <m/>
    <m/>
    <m/>
    <m/>
    <m/>
    <m/>
    <m/>
  </r>
  <r>
    <s v="Monsieur"/>
    <s v="CIMEN"/>
    <s v="Mehmet"/>
    <n v="41"/>
    <m/>
    <s v="Oyonnax"/>
    <d v="2025-06-12T00:00:00"/>
    <d v="2025-08-06T00:00:00"/>
    <d v="2025-08-27T00:00:00"/>
    <d v="2026-02-23T00:00:00"/>
    <m/>
    <m/>
    <d v="1900-06-28T00:00:00"/>
    <s v="SANTE"/>
    <s v="MOBILITE"/>
    <m/>
    <m/>
    <m/>
    <m/>
    <x v="0"/>
    <x v="0"/>
    <x v="0"/>
    <m/>
    <m/>
    <m/>
    <m/>
    <m/>
    <m/>
    <m/>
    <m/>
    <m/>
    <m/>
    <m/>
    <m/>
    <m/>
    <m/>
    <m/>
    <m/>
  </r>
  <r>
    <s v="Madame"/>
    <s v="DESSAINTJEAN"/>
    <s v="Amandine"/>
    <n v="29"/>
    <m/>
    <s v="Nantua"/>
    <d v="2025-04-24T00:00:00"/>
    <d v="2025-08-26T00:00:00"/>
    <d v="2025-09-01T00:00:00"/>
    <d v="2026-02-28T00:00:00"/>
    <s v="Renouvellement"/>
    <m/>
    <d v="1900-06-28T00:00:00"/>
    <s v="mobilité"/>
    <s v="garde enfant"/>
    <m/>
    <n v="6"/>
    <n v="1"/>
    <m/>
    <x v="0"/>
    <x v="0"/>
    <x v="0"/>
    <m/>
    <n v="1"/>
    <m/>
    <m/>
    <m/>
    <m/>
    <m/>
    <m/>
    <m/>
    <m/>
    <m/>
    <m/>
    <m/>
    <m/>
    <m/>
    <m/>
  </r>
  <r>
    <s v="Monsieur"/>
    <s v="ERAMIL"/>
    <s v="Erhan"/>
    <n v="38"/>
    <m/>
    <s v="Oyonnax"/>
    <d v="2025-04-23T00:00:00"/>
    <d v="2025-08-11T00:00:00"/>
    <d v="2025-11-05T00:00:00"/>
    <d v="2026-05-04T00:00:00"/>
    <m/>
    <m/>
    <d v="1900-06-28T00:00:00"/>
    <m/>
    <m/>
    <m/>
    <n v="5"/>
    <m/>
    <m/>
    <x v="0"/>
    <x v="0"/>
    <x v="0"/>
    <m/>
    <n v="1"/>
    <m/>
    <m/>
    <m/>
    <m/>
    <m/>
    <m/>
    <m/>
    <m/>
    <m/>
    <m/>
    <m/>
    <m/>
    <m/>
    <m/>
  </r>
  <r>
    <s v="Monsieur"/>
    <s v="GAYNUTDINOV"/>
    <s v="Rafael"/>
    <n v="54"/>
    <m/>
    <s v="Oyonnax"/>
    <d v="2025-06-27T00:00:00"/>
    <d v="2025-09-01T00:00:00"/>
    <d v="2025-07-30T00:00:00"/>
    <d v="2026-01-26T00:00:00"/>
    <s v="Renouvellement"/>
    <m/>
    <d v="1900-06-28T00:00:00"/>
    <s v="fle"/>
    <s v="sante "/>
    <m/>
    <n v="4"/>
    <m/>
    <m/>
    <x v="0"/>
    <x v="0"/>
    <x v="0"/>
    <m/>
    <n v="1"/>
    <m/>
    <m/>
    <m/>
    <m/>
    <m/>
    <m/>
    <m/>
    <m/>
    <m/>
    <m/>
    <m/>
    <m/>
    <m/>
    <m/>
  </r>
  <r>
    <s v="Monsieur"/>
    <s v="JUILLARD"/>
    <s v="Frédéric"/>
    <n v="45"/>
    <m/>
    <s v="Nantua"/>
    <d v="2025-06-30T00:00:00"/>
    <d v="2025-09-01T00:00:00"/>
    <d v="2025-08-21T00:00:00"/>
    <d v="2026-02-17T00:00:00"/>
    <s v="Renouvellement"/>
    <m/>
    <d v="1900-06-28T00:00:00"/>
    <s v="mobilite"/>
    <m/>
    <m/>
    <n v="3"/>
    <m/>
    <m/>
    <x v="0"/>
    <x v="0"/>
    <x v="0"/>
    <m/>
    <n v="1"/>
    <m/>
    <m/>
    <m/>
    <m/>
    <m/>
    <m/>
    <m/>
    <m/>
    <m/>
    <m/>
    <m/>
    <m/>
    <m/>
    <m/>
  </r>
  <r>
    <s v="Monsieur"/>
    <s v="KAMENICA"/>
    <s v="Ardit"/>
    <n v="25"/>
    <m/>
    <s v="Oyonnax"/>
    <d v="2025-07-09T00:00:00"/>
    <d v="2025-09-01T00:00:00"/>
    <d v="2025-07-22T00:00:00"/>
    <d v="2026-01-18T00:00:00"/>
    <s v="Renouvellement"/>
    <m/>
    <d v="1900-06-28T00:00:00"/>
    <s v="mobilite"/>
    <m/>
    <m/>
    <n v="3"/>
    <m/>
    <m/>
    <x v="0"/>
    <x v="0"/>
    <x v="0"/>
    <m/>
    <n v="1"/>
    <m/>
    <m/>
    <m/>
    <m/>
    <m/>
    <m/>
    <m/>
    <m/>
    <m/>
    <m/>
    <m/>
    <m/>
    <m/>
    <m/>
  </r>
  <r>
    <s v="Madame"/>
    <s v="KANBOUI"/>
    <s v="Zineb"/>
    <n v="36"/>
    <m/>
    <s v="Oyonnax"/>
    <d v="2025-04-23T00:00:00"/>
    <d v="2025-08-20T00:00:00"/>
    <d v="2025-09-16T00:00:00"/>
    <d v="2026-03-15T00:00:00"/>
    <s v="Renouvellement"/>
    <m/>
    <d v="1900-06-28T00:00:00"/>
    <s v="GARDE ENFANTS"/>
    <s v="fle"/>
    <m/>
    <n v="5"/>
    <m/>
    <m/>
    <x v="0"/>
    <x v="0"/>
    <x v="0"/>
    <m/>
    <n v="1"/>
    <m/>
    <m/>
    <m/>
    <m/>
    <m/>
    <m/>
    <m/>
    <m/>
    <m/>
    <m/>
    <m/>
    <m/>
    <m/>
    <m/>
  </r>
  <r>
    <s v="Madame"/>
    <s v="KONMAZ"/>
    <s v="Ayse"/>
    <n v="51"/>
    <m/>
    <s v="Oyonnax"/>
    <d v="2025-07-07T00:00:00"/>
    <d v="2025-08-25T00:00:00"/>
    <d v="2025-07-21T00:00:00"/>
    <d v="2026-01-17T00:00:00"/>
    <s v="Renouvellement"/>
    <m/>
    <d v="1900-06-28T00:00:00"/>
    <s v="mobilité"/>
    <m/>
    <m/>
    <n v="4"/>
    <n v="1"/>
    <m/>
    <x v="0"/>
    <x v="0"/>
    <x v="0"/>
    <m/>
    <n v="1"/>
    <m/>
    <m/>
    <m/>
    <m/>
    <m/>
    <m/>
    <m/>
    <m/>
    <m/>
    <m/>
    <m/>
    <m/>
    <m/>
    <m/>
  </r>
  <r>
    <s v="Monsieur"/>
    <s v="LAOUFI"/>
    <s v="Hamza"/>
    <n v="28"/>
    <m/>
    <s v="Oyonnax"/>
    <d v="2025-05-12T00:00:00"/>
    <d v="2025-08-25T00:00:00"/>
    <d v="2025-09-02T00:00:00"/>
    <d v="2026-03-01T00:00:00"/>
    <s v="Renouvellement"/>
    <m/>
    <d v="1900-06-28T00:00:00"/>
    <s v="mobilité"/>
    <m/>
    <m/>
    <n v="2"/>
    <n v="2"/>
    <n v="1"/>
    <x v="0"/>
    <x v="0"/>
    <x v="0"/>
    <m/>
    <n v="1"/>
    <m/>
    <m/>
    <m/>
    <m/>
    <m/>
    <m/>
    <m/>
    <m/>
    <m/>
    <m/>
    <m/>
    <m/>
    <m/>
    <m/>
  </r>
  <r>
    <s v="Madame"/>
    <s v="LAMBREZ"/>
    <s v="Angélique"/>
    <n v="44"/>
    <m/>
    <s v="Nantua"/>
    <d v="2025-07-16T00:00:00"/>
    <d v="2025-09-25T00:00:00"/>
    <d v="2025-09-25T00:00:00"/>
    <d v="2026-03-24T00:00:00"/>
    <s v="Renouvellement"/>
    <m/>
    <d v="1900-06-28T00:00:00"/>
    <s v="SANTE"/>
    <s v="mobilité"/>
    <m/>
    <n v="3"/>
    <m/>
    <n v="4"/>
    <x v="0"/>
    <x v="0"/>
    <x v="0"/>
    <m/>
    <n v="1"/>
    <m/>
    <m/>
    <m/>
    <m/>
    <m/>
    <m/>
    <m/>
    <m/>
    <m/>
    <m/>
    <m/>
    <m/>
    <m/>
    <m/>
  </r>
  <r>
    <s v="Madame"/>
    <s v="MOHAMMAD"/>
    <s v="Sania"/>
    <n v="33"/>
    <m/>
    <s v="Nantua"/>
    <d v="2025-07-09T00:00:00"/>
    <d v="2025-07-22T00:00:00"/>
    <d v="2025-08-11T00:00:00"/>
    <d v="2026-02-07T00:00:00"/>
    <s v="Renouvellement"/>
    <m/>
    <d v="1900-06-28T00:00:00"/>
    <s v="FLE +++"/>
    <s v="MOBILITE"/>
    <m/>
    <n v="5"/>
    <m/>
    <m/>
    <x v="0"/>
    <x v="0"/>
    <x v="0"/>
    <m/>
    <n v="1"/>
    <m/>
    <m/>
    <m/>
    <m/>
    <m/>
    <m/>
    <m/>
    <m/>
    <m/>
    <m/>
    <m/>
    <m/>
    <m/>
    <m/>
  </r>
  <r>
    <s v="Monsieur"/>
    <s v="NACIRY"/>
    <s v="Moussa"/>
    <n v="39"/>
    <m/>
    <s v="Oyonnax"/>
    <d v="2025-07-07T00:00:00"/>
    <d v="2025-07-21T00:00:00"/>
    <d v="2025-07-21T00:00:00"/>
    <d v="2026-01-17T00:00:00"/>
    <s v="Renouvellement"/>
    <m/>
    <d v="1900-06-28T00:00:00"/>
    <s v="mobilite"/>
    <m/>
    <m/>
    <n v="1"/>
    <n v="1"/>
    <m/>
    <x v="0"/>
    <x v="0"/>
    <x v="0"/>
    <m/>
    <n v="1"/>
    <m/>
    <m/>
    <m/>
    <m/>
    <m/>
    <m/>
    <m/>
    <m/>
    <m/>
    <m/>
    <m/>
    <m/>
    <m/>
    <m/>
  </r>
  <r>
    <s v="Madame"/>
    <s v="OZDEMIR"/>
    <s v="Songul"/>
    <n v="39"/>
    <m/>
    <s v="Oyonnax"/>
    <d v="2025-07-11T00:00:00"/>
    <d v="2025-09-15T00:00:00"/>
    <d v="2025-10-15T00:00:00"/>
    <d v="2026-04-13T00:00:00"/>
    <s v="Renouvellement"/>
    <m/>
    <d v="1900-06-28T00:00:00"/>
    <m/>
    <m/>
    <m/>
    <m/>
    <m/>
    <m/>
    <x v="0"/>
    <x v="0"/>
    <x v="0"/>
    <m/>
    <n v="1"/>
    <m/>
    <m/>
    <m/>
    <m/>
    <m/>
    <m/>
    <m/>
    <m/>
    <m/>
    <m/>
    <m/>
    <m/>
    <m/>
    <m/>
  </r>
  <r>
    <s v="Madame"/>
    <s v="OZKAN"/>
    <s v="Nezahat"/>
    <n v="50"/>
    <m/>
    <s v="Oyonnax"/>
    <d v="2025-06-27T00:00:00"/>
    <d v="2025-09-15T00:00:00"/>
    <d v="2025-10-07T00:00:00"/>
    <d v="2026-04-05T00:00:00"/>
    <s v="Renouvellement"/>
    <m/>
    <d v="1900-06-28T00:00:00"/>
    <s v="fle"/>
    <m/>
    <m/>
    <n v="5"/>
    <n v="1"/>
    <m/>
    <x v="0"/>
    <x v="0"/>
    <x v="0"/>
    <m/>
    <n v="1"/>
    <m/>
    <m/>
    <m/>
    <m/>
    <m/>
    <m/>
    <m/>
    <m/>
    <m/>
    <m/>
    <m/>
    <m/>
    <m/>
    <m/>
  </r>
  <r>
    <s v="Madame"/>
    <s v="OZTURK"/>
    <s v="Fatma"/>
    <n v="40"/>
    <m/>
    <s v="Oyonnax"/>
    <d v="2025-06-12T00:00:00"/>
    <d v="2025-09-15T00:00:00"/>
    <d v="2025-09-15T00:00:00"/>
    <d v="2026-03-14T00:00:00"/>
    <s v="Renouvellement"/>
    <m/>
    <d v="1900-06-28T00:00:00"/>
    <s v="GARDE ENFANTS"/>
    <m/>
    <m/>
    <n v="4"/>
    <n v="1"/>
    <n v="1"/>
    <x v="0"/>
    <x v="0"/>
    <x v="0"/>
    <m/>
    <n v="1"/>
    <m/>
    <m/>
    <m/>
    <m/>
    <m/>
    <m/>
    <m/>
    <m/>
    <m/>
    <m/>
    <m/>
    <m/>
    <m/>
    <s v="iae"/>
  </r>
  <r>
    <s v="Monsieur"/>
    <s v="SAFI"/>
    <s v="Abdul"/>
    <n v="28"/>
    <m/>
    <s v="Oyonnax"/>
    <d v="2025-04-23T00:00:00"/>
    <d v="2025-09-01T00:00:00"/>
    <d v="2025-09-01T00:00:00"/>
    <d v="2026-02-28T00:00:00"/>
    <s v="Renouvellement"/>
    <m/>
    <d v="1900-06-28T00:00:00"/>
    <s v="fle"/>
    <m/>
    <m/>
    <m/>
    <m/>
    <m/>
    <x v="0"/>
    <x v="0"/>
    <x v="0"/>
    <m/>
    <m/>
    <m/>
    <m/>
    <m/>
    <m/>
    <m/>
    <m/>
    <m/>
    <m/>
    <m/>
    <m/>
    <m/>
    <m/>
    <m/>
    <m/>
  </r>
  <r>
    <s v="Monsieur"/>
    <s v="SARROUKH"/>
    <s v="Mohcine"/>
    <n v="39"/>
    <m/>
    <s v="Oyonnax"/>
    <d v="2025-06-27T00:00:00"/>
    <d v="2025-08-11T00:00:00"/>
    <d v="2025-11-12T00:00:00"/>
    <d v="2026-05-11T00:00:00"/>
    <m/>
    <m/>
    <d v="1900-06-28T00:00:00"/>
    <s v="fle"/>
    <s v="MOBILITE"/>
    <m/>
    <n v="8"/>
    <m/>
    <m/>
    <x v="0"/>
    <x v="0"/>
    <x v="0"/>
    <m/>
    <n v="1"/>
    <m/>
    <m/>
    <m/>
    <m/>
    <m/>
    <n v="1"/>
    <m/>
    <m/>
    <m/>
    <m/>
    <m/>
    <m/>
    <m/>
    <s v="iae"/>
  </r>
  <r>
    <s v="Madame"/>
    <s v="TARDY"/>
    <s v="Anaïs"/>
    <n v="36"/>
    <m/>
    <s v="Nantua"/>
    <d v="2025-06-23T00:00:00"/>
    <d v="2005-09-08T00:00:00"/>
    <d v="2025-09-02T00:00:00"/>
    <d v="2026-03-01T00:00:00"/>
    <s v="Tripartite"/>
    <m/>
    <d v="1900-06-28T00:00:00"/>
    <s v="GARDE ENFANTS"/>
    <s v="MOBILITE"/>
    <m/>
    <m/>
    <m/>
    <n v="1"/>
    <x v="0"/>
    <x v="0"/>
    <x v="0"/>
    <m/>
    <n v="1"/>
    <m/>
    <m/>
    <m/>
    <m/>
    <m/>
    <m/>
    <m/>
    <m/>
    <m/>
    <m/>
    <m/>
    <m/>
    <m/>
    <m/>
  </r>
  <r>
    <s v="Madame"/>
    <s v="TECHER"/>
    <s v="Anaelle"/>
    <n v="30"/>
    <m/>
    <s v="Oyonnax"/>
    <d v="2025-06-27T00:00:00"/>
    <d v="2005-09-08T00:00:00"/>
    <d v="2025-09-09T00:00:00"/>
    <d v="2026-03-08T00:00:00"/>
    <s v="Renouvellement"/>
    <m/>
    <d v="1900-06-28T00:00:00"/>
    <s v="GARDE ENFANTS"/>
    <s v="MOBILITE"/>
    <m/>
    <n v="2"/>
    <m/>
    <m/>
    <x v="0"/>
    <x v="0"/>
    <x v="0"/>
    <m/>
    <n v="1"/>
    <m/>
    <m/>
    <m/>
    <m/>
    <m/>
    <m/>
    <m/>
    <m/>
    <m/>
    <m/>
    <m/>
    <m/>
    <m/>
    <m/>
  </r>
  <r>
    <s v="Monsieur"/>
    <s v="URCEL"/>
    <s v="Steve"/>
    <n v="38"/>
    <m/>
    <s v="Oyonnax"/>
    <d v="2025-07-08T00:00:00"/>
    <d v="2025-07-15T00:00:00"/>
    <d v="2025-12-05T00:00:00"/>
    <d v="2026-06-03T00:00:00"/>
    <m/>
    <m/>
    <d v="1900-06-28T00:00:00"/>
    <s v="SANTE"/>
    <s v="MOBILITE"/>
    <m/>
    <m/>
    <m/>
    <m/>
    <x v="0"/>
    <x v="0"/>
    <x v="0"/>
    <m/>
    <n v="1"/>
    <m/>
    <m/>
    <m/>
    <m/>
    <m/>
    <m/>
    <m/>
    <m/>
    <m/>
    <m/>
    <m/>
    <m/>
    <m/>
    <m/>
  </r>
  <r>
    <s v="Monsieur"/>
    <s v="AKAKHIL"/>
    <s v="Mohammed"/>
    <n v="25"/>
    <m/>
    <s v="Oyonnax"/>
    <d v="2025-09-05T00:00:00"/>
    <d v="2025-09-30T00:00:00"/>
    <d v="2025-10-21T00:00:00"/>
    <d v="2026-04-19T00:00:00"/>
    <s v="Renouvellement"/>
    <m/>
    <d v="1900-06-28T00:00:00"/>
    <s v="FLE +++"/>
    <s v="MOBILITE"/>
    <m/>
    <n v="1"/>
    <n v="1"/>
    <m/>
    <x v="0"/>
    <x v="0"/>
    <x v="0"/>
    <m/>
    <n v="1"/>
    <m/>
    <m/>
    <m/>
    <m/>
    <m/>
    <m/>
    <m/>
    <m/>
    <m/>
    <m/>
    <m/>
    <m/>
    <m/>
    <m/>
  </r>
  <r>
    <s v="Madame"/>
    <s v="GUERIAUD"/>
    <s v="Sabrina"/>
    <n v="37"/>
    <m/>
    <s v="Oyonnax"/>
    <d v="2025-06-02T00:00:00"/>
    <d v="2025-09-29T00:00:00"/>
    <d v="2025-10-21T00:00:00"/>
    <d v="2026-04-19T00:00:00"/>
    <s v="Renouvellement"/>
    <m/>
    <d v="1900-06-28T00:00:00"/>
    <s v="GARDE ENFANTS"/>
    <s v="MOBILITE"/>
    <m/>
    <n v="1"/>
    <n v="2"/>
    <n v="1"/>
    <x v="0"/>
    <x v="0"/>
    <x v="0"/>
    <m/>
    <n v="1"/>
    <m/>
    <m/>
    <m/>
    <m/>
    <m/>
    <m/>
    <m/>
    <m/>
    <m/>
    <m/>
    <m/>
    <m/>
    <m/>
    <m/>
  </r>
  <r>
    <s v="Madame"/>
    <s v="BELHASSAN"/>
    <s v="Ilham"/>
    <n v="32"/>
    <m/>
    <s v="Oyonnax"/>
    <d v="2025-10-06T00:00:00"/>
    <d v="2025-10-22T00:00:00"/>
    <d v="2025-11-19T00:00:00"/>
    <d v="2026-05-18T00:00:00"/>
    <m/>
    <m/>
    <d v="1900-06-28T00:00:00"/>
    <s v="GARDE ENFANTS"/>
    <m/>
    <m/>
    <n v="3"/>
    <n v="1"/>
    <n v="1"/>
    <x v="0"/>
    <x v="0"/>
    <x v="0"/>
    <m/>
    <n v="1"/>
    <m/>
    <m/>
    <m/>
    <m/>
    <m/>
    <m/>
    <m/>
    <m/>
    <m/>
    <m/>
    <m/>
    <m/>
    <m/>
    <m/>
  </r>
  <r>
    <s v="Monsieur"/>
    <s v="KAPTAN"/>
    <s v="Ridvan"/>
    <n v="29"/>
    <s v="CAP"/>
    <s v="Oyonnax"/>
    <d v="2025-10-29T00:00:00"/>
    <d v="2025-11-18T00:00:00"/>
    <d v="2025-11-18T00:00:00"/>
    <d v="2026-05-17T00:00:00"/>
    <m/>
    <m/>
    <d v="1900-06-28T00:00:00"/>
    <s v="mobilite"/>
    <m/>
    <m/>
    <m/>
    <m/>
    <m/>
    <x v="0"/>
    <x v="0"/>
    <x v="0"/>
    <m/>
    <n v="1"/>
    <m/>
    <m/>
    <m/>
    <m/>
    <m/>
    <m/>
    <m/>
    <m/>
    <m/>
    <m/>
    <m/>
    <m/>
    <m/>
    <m/>
  </r>
  <r>
    <s v="Madame"/>
    <s v="LEGGUI"/>
    <s v="HAFIDA"/>
    <n v="34"/>
    <m/>
    <s v="Oyonnax"/>
    <d v="2025-12-22T00:00:00"/>
    <d v="2026-01-19T00:00:00"/>
    <d v="2026-01-19T00:00:00"/>
    <d v="2026-07-18T00:00:00"/>
    <m/>
    <m/>
    <d v="1900-06-28T00:00:00"/>
    <s v="GARDE ENFANT"/>
    <s v="MOBILITE"/>
    <m/>
    <m/>
    <m/>
    <n v="1"/>
    <x v="0"/>
    <x v="0"/>
    <x v="0"/>
    <m/>
    <n v="1"/>
    <m/>
    <m/>
    <m/>
    <m/>
    <m/>
    <m/>
    <m/>
    <m/>
    <m/>
    <m/>
    <m/>
    <m/>
    <m/>
    <m/>
  </r>
  <r>
    <s v="Monsieur"/>
    <s v="BENHAMED"/>
    <s v="ZIED"/>
    <n v="47"/>
    <m/>
    <s v="Oyonnax"/>
    <d v="2026-01-07T00:00:00"/>
    <d v="2026-01-26T00:00:00"/>
    <d v="2026-04-14T00:00:00"/>
    <d v="2026-10-11T00:00:00"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s v="Monsieur"/>
    <s v="SIOUDA"/>
    <s v="OUSSAMA"/>
    <n v="35"/>
    <m/>
    <s v="Oyonnax"/>
    <d v="2026-01-14T00:00:00"/>
    <d v="2026-01-28T00:00:00"/>
    <d v="2026-01-28T00:00:00"/>
    <d v="2026-07-27T00:00:00"/>
    <m/>
    <m/>
    <d v="1900-06-28T00:00:00"/>
    <m/>
    <m/>
    <m/>
    <n v="4"/>
    <n v="4"/>
    <m/>
    <x v="0"/>
    <x v="0"/>
    <x v="0"/>
    <m/>
    <n v="1"/>
    <m/>
    <m/>
    <m/>
    <m/>
    <m/>
    <m/>
    <m/>
    <m/>
    <m/>
    <m/>
    <m/>
    <m/>
    <m/>
    <m/>
  </r>
  <r>
    <s v="Monsieur"/>
    <s v="NEUVILLE"/>
    <s v="Mickael "/>
    <n v="30"/>
    <m/>
    <s v="Nantua"/>
    <d v="2026-01-14T00:00:00"/>
    <d v="2026-02-17T00:00:00"/>
    <d v="2026-02-17T00:00:00"/>
    <d v="2026-08-16T00:00:00"/>
    <m/>
    <m/>
    <d v="1900-06-28T00:00:00"/>
    <s v="mobilite"/>
    <m/>
    <m/>
    <n v="1"/>
    <m/>
    <n v="2"/>
    <x v="0"/>
    <x v="0"/>
    <x v="0"/>
    <m/>
    <m/>
    <m/>
    <m/>
    <m/>
    <m/>
    <m/>
    <m/>
    <m/>
    <m/>
    <m/>
    <m/>
    <m/>
    <m/>
    <m/>
    <m/>
  </r>
  <r>
    <s v="Madame"/>
    <s v="MARCHAND/BOUAKKAZ"/>
    <s v="DJIDA"/>
    <n v="56"/>
    <m/>
    <s v="Oyonnax"/>
    <d v="2026-01-14T00:00:00"/>
    <d v="2026-01-28T00:00:00"/>
    <d v="2026-01-28T00:00:00"/>
    <d v="2026-07-27T00:00:00"/>
    <m/>
    <m/>
    <d v="1900-06-28T00:00:00"/>
    <s v="SANTE"/>
    <s v="MOBILITE"/>
    <m/>
    <n v="1"/>
    <m/>
    <n v="2"/>
    <x v="0"/>
    <x v="0"/>
    <x v="0"/>
    <m/>
    <n v="1"/>
    <m/>
    <m/>
    <m/>
    <m/>
    <n v="1"/>
    <m/>
    <m/>
    <m/>
    <m/>
    <m/>
    <m/>
    <m/>
    <m/>
    <m/>
  </r>
  <r>
    <s v="Monsieur"/>
    <s v="TIMSILINE"/>
    <s v="DJAFFAR"/>
    <n v="36"/>
    <m/>
    <s v="Oyonnax"/>
    <d v="2026-02-04T00:00:00"/>
    <d v="2026-02-24T00:00:00"/>
    <d v="2026-02-24T00:00:00"/>
    <d v="2026-08-23T00:00:00"/>
    <m/>
    <m/>
    <d v="1900-06-28T00:00:00"/>
    <s v="mobilite"/>
    <m/>
    <m/>
    <n v="2"/>
    <m/>
    <m/>
    <x v="0"/>
    <x v="0"/>
    <x v="0"/>
    <m/>
    <n v="1"/>
    <m/>
    <m/>
    <m/>
    <m/>
    <m/>
    <m/>
    <m/>
    <m/>
    <m/>
    <m/>
    <m/>
    <m/>
    <m/>
    <m/>
  </r>
  <r>
    <s v="Madame"/>
    <s v="PONSON"/>
    <s v="FRANCOISE"/>
    <n v="58"/>
    <m/>
    <s v="Oyonnax"/>
    <d v="2026-02-09T00:00:00"/>
    <d v="2026-02-27T00:00:00"/>
    <d v="2026-02-27T00:00:00"/>
    <d v="2026-08-26T00:00:00"/>
    <m/>
    <m/>
    <d v="1900-06-28T00:00:00"/>
    <m/>
    <m/>
    <m/>
    <n v="5"/>
    <m/>
    <m/>
    <x v="0"/>
    <x v="0"/>
    <x v="0"/>
    <m/>
    <n v="1"/>
    <m/>
    <m/>
    <m/>
    <m/>
    <m/>
    <m/>
    <m/>
    <m/>
    <m/>
    <m/>
    <m/>
    <m/>
    <m/>
    <m/>
  </r>
  <r>
    <s v="Madame"/>
    <s v="NAOUMI "/>
    <s v="MILOUDA"/>
    <n v="41"/>
    <m/>
    <s v="Oyonnax"/>
    <d v="2026-02-09T00:00:00"/>
    <d v="2026-02-27T00:00:00"/>
    <d v="2026-02-27T00:00:00"/>
    <d v="2026-08-26T00:00:00"/>
    <m/>
    <m/>
    <d v="1900-06-28T00:00:00"/>
    <s v="GARDE ENFANT"/>
    <s v="MOBILITE"/>
    <m/>
    <n v="2"/>
    <m/>
    <m/>
    <x v="0"/>
    <x v="0"/>
    <x v="0"/>
    <m/>
    <n v="1"/>
    <m/>
    <m/>
    <m/>
    <m/>
    <m/>
    <m/>
    <m/>
    <m/>
    <m/>
    <m/>
    <m/>
    <m/>
    <m/>
    <m/>
  </r>
  <r>
    <s v="Monsieur"/>
    <s v="MORFIN"/>
    <s v="FREDERIC"/>
    <n v="55"/>
    <m/>
    <s v="Nantua"/>
    <d v="2026-04-02T00:00:00"/>
    <d v="2026-04-21T00:00:00"/>
    <d v="2026-04-21T00:00:00"/>
    <d v="2026-10-18T00:00:00"/>
    <m/>
    <m/>
    <d v="1900-06-28T00:00:00"/>
    <s v="mobilite"/>
    <m/>
    <m/>
    <n v="1"/>
    <m/>
    <m/>
    <x v="0"/>
    <x v="0"/>
    <x v="0"/>
    <m/>
    <m/>
    <m/>
    <m/>
    <m/>
    <m/>
    <m/>
    <m/>
    <m/>
    <m/>
    <m/>
    <m/>
    <m/>
    <m/>
    <m/>
    <m/>
  </r>
  <r>
    <s v="Madame"/>
    <s v="LEBRET"/>
    <s v="ISABELLE"/>
    <n v="53"/>
    <m/>
    <s v="Oyonnax"/>
    <d v="2026-03-09T00:00:00"/>
    <d v="2026-03-31T00:00:00"/>
    <d v="2026-04-16T00:00:00"/>
    <d v="2026-10-13T00:00:00"/>
    <m/>
    <m/>
    <d v="1900-06-28T00:00:00"/>
    <s v="mobilite"/>
    <m/>
    <m/>
    <n v="2"/>
    <m/>
    <m/>
    <x v="0"/>
    <x v="0"/>
    <x v="0"/>
    <m/>
    <m/>
    <m/>
    <m/>
    <m/>
    <m/>
    <m/>
    <m/>
    <m/>
    <m/>
    <m/>
    <m/>
    <m/>
    <m/>
    <m/>
    <m/>
  </r>
  <r>
    <s v="Madame"/>
    <s v="SECGIN"/>
    <s v="MERYEM"/>
    <n v="50"/>
    <m/>
    <s v="Oyonnax"/>
    <d v="2026-03-11T00:00:00"/>
    <d v="2026-03-31T00:00:00"/>
    <d v="2026-03-31T00:00:00"/>
    <d v="2026-09-27T00:00:00"/>
    <m/>
    <m/>
    <d v="1900-06-28T00:00:00"/>
    <s v="mobilte"/>
    <m/>
    <m/>
    <m/>
    <m/>
    <m/>
    <x v="0"/>
    <x v="0"/>
    <x v="0"/>
    <m/>
    <m/>
    <m/>
    <m/>
    <m/>
    <m/>
    <m/>
    <m/>
    <m/>
    <m/>
    <m/>
    <m/>
    <m/>
    <m/>
    <m/>
    <m/>
  </r>
  <r>
    <s v="Madame"/>
    <s v="COLLOMB"/>
    <s v="CATHERINE"/>
    <n v="61"/>
    <m/>
    <s v="Nantua"/>
    <d v="2026-04-03T00:00:00"/>
    <d v="2026-04-21T00:00:00"/>
    <d v="2026-04-21T00:00:00"/>
    <d v="2026-10-18T00:00:00"/>
    <m/>
    <m/>
    <d v="1900-06-28T00:00:00"/>
    <m/>
    <m/>
    <m/>
    <n v="2"/>
    <m/>
    <m/>
    <x v="0"/>
    <x v="0"/>
    <x v="0"/>
    <m/>
    <m/>
    <m/>
    <m/>
    <m/>
    <m/>
    <m/>
    <m/>
    <m/>
    <m/>
    <m/>
    <m/>
    <m/>
    <m/>
    <m/>
    <m/>
  </r>
  <r>
    <s v="Monsieur"/>
    <s v="CHAMCHAM "/>
    <s v="M'barek"/>
    <n v="56"/>
    <m/>
    <s v="Oyonnax"/>
    <d v="2026-04-09T00:00:00"/>
    <d v="2026-04-28T00:00:00"/>
    <d v="2026-04-28T00:00:00"/>
    <d v="2026-10-25T00:00:00"/>
    <m/>
    <m/>
    <d v="1900-06-28T00:00:00"/>
    <s v="langue"/>
    <m/>
    <m/>
    <n v="1"/>
    <m/>
    <m/>
    <x v="0"/>
    <x v="0"/>
    <x v="0"/>
    <m/>
    <m/>
    <m/>
    <m/>
    <m/>
    <m/>
    <m/>
    <n v="1"/>
    <m/>
    <m/>
    <m/>
    <m/>
    <m/>
    <m/>
    <m/>
    <m/>
  </r>
  <r>
    <s v="Monsieur"/>
    <s v="CHEVAUCHET "/>
    <s v="Andy"/>
    <n v="38"/>
    <m/>
    <s v="Oyonnax"/>
    <d v="2026-04-03T00:00:00"/>
    <d v="2026-04-28T00:00:00"/>
    <d v="2026-04-28T00:00:00"/>
    <d v="2026-10-25T00:00:00"/>
    <m/>
    <m/>
    <d v="1900-06-28T00:00:00"/>
    <s v="SANTE"/>
    <s v="MOBILITE"/>
    <m/>
    <n v="2"/>
    <m/>
    <m/>
    <x v="0"/>
    <x v="0"/>
    <x v="0"/>
    <m/>
    <m/>
    <m/>
    <m/>
    <m/>
    <m/>
    <m/>
    <m/>
    <m/>
    <m/>
    <m/>
    <m/>
    <m/>
    <m/>
    <m/>
    <m/>
  </r>
  <r>
    <s v="Madame"/>
    <s v="EL BARHMI "/>
    <s v="Chaima"/>
    <n v="26"/>
    <m/>
    <s v="Oyonnax"/>
    <d v="2026-04-10T00:00:00"/>
    <d v="2026-04-29T00:00:00"/>
    <d v="2026-04-29T00:00:00"/>
    <d v="2026-10-26T00:00:00"/>
    <m/>
    <m/>
    <d v="1900-06-28T00:00:00"/>
    <m/>
    <m/>
    <m/>
    <n v="1"/>
    <m/>
    <m/>
    <x v="0"/>
    <x v="0"/>
    <x v="0"/>
    <m/>
    <m/>
    <m/>
    <m/>
    <m/>
    <m/>
    <m/>
    <m/>
    <m/>
    <m/>
    <m/>
    <m/>
    <m/>
    <m/>
    <m/>
    <m/>
  </r>
  <r>
    <s v="Monsieur"/>
    <s v="LOPES CABRAL "/>
    <s v="Jose"/>
    <n v="44"/>
    <m/>
    <s v="Oyonnax"/>
    <d v="2026-04-03T00:00:00"/>
    <d v="2026-04-27T00:00:00"/>
    <d v="2026-05-11T00:00:00"/>
    <d v="2026-11-07T00:00:00"/>
    <m/>
    <m/>
    <d v="1900-06-28T00:00:00"/>
    <s v="sante "/>
    <m/>
    <m/>
    <m/>
    <m/>
    <m/>
    <x v="0"/>
    <x v="0"/>
    <x v="0"/>
    <m/>
    <m/>
    <m/>
    <m/>
    <m/>
    <m/>
    <m/>
    <m/>
    <m/>
    <m/>
    <m/>
    <m/>
    <m/>
    <m/>
    <m/>
    <m/>
  </r>
  <r>
    <s v="Monsieur"/>
    <s v="RISSELIN "/>
    <s v="Pierre"/>
    <n v="29"/>
    <m/>
    <s v="Oyonnax"/>
    <d v="2026-03-03T00:00:00"/>
    <d v="2026-04-28T00:00:00"/>
    <d v="2026-04-28T00:00:00"/>
    <d v="2026-10-25T00:00:00"/>
    <m/>
    <m/>
    <d v="1900-06-28T00:00:00"/>
    <s v="mobilite"/>
    <m/>
    <m/>
    <n v="1"/>
    <m/>
    <m/>
    <x v="0"/>
    <x v="0"/>
    <x v="0"/>
    <m/>
    <m/>
    <m/>
    <m/>
    <m/>
    <m/>
    <m/>
    <m/>
    <m/>
    <m/>
    <m/>
    <m/>
    <m/>
    <m/>
    <m/>
    <m/>
  </r>
  <r>
    <s v="Monsieur"/>
    <s v="BEL HAJ MOHAMED "/>
    <s v="Ahmed"/>
    <n v="60"/>
    <m/>
    <s v="Oyonnax"/>
    <d v="2026-04-13T00:00:00"/>
    <d v="2026-04-29T00:00:00"/>
    <d v="2026-04-29T00:00:00"/>
    <d v="2026-10-26T00:00:00"/>
    <m/>
    <m/>
    <d v="1900-06-28T00:00:00"/>
    <s v="sante "/>
    <s v="MOBILITE"/>
    <m/>
    <m/>
    <m/>
    <m/>
    <x v="0"/>
    <x v="0"/>
    <x v="0"/>
    <m/>
    <m/>
    <m/>
    <m/>
    <m/>
    <m/>
    <m/>
    <m/>
    <m/>
    <m/>
    <m/>
    <m/>
    <m/>
    <m/>
    <m/>
    <m/>
  </r>
  <r>
    <s v="Monsieur"/>
    <s v="SAHBAZER "/>
    <s v="Fatih"/>
    <n v="45"/>
    <m/>
    <s v="Nantua"/>
    <d v="2026-04-27T00:00:00"/>
    <d v="2026-05-12T00:00:00"/>
    <d v="2026-05-12T00:00:00"/>
    <d v="2026-11-08T00:00:00"/>
    <m/>
    <m/>
    <d v="1900-06-28T00:00:00"/>
    <m/>
    <m/>
    <m/>
    <n v="1"/>
    <m/>
    <m/>
    <x v="0"/>
    <x v="0"/>
    <x v="0"/>
    <m/>
    <m/>
    <m/>
    <m/>
    <m/>
    <m/>
    <m/>
    <m/>
    <m/>
    <m/>
    <m/>
    <m/>
    <m/>
    <m/>
    <m/>
    <m/>
  </r>
  <r>
    <s v="Monsieur"/>
    <s v="AMAL "/>
    <s v=" Zine-El-Abidi"/>
    <n v="33"/>
    <m/>
    <s v="Oyonnax"/>
    <d v="2026-05-26T00:00:00"/>
    <d v="2026-06-12T00:00:00"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s v="Madame"/>
    <s v="BAMBA "/>
    <s v="Tenimba"/>
    <n v="30"/>
    <m/>
    <s v="Oyonnax"/>
    <d v="2026-05-26T00:00:00"/>
    <d v="2026-06-15T00:00:00"/>
    <d v="2026-06-15T00:00:00"/>
    <d v="2026-12-12T00:00:00"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s v="Monsieur"/>
    <s v="RODRIGUEZ- PODESTA "/>
    <s v="Alexis"/>
    <n v="27"/>
    <m/>
    <s v="Oyonnax"/>
    <d v="2026-05-26T00:00:00"/>
    <d v="2026-06-12T00:00:00"/>
    <d v="2026-06-12T00:00:00"/>
    <d v="2026-12-09T00:00:00"/>
    <m/>
    <m/>
    <d v="1900-06-28T00:00:00"/>
    <s v="SANTE"/>
    <m/>
    <m/>
    <m/>
    <m/>
    <m/>
    <x v="0"/>
    <x v="0"/>
    <x v="0"/>
    <m/>
    <m/>
    <m/>
    <m/>
    <m/>
    <m/>
    <m/>
    <m/>
    <m/>
    <m/>
    <m/>
    <m/>
    <m/>
    <m/>
    <m/>
    <m/>
  </r>
  <r>
    <s v="Monsieur"/>
    <s v="YILDIZ "/>
    <s v="Yusuf"/>
    <n v="45"/>
    <m/>
    <s v="Oyonnax"/>
    <d v="2026-05-26T00:00:00"/>
    <d v="2026-06-16T00:00:00"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s v="Madame"/>
    <s v="ROSSIGNOL "/>
    <s v="Tiffany"/>
    <n v="32"/>
    <m/>
    <s v="Oyonnax"/>
    <d v="2026-05-07T00:00:00"/>
    <d v="2026-05-18T00:00:00"/>
    <d v="2026-06-03T00:00:00"/>
    <d v="2026-11-30T00:00:00"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s v="Monsieur"/>
    <s v="BOUNABI "/>
    <s v="Azedine"/>
    <m/>
    <m/>
    <s v="Oyonnax"/>
    <d v="2026-06-03T00:00:00"/>
    <d v="2026-06-19T00:00:00"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s v="Monsieur"/>
    <s v="CHAU"/>
    <s v="Georges "/>
    <m/>
    <m/>
    <s v="Oyonnax"/>
    <d v="2026-06-03T00:00:00"/>
    <d v="2026-06-23T00:00:00"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s v="Monsieur"/>
    <s v="FLIPO "/>
    <s v="Morgann"/>
    <m/>
    <m/>
    <s v="Oyonnax"/>
    <d v="2026-06-03T00:00:00"/>
    <d v="2026-06-16T00:00:00"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x v="0"/>
    <m/>
    <m/>
    <m/>
    <m/>
    <m/>
    <m/>
    <m/>
    <m/>
    <m/>
    <m/>
    <m/>
    <m/>
    <m/>
    <m/>
    <m/>
    <m/>
  </r>
  <r>
    <s v="Monsieur"/>
    <s v="ABID"/>
    <s v="Mimoun"/>
    <n v="62"/>
    <m/>
    <s v="Oyonnax"/>
    <d v="2025-06-27T00:00:00"/>
    <d v="2025-07-29T00:00:00"/>
    <m/>
    <m/>
    <m/>
    <m/>
    <d v="1900-06-28T00:00:00"/>
    <m/>
    <m/>
    <m/>
    <m/>
    <m/>
    <m/>
    <x v="1"/>
    <x v="2"/>
    <x v="0"/>
    <m/>
    <m/>
    <m/>
    <m/>
    <m/>
    <m/>
    <m/>
    <m/>
    <m/>
    <m/>
    <m/>
    <m/>
    <m/>
    <m/>
    <m/>
    <m/>
  </r>
  <r>
    <s v="Monsieur"/>
    <s v="ALOUANE"/>
    <s v="Cherif"/>
    <n v="42"/>
    <m/>
    <s v="Oyonnax"/>
    <d v="2025-06-04T00:00:00"/>
    <d v="2025-08-06T00:00:00"/>
    <m/>
    <m/>
    <m/>
    <m/>
    <d v="1900-06-28T00:00:00"/>
    <m/>
    <m/>
    <m/>
    <m/>
    <m/>
    <m/>
    <x v="1"/>
    <x v="3"/>
    <x v="0"/>
    <m/>
    <m/>
    <m/>
    <m/>
    <m/>
    <m/>
    <m/>
    <m/>
    <m/>
    <m/>
    <m/>
    <m/>
    <m/>
    <m/>
    <m/>
    <m/>
  </r>
  <r>
    <s v="Monsieur"/>
    <s v="BAJRAMOV"/>
    <s v="Sebastijan"/>
    <n v="48"/>
    <m/>
    <s v="Oyonnax"/>
    <d v="2025-07-08T00:00:00"/>
    <d v="2025-07-16T00:00:00"/>
    <m/>
    <m/>
    <m/>
    <m/>
    <d v="1900-06-28T00:00:00"/>
    <m/>
    <m/>
    <m/>
    <m/>
    <m/>
    <m/>
    <x v="1"/>
    <x v="1"/>
    <x v="0"/>
    <m/>
    <m/>
    <m/>
    <m/>
    <m/>
    <m/>
    <m/>
    <m/>
    <m/>
    <m/>
    <m/>
    <m/>
    <m/>
    <m/>
    <m/>
    <m/>
  </r>
  <r>
    <s v="Monsieur"/>
    <s v="BEDOUI"/>
    <s v="Abdeslam"/>
    <n v="74"/>
    <m/>
    <s v="Oyonnax"/>
    <d v="2025-07-08T00:00:00"/>
    <d v="2025-07-17T00:00:00"/>
    <m/>
    <m/>
    <m/>
    <m/>
    <d v="1900-06-28T00:00:00"/>
    <m/>
    <m/>
    <m/>
    <m/>
    <m/>
    <m/>
    <x v="1"/>
    <x v="2"/>
    <x v="0"/>
    <m/>
    <m/>
    <m/>
    <m/>
    <m/>
    <m/>
    <m/>
    <m/>
    <m/>
    <m/>
    <m/>
    <m/>
    <m/>
    <m/>
    <m/>
    <m/>
  </r>
  <r>
    <s v="Monsieur"/>
    <s v="BEN MABROUK"/>
    <s v="Souliman"/>
    <n v="35"/>
    <m/>
    <s v="Oyonnax"/>
    <d v="2025-06-11T00:00:00"/>
    <d v="2025-08-20T00:00:00"/>
    <m/>
    <m/>
    <m/>
    <m/>
    <d v="1900-06-28T00:00:00"/>
    <m/>
    <m/>
    <m/>
    <m/>
    <m/>
    <m/>
    <x v="1"/>
    <x v="4"/>
    <x v="0"/>
    <m/>
    <m/>
    <m/>
    <m/>
    <m/>
    <m/>
    <m/>
    <m/>
    <m/>
    <m/>
    <m/>
    <m/>
    <m/>
    <m/>
    <m/>
    <m/>
  </r>
  <r>
    <s v="Monsieur"/>
    <s v="BEQIRI"/>
    <s v="Bejta"/>
    <n v="76"/>
    <m/>
    <s v="Oyonnax"/>
    <d v="2025-07-08T00:00:00"/>
    <d v="2025-08-20T00:00:00"/>
    <m/>
    <m/>
    <m/>
    <m/>
    <d v="1900-06-28T00:00:00"/>
    <m/>
    <m/>
    <m/>
    <m/>
    <m/>
    <m/>
    <x v="1"/>
    <x v="2"/>
    <x v="0"/>
    <m/>
    <m/>
    <m/>
    <m/>
    <m/>
    <m/>
    <m/>
    <m/>
    <m/>
    <m/>
    <m/>
    <m/>
    <m/>
    <m/>
    <m/>
    <m/>
  </r>
  <r>
    <s v="Madame"/>
    <s v="BERTHET-BONDET"/>
    <s v="Margot"/>
    <n v="41"/>
    <m/>
    <s v="Nantua"/>
    <d v="2025-05-27T00:00:00"/>
    <d v="2025-09-02T00:00:00"/>
    <m/>
    <m/>
    <m/>
    <m/>
    <d v="1900-06-28T00:00:00"/>
    <m/>
    <m/>
    <m/>
    <m/>
    <m/>
    <m/>
    <x v="1"/>
    <x v="1"/>
    <x v="0"/>
    <m/>
    <m/>
    <m/>
    <m/>
    <m/>
    <m/>
    <m/>
    <m/>
    <m/>
    <m/>
    <m/>
    <m/>
    <m/>
    <m/>
    <m/>
    <m/>
  </r>
  <r>
    <s v="Monsieur"/>
    <s v="BORSLA"/>
    <s v="Tewfik"/>
    <n v="63"/>
    <m/>
    <s v="Oyonnax"/>
    <d v="2025-06-23T00:00:00"/>
    <d v="2025-07-29T00:00:00"/>
    <m/>
    <m/>
    <m/>
    <m/>
    <d v="1900-06-28T00:00:00"/>
    <m/>
    <m/>
    <m/>
    <m/>
    <m/>
    <m/>
    <x v="1"/>
    <x v="1"/>
    <x v="0"/>
    <m/>
    <m/>
    <m/>
    <m/>
    <m/>
    <m/>
    <m/>
    <m/>
    <m/>
    <m/>
    <m/>
    <m/>
    <m/>
    <m/>
    <m/>
    <m/>
  </r>
  <r>
    <s v="Monsieur"/>
    <s v="CAVDAR"/>
    <s v="Ibrahim"/>
    <n v="61"/>
    <m/>
    <s v="Oyonnax"/>
    <d v="2025-06-12T00:00:00"/>
    <d v="2025-08-25T00:00:00"/>
    <m/>
    <m/>
    <m/>
    <m/>
    <d v="1900-06-28T00:00:00"/>
    <m/>
    <m/>
    <m/>
    <m/>
    <m/>
    <m/>
    <x v="1"/>
    <x v="2"/>
    <x v="0"/>
    <m/>
    <n v="1"/>
    <m/>
    <m/>
    <m/>
    <m/>
    <m/>
    <m/>
    <m/>
    <m/>
    <n v="1"/>
    <m/>
    <m/>
    <m/>
    <m/>
    <m/>
  </r>
  <r>
    <s v="Monsieur"/>
    <s v="CEYZERIAT"/>
    <s v="Samuel"/>
    <n v="46"/>
    <m/>
    <s v="Nantua"/>
    <d v="2025-04-23T00:00:00"/>
    <d v="2025-08-26T00:00:00"/>
    <m/>
    <m/>
    <m/>
    <m/>
    <d v="1900-06-28T00:00:00"/>
    <m/>
    <m/>
    <m/>
    <m/>
    <m/>
    <m/>
    <x v="1"/>
    <x v="5"/>
    <x v="0"/>
    <m/>
    <n v="1"/>
    <m/>
    <m/>
    <m/>
    <m/>
    <m/>
    <m/>
    <m/>
    <m/>
    <m/>
    <m/>
    <m/>
    <m/>
    <m/>
    <m/>
  </r>
  <r>
    <s v="Madame"/>
    <s v="CHIRON"/>
    <s v="Aziza"/>
    <n v="61"/>
    <m/>
    <s v="Oyonnax"/>
    <d v="2025-06-04T00:00:00"/>
    <d v="2025-08-04T00:00:00"/>
    <m/>
    <m/>
    <m/>
    <m/>
    <d v="1900-06-28T00:00:00"/>
    <m/>
    <m/>
    <m/>
    <m/>
    <m/>
    <m/>
    <x v="1"/>
    <x v="3"/>
    <x v="0"/>
    <m/>
    <m/>
    <m/>
    <m/>
    <m/>
    <m/>
    <m/>
    <m/>
    <m/>
    <m/>
    <m/>
    <m/>
    <m/>
    <m/>
    <m/>
    <m/>
  </r>
  <r>
    <s v="Madame"/>
    <s v="DJELLOUL"/>
    <s v="Assia"/>
    <n v="49"/>
    <m/>
    <s v="Oyonnax"/>
    <d v="2025-05-28T00:00:00"/>
    <d v="2025-09-03T00:00:00"/>
    <m/>
    <m/>
    <m/>
    <m/>
    <d v="1900-06-28T00:00:00"/>
    <m/>
    <m/>
    <m/>
    <m/>
    <m/>
    <m/>
    <x v="1"/>
    <x v="3"/>
    <x v="0"/>
    <m/>
    <m/>
    <m/>
    <m/>
    <m/>
    <m/>
    <m/>
    <m/>
    <m/>
    <m/>
    <m/>
    <m/>
    <m/>
    <m/>
    <m/>
    <m/>
  </r>
  <r>
    <s v="Monsieur"/>
    <s v="EL AAROUSSI"/>
    <s v="Chahid"/>
    <n v="45"/>
    <m/>
    <s v="Oyonnax"/>
    <d v="2025-06-27T00:00:00"/>
    <d v="2025-09-01T00:00:00"/>
    <m/>
    <m/>
    <m/>
    <m/>
    <d v="1900-06-28T00:00:00"/>
    <m/>
    <m/>
    <m/>
    <m/>
    <m/>
    <m/>
    <x v="1"/>
    <x v="1"/>
    <x v="0"/>
    <m/>
    <m/>
    <m/>
    <m/>
    <m/>
    <m/>
    <m/>
    <m/>
    <m/>
    <m/>
    <m/>
    <m/>
    <m/>
    <m/>
    <m/>
    <m/>
  </r>
  <r>
    <s v="Monsieur"/>
    <s v="EL KHYAF"/>
    <s v="Anouar"/>
    <n v="39"/>
    <m/>
    <s v="Oyonnax"/>
    <d v="2025-06-27T00:00:00"/>
    <d v="2025-08-11T00:00:00"/>
    <m/>
    <m/>
    <m/>
    <m/>
    <d v="1900-06-28T00:00:00"/>
    <m/>
    <m/>
    <m/>
    <m/>
    <m/>
    <m/>
    <x v="1"/>
    <x v="6"/>
    <x v="0"/>
    <m/>
    <m/>
    <m/>
    <m/>
    <m/>
    <m/>
    <m/>
    <m/>
    <m/>
    <m/>
    <m/>
    <m/>
    <m/>
    <m/>
    <m/>
    <m/>
  </r>
  <r>
    <s v="Monsieur"/>
    <s v="GUNDUZ"/>
    <s v="Ibrahim"/>
    <n v="48"/>
    <m/>
    <s v="Nantua"/>
    <d v="2025-06-04T00:00:00"/>
    <d v="2025-09-01T00:00:00"/>
    <m/>
    <m/>
    <m/>
    <m/>
    <d v="1900-06-28T00:00:00"/>
    <m/>
    <m/>
    <m/>
    <m/>
    <m/>
    <m/>
    <x v="1"/>
    <x v="7"/>
    <x v="0"/>
    <m/>
    <m/>
    <m/>
    <m/>
    <m/>
    <m/>
    <m/>
    <m/>
    <m/>
    <m/>
    <m/>
    <m/>
    <m/>
    <m/>
    <m/>
    <m/>
  </r>
  <r>
    <s v="Monsieur"/>
    <s v="JOUINI"/>
    <s v="Mustapha"/>
    <n v="63"/>
    <m/>
    <s v="Oyonnax"/>
    <d v="2025-06-12T00:00:00"/>
    <d v="2025-09-01T00:00:00"/>
    <m/>
    <m/>
    <m/>
    <m/>
    <d v="1900-06-28T00:00:00"/>
    <m/>
    <m/>
    <m/>
    <m/>
    <m/>
    <m/>
    <x v="1"/>
    <x v="2"/>
    <x v="0"/>
    <m/>
    <m/>
    <m/>
    <m/>
    <m/>
    <m/>
    <m/>
    <m/>
    <m/>
    <m/>
    <m/>
    <m/>
    <m/>
    <m/>
    <m/>
    <m/>
  </r>
  <r>
    <s v="Monsieur"/>
    <s v="KAMENICA"/>
    <s v="Ragip"/>
    <n v="60"/>
    <m/>
    <s v="Oyonnax"/>
    <d v="2025-06-12T00:00:00"/>
    <d v="2025-09-01T00:00:00"/>
    <m/>
    <m/>
    <m/>
    <m/>
    <d v="1900-06-28T00:00:00"/>
    <m/>
    <m/>
    <m/>
    <m/>
    <m/>
    <m/>
    <x v="1"/>
    <x v="2"/>
    <x v="0"/>
    <m/>
    <n v="1"/>
    <m/>
    <m/>
    <m/>
    <m/>
    <m/>
    <m/>
    <m/>
    <m/>
    <m/>
    <m/>
    <m/>
    <m/>
    <m/>
    <m/>
  </r>
  <r>
    <s v="Monsieur"/>
    <s v="KANBOUI"/>
    <s v="Mohammed"/>
    <n v="54"/>
    <m/>
    <s v="Oyonnax"/>
    <d v="2025-04-23T00:00:00"/>
    <d v="2025-07-30T00:00:00"/>
    <m/>
    <m/>
    <m/>
    <m/>
    <d v="1900-06-28T00:00:00"/>
    <m/>
    <m/>
    <m/>
    <m/>
    <m/>
    <m/>
    <x v="1"/>
    <x v="6"/>
    <x v="0"/>
    <m/>
    <n v="1"/>
    <m/>
    <m/>
    <m/>
    <m/>
    <m/>
    <m/>
    <m/>
    <m/>
    <m/>
    <m/>
    <m/>
    <m/>
    <m/>
    <m/>
  </r>
  <r>
    <s v="Madame"/>
    <s v="KARAKOC"/>
    <s v="Ummugulsum"/>
    <n v="45"/>
    <m/>
    <s v="Nantua"/>
    <d v="2025-04-23T00:00:00"/>
    <d v="2025-09-01T00:00:00"/>
    <m/>
    <m/>
    <m/>
    <m/>
    <d v="1900-06-28T00:00:00"/>
    <m/>
    <m/>
    <m/>
    <m/>
    <m/>
    <m/>
    <x v="2"/>
    <x v="0"/>
    <x v="0"/>
    <m/>
    <m/>
    <m/>
    <m/>
    <m/>
    <m/>
    <m/>
    <m/>
    <m/>
    <m/>
    <m/>
    <m/>
    <m/>
    <m/>
    <m/>
    <m/>
  </r>
  <r>
    <s v="Monsieur"/>
    <s v="KHOMSI"/>
    <s v="Ismaïl"/>
    <n v="28"/>
    <m/>
    <s v="Oyonnax"/>
    <d v="2025-04-23T00:00:00"/>
    <d v="2025-08-20T00:00:00"/>
    <m/>
    <m/>
    <m/>
    <m/>
    <m/>
    <m/>
    <m/>
    <m/>
    <m/>
    <m/>
    <m/>
    <x v="1"/>
    <x v="3"/>
    <x v="0"/>
    <m/>
    <m/>
    <m/>
    <m/>
    <m/>
    <m/>
    <m/>
    <m/>
    <m/>
    <m/>
    <m/>
    <m/>
    <m/>
    <m/>
    <m/>
    <m/>
  </r>
  <r>
    <s v="Monsieur"/>
    <s v="MARECAUX"/>
    <s v="Philippe"/>
    <n v="63"/>
    <m/>
    <s v="Oyonnax"/>
    <d v="2025-07-08T00:00:00"/>
    <d v="2025-09-01T00:00:00"/>
    <m/>
    <m/>
    <m/>
    <m/>
    <m/>
    <m/>
    <m/>
    <m/>
    <m/>
    <m/>
    <m/>
    <x v="1"/>
    <x v="2"/>
    <x v="0"/>
    <m/>
    <m/>
    <m/>
    <m/>
    <m/>
    <m/>
    <m/>
    <m/>
    <m/>
    <m/>
    <m/>
    <m/>
    <m/>
    <m/>
    <m/>
    <m/>
  </r>
  <r>
    <s v="Monsieur"/>
    <s v="MOUGEL"/>
    <s v="Jérémy"/>
    <n v="30"/>
    <m/>
    <s v="Nantua"/>
    <d v="2025-07-24T00:00:00"/>
    <d v="2025-09-01T00:00:00"/>
    <m/>
    <m/>
    <m/>
    <m/>
    <m/>
    <m/>
    <m/>
    <m/>
    <m/>
    <m/>
    <m/>
    <x v="2"/>
    <x v="0"/>
    <x v="0"/>
    <m/>
    <m/>
    <m/>
    <m/>
    <m/>
    <m/>
    <m/>
    <m/>
    <m/>
    <m/>
    <m/>
    <m/>
    <m/>
    <m/>
    <m/>
    <m/>
  </r>
  <r>
    <s v="Madame"/>
    <s v="MURET"/>
    <s v="Christelle"/>
    <n v="50"/>
    <m/>
    <s v="Oyonnax"/>
    <d v="2025-06-27T00:00:00"/>
    <d v="2025-09-10T00:00:00"/>
    <m/>
    <m/>
    <m/>
    <m/>
    <m/>
    <m/>
    <m/>
    <m/>
    <m/>
    <m/>
    <m/>
    <x v="1"/>
    <x v="4"/>
    <x v="0"/>
    <m/>
    <m/>
    <m/>
    <m/>
    <m/>
    <m/>
    <m/>
    <m/>
    <m/>
    <m/>
    <m/>
    <m/>
    <m/>
    <m/>
    <m/>
    <m/>
  </r>
  <r>
    <s v="Monsieur"/>
    <s v="NAELS"/>
    <s v="Florian"/>
    <n v="36"/>
    <m/>
    <s v="Oyonnax"/>
    <d v="2025-06-13T00:00:00"/>
    <d v="2025-09-01T00:00:00"/>
    <m/>
    <m/>
    <m/>
    <m/>
    <m/>
    <m/>
    <m/>
    <m/>
    <m/>
    <m/>
    <m/>
    <x v="1"/>
    <x v="1"/>
    <x v="0"/>
    <m/>
    <n v="1"/>
    <m/>
    <m/>
    <m/>
    <m/>
    <m/>
    <m/>
    <m/>
    <m/>
    <m/>
    <m/>
    <m/>
    <m/>
    <m/>
    <m/>
  </r>
  <r>
    <s v="Madame"/>
    <s v="NICOUD"/>
    <s v="Laetitia"/>
    <n v="42"/>
    <m/>
    <s v="Oyonnax"/>
    <d v="2025-06-10T00:00:00"/>
    <d v="2025-09-10T00:00:00"/>
    <m/>
    <m/>
    <m/>
    <m/>
    <m/>
    <m/>
    <m/>
    <m/>
    <m/>
    <m/>
    <m/>
    <x v="1"/>
    <x v="1"/>
    <x v="0"/>
    <m/>
    <n v="1"/>
    <m/>
    <m/>
    <m/>
    <m/>
    <m/>
    <m/>
    <m/>
    <m/>
    <m/>
    <m/>
    <m/>
    <m/>
    <m/>
    <m/>
  </r>
  <r>
    <s v="Monsieur"/>
    <s v="OZPINAR"/>
    <s v="Ali"/>
    <n v="51"/>
    <m/>
    <s v="Oyonnax"/>
    <d v="2025-06-13T00:00:00"/>
    <d v="2025-08-04T00:00:00"/>
    <m/>
    <m/>
    <m/>
    <m/>
    <m/>
    <m/>
    <m/>
    <m/>
    <m/>
    <m/>
    <m/>
    <x v="1"/>
    <x v="3"/>
    <x v="0"/>
    <m/>
    <m/>
    <m/>
    <m/>
    <m/>
    <m/>
    <m/>
    <m/>
    <m/>
    <m/>
    <m/>
    <m/>
    <m/>
    <m/>
    <m/>
    <m/>
  </r>
  <r>
    <s v="Monsieur"/>
    <s v="PISANI"/>
    <s v="Sébastien"/>
    <n v="42"/>
    <m/>
    <s v="Oyonnax"/>
    <d v="2025-06-27T00:00:00"/>
    <d v="2025-08-05T00:00:00"/>
    <m/>
    <m/>
    <m/>
    <m/>
    <m/>
    <m/>
    <m/>
    <m/>
    <m/>
    <m/>
    <m/>
    <x v="1"/>
    <x v="1"/>
    <x v="0"/>
    <m/>
    <m/>
    <m/>
    <m/>
    <m/>
    <m/>
    <m/>
    <m/>
    <m/>
    <m/>
    <m/>
    <m/>
    <m/>
    <m/>
    <m/>
    <m/>
  </r>
  <r>
    <s v="Madame"/>
    <s v="PRAK"/>
    <s v="Chantha"/>
    <n v="58"/>
    <m/>
    <s v="Oyonnax"/>
    <d v="2025-07-10T00:00:00"/>
    <d v="2025-07-24T00:00:00"/>
    <m/>
    <m/>
    <m/>
    <m/>
    <m/>
    <m/>
    <m/>
    <m/>
    <m/>
    <m/>
    <m/>
    <x v="1"/>
    <x v="3"/>
    <x v="0"/>
    <m/>
    <m/>
    <m/>
    <m/>
    <m/>
    <m/>
    <m/>
    <m/>
    <m/>
    <m/>
    <m/>
    <m/>
    <m/>
    <m/>
    <m/>
    <m/>
  </r>
  <r>
    <s v="Monsieur"/>
    <s v="REGHIOUA"/>
    <s v="Azzouz"/>
    <n v="65"/>
    <m/>
    <s v="Oyonnax"/>
    <d v="2025-06-12T00:00:00"/>
    <d v="2025-07-28T00:00:00"/>
    <m/>
    <m/>
    <m/>
    <m/>
    <m/>
    <m/>
    <m/>
    <m/>
    <m/>
    <m/>
    <m/>
    <x v="1"/>
    <x v="7"/>
    <x v="0"/>
    <m/>
    <m/>
    <m/>
    <m/>
    <m/>
    <m/>
    <m/>
    <m/>
    <m/>
    <m/>
    <m/>
    <m/>
    <m/>
    <m/>
    <m/>
    <m/>
  </r>
  <r>
    <s v="Madame"/>
    <s v="SYLLA"/>
    <s v="Ardita"/>
    <n v="39"/>
    <m/>
    <s v="Oyonnax"/>
    <d v="2025-04-29T00:00:00"/>
    <d v="2005-09-08T00:00:00"/>
    <m/>
    <m/>
    <m/>
    <m/>
    <m/>
    <m/>
    <m/>
    <m/>
    <m/>
    <m/>
    <m/>
    <x v="1"/>
    <x v="3"/>
    <x v="0"/>
    <m/>
    <m/>
    <m/>
    <m/>
    <m/>
    <m/>
    <m/>
    <m/>
    <m/>
    <m/>
    <m/>
    <m/>
    <m/>
    <m/>
    <m/>
    <m/>
  </r>
  <r>
    <s v="Madame"/>
    <s v="ERDOGAN /TEMEL"/>
    <s v="Zeynep"/>
    <n v="45"/>
    <m/>
    <s v="Nantua"/>
    <d v="2025-06-23T00:00:00"/>
    <d v="2005-09-09T00:00:00"/>
    <m/>
    <m/>
    <m/>
    <m/>
    <m/>
    <m/>
    <m/>
    <m/>
    <m/>
    <m/>
    <m/>
    <x v="1"/>
    <x v="5"/>
    <x v="0"/>
    <m/>
    <n v="1"/>
    <m/>
    <m/>
    <m/>
    <m/>
    <m/>
    <m/>
    <m/>
    <m/>
    <m/>
    <m/>
    <m/>
    <m/>
    <m/>
    <m/>
  </r>
  <r>
    <s v="Madame"/>
    <s v="UGUZ"/>
    <s v="Leyla"/>
    <n v="43"/>
    <m/>
    <s v="Nantua"/>
    <d v="2025-04-22T00:00:00"/>
    <d v="2025-08-20T00:00:00"/>
    <m/>
    <m/>
    <m/>
    <m/>
    <m/>
    <m/>
    <m/>
    <m/>
    <m/>
    <m/>
    <m/>
    <x v="1"/>
    <x v="3"/>
    <x v="0"/>
    <m/>
    <m/>
    <m/>
    <m/>
    <m/>
    <m/>
    <m/>
    <m/>
    <m/>
    <m/>
    <m/>
    <m/>
    <m/>
    <m/>
    <m/>
    <m/>
  </r>
  <r>
    <s v="Madame"/>
    <s v="EL-RHAZZAL"/>
    <s v="Rachida"/>
    <n v="64"/>
    <m/>
    <s v="Oyonnax"/>
    <d v="2025-05-28T00:00:00"/>
    <d v="2025-09-03T00:00:00"/>
    <m/>
    <m/>
    <m/>
    <m/>
    <m/>
    <m/>
    <m/>
    <m/>
    <m/>
    <m/>
    <m/>
    <x v="1"/>
    <x v="2"/>
    <x v="0"/>
    <m/>
    <m/>
    <m/>
    <m/>
    <m/>
    <m/>
    <m/>
    <m/>
    <m/>
    <m/>
    <m/>
    <m/>
    <m/>
    <m/>
    <m/>
    <m/>
  </r>
  <r>
    <s v="Monsieur"/>
    <s v="YACOUBI"/>
    <s v="Tarek"/>
    <n v="48"/>
    <m/>
    <s v="Oyonnax"/>
    <d v="2025-06-12T00:00:00"/>
    <d v="2025-07-31T00:00:00"/>
    <m/>
    <m/>
    <m/>
    <m/>
    <m/>
    <m/>
    <m/>
    <m/>
    <m/>
    <m/>
    <m/>
    <x v="1"/>
    <x v="1"/>
    <x v="0"/>
    <m/>
    <m/>
    <m/>
    <m/>
    <m/>
    <m/>
    <m/>
    <m/>
    <m/>
    <m/>
    <m/>
    <m/>
    <m/>
    <m/>
    <m/>
    <m/>
  </r>
  <r>
    <s v="Monsieur"/>
    <s v="ZIHRI"/>
    <s v="Rachid"/>
    <n v="51"/>
    <m/>
    <s v="Oyonnax"/>
    <d v="2025-04-23T00:00:00"/>
    <d v="2025-09-08T00:00:00"/>
    <m/>
    <m/>
    <m/>
    <m/>
    <m/>
    <m/>
    <m/>
    <m/>
    <m/>
    <m/>
    <m/>
    <x v="1"/>
    <x v="7"/>
    <x v="0"/>
    <m/>
    <m/>
    <m/>
    <m/>
    <m/>
    <m/>
    <m/>
    <m/>
    <m/>
    <m/>
    <m/>
    <m/>
    <m/>
    <m/>
    <m/>
    <m/>
  </r>
  <r>
    <s v="Monsieur"/>
    <s v="BUET"/>
    <s v="Patrice"/>
    <n v="54"/>
    <m/>
    <s v="Nantua"/>
    <d v="2025-07-16T00:00:00"/>
    <s v="25/09//2025"/>
    <m/>
    <m/>
    <m/>
    <m/>
    <m/>
    <m/>
    <m/>
    <m/>
    <m/>
    <m/>
    <m/>
    <x v="1"/>
    <x v="6"/>
    <x v="0"/>
    <m/>
    <m/>
    <m/>
    <m/>
    <m/>
    <m/>
    <m/>
    <m/>
    <m/>
    <m/>
    <m/>
    <m/>
    <m/>
    <m/>
    <m/>
    <m/>
  </r>
  <r>
    <s v="Madame"/>
    <s v="SAULNIER"/>
    <s v="Isabelle"/>
    <m/>
    <m/>
    <m/>
    <m/>
    <d v="2025-10-03T00:00:00"/>
    <m/>
    <m/>
    <m/>
    <m/>
    <m/>
    <m/>
    <m/>
    <m/>
    <m/>
    <m/>
    <m/>
    <x v="1"/>
    <x v="1"/>
    <x v="0"/>
    <m/>
    <m/>
    <m/>
    <m/>
    <m/>
    <m/>
    <m/>
    <m/>
    <m/>
    <m/>
    <m/>
    <m/>
    <m/>
    <m/>
    <m/>
    <m/>
  </r>
  <r>
    <s v="Monsieur"/>
    <s v="CHAMPEYMOND"/>
    <s v="Pascal"/>
    <n v="60"/>
    <m/>
    <s v="Nantua"/>
    <d v="2025-04-30T00:00:00"/>
    <d v="2025-08-25T00:00:00"/>
    <m/>
    <m/>
    <m/>
    <m/>
    <m/>
    <m/>
    <m/>
    <m/>
    <m/>
    <m/>
    <m/>
    <x v="1"/>
    <x v="1"/>
    <x v="0"/>
    <m/>
    <n v="1"/>
    <m/>
    <m/>
    <m/>
    <m/>
    <m/>
    <m/>
    <m/>
    <m/>
    <m/>
    <m/>
    <m/>
    <m/>
    <m/>
    <m/>
  </r>
  <r>
    <s v="Madame"/>
    <s v="SAIDIA"/>
    <s v="Farida"/>
    <n v="63"/>
    <m/>
    <s v="Oyonnax"/>
    <d v="2025-06-12T00:00:00"/>
    <d v="2025-08-19T00:00:00"/>
    <m/>
    <m/>
    <m/>
    <m/>
    <m/>
    <m/>
    <m/>
    <m/>
    <m/>
    <m/>
    <m/>
    <x v="1"/>
    <x v="2"/>
    <x v="0"/>
    <m/>
    <m/>
    <m/>
    <m/>
    <m/>
    <m/>
    <m/>
    <m/>
    <m/>
    <m/>
    <m/>
    <m/>
    <m/>
    <m/>
    <m/>
    <m/>
  </r>
  <r>
    <s v="Monsieur"/>
    <s v="MABROUK"/>
    <s v="Wahid"/>
    <n v="50"/>
    <m/>
    <s v="Oyonnax"/>
    <d v="2025-09-06T00:00:00"/>
    <d v="2025-09-08T00:00:00"/>
    <m/>
    <m/>
    <m/>
    <m/>
    <m/>
    <m/>
    <m/>
    <m/>
    <m/>
    <m/>
    <m/>
    <x v="1"/>
    <x v="3"/>
    <x v="0"/>
    <m/>
    <m/>
    <m/>
    <m/>
    <m/>
    <m/>
    <m/>
    <m/>
    <m/>
    <m/>
    <m/>
    <m/>
    <m/>
    <m/>
    <m/>
    <m/>
  </r>
  <r>
    <s v="Monsieur"/>
    <s v="LOUIS"/>
    <s v="Laura"/>
    <n v="37"/>
    <m/>
    <s v="Oyonnax"/>
    <d v="2025-06-12T00:00:00"/>
    <d v="2025-08-12T00:00:00"/>
    <m/>
    <m/>
    <m/>
    <m/>
    <m/>
    <m/>
    <m/>
    <m/>
    <m/>
    <m/>
    <m/>
    <x v="1"/>
    <x v="5"/>
    <x v="0"/>
    <m/>
    <m/>
    <m/>
    <m/>
    <m/>
    <m/>
    <m/>
    <m/>
    <m/>
    <m/>
    <m/>
    <m/>
    <m/>
    <m/>
    <m/>
    <m/>
  </r>
  <r>
    <s v="Madame"/>
    <s v="BEDIR"/>
    <s v="Fadime"/>
    <n v="44"/>
    <m/>
    <s v="Oyonnax"/>
    <d v="2025-07-10T00:00:00"/>
    <d v="2025-07-23T00:00:00"/>
    <d v="2025-07-23T00:00:00"/>
    <d v="2026-01-19T00:00:00"/>
    <m/>
    <m/>
    <m/>
    <s v="fle"/>
    <s v="MOBILITE"/>
    <m/>
    <m/>
    <m/>
    <n v="1"/>
    <x v="1"/>
    <x v="1"/>
    <x v="0"/>
    <m/>
    <m/>
    <m/>
    <m/>
    <m/>
    <m/>
    <m/>
    <m/>
    <m/>
    <m/>
    <m/>
    <m/>
    <m/>
    <m/>
    <m/>
    <m/>
  </r>
  <r>
    <s v="Madame"/>
    <s v="FIORILE"/>
    <s v="Yori-Kin"/>
    <n v="28"/>
    <m/>
    <s v="Nantua"/>
    <d v="2025-04-23T00:00:00"/>
    <d v="2025-09-17T00:00:00"/>
    <d v="2025-09-17T00:00:00"/>
    <d v="2026-03-16T00:00:00"/>
    <m/>
    <m/>
    <m/>
    <m/>
    <m/>
    <m/>
    <m/>
    <m/>
    <m/>
    <x v="1"/>
    <x v="3"/>
    <x v="0"/>
    <m/>
    <n v="1"/>
    <m/>
    <m/>
    <m/>
    <m/>
    <m/>
    <m/>
    <m/>
    <m/>
    <m/>
    <m/>
    <m/>
    <m/>
    <m/>
    <m/>
  </r>
  <r>
    <s v="Madame"/>
    <s v="KEPENEK"/>
    <s v="Nihal"/>
    <n v="45"/>
    <m/>
    <s v="Oyonnax"/>
    <d v="2025-04-17T00:00:00"/>
    <d v="2025-08-20T00:00:00"/>
    <d v="2025-08-27T00:00:00"/>
    <d v="2026-02-23T00:00:00"/>
    <m/>
    <m/>
    <m/>
    <s v="fle"/>
    <s v="MOBILITE"/>
    <m/>
    <n v="1"/>
    <n v="1"/>
    <n v="1"/>
    <x v="1"/>
    <x v="4"/>
    <x v="0"/>
    <m/>
    <n v="1"/>
    <m/>
    <m/>
    <m/>
    <m/>
    <m/>
    <m/>
    <m/>
    <m/>
    <m/>
    <m/>
    <m/>
    <m/>
    <m/>
    <m/>
  </r>
  <r>
    <s v="Monsieur"/>
    <s v="DAWLATZI"/>
    <s v="Naeem"/>
    <n v="28"/>
    <m/>
    <s v="Oyonnax"/>
    <d v="2025-10-16T00:00:00"/>
    <d v="2025-11-17T00:00:00"/>
    <s v="non"/>
    <m/>
    <m/>
    <m/>
    <m/>
    <m/>
    <m/>
    <m/>
    <m/>
    <m/>
    <m/>
    <x v="1"/>
    <x v="3"/>
    <x v="1"/>
    <m/>
    <m/>
    <m/>
    <m/>
    <m/>
    <m/>
    <m/>
    <m/>
    <m/>
    <m/>
    <m/>
    <m/>
    <m/>
    <m/>
    <m/>
    <m/>
  </r>
  <r>
    <s v="Monsieur"/>
    <s v="RHAZI"/>
    <s v="Abdelhakim"/>
    <n v="53"/>
    <m/>
    <s v="Oyonnax"/>
    <d v="2025-07-08T00:00:00"/>
    <d v="2025-07-16T00:00:00"/>
    <d v="2025-07-16T00:00:00"/>
    <d v="2026-01-12T00:00:00"/>
    <m/>
    <m/>
    <m/>
    <s v="mobilite"/>
    <s v="sante"/>
    <m/>
    <m/>
    <m/>
    <m/>
    <x v="0"/>
    <x v="0"/>
    <x v="0"/>
    <m/>
    <n v="1"/>
    <m/>
    <m/>
    <m/>
    <m/>
    <m/>
    <m/>
    <m/>
    <m/>
    <m/>
    <m/>
    <m/>
    <m/>
    <m/>
    <m/>
  </r>
  <r>
    <s v="Monsieur"/>
    <s v="DUPUPET"/>
    <s v="Meydhie"/>
    <n v="37"/>
    <m/>
    <s v="Oyonnax"/>
    <d v="2025-06-27T00:00:00"/>
    <d v="2025-08-12T00:00:00"/>
    <d v="2025-08-28T00:00:00"/>
    <d v="2026-02-24T00:00:00"/>
    <m/>
    <m/>
    <m/>
    <s v="SANTE"/>
    <m/>
    <m/>
    <m/>
    <m/>
    <m/>
    <x v="1"/>
    <x v="1"/>
    <x v="0"/>
    <m/>
    <n v="1"/>
    <m/>
    <m/>
    <m/>
    <m/>
    <m/>
    <m/>
    <m/>
    <m/>
    <n v="1"/>
    <m/>
    <m/>
    <m/>
    <m/>
    <m/>
  </r>
  <r>
    <s v="Monsieur"/>
    <s v="MOHAMMADI"/>
    <s v="NIAZ"/>
    <n v="35"/>
    <m/>
    <s v="Oyonnax"/>
    <m/>
    <d v="2025-12-10T00:00:00"/>
    <s v="non"/>
    <m/>
    <m/>
    <m/>
    <m/>
    <m/>
    <m/>
    <m/>
    <m/>
    <m/>
    <m/>
    <x v="1"/>
    <x v="3"/>
    <x v="1"/>
    <m/>
    <m/>
    <m/>
    <m/>
    <m/>
    <m/>
    <m/>
    <m/>
    <m/>
    <m/>
    <m/>
    <m/>
    <m/>
    <m/>
    <m/>
    <m/>
  </r>
  <r>
    <s v="Madame"/>
    <s v="BELLOTTO"/>
    <s v="Charlotte"/>
    <n v="30"/>
    <m/>
    <s v="Oyonnax"/>
    <d v="2025-04-22T00:00:00"/>
    <d v="2025-09-10T00:00:00"/>
    <d v="2025-09-10T00:00:00"/>
    <d v="2026-03-09T00:00:00"/>
    <m/>
    <m/>
    <m/>
    <m/>
    <m/>
    <m/>
    <m/>
    <m/>
    <m/>
    <x v="1"/>
    <x v="8"/>
    <x v="0"/>
    <m/>
    <n v="1"/>
    <m/>
    <m/>
    <m/>
    <m/>
    <m/>
    <m/>
    <m/>
    <m/>
    <m/>
    <m/>
    <m/>
    <m/>
    <m/>
    <m/>
  </r>
  <r>
    <s v="Madame"/>
    <s v="YLMAZ "/>
    <s v="GULBAHAR"/>
    <n v="51"/>
    <m/>
    <s v="Oyonnax"/>
    <m/>
    <d v="2025-12-15T00:00:00"/>
    <m/>
    <m/>
    <m/>
    <m/>
    <m/>
    <m/>
    <m/>
    <m/>
    <m/>
    <m/>
    <m/>
    <x v="1"/>
    <x v="1"/>
    <x v="0"/>
    <m/>
    <m/>
    <m/>
    <m/>
    <m/>
    <m/>
    <m/>
    <m/>
    <m/>
    <m/>
    <m/>
    <m/>
    <m/>
    <m/>
    <m/>
    <m/>
  </r>
  <r>
    <s v="Monsieur"/>
    <s v="LEMAISTRE"/>
    <s v="Giuseppe"/>
    <n v="27"/>
    <m/>
    <s v="Oyonnax"/>
    <d v="2025-07-04T00:00:00"/>
    <d v="2025-07-23T00:00:00"/>
    <d v="2025-07-23T00:00:00"/>
    <d v="2026-01-19T00:00:00"/>
    <m/>
    <m/>
    <m/>
    <s v="mobilité"/>
    <m/>
    <m/>
    <m/>
    <m/>
    <m/>
    <x v="1"/>
    <x v="1"/>
    <x v="0"/>
    <m/>
    <n v="1"/>
    <m/>
    <m/>
    <m/>
    <m/>
    <m/>
    <m/>
    <m/>
    <m/>
    <n v="1"/>
    <m/>
    <m/>
    <m/>
    <m/>
    <m/>
  </r>
  <r>
    <s v="Monsieur"/>
    <s v="MARGUIN"/>
    <s v="Frederic"/>
    <n v="50"/>
    <m/>
    <s v="Oyonnax"/>
    <d v="2025-10-16T00:00:00"/>
    <d v="2025-11-17T00:00:00"/>
    <d v="2025-12-03T00:00:00"/>
    <d v="2026-06-01T00:00:00"/>
    <m/>
    <m/>
    <m/>
    <m/>
    <m/>
    <m/>
    <m/>
    <m/>
    <m/>
    <x v="1"/>
    <x v="7"/>
    <x v="0"/>
    <m/>
    <n v="1"/>
    <m/>
    <m/>
    <m/>
    <m/>
    <m/>
    <m/>
    <m/>
    <m/>
    <m/>
    <m/>
    <m/>
    <m/>
    <m/>
    <m/>
  </r>
  <r>
    <s v="Madame"/>
    <s v="BICER"/>
    <s v="Elife"/>
    <n v="37"/>
    <m/>
    <s v="Oyonnax"/>
    <d v="2025-07-03T00:00:00"/>
    <d v="2025-08-25T00:00:00"/>
    <d v="2026-01-12T00:00:00"/>
    <d v="2026-07-11T00:00:00"/>
    <m/>
    <m/>
    <m/>
    <m/>
    <m/>
    <m/>
    <m/>
    <m/>
    <m/>
    <x v="1"/>
    <x v="1"/>
    <x v="0"/>
    <m/>
    <m/>
    <m/>
    <m/>
    <m/>
    <m/>
    <m/>
    <m/>
    <m/>
    <m/>
    <m/>
    <m/>
    <m/>
    <m/>
    <m/>
    <m/>
  </r>
  <r>
    <s v="Madame"/>
    <s v="KESKIN //OZYUREK"/>
    <s v="KUPRA"/>
    <n v="28"/>
    <m/>
    <s v="Oyonnax"/>
    <d v="2025-12-22T00:00:00"/>
    <d v="2026-01-20T00:00:00"/>
    <m/>
    <m/>
    <m/>
    <m/>
    <m/>
    <s v="SANTE"/>
    <m/>
    <m/>
    <m/>
    <m/>
    <m/>
    <x v="1"/>
    <x v="1"/>
    <x v="0"/>
    <m/>
    <m/>
    <m/>
    <m/>
    <m/>
    <m/>
    <m/>
    <m/>
    <m/>
    <m/>
    <m/>
    <m/>
    <m/>
    <m/>
    <m/>
    <m/>
  </r>
  <r>
    <s v="Madame"/>
    <s v="TUZUN"/>
    <s v="Selda"/>
    <n v="45"/>
    <m/>
    <s v="Oyonnax"/>
    <d v="2025-07-04T00:00:00"/>
    <d v="2025-07-28T00:00:00"/>
    <d v="2025-07-28T00:00:00"/>
    <d v="2026-01-24T00:00:00"/>
    <m/>
    <m/>
    <m/>
    <s v="fle"/>
    <m/>
    <m/>
    <m/>
    <m/>
    <m/>
    <x v="2"/>
    <x v="0"/>
    <x v="0"/>
    <m/>
    <n v="1"/>
    <m/>
    <m/>
    <m/>
    <m/>
    <m/>
    <m/>
    <m/>
    <m/>
    <m/>
    <m/>
    <m/>
    <m/>
    <m/>
    <m/>
  </r>
  <r>
    <s v="Monsieur"/>
    <s v="OUAMALICH"/>
    <s v="Youssef"/>
    <n v="48"/>
    <m/>
    <s v="Oyonnax"/>
    <d v="2025-08-20T00:00:00"/>
    <d v="2025-09-17T00:00:00"/>
    <d v="2025-09-17T00:00:00"/>
    <d v="2026-03-16T00:00:00"/>
    <m/>
    <m/>
    <m/>
    <m/>
    <m/>
    <m/>
    <m/>
    <m/>
    <m/>
    <x v="3"/>
    <x v="0"/>
    <x v="0"/>
    <m/>
    <n v="1"/>
    <m/>
    <m/>
    <m/>
    <m/>
    <m/>
    <m/>
    <m/>
    <m/>
    <m/>
    <m/>
    <m/>
    <m/>
    <m/>
    <m/>
  </r>
  <r>
    <s v="Monsieur"/>
    <s v="VELAZQUEZ MAYA"/>
    <s v="Jose"/>
    <n v="48"/>
    <m/>
    <s v="Nantua"/>
    <d v="2025-06-30T00:00:00"/>
    <d v="2025-07-29T00:00:00"/>
    <d v="2025-08-25T00:00:00"/>
    <d v="2026-02-21T00:00:00"/>
    <m/>
    <m/>
    <m/>
    <s v="mobilité"/>
    <m/>
    <m/>
    <m/>
    <m/>
    <m/>
    <x v="3"/>
    <x v="0"/>
    <x v="0"/>
    <m/>
    <n v="1"/>
    <m/>
    <m/>
    <m/>
    <m/>
    <m/>
    <m/>
    <m/>
    <m/>
    <m/>
    <m/>
    <m/>
    <m/>
    <m/>
    <m/>
  </r>
  <r>
    <s v="Madame"/>
    <s v="GUNGOR"/>
    <s v="Ciydem"/>
    <n v="54"/>
    <m/>
    <s v="Oyonnax"/>
    <d v="2025-07-03T00:00:00"/>
    <d v="2025-07-18T00:00:00"/>
    <d v="2025-07-18T00:00:00"/>
    <d v="2026-01-14T00:00:00"/>
    <m/>
    <m/>
    <m/>
    <s v="fle"/>
    <s v="sante "/>
    <m/>
    <m/>
    <m/>
    <m/>
    <x v="1"/>
    <x v="1"/>
    <x v="0"/>
    <m/>
    <n v="1"/>
    <m/>
    <m/>
    <m/>
    <m/>
    <m/>
    <m/>
    <m/>
    <m/>
    <m/>
    <m/>
    <m/>
    <m/>
    <m/>
    <m/>
  </r>
  <r>
    <s v="Monsieur"/>
    <s v="AMAMOU"/>
    <s v="Driss"/>
    <n v="58"/>
    <m/>
    <s v="Oyonnax"/>
    <d v="2025-06-27T00:00:00"/>
    <d v="2025-08-14T00:00:00"/>
    <d v="2025-08-25T00:00:00"/>
    <d v="2026-02-21T00:00:00"/>
    <m/>
    <m/>
    <m/>
    <s v="SANTE"/>
    <s v="MOBILITE"/>
    <m/>
    <n v="0"/>
    <m/>
    <n v="0"/>
    <x v="1"/>
    <x v="4"/>
    <x v="0"/>
    <m/>
    <n v="1"/>
    <m/>
    <m/>
    <m/>
    <m/>
    <m/>
    <m/>
    <m/>
    <m/>
    <n v="1"/>
    <m/>
    <m/>
    <m/>
    <m/>
    <m/>
  </r>
  <r>
    <s v="Monsieur"/>
    <s v="STEMER"/>
    <s v="Pascal"/>
    <n v="52"/>
    <m/>
    <s v="Oyonnax"/>
    <d v="2025-06-04T00:00:00"/>
    <d v="2025-08-05T00:00:00"/>
    <d v="2025-08-05T00:00:00"/>
    <d v="2026-02-01T00:00:00"/>
    <m/>
    <m/>
    <m/>
    <m/>
    <m/>
    <m/>
    <m/>
    <m/>
    <m/>
    <x v="1"/>
    <x v="1"/>
    <x v="0"/>
    <m/>
    <m/>
    <m/>
    <m/>
    <m/>
    <m/>
    <m/>
    <m/>
    <m/>
    <m/>
    <n v="1"/>
    <m/>
    <m/>
    <m/>
    <m/>
    <m/>
  </r>
  <r>
    <s v="Madame"/>
    <s v="OZDEMIR"/>
    <s v="Sengül"/>
    <n v="43"/>
    <m/>
    <s v="Oyonnax"/>
    <d v="2025-06-23T00:00:00"/>
    <d v="2025-09-01T00:00:00"/>
    <d v="2025-09-23T00:00:00"/>
    <d v="2026-03-22T00:00:00"/>
    <m/>
    <m/>
    <m/>
    <s v="SANTE"/>
    <m/>
    <m/>
    <m/>
    <m/>
    <n v="1"/>
    <x v="1"/>
    <x v="1"/>
    <x v="0"/>
    <m/>
    <n v="1"/>
    <m/>
    <m/>
    <m/>
    <m/>
    <m/>
    <m/>
    <m/>
    <m/>
    <m/>
    <m/>
    <m/>
    <m/>
    <m/>
    <m/>
  </r>
  <r>
    <s v="Monsieur"/>
    <s v="AYNE"/>
    <s v="Levent"/>
    <n v="42"/>
    <m/>
    <s v="Oyonnax"/>
    <d v="2025-06-27T00:00:00"/>
    <d v="2025-08-06T00:00:00"/>
    <d v="2025-08-20T00:00:00"/>
    <d v="2026-02-16T00:00:00"/>
    <m/>
    <m/>
    <m/>
    <s v="mobilé"/>
    <m/>
    <m/>
    <m/>
    <m/>
    <n v="1"/>
    <x v="0"/>
    <x v="0"/>
    <x v="0"/>
    <m/>
    <n v="1"/>
    <m/>
    <m/>
    <m/>
    <m/>
    <m/>
    <m/>
    <m/>
    <m/>
    <m/>
    <m/>
    <m/>
    <m/>
    <m/>
    <m/>
  </r>
  <r>
    <s v="Monsieur"/>
    <s v="IKEN"/>
    <s v="Abdellah"/>
    <n v="49"/>
    <m/>
    <s v="Oyonnax"/>
    <d v="2025-06-27T00:00:00"/>
    <d v="2025-09-01T00:00:00"/>
    <d v="2025-10-17T00:00:00"/>
    <d v="2026-04-15T00:00:00"/>
    <m/>
    <m/>
    <m/>
    <m/>
    <m/>
    <m/>
    <m/>
    <m/>
    <m/>
    <x v="2"/>
    <x v="0"/>
    <x v="0"/>
    <m/>
    <n v="1"/>
    <m/>
    <m/>
    <m/>
    <m/>
    <m/>
    <m/>
    <m/>
    <m/>
    <m/>
    <m/>
    <m/>
    <m/>
    <m/>
    <m/>
  </r>
  <r>
    <s v="Monsieur"/>
    <s v="ESTEVEZ"/>
    <s v="YANN"/>
    <n v="34"/>
    <m/>
    <s v="Oyonnax"/>
    <m/>
    <d v="2025-11-24T00:00:00"/>
    <d v="2025-11-24T00:00:00"/>
    <d v="2026-05-23T00:00:00"/>
    <m/>
    <m/>
    <m/>
    <s v="mobilite"/>
    <m/>
    <m/>
    <m/>
    <m/>
    <m/>
    <x v="2"/>
    <x v="0"/>
    <x v="0"/>
    <m/>
    <n v="1"/>
    <m/>
    <m/>
    <m/>
    <m/>
    <m/>
    <m/>
    <m/>
    <m/>
    <m/>
    <m/>
    <m/>
    <m/>
    <m/>
    <m/>
  </r>
  <r>
    <s v="Monsieur"/>
    <s v="POURCHOUX"/>
    <s v="GUILLAUME"/>
    <n v="48"/>
    <m/>
    <s v="Oyonnax"/>
    <d v="2025-07-01T00:00:00"/>
    <d v="2025-12-10T00:00:00"/>
    <m/>
    <m/>
    <m/>
    <m/>
    <m/>
    <m/>
    <m/>
    <m/>
    <m/>
    <m/>
    <m/>
    <x v="3"/>
    <x v="0"/>
    <x v="0"/>
    <m/>
    <m/>
    <m/>
    <m/>
    <m/>
    <m/>
    <m/>
    <m/>
    <m/>
    <m/>
    <m/>
    <m/>
    <m/>
    <m/>
    <m/>
    <m/>
  </r>
  <r>
    <s v="Monsieur"/>
    <s v="YILDIRIM"/>
    <s v="Ozcan"/>
    <n v="35"/>
    <m/>
    <s v="Oyonnax"/>
    <d v="2025-06-27T00:00:00"/>
    <d v="2025-08-12T00:00:00"/>
    <d v="2025-08-12T00:00:00"/>
    <d v="2026-02-08T00:00:00"/>
    <m/>
    <m/>
    <m/>
    <m/>
    <m/>
    <m/>
    <m/>
    <m/>
    <m/>
    <x v="3"/>
    <x v="1"/>
    <x v="0"/>
    <m/>
    <m/>
    <m/>
    <m/>
    <m/>
    <m/>
    <m/>
    <m/>
    <m/>
    <m/>
    <m/>
    <m/>
    <m/>
    <m/>
    <m/>
    <m/>
  </r>
  <r>
    <s v="Madame"/>
    <s v="PILAS"/>
    <s v="SILVIE"/>
    <n v="60"/>
    <m/>
    <s v="Nantua"/>
    <d v="2025-07-01T00:00:00"/>
    <d v="2025-12-03T00:00:00"/>
    <d v="2025-12-03T00:00:00"/>
    <d v="2026-06-01T00:00:00"/>
    <m/>
    <m/>
    <m/>
    <m/>
    <m/>
    <m/>
    <m/>
    <m/>
    <m/>
    <x v="1"/>
    <x v="3"/>
    <x v="2"/>
    <d v="2026-02-25T00:00:00"/>
    <m/>
    <m/>
    <m/>
    <m/>
    <m/>
    <m/>
    <m/>
    <m/>
    <m/>
    <m/>
    <m/>
    <m/>
    <m/>
    <m/>
    <m/>
  </r>
  <r>
    <s v="Monsieur"/>
    <s v="BICER "/>
    <s v="AZIZ"/>
    <n v="40"/>
    <m/>
    <s v="Oyonnax"/>
    <d v="2026-01-05T00:00:00"/>
    <d v="2026-01-26T00:00:00"/>
    <d v="2026-02-13T00:00:00"/>
    <d v="2026-07-18T00:00:00"/>
    <m/>
    <m/>
    <m/>
    <s v="SANTE"/>
    <s v="garde enfants"/>
    <m/>
    <m/>
    <m/>
    <m/>
    <x v="1"/>
    <x v="1"/>
    <x v="0"/>
    <d v="2026-02-26T00:00:00"/>
    <m/>
    <m/>
    <m/>
    <m/>
    <m/>
    <m/>
    <m/>
    <m/>
    <m/>
    <m/>
    <m/>
    <m/>
    <m/>
    <m/>
    <m/>
  </r>
  <r>
    <s v="Monsieur"/>
    <s v="BENER"/>
    <s v="Yakup"/>
    <n v="49"/>
    <m/>
    <s v="Oyonnax"/>
    <d v="2025-04-17T00:00:00"/>
    <d v="2025-07-24T00:00:00"/>
    <d v="2025-08-13T00:00:00"/>
    <d v="2026-02-09T00:00:00"/>
    <m/>
    <m/>
    <m/>
    <m/>
    <m/>
    <m/>
    <m/>
    <m/>
    <m/>
    <x v="1"/>
    <x v="3"/>
    <x v="1"/>
    <m/>
    <n v="1"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4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adame"/>
    <s v="AKHMAL"/>
    <s v="Najat"/>
    <n v="44"/>
    <m/>
    <s v="Oyonnax"/>
    <d v="2025-07-07T00:00:00"/>
    <d v="2025-07-21T00:00:00"/>
    <d v="2025-07-21T00:00:00"/>
    <d v="2026-01-17T00:00:00"/>
    <s v="Renouvellement"/>
    <m/>
    <d v="1900-06-28T00:00:00"/>
    <s v="mobilité"/>
    <s v="sante"/>
    <m/>
    <n v="0"/>
    <m/>
    <m/>
    <m/>
    <m/>
    <m/>
    <m/>
    <n v="1"/>
    <m/>
    <m/>
    <m/>
    <m/>
    <n v="1"/>
    <m/>
    <m/>
    <m/>
    <m/>
    <m/>
    <m/>
    <m/>
    <m/>
    <m/>
    <s v="renouvellement - 1 mois d'arret maladie - PMSMP aide a domicile ABSENTE 25/05"/>
    <m/>
  </r>
  <r>
    <s v="Monsieur"/>
    <s v="AL-RIHEMAWEE"/>
    <s v="Qays"/>
    <n v="54"/>
    <m/>
    <s v="Oyonnax"/>
    <d v="2025-06-27T00:00:00"/>
    <d v="2025-07-30T00:00:00"/>
    <d v="2025-09-30T00:00:00"/>
    <d v="2026-03-29T00:00:00"/>
    <s v="Renouvellement"/>
    <m/>
    <d v="1900-06-28T00:00:00"/>
    <s v="mobilite"/>
    <s v="sante mentale"/>
    <m/>
    <n v="3"/>
    <n v="2"/>
    <m/>
    <m/>
    <m/>
    <m/>
    <m/>
    <n v="1"/>
    <m/>
    <m/>
    <m/>
    <m/>
    <m/>
    <n v="1"/>
    <m/>
    <m/>
    <m/>
    <m/>
    <m/>
    <m/>
    <m/>
    <m/>
    <s v="FLE - Défricheur ? Ne va plus au cours de francais / ne parle pas du tout le francais absent  atc 12/02 et entretien 13/04"/>
    <m/>
  </r>
  <r>
    <s v="Monsieur"/>
    <s v="ARBINOT"/>
    <s v="Alexandre"/>
    <n v="40"/>
    <m/>
    <s v="Nantua"/>
    <d v="2025-06-20T00:00:00"/>
    <d v="2025-08-11T00:00:00"/>
    <d v="2025-08-11T00:00:00"/>
    <d v="2026-02-07T00:00:00"/>
    <s v="Renouvellement"/>
    <m/>
    <d v="1900-06-28T00:00:00"/>
    <s v="SANTE"/>
    <s v="MOBILITE"/>
    <m/>
    <n v="0"/>
    <m/>
    <n v="1"/>
    <m/>
    <m/>
    <m/>
    <m/>
    <n v="1"/>
    <m/>
    <m/>
    <m/>
    <m/>
    <m/>
    <m/>
    <m/>
    <m/>
    <m/>
    <m/>
    <m/>
    <m/>
    <m/>
    <m/>
    <m/>
    <m/>
  </r>
  <r>
    <s v="Madame"/>
    <s v="BRAHIMI"/>
    <s v="Farida"/>
    <n v="56"/>
    <m/>
    <s v="Oyonnax"/>
    <d v="2025-07-02T00:00:00"/>
    <s v="25/07//2025"/>
    <d v="2025-08-13T00:00:00"/>
    <d v="2026-02-09T00:00:00"/>
    <m/>
    <m/>
    <d v="1900-06-28T00:00:00"/>
    <s v="SANTE"/>
    <s v="MOBILITE"/>
    <m/>
    <m/>
    <m/>
    <m/>
    <s v="Réorientation"/>
    <s v="Social freins+"/>
    <m/>
    <d v="2026-03-20T00:00:00"/>
    <n v="1"/>
    <m/>
    <m/>
    <m/>
    <m/>
    <m/>
    <m/>
    <m/>
    <m/>
    <m/>
    <m/>
    <m/>
    <m/>
    <m/>
    <m/>
    <s v="2e rdv 8/09/25// absent 2retour cli 2/12/25  et 24/04/26"/>
    <n v="1"/>
  </r>
  <r>
    <s v="Monsieur"/>
    <s v="CAVDAR"/>
    <s v="Tugay"/>
    <n v="26"/>
    <m/>
    <s v="Oyonnax"/>
    <d v="2025-05-28T00:00:00"/>
    <d v="2025-08-25T00:00:00"/>
    <d v="2025-09-29T00:00:00"/>
    <d v="2026-03-28T00:00:00"/>
    <m/>
    <m/>
    <d v="1900-06-28T00:00:00"/>
    <s v="SANTE"/>
    <s v="MOBILITE"/>
    <m/>
    <m/>
    <m/>
    <m/>
    <m/>
    <m/>
    <m/>
    <m/>
    <n v="1"/>
    <m/>
    <m/>
    <m/>
    <m/>
    <m/>
    <m/>
    <m/>
    <m/>
    <m/>
    <m/>
    <m/>
    <m/>
    <m/>
    <m/>
    <s v="absent le02/09  et le 1/10 ATC / pas repris contact Absent 09/06/26"/>
    <n v="1"/>
  </r>
  <r>
    <s v="Monsieur"/>
    <s v="CIMEN"/>
    <s v="Mehmet"/>
    <n v="41"/>
    <m/>
    <s v="Oyonnax"/>
    <d v="2025-06-12T00:00:00"/>
    <d v="2025-08-06T00:00:00"/>
    <d v="2025-08-27T00:00:00"/>
    <d v="2026-02-23T00:00:00"/>
    <m/>
    <m/>
    <d v="1900-06-28T00:00:00"/>
    <s v="SANTE"/>
    <s v="MOBILITE"/>
    <m/>
    <m/>
    <m/>
    <m/>
    <m/>
    <m/>
    <m/>
    <m/>
    <m/>
    <m/>
    <m/>
    <m/>
    <m/>
    <m/>
    <m/>
    <m/>
    <m/>
    <m/>
    <m/>
    <m/>
    <m/>
    <m/>
    <m/>
    <s v="absences répétes (agent sante et atelier) / Pas repris contact Absent 9/06/26"/>
    <n v="1"/>
  </r>
  <r>
    <s v="Madame"/>
    <s v="DESSAINTJEAN"/>
    <s v="Amandine"/>
    <n v="29"/>
    <m/>
    <s v="Nantua"/>
    <d v="2025-04-24T00:00:00"/>
    <d v="2025-08-26T00:00:00"/>
    <d v="2025-09-01T00:00:00"/>
    <d v="2026-02-28T00:00:00"/>
    <s v="Renouvellement"/>
    <m/>
    <d v="1900-06-28T00:00:00"/>
    <s v="mobilité"/>
    <s v="garde enfant"/>
    <m/>
    <n v="6"/>
    <n v="1"/>
    <m/>
    <m/>
    <m/>
    <m/>
    <m/>
    <n v="1"/>
    <m/>
    <m/>
    <m/>
    <m/>
    <m/>
    <m/>
    <m/>
    <m/>
    <m/>
    <m/>
    <m/>
    <m/>
    <m/>
    <m/>
    <s v="absente le 29/09 - projet ambulanciere"/>
    <m/>
  </r>
  <r>
    <s v="Monsieur"/>
    <s v="ERAMIL"/>
    <s v="Erhan"/>
    <n v="38"/>
    <m/>
    <s v="Oyonnax"/>
    <d v="2025-04-23T00:00:00"/>
    <d v="2025-08-11T00:00:00"/>
    <d v="2025-11-05T00:00:00"/>
    <d v="2026-05-04T00:00:00"/>
    <m/>
    <m/>
    <d v="1900-06-28T00:00:00"/>
    <m/>
    <m/>
    <m/>
    <n v="5"/>
    <m/>
    <m/>
    <m/>
    <m/>
    <m/>
    <m/>
    <n v="1"/>
    <m/>
    <m/>
    <m/>
    <m/>
    <m/>
    <m/>
    <m/>
    <m/>
    <m/>
    <m/>
    <m/>
    <m/>
    <m/>
    <m/>
    <s v="absent 11/08 et 28/08 - contact repris pour signer CE - Absent 31/12 ATC //contrôle le 22/04 // absent le 7/05 et ATC 12/05"/>
    <n v="1"/>
  </r>
  <r>
    <s v="Monsieur"/>
    <s v="GAYNUTDINOV"/>
    <s v="Rafael"/>
    <n v="54"/>
    <m/>
    <s v="Oyonnax"/>
    <d v="2025-06-27T00:00:00"/>
    <d v="2025-09-01T00:00:00"/>
    <d v="2025-07-30T00:00:00"/>
    <d v="2026-01-26T00:00:00"/>
    <s v="Renouvellement"/>
    <m/>
    <d v="1900-06-28T00:00:00"/>
    <s v="fle"/>
    <s v="sante "/>
    <m/>
    <n v="4"/>
    <m/>
    <m/>
    <m/>
    <m/>
    <m/>
    <m/>
    <n v="1"/>
    <m/>
    <m/>
    <m/>
    <m/>
    <m/>
    <m/>
    <m/>
    <m/>
    <m/>
    <m/>
    <m/>
    <m/>
    <m/>
    <m/>
    <m/>
    <m/>
  </r>
  <r>
    <s v="Monsieur"/>
    <s v="JUILLARD"/>
    <s v="Frédéric"/>
    <n v="45"/>
    <m/>
    <s v="Nantua"/>
    <d v="2025-06-30T00:00:00"/>
    <d v="2025-09-01T00:00:00"/>
    <d v="2025-08-21T00:00:00"/>
    <d v="2026-02-17T00:00:00"/>
    <s v="Renouvellement"/>
    <m/>
    <d v="1900-06-28T00:00:00"/>
    <s v="mobilite"/>
    <m/>
    <m/>
    <n v="3"/>
    <m/>
    <m/>
    <m/>
    <m/>
    <m/>
    <m/>
    <n v="1"/>
    <m/>
    <m/>
    <m/>
    <m/>
    <m/>
    <m/>
    <m/>
    <m/>
    <m/>
    <m/>
    <m/>
    <m/>
    <m/>
    <m/>
    <s v="aucun projet se bouger sinon suspension remob"/>
    <m/>
  </r>
  <r>
    <s v="Monsieur"/>
    <s v="KAMENICA"/>
    <s v="Ardit"/>
    <n v="25"/>
    <m/>
    <s v="Oyonnax"/>
    <d v="2025-07-09T00:00:00"/>
    <d v="2025-09-01T00:00:00"/>
    <d v="2025-07-22T00:00:00"/>
    <d v="2026-01-18T00:00:00"/>
    <s v="Renouvellement"/>
    <m/>
    <d v="1900-06-28T00:00:00"/>
    <s v="mobilite"/>
    <m/>
    <m/>
    <n v="3"/>
    <m/>
    <m/>
    <m/>
    <m/>
    <m/>
    <m/>
    <n v="1"/>
    <m/>
    <m/>
    <m/>
    <m/>
    <m/>
    <m/>
    <m/>
    <m/>
    <m/>
    <m/>
    <m/>
    <m/>
    <m/>
    <m/>
    <s v="SUSPENSION REMOBILISATION - 3j Aire arret / marie blachère arrêt  / contrat intermarché arret"/>
    <n v="1"/>
  </r>
  <r>
    <s v="Madame"/>
    <s v="KANBOUI"/>
    <s v="Zineb"/>
    <n v="36"/>
    <m/>
    <s v="Oyonnax"/>
    <d v="2025-04-23T00:00:00"/>
    <d v="2025-08-20T00:00:00"/>
    <d v="2025-09-16T00:00:00"/>
    <d v="2026-03-15T00:00:00"/>
    <s v="Renouvellement"/>
    <m/>
    <d v="1900-06-28T00:00:00"/>
    <s v="GARDE ENFANTS"/>
    <s v="fle"/>
    <m/>
    <n v="5"/>
    <m/>
    <m/>
    <m/>
    <m/>
    <m/>
    <m/>
    <n v="1"/>
    <m/>
    <m/>
    <m/>
    <m/>
    <m/>
    <m/>
    <m/>
    <m/>
    <m/>
    <m/>
    <m/>
    <m/>
    <m/>
    <m/>
    <s v="prend cours de francais "/>
    <m/>
  </r>
  <r>
    <s v="Madame"/>
    <s v="KONMAZ"/>
    <s v="Ayse"/>
    <n v="51"/>
    <m/>
    <s v="Oyonnax"/>
    <d v="2025-07-07T00:00:00"/>
    <d v="2025-08-25T00:00:00"/>
    <d v="2025-07-21T00:00:00"/>
    <d v="2026-01-17T00:00:00"/>
    <s v="Renouvellement"/>
    <m/>
    <d v="1900-06-28T00:00:00"/>
    <s v="mobilité"/>
    <m/>
    <m/>
    <n v="4"/>
    <n v="1"/>
    <m/>
    <m/>
    <m/>
    <m/>
    <m/>
    <n v="1"/>
    <m/>
    <m/>
    <m/>
    <m/>
    <m/>
    <m/>
    <m/>
    <m/>
    <m/>
    <m/>
    <m/>
    <m/>
    <m/>
    <m/>
    <s v="absent ATC 25/09 ET 6/01 ATC 8/01 : SUSPENSION REMOBILISATION"/>
    <n v="1"/>
  </r>
  <r>
    <s v="Monsieur"/>
    <s v="LAOUFI"/>
    <s v="Hamza"/>
    <n v="28"/>
    <m/>
    <s v="Oyonnax"/>
    <d v="2025-05-12T00:00:00"/>
    <d v="2025-08-25T00:00:00"/>
    <d v="2025-09-02T00:00:00"/>
    <d v="2026-03-01T00:00:00"/>
    <s v="Renouvellement"/>
    <m/>
    <d v="1900-06-28T00:00:00"/>
    <s v="mobilité"/>
    <m/>
    <m/>
    <n v="2"/>
    <n v="2"/>
    <n v="1"/>
    <m/>
    <m/>
    <m/>
    <m/>
    <n v="1"/>
    <m/>
    <m/>
    <m/>
    <m/>
    <m/>
    <m/>
    <m/>
    <m/>
    <m/>
    <m/>
    <m/>
    <m/>
    <m/>
    <m/>
    <s v="CDI DEPUIS 3/03"/>
    <m/>
  </r>
  <r>
    <s v="Madame"/>
    <s v="LAMBREZ"/>
    <s v="Angélique"/>
    <n v="44"/>
    <m/>
    <s v="Nantua"/>
    <d v="2025-07-16T00:00:00"/>
    <d v="2025-09-25T00:00:00"/>
    <d v="2025-09-25T00:00:00"/>
    <d v="2026-03-24T00:00:00"/>
    <s v="Renouvellement"/>
    <m/>
    <d v="1900-06-28T00:00:00"/>
    <s v="SANTE"/>
    <s v="mobilité"/>
    <m/>
    <n v="3"/>
    <m/>
    <n v="4"/>
    <m/>
    <m/>
    <m/>
    <m/>
    <n v="1"/>
    <m/>
    <m/>
    <m/>
    <m/>
    <m/>
    <m/>
    <m/>
    <m/>
    <m/>
    <m/>
    <m/>
    <m/>
    <m/>
    <m/>
    <s v="3 immersions"/>
    <m/>
  </r>
  <r>
    <s v="Madame"/>
    <s v="MOHAMMAD"/>
    <s v="Sania"/>
    <n v="33"/>
    <m/>
    <s v="Nantua"/>
    <d v="2025-07-09T00:00:00"/>
    <d v="2025-07-22T00:00:00"/>
    <d v="2025-08-11T00:00:00"/>
    <d v="2026-02-07T00:00:00"/>
    <s v="Renouvellement"/>
    <m/>
    <d v="1900-06-28T00:00:00"/>
    <s v="FLE +++"/>
    <s v="MOBILITE"/>
    <m/>
    <n v="5"/>
    <m/>
    <m/>
    <m/>
    <m/>
    <m/>
    <m/>
    <n v="1"/>
    <m/>
    <m/>
    <m/>
    <m/>
    <m/>
    <m/>
    <m/>
    <m/>
    <m/>
    <m/>
    <m/>
    <m/>
    <m/>
    <m/>
    <s v="barriere de la langue - pakistanaise - "/>
    <m/>
  </r>
  <r>
    <s v="Monsieur"/>
    <s v="NACIRY"/>
    <s v="Moussa"/>
    <n v="39"/>
    <m/>
    <s v="Oyonnax"/>
    <d v="2025-07-07T00:00:00"/>
    <d v="2025-07-21T00:00:00"/>
    <d v="2025-07-21T00:00:00"/>
    <d v="2026-01-17T00:00:00"/>
    <s v="Renouvellement"/>
    <m/>
    <d v="1900-06-28T00:00:00"/>
    <s v="mobilite"/>
    <m/>
    <m/>
    <n v="1"/>
    <n v="1"/>
    <m/>
    <m/>
    <m/>
    <m/>
    <m/>
    <n v="1"/>
    <m/>
    <m/>
    <m/>
    <m/>
    <m/>
    <m/>
    <m/>
    <m/>
    <m/>
    <m/>
    <m/>
    <m/>
    <m/>
    <m/>
    <s v="demission poste CDI - absent 12/01 et 15/01 26/01- SUSPENSION REMOB_x000a_absent ATC 16/03  CDD 2 MOIS"/>
    <m/>
  </r>
  <r>
    <s v="Madame"/>
    <s v="OZDEMIR"/>
    <s v="Songul"/>
    <n v="39"/>
    <m/>
    <s v="Oyonnax"/>
    <d v="2025-07-11T00:00:00"/>
    <d v="2025-09-15T00:00:00"/>
    <d v="2025-10-15T00:00:00"/>
    <d v="2026-04-13T00:00:00"/>
    <s v="Renouvellement"/>
    <m/>
    <d v="1900-06-28T00:00:00"/>
    <m/>
    <m/>
    <m/>
    <m/>
    <m/>
    <m/>
    <m/>
    <m/>
    <m/>
    <m/>
    <n v="1"/>
    <m/>
    <m/>
    <m/>
    <m/>
    <m/>
    <m/>
    <m/>
    <m/>
    <m/>
    <m/>
    <m/>
    <m/>
    <m/>
    <m/>
    <s v=" jusqu'en janvier 108h /mois - CDD successifs"/>
    <m/>
  </r>
  <r>
    <s v="Madame"/>
    <s v="OZKAN"/>
    <s v="Nezahat"/>
    <n v="50"/>
    <m/>
    <s v="Oyonnax"/>
    <d v="2025-06-27T00:00:00"/>
    <d v="2025-09-15T00:00:00"/>
    <d v="2025-10-07T00:00:00"/>
    <d v="2026-04-05T00:00:00"/>
    <s v="Renouvellement"/>
    <m/>
    <d v="1900-06-28T00:00:00"/>
    <s v="fle"/>
    <m/>
    <m/>
    <n v="5"/>
    <n v="1"/>
    <m/>
    <m/>
    <m/>
    <m/>
    <m/>
    <n v="1"/>
    <m/>
    <m/>
    <m/>
    <m/>
    <m/>
    <m/>
    <m/>
    <m/>
    <m/>
    <m/>
    <m/>
    <m/>
    <m/>
    <m/>
    <s v="absent 15/09, petite mission interim"/>
    <m/>
  </r>
  <r>
    <s v="Madame"/>
    <s v="OZTURK"/>
    <s v="Fatma"/>
    <n v="40"/>
    <m/>
    <s v="Oyonnax"/>
    <d v="2025-06-12T00:00:00"/>
    <d v="2025-09-15T00:00:00"/>
    <d v="2025-09-15T00:00:00"/>
    <d v="2026-03-14T00:00:00"/>
    <s v="Renouvellement"/>
    <m/>
    <d v="1900-06-28T00:00:00"/>
    <s v="GARDE ENFANTS"/>
    <m/>
    <m/>
    <n v="4"/>
    <n v="1"/>
    <n v="1"/>
    <m/>
    <m/>
    <m/>
    <m/>
    <n v="1"/>
    <m/>
    <m/>
    <m/>
    <m/>
    <m/>
    <m/>
    <m/>
    <m/>
    <m/>
    <m/>
    <m/>
    <m/>
    <m/>
    <s v="iae"/>
    <s v="projet ambulanciere"/>
    <m/>
  </r>
  <r>
    <s v="Monsieur"/>
    <s v="SAFI"/>
    <s v="Abdul"/>
    <n v="28"/>
    <m/>
    <s v="Oyonnax"/>
    <d v="2025-04-23T00:00:00"/>
    <d v="2025-09-01T00:00:00"/>
    <d v="2025-09-01T00:00:00"/>
    <d v="2026-02-28T00:00:00"/>
    <s v="Renouvellement"/>
    <m/>
    <d v="1900-06-28T00:00:00"/>
    <s v="fle"/>
    <m/>
    <m/>
    <m/>
    <m/>
    <m/>
    <m/>
    <m/>
    <m/>
    <m/>
    <m/>
    <m/>
    <m/>
    <m/>
    <m/>
    <m/>
    <m/>
    <m/>
    <m/>
    <m/>
    <m/>
    <m/>
    <m/>
    <m/>
    <m/>
    <s v="En emploi interimaire / pbme papier sur SDP impossible d'acceder à son dossier REPRENDRE CONTACT"/>
    <m/>
  </r>
  <r>
    <s v="Monsieur"/>
    <s v="SARROUKH"/>
    <s v="Mohcine"/>
    <n v="39"/>
    <m/>
    <s v="Oyonnax"/>
    <d v="2025-06-27T00:00:00"/>
    <d v="2025-08-11T00:00:00"/>
    <d v="2025-11-12T00:00:00"/>
    <d v="2026-05-11T00:00:00"/>
    <m/>
    <m/>
    <d v="1900-06-28T00:00:00"/>
    <s v="fle"/>
    <s v="MOBILITE"/>
    <m/>
    <n v="8"/>
    <m/>
    <m/>
    <m/>
    <m/>
    <m/>
    <m/>
    <n v="1"/>
    <m/>
    <m/>
    <m/>
    <m/>
    <m/>
    <n v="1"/>
    <m/>
    <m/>
    <m/>
    <m/>
    <m/>
    <m/>
    <m/>
    <s v="iae"/>
    <s v="absent 9/03"/>
    <m/>
  </r>
  <r>
    <s v="Madame"/>
    <s v="TARDY"/>
    <s v="Anaïs"/>
    <n v="36"/>
    <m/>
    <s v="Nantua"/>
    <d v="2025-06-23T00:00:00"/>
    <d v="2005-09-08T00:00:00"/>
    <d v="2025-09-02T00:00:00"/>
    <d v="2026-03-01T00:00:00"/>
    <s v="Tripartite"/>
    <m/>
    <d v="1900-06-28T00:00:00"/>
    <s v="GARDE ENFANTS"/>
    <s v="MOBILITE"/>
    <m/>
    <m/>
    <m/>
    <n v="1"/>
    <m/>
    <m/>
    <m/>
    <m/>
    <n v="1"/>
    <m/>
    <m/>
    <m/>
    <m/>
    <m/>
    <m/>
    <m/>
    <m/>
    <m/>
    <m/>
    <m/>
    <m/>
    <m/>
    <m/>
    <s v="absent atc 25/09"/>
    <m/>
  </r>
  <r>
    <s v="Madame"/>
    <s v="TECHER"/>
    <s v="Anaelle"/>
    <n v="30"/>
    <m/>
    <s v="Oyonnax"/>
    <d v="2025-06-27T00:00:00"/>
    <d v="2005-09-08T00:00:00"/>
    <d v="2025-09-09T00:00:00"/>
    <d v="2026-03-08T00:00:00"/>
    <s v="Renouvellement"/>
    <m/>
    <d v="1900-06-28T00:00:00"/>
    <s v="GARDE ENFANTS"/>
    <s v="MOBILITE"/>
    <m/>
    <n v="2"/>
    <m/>
    <m/>
    <m/>
    <m/>
    <m/>
    <m/>
    <n v="1"/>
    <m/>
    <m/>
    <m/>
    <m/>
    <m/>
    <m/>
    <m/>
    <m/>
    <m/>
    <m/>
    <m/>
    <m/>
    <m/>
    <m/>
    <s v="SANCTION REMOB A PREVOIR absent 2/02, atc 10/03 et 26/05"/>
    <m/>
  </r>
  <r>
    <s v="Monsieur"/>
    <s v="URCEL"/>
    <s v="Steve"/>
    <n v="38"/>
    <m/>
    <s v="Oyonnax"/>
    <d v="2025-07-08T00:00:00"/>
    <d v="2025-07-15T00:00:00"/>
    <d v="2025-12-05T00:00:00"/>
    <d v="2026-06-03T00:00:00"/>
    <m/>
    <m/>
    <d v="1900-06-28T00:00:00"/>
    <s v="SANTE"/>
    <s v="MOBILITE"/>
    <m/>
    <m/>
    <m/>
    <m/>
    <m/>
    <m/>
    <m/>
    <m/>
    <n v="1"/>
    <m/>
    <m/>
    <m/>
    <m/>
    <m/>
    <m/>
    <m/>
    <m/>
    <m/>
    <m/>
    <m/>
    <m/>
    <m/>
    <m/>
    <s v="contrat en Espagne qui s'est avéré etre une arnaque - demarches santé - fait des demarches en suisse_x000a_ absent le 05/06"/>
    <m/>
  </r>
  <r>
    <s v="Monsieur"/>
    <s v="AKAKHIL"/>
    <s v="Mohammed"/>
    <n v="25"/>
    <m/>
    <s v="Oyonnax"/>
    <d v="2025-09-05T00:00:00"/>
    <d v="2025-09-30T00:00:00"/>
    <d v="2025-10-21T00:00:00"/>
    <d v="2026-04-19T00:00:00"/>
    <s v="Renouvellement"/>
    <m/>
    <d v="1900-06-28T00:00:00"/>
    <s v="FLE +++"/>
    <s v="MOBILITE"/>
    <m/>
    <n v="1"/>
    <n v="1"/>
    <m/>
    <m/>
    <m/>
    <m/>
    <m/>
    <n v="1"/>
    <m/>
    <m/>
    <m/>
    <m/>
    <m/>
    <m/>
    <m/>
    <m/>
    <m/>
    <m/>
    <m/>
    <m/>
    <m/>
    <m/>
    <s v="600 HEURES OFII Aabsent 30/09 et 4/01 SUSENSION REMOB"/>
    <m/>
  </r>
  <r>
    <s v="Madame"/>
    <s v="GUERIAUD"/>
    <s v="Sabrina"/>
    <n v="37"/>
    <m/>
    <s v="Oyonnax"/>
    <d v="2025-06-02T00:00:00"/>
    <d v="2025-09-29T00:00:00"/>
    <d v="2025-10-21T00:00:00"/>
    <d v="2026-04-19T00:00:00"/>
    <s v="Renouvellement"/>
    <m/>
    <d v="1900-06-28T00:00:00"/>
    <s v="GARDE ENFANTS"/>
    <s v="MOBILITE"/>
    <m/>
    <n v="1"/>
    <n v="2"/>
    <n v="1"/>
    <m/>
    <m/>
    <m/>
    <m/>
    <n v="1"/>
    <m/>
    <m/>
    <m/>
    <m/>
    <m/>
    <m/>
    <m/>
    <m/>
    <m/>
    <m/>
    <m/>
    <m/>
    <m/>
    <m/>
    <s v="Absent 6/01 atc - lui parler du voile… absent atc 10/03 ET 19/05 JOB DATING"/>
    <m/>
  </r>
  <r>
    <s v="Madame"/>
    <s v="BELHASSAN"/>
    <s v="Ilham"/>
    <n v="32"/>
    <m/>
    <s v="Oyonnax"/>
    <d v="2025-10-06T00:00:00"/>
    <d v="2025-10-22T00:00:00"/>
    <d v="2025-11-19T00:00:00"/>
    <d v="2026-05-18T00:00:00"/>
    <m/>
    <m/>
    <d v="1900-06-28T00:00:00"/>
    <s v="GARDE ENFANTS"/>
    <m/>
    <m/>
    <n v="3"/>
    <n v="1"/>
    <n v="1"/>
    <m/>
    <m/>
    <m/>
    <m/>
    <n v="1"/>
    <m/>
    <m/>
    <m/>
    <m/>
    <m/>
    <m/>
    <m/>
    <m/>
    <m/>
    <m/>
    <m/>
    <m/>
    <m/>
    <m/>
    <m/>
    <m/>
  </r>
  <r>
    <s v="Monsieur"/>
    <s v="KAPTAN"/>
    <s v="Ridvan"/>
    <n v="29"/>
    <s v="CAP"/>
    <s v="Oyonnax"/>
    <d v="2025-10-29T00:00:00"/>
    <d v="2025-11-18T00:00:00"/>
    <d v="2025-11-18T00:00:00"/>
    <d v="2026-05-17T00:00:00"/>
    <m/>
    <m/>
    <d v="1900-06-28T00:00:00"/>
    <s v="mobilite"/>
    <m/>
    <m/>
    <m/>
    <m/>
    <m/>
    <m/>
    <m/>
    <m/>
    <m/>
    <n v="1"/>
    <m/>
    <m/>
    <m/>
    <m/>
    <m/>
    <m/>
    <m/>
    <m/>
    <m/>
    <m/>
    <m/>
    <m/>
    <m/>
    <m/>
    <s v="absent 10/12 ET ATC 8/01 et 15/01 -ATC 16/03 ( justificatif en attente)// absent  7/04 et atc 16/04"/>
    <m/>
  </r>
  <r>
    <s v="Madame"/>
    <s v="LEGGUI"/>
    <s v="HAFIDA"/>
    <n v="34"/>
    <m/>
    <s v="Oyonnax"/>
    <d v="2025-12-22T00:00:00"/>
    <d v="2026-01-19T00:00:00"/>
    <d v="2026-01-19T00:00:00"/>
    <d v="2026-07-18T00:00:00"/>
    <m/>
    <m/>
    <d v="1900-06-28T00:00:00"/>
    <s v="GARDE ENFANT"/>
    <s v="MOBILITE"/>
    <m/>
    <m/>
    <m/>
    <n v="1"/>
    <m/>
    <m/>
    <m/>
    <m/>
    <n v="1"/>
    <m/>
    <m/>
    <m/>
    <m/>
    <m/>
    <m/>
    <m/>
    <m/>
    <m/>
    <m/>
    <m/>
    <m/>
    <m/>
    <m/>
    <s v="absent 19/01/26   CDD 20/04 AU 31/07"/>
    <m/>
  </r>
  <r>
    <s v="Monsieur"/>
    <s v="BENHAMED"/>
    <s v="ZIED"/>
    <n v="47"/>
    <m/>
    <s v="Oyonnax"/>
    <d v="2026-01-07T00:00:00"/>
    <d v="2026-01-26T00:00:00"/>
    <d v="2026-04-14T00:00:00"/>
    <d v="2026-10-11T00:00:00"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s v="Absent 26/01 et 12/03"/>
    <m/>
  </r>
  <r>
    <s v="Monsieur"/>
    <s v="SIOUDA"/>
    <s v="OUSSAMA"/>
    <n v="35"/>
    <m/>
    <s v="Oyonnax"/>
    <d v="2026-01-14T00:00:00"/>
    <d v="2026-01-28T00:00:00"/>
    <d v="2026-01-28T00:00:00"/>
    <d v="2026-07-27T00:00:00"/>
    <m/>
    <m/>
    <d v="1900-06-28T00:00:00"/>
    <m/>
    <m/>
    <m/>
    <n v="4"/>
    <n v="4"/>
    <m/>
    <m/>
    <m/>
    <m/>
    <m/>
    <n v="1"/>
    <m/>
    <m/>
    <m/>
    <m/>
    <m/>
    <m/>
    <m/>
    <m/>
    <m/>
    <m/>
    <m/>
    <m/>
    <m/>
    <m/>
    <s v=" PAS ACCES SDP Absent 18/02 et 18/05"/>
    <m/>
  </r>
  <r>
    <s v="Monsieur"/>
    <s v="NEUVILLE"/>
    <s v="Mickael "/>
    <n v="30"/>
    <m/>
    <s v="Nantua"/>
    <d v="2026-01-14T00:00:00"/>
    <d v="2026-02-17T00:00:00"/>
    <d v="2026-02-17T00:00:00"/>
    <d v="2026-08-16T00:00:00"/>
    <m/>
    <m/>
    <d v="1900-06-28T00:00:00"/>
    <s v="mobilite"/>
    <m/>
    <m/>
    <n v="1"/>
    <m/>
    <n v="2"/>
    <m/>
    <m/>
    <m/>
    <m/>
    <m/>
    <m/>
    <m/>
    <m/>
    <m/>
    <m/>
    <m/>
    <m/>
    <m/>
    <m/>
    <m/>
    <m/>
    <m/>
    <m/>
    <m/>
    <s v="Absent  ATC 16/04"/>
    <m/>
  </r>
  <r>
    <s v="Madame"/>
    <s v="MARCHAND/BOUAKKAZ"/>
    <s v="DJIDA"/>
    <n v="56"/>
    <m/>
    <s v="Oyonnax"/>
    <d v="2026-01-14T00:00:00"/>
    <d v="2026-01-28T00:00:00"/>
    <d v="2026-01-28T00:00:00"/>
    <d v="2026-07-27T00:00:00"/>
    <m/>
    <m/>
    <d v="1900-06-28T00:00:00"/>
    <s v="SANTE"/>
    <s v="MOBILITE"/>
    <m/>
    <n v="1"/>
    <m/>
    <n v="2"/>
    <m/>
    <m/>
    <m/>
    <m/>
    <n v="1"/>
    <m/>
    <m/>
    <m/>
    <m/>
    <n v="1"/>
    <m/>
    <m/>
    <m/>
    <m/>
    <m/>
    <m/>
    <m/>
    <m/>
    <m/>
    <m/>
    <m/>
  </r>
  <r>
    <s v="Monsieur"/>
    <s v="TIMSILINE"/>
    <s v="DJAFFAR"/>
    <n v="36"/>
    <m/>
    <s v="Oyonnax"/>
    <d v="2026-02-04T00:00:00"/>
    <d v="2026-02-24T00:00:00"/>
    <d v="2026-02-24T00:00:00"/>
    <d v="2026-08-23T00:00:00"/>
    <m/>
    <m/>
    <d v="1900-06-28T00:00:00"/>
    <s v="mobilite"/>
    <m/>
    <m/>
    <n v="2"/>
    <m/>
    <m/>
    <m/>
    <m/>
    <m/>
    <m/>
    <n v="1"/>
    <m/>
    <m/>
    <m/>
    <m/>
    <m/>
    <m/>
    <m/>
    <m/>
    <m/>
    <m/>
    <m/>
    <m/>
    <m/>
    <m/>
    <s v="absent atc 16/04 et 17/04"/>
    <m/>
  </r>
  <r>
    <s v="Madame"/>
    <s v="PONSON"/>
    <s v="FRANCOISE"/>
    <n v="58"/>
    <m/>
    <s v="Oyonnax"/>
    <d v="2026-02-09T00:00:00"/>
    <d v="2026-02-27T00:00:00"/>
    <d v="2026-02-27T00:00:00"/>
    <d v="2026-08-26T00:00:00"/>
    <m/>
    <m/>
    <d v="1900-06-28T00:00:00"/>
    <m/>
    <m/>
    <m/>
    <n v="5"/>
    <m/>
    <m/>
    <m/>
    <m/>
    <m/>
    <m/>
    <n v="1"/>
    <m/>
    <m/>
    <m/>
    <m/>
    <m/>
    <m/>
    <m/>
    <m/>
    <m/>
    <m/>
    <m/>
    <m/>
    <m/>
    <m/>
    <m/>
    <m/>
  </r>
  <r>
    <s v="Madame"/>
    <s v="NAOUMI "/>
    <s v="MILOUDA"/>
    <n v="41"/>
    <m/>
    <s v="Oyonnax"/>
    <d v="2026-02-09T00:00:00"/>
    <d v="2026-02-27T00:00:00"/>
    <d v="2026-02-27T00:00:00"/>
    <d v="2026-08-26T00:00:00"/>
    <m/>
    <m/>
    <d v="1900-06-28T00:00:00"/>
    <s v="GARDE ENFANT"/>
    <s v="MOBILITE"/>
    <m/>
    <n v="2"/>
    <m/>
    <m/>
    <m/>
    <m/>
    <m/>
    <m/>
    <n v="1"/>
    <m/>
    <m/>
    <m/>
    <m/>
    <m/>
    <m/>
    <m/>
    <m/>
    <m/>
    <m/>
    <m/>
    <m/>
    <m/>
    <m/>
    <s v="absent atc 10/03"/>
    <m/>
  </r>
  <r>
    <s v="Monsieur"/>
    <s v="MORFIN"/>
    <s v="FREDERIC"/>
    <n v="55"/>
    <m/>
    <s v="Nantua"/>
    <d v="2026-04-02T00:00:00"/>
    <d v="2026-04-21T00:00:00"/>
    <d v="2026-04-21T00:00:00"/>
    <d v="2026-10-18T00:00:00"/>
    <m/>
    <m/>
    <d v="1900-06-28T00:00:00"/>
    <s v="mobilite"/>
    <m/>
    <m/>
    <n v="1"/>
    <m/>
    <m/>
    <m/>
    <m/>
    <m/>
    <m/>
    <m/>
    <m/>
    <m/>
    <m/>
    <m/>
    <m/>
    <m/>
    <m/>
    <m/>
    <m/>
    <m/>
    <m/>
    <m/>
    <m/>
    <m/>
    <s v="Absent 10/02 et le 11/03"/>
    <m/>
  </r>
  <r>
    <s v="Madame"/>
    <s v="LEBRET"/>
    <s v="ISABELLE"/>
    <n v="53"/>
    <m/>
    <s v="Oyonnax"/>
    <d v="2026-03-09T00:00:00"/>
    <d v="2026-03-31T00:00:00"/>
    <d v="2026-04-16T00:00:00"/>
    <d v="2026-10-13T00:00:00"/>
    <m/>
    <m/>
    <d v="1900-06-28T00:00:00"/>
    <s v="mobilite"/>
    <m/>
    <m/>
    <n v="2"/>
    <m/>
    <m/>
    <m/>
    <m/>
    <m/>
    <m/>
    <m/>
    <m/>
    <m/>
    <m/>
    <m/>
    <m/>
    <m/>
    <m/>
    <m/>
    <m/>
    <m/>
    <m/>
    <m/>
    <m/>
    <m/>
    <m/>
    <m/>
  </r>
  <r>
    <s v="Madame"/>
    <s v="SECGIN"/>
    <s v="MERYEM"/>
    <n v="50"/>
    <m/>
    <s v="Oyonnax"/>
    <d v="2026-03-11T00:00:00"/>
    <d v="2026-03-31T00:00:00"/>
    <d v="2026-03-31T00:00:00"/>
    <d v="2026-09-27T00:00:00"/>
    <m/>
    <m/>
    <d v="1900-06-28T00:00:00"/>
    <s v="mobilte"/>
    <m/>
    <m/>
    <m/>
    <m/>
    <m/>
    <m/>
    <m/>
    <m/>
    <m/>
    <m/>
    <m/>
    <m/>
    <m/>
    <m/>
    <m/>
    <m/>
    <m/>
    <m/>
    <m/>
    <m/>
    <m/>
    <m/>
    <m/>
    <m/>
    <s v="absent 22/04 et 11/05"/>
    <m/>
  </r>
  <r>
    <s v="Madame"/>
    <s v="COLLOMB"/>
    <s v="CATHERINE"/>
    <n v="61"/>
    <m/>
    <s v="Nantua"/>
    <d v="2026-04-03T00:00:00"/>
    <d v="2026-04-21T00:00:00"/>
    <d v="2026-04-21T00:00:00"/>
    <d v="2026-10-18T00:00:00"/>
    <m/>
    <m/>
    <d v="1900-06-28T00:00:00"/>
    <m/>
    <m/>
    <m/>
    <n v="2"/>
    <m/>
    <m/>
    <m/>
    <m/>
    <m/>
    <m/>
    <m/>
    <m/>
    <m/>
    <m/>
    <m/>
    <m/>
    <m/>
    <m/>
    <m/>
    <m/>
    <m/>
    <m/>
    <m/>
    <m/>
    <m/>
    <m/>
    <m/>
  </r>
  <r>
    <s v="Monsieur"/>
    <s v="CHAMCHAM "/>
    <s v="M'barek"/>
    <n v="56"/>
    <m/>
    <s v="Oyonnax"/>
    <d v="2026-04-09T00:00:00"/>
    <d v="2026-04-28T00:00:00"/>
    <d v="2026-04-28T00:00:00"/>
    <d v="2026-10-25T00:00:00"/>
    <m/>
    <m/>
    <d v="1900-06-28T00:00:00"/>
    <s v="langue"/>
    <m/>
    <m/>
    <n v="1"/>
    <m/>
    <m/>
    <m/>
    <m/>
    <m/>
    <m/>
    <m/>
    <m/>
    <m/>
    <m/>
    <m/>
    <m/>
    <n v="1"/>
    <m/>
    <m/>
    <m/>
    <m/>
    <m/>
    <m/>
    <m/>
    <m/>
    <m/>
    <m/>
  </r>
  <r>
    <s v="Monsieur"/>
    <s v="CHEVAUCHET "/>
    <s v="Andy"/>
    <n v="38"/>
    <m/>
    <s v="Oyonnax"/>
    <d v="2026-04-03T00:00:00"/>
    <d v="2026-04-28T00:00:00"/>
    <d v="2026-04-28T00:00:00"/>
    <d v="2026-10-25T00:00:00"/>
    <m/>
    <m/>
    <d v="1900-06-28T00:00:00"/>
    <s v="SANTE"/>
    <s v="MOBILITE"/>
    <m/>
    <n v="2"/>
    <m/>
    <m/>
    <m/>
    <m/>
    <m/>
    <m/>
    <m/>
    <m/>
    <m/>
    <m/>
    <m/>
    <m/>
    <m/>
    <m/>
    <m/>
    <m/>
    <m/>
    <m/>
    <m/>
    <m/>
    <m/>
    <m/>
    <m/>
  </r>
  <r>
    <s v="Madame"/>
    <s v="EL BARHMI "/>
    <s v="Chaima"/>
    <n v="26"/>
    <m/>
    <s v="Oyonnax"/>
    <d v="2026-04-10T00:00:00"/>
    <d v="2026-04-29T00:00:00"/>
    <d v="2026-04-29T00:00:00"/>
    <d v="2026-10-26T00:00:00"/>
    <m/>
    <m/>
    <d v="1900-06-28T00:00:00"/>
    <m/>
    <m/>
    <m/>
    <n v="1"/>
    <m/>
    <m/>
    <m/>
    <m/>
    <m/>
    <m/>
    <m/>
    <m/>
    <m/>
    <m/>
    <m/>
    <m/>
    <m/>
    <m/>
    <m/>
    <m/>
    <m/>
    <m/>
    <m/>
    <m/>
    <m/>
    <m/>
    <m/>
  </r>
  <r>
    <s v="Monsieur"/>
    <s v="LOPES CABRAL "/>
    <s v="Jose"/>
    <n v="44"/>
    <m/>
    <s v="Oyonnax"/>
    <d v="2026-04-03T00:00:00"/>
    <d v="2026-04-27T00:00:00"/>
    <d v="2026-05-11T00:00:00"/>
    <d v="2026-11-07T00:00:00"/>
    <m/>
    <m/>
    <d v="1900-06-28T00:00:00"/>
    <s v="sante "/>
    <m/>
    <m/>
    <m/>
    <m/>
    <m/>
    <m/>
    <m/>
    <m/>
    <m/>
    <m/>
    <m/>
    <m/>
    <m/>
    <m/>
    <m/>
    <m/>
    <m/>
    <m/>
    <m/>
    <m/>
    <m/>
    <m/>
    <m/>
    <m/>
    <s v="ABSENT 27/04"/>
    <m/>
  </r>
  <r>
    <s v="Monsieur"/>
    <s v="RISSELIN "/>
    <s v="Pierre"/>
    <n v="29"/>
    <m/>
    <s v="Oyonnax"/>
    <d v="2026-03-03T00:00:00"/>
    <d v="2026-04-28T00:00:00"/>
    <d v="2026-04-28T00:00:00"/>
    <d v="2026-10-25T00:00:00"/>
    <m/>
    <m/>
    <d v="1900-06-28T00:00:00"/>
    <s v="mobilite"/>
    <m/>
    <m/>
    <n v="1"/>
    <m/>
    <m/>
    <m/>
    <m/>
    <m/>
    <m/>
    <m/>
    <m/>
    <m/>
    <m/>
    <m/>
    <m/>
    <m/>
    <m/>
    <m/>
    <m/>
    <m/>
    <m/>
    <m/>
    <m/>
    <m/>
    <m/>
    <m/>
  </r>
  <r>
    <s v="Monsieur"/>
    <s v="BEL HAJ MOHAMED "/>
    <s v="Ahmed"/>
    <n v="60"/>
    <m/>
    <s v="Oyonnax"/>
    <d v="2026-04-13T00:00:00"/>
    <d v="2026-04-29T00:00:00"/>
    <d v="2026-04-29T00:00:00"/>
    <d v="2026-10-26T00:00:00"/>
    <m/>
    <m/>
    <d v="1900-06-28T00:00:00"/>
    <s v="sante "/>
    <s v="MOBILITE"/>
    <m/>
    <m/>
    <m/>
    <m/>
    <m/>
    <m/>
    <m/>
    <m/>
    <m/>
    <m/>
    <m/>
    <m/>
    <m/>
    <m/>
    <m/>
    <m/>
    <m/>
    <m/>
    <m/>
    <m/>
    <m/>
    <m/>
    <m/>
    <m/>
    <m/>
  </r>
  <r>
    <s v="Monsieur"/>
    <s v="SAHBAZER "/>
    <s v="Fatih"/>
    <n v="45"/>
    <m/>
    <s v="Nantua"/>
    <d v="2026-04-27T00:00:00"/>
    <d v="2026-05-12T00:00:00"/>
    <d v="2026-05-12T00:00:00"/>
    <d v="2026-11-08T00:00:00"/>
    <m/>
    <m/>
    <d v="1900-06-28T00:00:00"/>
    <m/>
    <m/>
    <m/>
    <n v="1"/>
    <m/>
    <m/>
    <m/>
    <m/>
    <m/>
    <m/>
    <m/>
    <m/>
    <m/>
    <m/>
    <m/>
    <m/>
    <m/>
    <m/>
    <m/>
    <m/>
    <m/>
    <m/>
    <m/>
    <m/>
    <m/>
    <m/>
    <m/>
  </r>
  <r>
    <s v="Monsieur"/>
    <s v="AMAL "/>
    <s v=" Zine-El-Abidi"/>
    <n v="33"/>
    <m/>
    <s v="Oyonnax"/>
    <d v="2026-05-26T00:00:00"/>
    <d v="2026-06-12T00:00:00"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s v="ABSENT 12/06/26"/>
    <m/>
  </r>
  <r>
    <s v="Madame"/>
    <s v="BAMBA "/>
    <s v="Tenimba"/>
    <n v="30"/>
    <m/>
    <s v="Oyonnax"/>
    <d v="2026-05-26T00:00:00"/>
    <d v="2026-06-15T00:00:00"/>
    <d v="2026-06-15T00:00:00"/>
    <d v="2026-12-12T00:00:00"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RODRIGUEZ- PODESTA "/>
    <s v="Alexis"/>
    <n v="27"/>
    <m/>
    <s v="Oyonnax"/>
    <d v="2026-05-26T00:00:00"/>
    <d v="2026-06-12T00:00:00"/>
    <d v="2026-06-12T00:00:00"/>
    <d v="2026-12-09T00:00:00"/>
    <m/>
    <m/>
    <d v="1900-06-28T00:00:00"/>
    <s v="SANTE"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YILDIZ "/>
    <s v="Yusuf"/>
    <n v="45"/>
    <m/>
    <s v="Oyonnax"/>
    <d v="2026-05-26T00:00:00"/>
    <d v="2026-06-16T00:00:00"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adame"/>
    <s v="ROSSIGNOL "/>
    <s v="Tiffany"/>
    <n v="32"/>
    <m/>
    <s v="Oyonnax"/>
    <d v="2026-05-07T00:00:00"/>
    <d v="2026-05-18T00:00:00"/>
    <d v="2026-06-03T00:00:00"/>
    <d v="2026-11-30T00:00:00"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BOUNABI "/>
    <s v="Azedine"/>
    <m/>
    <m/>
    <s v="Oyonnax"/>
    <d v="2026-06-03T00:00:00"/>
    <d v="2026-06-19T00:00:00"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CHAU"/>
    <s v="Georges "/>
    <m/>
    <m/>
    <s v="Oyonnax"/>
    <d v="2026-06-03T00:00:00"/>
    <d v="2026-06-23T00:00:00"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FLIPO "/>
    <s v="Morgann"/>
    <m/>
    <m/>
    <s v="Oyonnax"/>
    <d v="2026-06-03T00:00:00"/>
    <d v="2026-06-16T00:00:00"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ABID"/>
    <s v="Mimoun"/>
    <n v="62"/>
    <m/>
    <s v="Oyonnax"/>
    <d v="2025-06-27T00:00:00"/>
    <d v="2025-07-29T00:00:00"/>
    <m/>
    <m/>
    <m/>
    <m/>
    <d v="1900-06-28T00:00:00"/>
    <m/>
    <m/>
    <m/>
    <m/>
    <m/>
    <m/>
    <s v="Réorientation"/>
    <s v="Sociale retraite"/>
    <m/>
    <m/>
    <m/>
    <m/>
    <m/>
    <m/>
    <m/>
    <m/>
    <m/>
    <m/>
    <m/>
    <m/>
    <m/>
    <m/>
    <m/>
    <m/>
    <m/>
    <m/>
    <m/>
  </r>
  <r>
    <s v="Monsieur"/>
    <s v="ALOUANE"/>
    <s v="Cherif"/>
    <n v="42"/>
    <m/>
    <s v="Oyonnax"/>
    <d v="2025-06-04T00:00:00"/>
    <d v="2025-08-06T00:00:00"/>
    <m/>
    <m/>
    <m/>
    <m/>
    <d v="1900-06-28T00:00:00"/>
    <m/>
    <m/>
    <m/>
    <m/>
    <m/>
    <m/>
    <s v="Réorientation"/>
    <s v="FT acc pro"/>
    <m/>
    <m/>
    <m/>
    <m/>
    <m/>
    <m/>
    <m/>
    <m/>
    <m/>
    <m/>
    <m/>
    <m/>
    <m/>
    <m/>
    <m/>
    <m/>
    <m/>
    <s v="parcours accompagnement FT et suivi formation"/>
    <m/>
  </r>
  <r>
    <s v="Monsieur"/>
    <s v="BAJRAMOV"/>
    <s v="Sebastijan"/>
    <n v="48"/>
    <m/>
    <s v="Oyonnax"/>
    <d v="2025-07-08T00:00:00"/>
    <d v="2025-07-16T00:00:00"/>
    <m/>
    <m/>
    <m/>
    <m/>
    <d v="1900-06-28T00:00:00"/>
    <m/>
    <m/>
    <m/>
    <m/>
    <m/>
    <m/>
    <s v="Réorientation"/>
    <s v="Social freins+"/>
    <m/>
    <m/>
    <m/>
    <m/>
    <m/>
    <m/>
    <m/>
    <m/>
    <m/>
    <m/>
    <m/>
    <m/>
    <m/>
    <m/>
    <m/>
    <m/>
    <m/>
    <s v="parti à l'etranger depuis ne s'est jamais inscrit à FT"/>
    <m/>
  </r>
  <r>
    <s v="Monsieur"/>
    <s v="BEDOUI"/>
    <s v="Abdeslam"/>
    <n v="74"/>
    <m/>
    <s v="Oyonnax"/>
    <d v="2025-07-08T00:00:00"/>
    <d v="2025-07-17T00:00:00"/>
    <m/>
    <m/>
    <m/>
    <m/>
    <d v="1900-06-28T00:00:00"/>
    <m/>
    <m/>
    <m/>
    <m/>
    <m/>
    <m/>
    <s v="Réorientation"/>
    <s v="Sociale retraite"/>
    <m/>
    <m/>
    <m/>
    <m/>
    <m/>
    <m/>
    <m/>
    <m/>
    <m/>
    <m/>
    <m/>
    <m/>
    <m/>
    <m/>
    <m/>
    <m/>
    <m/>
    <m/>
    <m/>
  </r>
  <r>
    <s v="Monsieur"/>
    <s v="BEN MABROUK"/>
    <s v="Souliman"/>
    <n v="35"/>
    <m/>
    <s v="Oyonnax"/>
    <d v="2025-06-11T00:00:00"/>
    <d v="2025-08-20T00:00:00"/>
    <m/>
    <m/>
    <m/>
    <m/>
    <d v="1900-06-28T00:00:00"/>
    <m/>
    <m/>
    <m/>
    <m/>
    <m/>
    <m/>
    <s v="Réorientation"/>
    <s v="Arret mal longue durée"/>
    <m/>
    <m/>
    <m/>
    <m/>
    <m/>
    <m/>
    <m/>
    <m/>
    <m/>
    <m/>
    <m/>
    <m/>
    <m/>
    <m/>
    <m/>
    <m/>
    <m/>
    <m/>
    <m/>
  </r>
  <r>
    <s v="Monsieur"/>
    <s v="BEQIRI"/>
    <s v="Bejta"/>
    <n v="76"/>
    <m/>
    <s v="Oyonnax"/>
    <d v="2025-07-08T00:00:00"/>
    <d v="2025-08-20T00:00:00"/>
    <m/>
    <m/>
    <m/>
    <m/>
    <d v="1900-06-28T00:00:00"/>
    <m/>
    <m/>
    <m/>
    <m/>
    <m/>
    <m/>
    <s v="Réorientation"/>
    <s v="Sociale retraite"/>
    <m/>
    <m/>
    <m/>
    <m/>
    <m/>
    <m/>
    <m/>
    <m/>
    <m/>
    <m/>
    <m/>
    <m/>
    <m/>
    <m/>
    <m/>
    <m/>
    <m/>
    <m/>
    <m/>
  </r>
  <r>
    <s v="Madame"/>
    <s v="BERTHET-BONDET"/>
    <s v="Margot"/>
    <n v="41"/>
    <m/>
    <s v="Nantua"/>
    <d v="2025-05-27T00:00:00"/>
    <d v="2025-09-02T00:00:00"/>
    <m/>
    <m/>
    <m/>
    <m/>
    <d v="1900-06-28T00:00:00"/>
    <m/>
    <m/>
    <m/>
    <m/>
    <m/>
    <m/>
    <s v="Réorientation"/>
    <s v="Social freins+"/>
    <m/>
    <m/>
    <m/>
    <m/>
    <m/>
    <m/>
    <m/>
    <m/>
    <m/>
    <m/>
    <m/>
    <m/>
    <m/>
    <m/>
    <m/>
    <m/>
    <m/>
    <m/>
    <m/>
  </r>
  <r>
    <s v="Monsieur"/>
    <s v="BORSLA"/>
    <s v="Tewfik"/>
    <n v="63"/>
    <m/>
    <s v="Oyonnax"/>
    <d v="2025-06-23T00:00:00"/>
    <d v="2025-07-29T00:00:00"/>
    <m/>
    <m/>
    <m/>
    <m/>
    <d v="1900-06-28T00:00:00"/>
    <m/>
    <m/>
    <m/>
    <m/>
    <m/>
    <m/>
    <s v="Réorientation"/>
    <s v="Social freins+"/>
    <m/>
    <m/>
    <m/>
    <m/>
    <m/>
    <m/>
    <m/>
    <m/>
    <m/>
    <m/>
    <m/>
    <m/>
    <m/>
    <m/>
    <m/>
    <m/>
    <m/>
    <s v="certificat medical"/>
    <m/>
  </r>
  <r>
    <s v="Monsieur"/>
    <s v="CAVDAR"/>
    <s v="Ibrahim"/>
    <n v="61"/>
    <m/>
    <s v="Oyonnax"/>
    <d v="2025-06-12T00:00:00"/>
    <d v="2025-08-25T00:00:00"/>
    <m/>
    <m/>
    <m/>
    <m/>
    <d v="1900-06-28T00:00:00"/>
    <m/>
    <m/>
    <m/>
    <m/>
    <m/>
    <m/>
    <s v="Réorientation"/>
    <s v="Sociale retraite"/>
    <m/>
    <m/>
    <n v="1"/>
    <m/>
    <m/>
    <m/>
    <m/>
    <m/>
    <m/>
    <m/>
    <m/>
    <n v="1"/>
    <m/>
    <m/>
    <m/>
    <m/>
    <m/>
    <m/>
    <m/>
  </r>
  <r>
    <s v="Monsieur"/>
    <s v="CEYZERIAT"/>
    <s v="Samuel"/>
    <n v="46"/>
    <m/>
    <s v="Nantua"/>
    <d v="2025-04-23T00:00:00"/>
    <d v="2025-08-26T00:00:00"/>
    <m/>
    <m/>
    <m/>
    <m/>
    <d v="1900-06-28T00:00:00"/>
    <m/>
    <m/>
    <m/>
    <m/>
    <m/>
    <m/>
    <s v="Réorientation"/>
    <s v="Sociale AAH"/>
    <m/>
    <m/>
    <n v="1"/>
    <m/>
    <m/>
    <m/>
    <m/>
    <m/>
    <m/>
    <m/>
    <m/>
    <m/>
    <m/>
    <m/>
    <m/>
    <m/>
    <m/>
    <m/>
    <m/>
  </r>
  <r>
    <s v="Madame"/>
    <s v="CHIRON"/>
    <s v="Aziza"/>
    <n v="61"/>
    <m/>
    <s v="Oyonnax"/>
    <d v="2025-06-04T00:00:00"/>
    <d v="2025-08-04T00:00:00"/>
    <m/>
    <m/>
    <m/>
    <m/>
    <d v="1900-06-28T00:00:00"/>
    <m/>
    <m/>
    <m/>
    <m/>
    <m/>
    <m/>
    <s v="Réorientation"/>
    <s v="FT acc pro"/>
    <m/>
    <m/>
    <m/>
    <m/>
    <m/>
    <m/>
    <m/>
    <m/>
    <m/>
    <m/>
    <m/>
    <m/>
    <m/>
    <m/>
    <m/>
    <m/>
    <m/>
    <s v="Absente le 4/8 car en emploi, prochain rdv le 14/10"/>
    <m/>
  </r>
  <r>
    <s v="Madame"/>
    <s v="DJELLOUL"/>
    <s v="Assia"/>
    <n v="49"/>
    <m/>
    <s v="Oyonnax"/>
    <d v="2025-05-28T00:00:00"/>
    <d v="2025-09-03T00:00:00"/>
    <m/>
    <m/>
    <m/>
    <m/>
    <d v="1900-06-28T00:00:00"/>
    <m/>
    <m/>
    <m/>
    <m/>
    <m/>
    <m/>
    <s v="Réorientation"/>
    <s v="FT acc pro"/>
    <m/>
    <m/>
    <m/>
    <m/>
    <m/>
    <m/>
    <m/>
    <m/>
    <m/>
    <m/>
    <m/>
    <m/>
    <m/>
    <m/>
    <m/>
    <m/>
    <m/>
    <m/>
    <m/>
  </r>
  <r>
    <s v="Monsieur"/>
    <s v="EL AAROUSSI"/>
    <s v="Chahid"/>
    <n v="45"/>
    <m/>
    <s v="Oyonnax"/>
    <d v="2025-06-27T00:00:00"/>
    <d v="2025-09-01T00:00:00"/>
    <m/>
    <m/>
    <m/>
    <m/>
    <d v="1900-06-28T00:00:00"/>
    <m/>
    <m/>
    <m/>
    <m/>
    <m/>
    <m/>
    <s v="Réorientation"/>
    <s v="Social freins+"/>
    <m/>
    <m/>
    <m/>
    <m/>
    <m/>
    <m/>
    <m/>
    <m/>
    <m/>
    <m/>
    <m/>
    <m/>
    <m/>
    <m/>
    <m/>
    <m/>
    <m/>
    <m/>
    <m/>
  </r>
  <r>
    <s v="Monsieur"/>
    <s v="EL KHYAF"/>
    <s v="Anouar"/>
    <n v="39"/>
    <m/>
    <s v="Oyonnax"/>
    <d v="2025-06-27T00:00:00"/>
    <d v="2025-08-11T00:00:00"/>
    <m/>
    <m/>
    <m/>
    <m/>
    <d v="1900-06-28T00:00:00"/>
    <m/>
    <m/>
    <m/>
    <m/>
    <m/>
    <m/>
    <s v="Réorientation"/>
    <s v="FT acco glo"/>
    <m/>
    <m/>
    <m/>
    <m/>
    <m/>
    <m/>
    <m/>
    <m/>
    <m/>
    <m/>
    <m/>
    <m/>
    <m/>
    <m/>
    <m/>
    <m/>
    <m/>
    <m/>
    <m/>
  </r>
  <r>
    <s v="Monsieur"/>
    <s v="GUNDUZ"/>
    <s v="Ibrahim"/>
    <n v="48"/>
    <m/>
    <s v="Nantua"/>
    <d v="2025-06-04T00:00:00"/>
    <d v="2025-09-01T00:00:00"/>
    <m/>
    <m/>
    <m/>
    <m/>
    <d v="1900-06-28T00:00:00"/>
    <m/>
    <m/>
    <m/>
    <m/>
    <m/>
    <m/>
    <s v="Réorientation"/>
    <s v="BGE"/>
    <m/>
    <m/>
    <m/>
    <m/>
    <m/>
    <m/>
    <m/>
    <m/>
    <m/>
    <m/>
    <m/>
    <m/>
    <m/>
    <m/>
    <m/>
    <m/>
    <m/>
    <s v="absent 31/07"/>
    <m/>
  </r>
  <r>
    <s v="Monsieur"/>
    <s v="JOUINI"/>
    <s v="Mustapha"/>
    <n v="63"/>
    <m/>
    <s v="Oyonnax"/>
    <d v="2025-06-12T00:00:00"/>
    <d v="2025-09-01T00:00:00"/>
    <m/>
    <m/>
    <m/>
    <m/>
    <d v="1900-06-28T00:00:00"/>
    <m/>
    <m/>
    <m/>
    <m/>
    <m/>
    <m/>
    <s v="Réorientation"/>
    <s v="Sociale retraite"/>
    <m/>
    <m/>
    <m/>
    <m/>
    <m/>
    <m/>
    <m/>
    <m/>
    <m/>
    <m/>
    <m/>
    <m/>
    <m/>
    <m/>
    <m/>
    <m/>
    <m/>
    <m/>
    <m/>
  </r>
  <r>
    <s v="Monsieur"/>
    <s v="KAMENICA"/>
    <s v="Ragip"/>
    <n v="60"/>
    <m/>
    <s v="Oyonnax"/>
    <d v="2025-06-12T00:00:00"/>
    <d v="2025-09-01T00:00:00"/>
    <m/>
    <m/>
    <m/>
    <m/>
    <d v="1900-06-28T00:00:00"/>
    <m/>
    <m/>
    <m/>
    <m/>
    <m/>
    <m/>
    <s v="Réorientation"/>
    <s v="Sociale retraite"/>
    <m/>
    <m/>
    <n v="1"/>
    <m/>
    <m/>
    <m/>
    <m/>
    <m/>
    <m/>
    <m/>
    <m/>
    <m/>
    <m/>
    <m/>
    <m/>
    <m/>
    <m/>
    <m/>
    <m/>
  </r>
  <r>
    <s v="Monsieur"/>
    <s v="KANBOUI"/>
    <s v="Mohammed"/>
    <n v="54"/>
    <m/>
    <s v="Oyonnax"/>
    <d v="2025-04-23T00:00:00"/>
    <d v="2025-07-30T00:00:00"/>
    <m/>
    <m/>
    <m/>
    <m/>
    <d v="1900-06-28T00:00:00"/>
    <m/>
    <m/>
    <m/>
    <m/>
    <m/>
    <m/>
    <s v="Réorientation"/>
    <s v="FT acco glo"/>
    <m/>
    <m/>
    <n v="1"/>
    <m/>
    <m/>
    <m/>
    <m/>
    <m/>
    <m/>
    <m/>
    <m/>
    <m/>
    <m/>
    <m/>
    <m/>
    <m/>
    <m/>
    <m/>
    <m/>
  </r>
  <r>
    <s v="Madame"/>
    <s v="KARAKOC"/>
    <s v="Ummugulsum"/>
    <n v="45"/>
    <m/>
    <s v="Nantua"/>
    <d v="2025-04-23T00:00:00"/>
    <d v="2025-09-01T00:00:00"/>
    <m/>
    <m/>
    <m/>
    <m/>
    <d v="1900-06-28T00:00:00"/>
    <m/>
    <m/>
    <m/>
    <m/>
    <m/>
    <m/>
    <s v="Renonciation RSA"/>
    <m/>
    <m/>
    <m/>
    <m/>
    <m/>
    <m/>
    <m/>
    <m/>
    <m/>
    <m/>
    <m/>
    <m/>
    <m/>
    <m/>
    <m/>
    <m/>
    <m/>
    <m/>
    <s v="Absent 01/09"/>
    <m/>
  </r>
  <r>
    <s v="Monsieur"/>
    <s v="KHOMSI"/>
    <s v="Ismaïl"/>
    <n v="28"/>
    <m/>
    <s v="Oyonnax"/>
    <d v="2025-04-23T00:00:00"/>
    <d v="2025-08-20T00:00:00"/>
    <m/>
    <m/>
    <m/>
    <m/>
    <m/>
    <m/>
    <m/>
    <m/>
    <m/>
    <m/>
    <m/>
    <s v="Réorientation"/>
    <s v="FT acc pro"/>
    <m/>
    <m/>
    <m/>
    <m/>
    <m/>
    <m/>
    <m/>
    <m/>
    <m/>
    <m/>
    <m/>
    <m/>
    <m/>
    <m/>
    <m/>
    <m/>
    <m/>
    <s v="travaille en suisse en interim - infirmier voir si tjrs DD"/>
    <m/>
  </r>
  <r>
    <s v="Monsieur"/>
    <s v="MARECAUX"/>
    <s v="Philippe"/>
    <n v="63"/>
    <m/>
    <s v="Oyonnax"/>
    <d v="2025-07-08T00:00:00"/>
    <d v="2025-09-01T00:00:00"/>
    <m/>
    <m/>
    <m/>
    <m/>
    <m/>
    <m/>
    <m/>
    <m/>
    <m/>
    <m/>
    <m/>
    <s v="Réorientation"/>
    <s v="Sociale retraite"/>
    <m/>
    <m/>
    <m/>
    <m/>
    <m/>
    <m/>
    <m/>
    <m/>
    <m/>
    <m/>
    <m/>
    <m/>
    <m/>
    <m/>
    <m/>
    <m/>
    <m/>
    <m/>
    <m/>
  </r>
  <r>
    <s v="Monsieur"/>
    <s v="MOUGEL"/>
    <s v="Jérémy"/>
    <n v="30"/>
    <m/>
    <s v="Nantua"/>
    <d v="2025-07-24T00:00:00"/>
    <d v="2025-09-01T00:00:00"/>
    <m/>
    <m/>
    <m/>
    <m/>
    <m/>
    <m/>
    <m/>
    <m/>
    <m/>
    <m/>
    <m/>
    <s v="Renonciation RSA"/>
    <m/>
    <m/>
    <m/>
    <m/>
    <m/>
    <m/>
    <m/>
    <m/>
    <m/>
    <m/>
    <m/>
    <m/>
    <m/>
    <m/>
    <m/>
    <m/>
    <m/>
    <m/>
    <m/>
    <m/>
  </r>
  <r>
    <s v="Madame"/>
    <s v="MURET"/>
    <s v="Christelle"/>
    <n v="50"/>
    <m/>
    <s v="Oyonnax"/>
    <d v="2025-06-27T00:00:00"/>
    <d v="2025-09-10T00:00:00"/>
    <m/>
    <m/>
    <m/>
    <m/>
    <m/>
    <m/>
    <m/>
    <m/>
    <m/>
    <m/>
    <m/>
    <s v="Réorientation"/>
    <s v="Arret mal longue durée"/>
    <m/>
    <m/>
    <m/>
    <m/>
    <m/>
    <m/>
    <m/>
    <m/>
    <m/>
    <m/>
    <m/>
    <m/>
    <m/>
    <m/>
    <m/>
    <m/>
    <m/>
    <m/>
    <m/>
  </r>
  <r>
    <s v="Monsieur"/>
    <s v="NAELS"/>
    <s v="Florian"/>
    <n v="36"/>
    <m/>
    <s v="Oyonnax"/>
    <d v="2025-06-13T00:00:00"/>
    <d v="2025-09-01T00:00:00"/>
    <m/>
    <m/>
    <m/>
    <m/>
    <m/>
    <m/>
    <m/>
    <m/>
    <m/>
    <m/>
    <m/>
    <s v="Réorientation"/>
    <s v="Social freins+"/>
    <m/>
    <m/>
    <n v="1"/>
    <m/>
    <m/>
    <m/>
    <m/>
    <m/>
    <m/>
    <m/>
    <m/>
    <m/>
    <m/>
    <m/>
    <m/>
    <m/>
    <m/>
    <m/>
    <m/>
  </r>
  <r>
    <s v="Madame"/>
    <s v="NICOUD"/>
    <s v="Laetitia"/>
    <n v="42"/>
    <m/>
    <s v="Oyonnax"/>
    <d v="2025-06-10T00:00:00"/>
    <d v="2025-09-10T00:00:00"/>
    <m/>
    <m/>
    <m/>
    <m/>
    <m/>
    <m/>
    <m/>
    <m/>
    <m/>
    <m/>
    <m/>
    <s v="Réorientation"/>
    <s v="Social freins+"/>
    <m/>
    <m/>
    <n v="1"/>
    <m/>
    <m/>
    <m/>
    <m/>
    <m/>
    <m/>
    <m/>
    <m/>
    <m/>
    <m/>
    <m/>
    <m/>
    <m/>
    <m/>
    <m/>
    <m/>
  </r>
  <r>
    <s v="Monsieur"/>
    <s v="OZPINAR"/>
    <s v="Ali"/>
    <n v="51"/>
    <m/>
    <s v="Oyonnax"/>
    <d v="2025-06-13T00:00:00"/>
    <d v="2025-08-04T00:00:00"/>
    <m/>
    <m/>
    <m/>
    <m/>
    <m/>
    <m/>
    <m/>
    <m/>
    <m/>
    <m/>
    <m/>
    <s v="Réorientation"/>
    <s v="FT acc pro"/>
    <m/>
    <m/>
    <m/>
    <m/>
    <m/>
    <m/>
    <m/>
    <m/>
    <m/>
    <m/>
    <m/>
    <m/>
    <m/>
    <m/>
    <m/>
    <m/>
    <m/>
    <m/>
    <m/>
  </r>
  <r>
    <s v="Monsieur"/>
    <s v="PISANI"/>
    <s v="Sébastien"/>
    <n v="42"/>
    <m/>
    <s v="Oyonnax"/>
    <d v="2025-06-27T00:00:00"/>
    <d v="2025-08-05T00:00:00"/>
    <m/>
    <m/>
    <m/>
    <m/>
    <m/>
    <m/>
    <m/>
    <m/>
    <m/>
    <m/>
    <m/>
    <s v="Réorientation"/>
    <s v="Social freins+"/>
    <m/>
    <m/>
    <m/>
    <m/>
    <m/>
    <m/>
    <m/>
    <m/>
    <m/>
    <m/>
    <m/>
    <m/>
    <m/>
    <m/>
    <m/>
    <m/>
    <m/>
    <s v="Beneficie de PCH"/>
    <m/>
  </r>
  <r>
    <s v="Madame"/>
    <s v="PRAK"/>
    <s v="Chantha"/>
    <n v="58"/>
    <m/>
    <s v="Oyonnax"/>
    <d v="2025-07-10T00:00:00"/>
    <d v="2025-07-24T00:00:00"/>
    <m/>
    <m/>
    <m/>
    <m/>
    <m/>
    <m/>
    <m/>
    <m/>
    <m/>
    <m/>
    <m/>
    <s v="Réorientation"/>
    <s v="FT acc pro"/>
    <m/>
    <m/>
    <m/>
    <m/>
    <m/>
    <m/>
    <m/>
    <m/>
    <m/>
    <m/>
    <m/>
    <m/>
    <m/>
    <m/>
    <m/>
    <m/>
    <m/>
    <m/>
    <m/>
  </r>
  <r>
    <s v="Monsieur"/>
    <s v="REGHIOUA"/>
    <s v="Azzouz"/>
    <n v="65"/>
    <m/>
    <s v="Oyonnax"/>
    <d v="2025-06-12T00:00:00"/>
    <d v="2025-07-28T00:00:00"/>
    <m/>
    <m/>
    <m/>
    <m/>
    <m/>
    <m/>
    <m/>
    <m/>
    <m/>
    <m/>
    <m/>
    <s v="Réorientation"/>
    <s v="BGE"/>
    <m/>
    <m/>
    <m/>
    <m/>
    <m/>
    <m/>
    <m/>
    <m/>
    <m/>
    <m/>
    <m/>
    <m/>
    <m/>
    <m/>
    <m/>
    <m/>
    <m/>
    <m/>
    <m/>
  </r>
  <r>
    <s v="Madame"/>
    <s v="SYLLA"/>
    <s v="Ardita"/>
    <n v="39"/>
    <m/>
    <s v="Oyonnax"/>
    <d v="2025-04-29T00:00:00"/>
    <d v="2005-09-08T00:00:00"/>
    <m/>
    <m/>
    <m/>
    <m/>
    <m/>
    <m/>
    <m/>
    <m/>
    <m/>
    <m/>
    <m/>
    <s v="Réorientation"/>
    <s v="FT acc pro"/>
    <m/>
    <m/>
    <m/>
    <m/>
    <m/>
    <m/>
    <m/>
    <m/>
    <m/>
    <m/>
    <m/>
    <m/>
    <m/>
    <m/>
    <m/>
    <m/>
    <m/>
    <m/>
    <m/>
  </r>
  <r>
    <s v="Madame"/>
    <s v="ERDOGAN /TEMEL"/>
    <s v="Zeynep"/>
    <n v="45"/>
    <m/>
    <s v="Nantua"/>
    <d v="2025-06-23T00:00:00"/>
    <d v="2005-09-09T00:00:00"/>
    <m/>
    <m/>
    <m/>
    <m/>
    <m/>
    <m/>
    <m/>
    <m/>
    <m/>
    <m/>
    <m/>
    <s v="Réorientation"/>
    <s v="Sociale AAH"/>
    <m/>
    <m/>
    <n v="1"/>
    <m/>
    <m/>
    <m/>
    <m/>
    <m/>
    <m/>
    <m/>
    <m/>
    <m/>
    <m/>
    <m/>
    <m/>
    <m/>
    <m/>
    <m/>
    <m/>
  </r>
  <r>
    <s v="Madame"/>
    <s v="UGUZ"/>
    <s v="Leyla"/>
    <n v="43"/>
    <m/>
    <s v="Nantua"/>
    <d v="2025-04-22T00:00:00"/>
    <d v="2025-08-20T00:00:00"/>
    <m/>
    <m/>
    <m/>
    <m/>
    <m/>
    <m/>
    <m/>
    <m/>
    <m/>
    <m/>
    <m/>
    <s v="Réorientation"/>
    <s v="FT acc pro"/>
    <m/>
    <m/>
    <m/>
    <m/>
    <m/>
    <m/>
    <m/>
    <m/>
    <m/>
    <m/>
    <m/>
    <m/>
    <m/>
    <m/>
    <m/>
    <m/>
    <m/>
    <m/>
    <m/>
  </r>
  <r>
    <s v="Madame"/>
    <s v="EL-RHAZZAL"/>
    <s v="Rachida"/>
    <n v="64"/>
    <m/>
    <s v="Oyonnax"/>
    <d v="2025-05-28T00:00:00"/>
    <d v="2025-09-03T00:00:00"/>
    <m/>
    <m/>
    <m/>
    <m/>
    <m/>
    <m/>
    <m/>
    <m/>
    <m/>
    <m/>
    <m/>
    <s v="Réorientation"/>
    <s v="Sociale retraite"/>
    <m/>
    <m/>
    <m/>
    <m/>
    <m/>
    <m/>
    <m/>
    <m/>
    <m/>
    <m/>
    <m/>
    <m/>
    <m/>
    <m/>
    <m/>
    <m/>
    <m/>
    <m/>
    <m/>
  </r>
  <r>
    <s v="Monsieur"/>
    <s v="YACOUBI"/>
    <s v="Tarek"/>
    <n v="48"/>
    <m/>
    <s v="Oyonnax"/>
    <d v="2025-06-12T00:00:00"/>
    <d v="2025-07-31T00:00:00"/>
    <m/>
    <m/>
    <m/>
    <m/>
    <m/>
    <m/>
    <m/>
    <m/>
    <m/>
    <m/>
    <m/>
    <s v="Réorientation"/>
    <s v="Social freins+"/>
    <m/>
    <m/>
    <m/>
    <m/>
    <m/>
    <m/>
    <m/>
    <m/>
    <m/>
    <m/>
    <m/>
    <m/>
    <m/>
    <m/>
    <m/>
    <m/>
    <m/>
    <m/>
    <m/>
  </r>
  <r>
    <s v="Monsieur"/>
    <s v="ZIHRI"/>
    <s v="Rachid"/>
    <n v="51"/>
    <m/>
    <s v="Oyonnax"/>
    <d v="2025-04-23T00:00:00"/>
    <d v="2025-09-08T00:00:00"/>
    <m/>
    <m/>
    <m/>
    <m/>
    <m/>
    <m/>
    <m/>
    <m/>
    <m/>
    <m/>
    <m/>
    <s v="Réorientation"/>
    <s v="BGE"/>
    <m/>
    <m/>
    <m/>
    <m/>
    <m/>
    <m/>
    <m/>
    <m/>
    <m/>
    <m/>
    <m/>
    <m/>
    <m/>
    <m/>
    <m/>
    <m/>
    <m/>
    <m/>
    <m/>
  </r>
  <r>
    <s v="Monsieur"/>
    <s v="BUET"/>
    <s v="Patrice"/>
    <n v="54"/>
    <m/>
    <s v="Nantua"/>
    <d v="2025-07-16T00:00:00"/>
    <s v="25/09//2025"/>
    <m/>
    <m/>
    <m/>
    <m/>
    <m/>
    <m/>
    <m/>
    <m/>
    <m/>
    <m/>
    <m/>
    <s v="Réorientation"/>
    <s v="FT acco glo"/>
    <m/>
    <m/>
    <m/>
    <m/>
    <m/>
    <m/>
    <m/>
    <m/>
    <m/>
    <m/>
    <m/>
    <m/>
    <m/>
    <m/>
    <m/>
    <m/>
    <m/>
    <s v="ACCO GLO depuis juin 2025"/>
    <m/>
  </r>
  <r>
    <s v="Madame"/>
    <s v="SAULNIER"/>
    <s v="Isabelle"/>
    <m/>
    <m/>
    <m/>
    <m/>
    <d v="2025-10-03T00:00:00"/>
    <m/>
    <m/>
    <m/>
    <m/>
    <m/>
    <m/>
    <m/>
    <m/>
    <m/>
    <m/>
    <m/>
    <s v="Réorientation"/>
    <s v="Social freins+"/>
    <m/>
    <m/>
    <m/>
    <m/>
    <m/>
    <m/>
    <m/>
    <m/>
    <m/>
    <m/>
    <m/>
    <m/>
    <m/>
    <m/>
    <m/>
    <m/>
    <m/>
    <m/>
    <m/>
  </r>
  <r>
    <s v="Monsieur"/>
    <s v="CHAMPEYMOND"/>
    <s v="Pascal"/>
    <n v="60"/>
    <m/>
    <s v="Nantua"/>
    <d v="2025-04-30T00:00:00"/>
    <d v="2025-08-25T00:00:00"/>
    <m/>
    <m/>
    <m/>
    <m/>
    <m/>
    <m/>
    <m/>
    <m/>
    <m/>
    <m/>
    <m/>
    <s v="Réorientation"/>
    <s v="Social freins+"/>
    <m/>
    <m/>
    <n v="1"/>
    <m/>
    <m/>
    <m/>
    <m/>
    <m/>
    <m/>
    <m/>
    <m/>
    <m/>
    <m/>
    <m/>
    <m/>
    <m/>
    <m/>
    <m/>
    <m/>
  </r>
  <r>
    <s v="Madame"/>
    <s v="SAIDIA"/>
    <s v="Farida"/>
    <n v="63"/>
    <m/>
    <s v="Oyonnax"/>
    <d v="2025-06-12T00:00:00"/>
    <d v="2025-08-19T00:00:00"/>
    <m/>
    <m/>
    <m/>
    <m/>
    <m/>
    <m/>
    <m/>
    <m/>
    <m/>
    <m/>
    <m/>
    <s v="Réorientation"/>
    <s v="Sociale retraite"/>
    <m/>
    <m/>
    <m/>
    <m/>
    <m/>
    <m/>
    <m/>
    <m/>
    <m/>
    <m/>
    <m/>
    <m/>
    <m/>
    <m/>
    <m/>
    <m/>
    <m/>
    <m/>
    <m/>
  </r>
  <r>
    <s v="Monsieur"/>
    <s v="MABROUK"/>
    <s v="Wahid"/>
    <n v="50"/>
    <m/>
    <s v="Oyonnax"/>
    <d v="2025-09-06T00:00:00"/>
    <d v="2025-09-08T00:00:00"/>
    <m/>
    <m/>
    <m/>
    <m/>
    <m/>
    <m/>
    <m/>
    <m/>
    <m/>
    <m/>
    <m/>
    <s v="Réorientation"/>
    <s v="FT acc pro"/>
    <m/>
    <m/>
    <m/>
    <m/>
    <m/>
    <m/>
    <m/>
    <m/>
    <m/>
    <m/>
    <m/>
    <m/>
    <m/>
    <m/>
    <m/>
    <m/>
    <m/>
    <s v="PAS VU ENTREE FORMATION INSTALLATEUR THERMIQUE"/>
    <m/>
  </r>
  <r>
    <s v="Monsieur"/>
    <s v="LOUIS"/>
    <s v="Laura"/>
    <n v="37"/>
    <m/>
    <s v="Oyonnax"/>
    <d v="2025-06-12T00:00:00"/>
    <d v="2025-08-12T00:00:00"/>
    <m/>
    <m/>
    <m/>
    <m/>
    <m/>
    <m/>
    <m/>
    <m/>
    <m/>
    <m/>
    <m/>
    <s v="Réorientation"/>
    <s v="Sociale AAH"/>
    <m/>
    <m/>
    <m/>
    <m/>
    <m/>
    <m/>
    <m/>
    <m/>
    <m/>
    <m/>
    <m/>
    <m/>
    <m/>
    <m/>
    <m/>
    <m/>
    <m/>
    <m/>
    <m/>
  </r>
  <r>
    <s v="Madame"/>
    <s v="BEDIR"/>
    <s v="Fadime"/>
    <n v="44"/>
    <m/>
    <s v="Oyonnax"/>
    <d v="2025-07-10T00:00:00"/>
    <d v="2025-07-23T00:00:00"/>
    <d v="2025-07-23T00:00:00"/>
    <d v="2026-01-19T00:00:00"/>
    <m/>
    <m/>
    <m/>
    <s v="fle"/>
    <s v="MOBILITE"/>
    <m/>
    <m/>
    <m/>
    <n v="1"/>
    <s v="Réorientation"/>
    <s v="Social freins+"/>
    <m/>
    <m/>
    <m/>
    <m/>
    <m/>
    <m/>
    <m/>
    <m/>
    <m/>
    <m/>
    <m/>
    <m/>
    <m/>
    <m/>
    <m/>
    <m/>
    <m/>
    <s v="suivi Mme poulliat AS "/>
    <m/>
  </r>
  <r>
    <s v="Madame"/>
    <s v="FIORILE"/>
    <s v="Yori-Kin"/>
    <n v="28"/>
    <m/>
    <s v="Nantua"/>
    <d v="2025-04-23T00:00:00"/>
    <d v="2025-09-17T00:00:00"/>
    <d v="2025-09-17T00:00:00"/>
    <d v="2026-03-16T00:00:00"/>
    <m/>
    <m/>
    <m/>
    <m/>
    <m/>
    <m/>
    <m/>
    <m/>
    <m/>
    <s v="Réorientation"/>
    <s v="FT acc pro"/>
    <m/>
    <m/>
    <n v="1"/>
    <m/>
    <m/>
    <m/>
    <m/>
    <m/>
    <m/>
    <m/>
    <m/>
    <m/>
    <m/>
    <m/>
    <m/>
    <m/>
    <m/>
    <m/>
    <m/>
  </r>
  <r>
    <s v="Madame"/>
    <s v="KEPENEK"/>
    <s v="Nihal"/>
    <n v="45"/>
    <m/>
    <s v="Oyonnax"/>
    <d v="2025-04-17T00:00:00"/>
    <d v="2025-08-20T00:00:00"/>
    <d v="2025-08-27T00:00:00"/>
    <d v="2026-02-23T00:00:00"/>
    <m/>
    <m/>
    <m/>
    <s v="fle"/>
    <s v="MOBILITE"/>
    <m/>
    <n v="1"/>
    <n v="1"/>
    <n v="1"/>
    <s v="Réorientation"/>
    <s v="Arret mal longue durée"/>
    <m/>
    <m/>
    <n v="1"/>
    <m/>
    <m/>
    <m/>
    <m/>
    <m/>
    <m/>
    <m/>
    <m/>
    <m/>
    <m/>
    <m/>
    <m/>
    <m/>
    <m/>
    <m/>
    <m/>
  </r>
  <r>
    <s v="Monsieur"/>
    <s v="DAWLATZI"/>
    <s v="Naeem"/>
    <n v="28"/>
    <m/>
    <s v="Oyonnax"/>
    <d v="2025-10-16T00:00:00"/>
    <d v="2025-11-17T00:00:00"/>
    <s v="non"/>
    <m/>
    <m/>
    <m/>
    <m/>
    <m/>
    <m/>
    <m/>
    <m/>
    <m/>
    <m/>
    <s v="Réorientation"/>
    <s v="FT acc pro"/>
    <s v="France Travail"/>
    <m/>
    <m/>
    <m/>
    <m/>
    <m/>
    <m/>
    <m/>
    <m/>
    <m/>
    <m/>
    <m/>
    <m/>
    <m/>
    <m/>
    <m/>
    <m/>
    <s v="Absent 17/10"/>
    <m/>
  </r>
  <r>
    <s v="Monsieur"/>
    <s v="RHAZI"/>
    <s v="Abdelhakim"/>
    <n v="53"/>
    <m/>
    <s v="Oyonnax"/>
    <d v="2025-07-08T00:00:00"/>
    <d v="2025-07-16T00:00:00"/>
    <d v="2025-07-16T00:00:00"/>
    <d v="2026-01-12T00:00:00"/>
    <m/>
    <m/>
    <m/>
    <s v="mobilite"/>
    <s v="sante"/>
    <m/>
    <m/>
    <m/>
    <m/>
    <m/>
    <m/>
    <m/>
    <m/>
    <n v="1"/>
    <m/>
    <m/>
    <m/>
    <m/>
    <m/>
    <m/>
    <m/>
    <m/>
    <m/>
    <m/>
    <m/>
    <m/>
    <m/>
    <m/>
    <s v="a demenager sur bourg debut decembre"/>
    <m/>
  </r>
  <r>
    <s v="Monsieur"/>
    <s v="DUPUPET"/>
    <s v="Meydhie"/>
    <n v="37"/>
    <m/>
    <s v="Oyonnax"/>
    <d v="2025-06-27T00:00:00"/>
    <d v="2025-08-12T00:00:00"/>
    <d v="2025-08-28T00:00:00"/>
    <d v="2026-02-24T00:00:00"/>
    <m/>
    <m/>
    <m/>
    <s v="SANTE"/>
    <m/>
    <m/>
    <m/>
    <m/>
    <m/>
    <s v="Réorientation"/>
    <s v="Social freins+"/>
    <m/>
    <m/>
    <n v="1"/>
    <m/>
    <m/>
    <m/>
    <m/>
    <m/>
    <m/>
    <m/>
    <m/>
    <n v="1"/>
    <m/>
    <m/>
    <m/>
    <m/>
    <m/>
    <m/>
    <m/>
  </r>
  <r>
    <s v="Monsieur"/>
    <s v="MOHAMMADI"/>
    <s v="NIAZ"/>
    <n v="35"/>
    <m/>
    <s v="Oyonnax"/>
    <m/>
    <d v="2025-12-10T00:00:00"/>
    <s v="non"/>
    <m/>
    <m/>
    <m/>
    <m/>
    <m/>
    <m/>
    <m/>
    <m/>
    <m/>
    <m/>
    <s v="Réorientation"/>
    <s v="FT acc pro"/>
    <s v="France Travail"/>
    <m/>
    <m/>
    <m/>
    <m/>
    <m/>
    <m/>
    <m/>
    <m/>
    <m/>
    <m/>
    <m/>
    <m/>
    <m/>
    <m/>
    <m/>
    <m/>
    <m/>
    <m/>
  </r>
  <r>
    <s v="Madame"/>
    <s v="BELLOTTO"/>
    <s v="Charlotte"/>
    <n v="30"/>
    <m/>
    <s v="Oyonnax"/>
    <d v="2025-04-22T00:00:00"/>
    <d v="2025-09-10T00:00:00"/>
    <d v="2025-09-10T00:00:00"/>
    <d v="2026-03-09T00:00:00"/>
    <m/>
    <m/>
    <m/>
    <m/>
    <m/>
    <m/>
    <m/>
    <m/>
    <m/>
    <s v="Réorientation"/>
    <s v="Sociale maternité"/>
    <m/>
    <m/>
    <n v="1"/>
    <m/>
    <m/>
    <m/>
    <m/>
    <m/>
    <m/>
    <m/>
    <m/>
    <m/>
    <m/>
    <m/>
    <m/>
    <m/>
    <m/>
    <s v="fin rsa + maternite "/>
    <m/>
  </r>
  <r>
    <s v="Madame"/>
    <s v="YLMAZ "/>
    <s v="GULBAHAR"/>
    <n v="51"/>
    <m/>
    <s v="Oyonnax"/>
    <m/>
    <d v="2025-12-15T00:00:00"/>
    <m/>
    <m/>
    <m/>
    <m/>
    <m/>
    <m/>
    <m/>
    <m/>
    <m/>
    <m/>
    <m/>
    <s v="Réorientation"/>
    <s v="Social freins+"/>
    <m/>
    <m/>
    <m/>
    <m/>
    <m/>
    <m/>
    <m/>
    <m/>
    <m/>
    <m/>
    <m/>
    <m/>
    <m/>
    <m/>
    <m/>
    <m/>
    <m/>
    <s v="Absent 15/12"/>
    <m/>
  </r>
  <r>
    <s v="Monsieur"/>
    <s v="LEMAISTRE"/>
    <s v="Giuseppe"/>
    <n v="27"/>
    <m/>
    <s v="Oyonnax"/>
    <d v="2025-07-04T00:00:00"/>
    <d v="2025-07-23T00:00:00"/>
    <d v="2025-07-23T00:00:00"/>
    <d v="2026-01-19T00:00:00"/>
    <m/>
    <m/>
    <m/>
    <s v="mobilité"/>
    <m/>
    <m/>
    <m/>
    <m/>
    <m/>
    <s v="Réorientation"/>
    <s v="Social freins+"/>
    <m/>
    <m/>
    <n v="1"/>
    <m/>
    <m/>
    <m/>
    <m/>
    <m/>
    <m/>
    <m/>
    <m/>
    <n v="1"/>
    <m/>
    <m/>
    <m/>
    <m/>
    <m/>
    <s v="absent 22/07 et ATC 26/08; retour CLI absent 1/12 ATC;8/12 ET 22/12 CM "/>
    <n v="1"/>
  </r>
  <r>
    <s v="Monsieur"/>
    <s v="MARGUIN"/>
    <s v="Frederic"/>
    <n v="50"/>
    <m/>
    <s v="Oyonnax"/>
    <d v="2025-10-16T00:00:00"/>
    <d v="2025-11-17T00:00:00"/>
    <d v="2025-12-03T00:00:00"/>
    <d v="2026-06-01T00:00:00"/>
    <m/>
    <m/>
    <m/>
    <m/>
    <m/>
    <m/>
    <m/>
    <m/>
    <m/>
    <s v="Réorientation"/>
    <s v="BGE"/>
    <m/>
    <m/>
    <n v="1"/>
    <m/>
    <m/>
    <m/>
    <m/>
    <m/>
    <m/>
    <m/>
    <m/>
    <m/>
    <m/>
    <m/>
    <m/>
    <m/>
    <m/>
    <s v="Absent 17/11 et 15/01"/>
    <m/>
  </r>
  <r>
    <s v="Madame"/>
    <s v="BICER"/>
    <s v="Elife"/>
    <n v="37"/>
    <m/>
    <s v="Oyonnax"/>
    <d v="2025-07-03T00:00:00"/>
    <d v="2025-08-25T00:00:00"/>
    <d v="2026-01-12T00:00:00"/>
    <d v="2026-07-11T00:00:00"/>
    <m/>
    <m/>
    <m/>
    <m/>
    <m/>
    <m/>
    <m/>
    <m/>
    <m/>
    <s v="Réorientation"/>
    <s v="Social freins+"/>
    <m/>
    <m/>
    <m/>
    <m/>
    <m/>
    <m/>
    <m/>
    <m/>
    <m/>
    <m/>
    <m/>
    <m/>
    <m/>
    <m/>
    <m/>
    <m/>
    <m/>
    <s v="absent 18/07 et 30/07"/>
    <n v="1"/>
  </r>
  <r>
    <s v="Madame"/>
    <s v="KESKIN //OZYUREK"/>
    <s v="KUPRA"/>
    <n v="28"/>
    <m/>
    <s v="Oyonnax"/>
    <d v="2025-12-22T00:00:00"/>
    <d v="2026-01-20T00:00:00"/>
    <m/>
    <m/>
    <m/>
    <m/>
    <m/>
    <s v="SANTE"/>
    <m/>
    <m/>
    <m/>
    <m/>
    <m/>
    <s v="Réorientation"/>
    <s v="Social freins+"/>
    <m/>
    <m/>
    <m/>
    <m/>
    <m/>
    <m/>
    <m/>
    <m/>
    <m/>
    <m/>
    <m/>
    <m/>
    <m/>
    <m/>
    <m/>
    <m/>
    <m/>
    <s v="sclerose en plaque reo sociale attente CM"/>
    <m/>
  </r>
  <r>
    <s v="Madame"/>
    <s v="TUZUN"/>
    <s v="Selda"/>
    <n v="45"/>
    <m/>
    <s v="Oyonnax"/>
    <d v="2025-07-04T00:00:00"/>
    <d v="2025-07-28T00:00:00"/>
    <d v="2025-07-28T00:00:00"/>
    <d v="2026-01-24T00:00:00"/>
    <m/>
    <m/>
    <m/>
    <s v="fle"/>
    <m/>
    <m/>
    <m/>
    <m/>
    <m/>
    <s v="Renonciation RSA"/>
    <m/>
    <m/>
    <m/>
    <n v="1"/>
    <m/>
    <m/>
    <m/>
    <m/>
    <m/>
    <m/>
    <m/>
    <m/>
    <m/>
    <m/>
    <m/>
    <m/>
    <m/>
    <m/>
    <s v="aucune demarche - retour CLI decmbre, repris contact"/>
    <n v="1"/>
  </r>
  <r>
    <s v="Monsieur"/>
    <s v="OUAMALICH"/>
    <s v="Youssef"/>
    <n v="48"/>
    <m/>
    <s v="Oyonnax"/>
    <d v="2025-08-20T00:00:00"/>
    <d v="2025-09-17T00:00:00"/>
    <d v="2025-09-17T00:00:00"/>
    <d v="2026-03-16T00:00:00"/>
    <m/>
    <m/>
    <m/>
    <m/>
    <m/>
    <m/>
    <m/>
    <m/>
    <m/>
    <s v="autre"/>
    <m/>
    <m/>
    <m/>
    <n v="1"/>
    <m/>
    <m/>
    <m/>
    <m/>
    <m/>
    <m/>
    <m/>
    <m/>
    <m/>
    <m/>
    <m/>
    <m/>
    <m/>
    <m/>
    <s v="poprawarenata78@gmail.com"/>
    <n v="1"/>
  </r>
  <r>
    <s v="Monsieur"/>
    <s v="VELAZQUEZ MAYA"/>
    <s v="Jose"/>
    <n v="48"/>
    <m/>
    <s v="Nantua"/>
    <d v="2025-06-30T00:00:00"/>
    <d v="2025-07-29T00:00:00"/>
    <d v="2025-08-25T00:00:00"/>
    <d v="2026-02-21T00:00:00"/>
    <m/>
    <m/>
    <m/>
    <s v="mobilité"/>
    <m/>
    <m/>
    <m/>
    <m/>
    <m/>
    <s v="autre"/>
    <m/>
    <m/>
    <m/>
    <n v="1"/>
    <m/>
    <m/>
    <m/>
    <m/>
    <m/>
    <m/>
    <m/>
    <m/>
    <m/>
    <m/>
    <m/>
    <m/>
    <m/>
    <m/>
    <s v="absent 17/09 et 6/01 SUSPENSION REMOBILISATION contrôle administratif demenagment CHALON"/>
    <n v="1"/>
  </r>
  <r>
    <s v="Madame"/>
    <s v="GUNGOR"/>
    <s v="Ciydem"/>
    <n v="54"/>
    <m/>
    <s v="Oyonnax"/>
    <d v="2025-07-03T00:00:00"/>
    <d v="2025-07-18T00:00:00"/>
    <d v="2025-07-18T00:00:00"/>
    <d v="2026-01-14T00:00:00"/>
    <m/>
    <m/>
    <m/>
    <s v="fle"/>
    <s v="sante "/>
    <m/>
    <m/>
    <m/>
    <m/>
    <s v="Réorientation"/>
    <s v="Social freins+"/>
    <m/>
    <m/>
    <n v="1"/>
    <m/>
    <m/>
    <m/>
    <m/>
    <m/>
    <m/>
    <m/>
    <m/>
    <m/>
    <m/>
    <m/>
    <m/>
    <m/>
    <m/>
    <s v="absent 18/08 et 25/08 - CM "/>
    <n v="1"/>
  </r>
  <r>
    <s v="Monsieur"/>
    <s v="AMAMOU"/>
    <s v="Driss"/>
    <n v="58"/>
    <m/>
    <s v="Oyonnax"/>
    <d v="2025-06-27T00:00:00"/>
    <d v="2025-08-14T00:00:00"/>
    <d v="2025-08-25T00:00:00"/>
    <d v="2026-02-21T00:00:00"/>
    <m/>
    <m/>
    <m/>
    <s v="SANTE"/>
    <s v="MOBILITE"/>
    <m/>
    <n v="0"/>
    <m/>
    <n v="0"/>
    <s v="Réorientation"/>
    <s v="Arret mal longue durée"/>
    <m/>
    <m/>
    <n v="1"/>
    <m/>
    <m/>
    <m/>
    <m/>
    <m/>
    <m/>
    <m/>
    <m/>
    <n v="1"/>
    <m/>
    <m/>
    <m/>
    <m/>
    <m/>
    <s v="inemployable, parcours santé, examens medicaux "/>
    <n v="1"/>
  </r>
  <r>
    <s v="Monsieur"/>
    <s v="STEMER"/>
    <s v="Pascal"/>
    <n v="52"/>
    <m/>
    <s v="Oyonnax"/>
    <d v="2025-06-04T00:00:00"/>
    <d v="2025-08-05T00:00:00"/>
    <d v="2025-08-05T00:00:00"/>
    <d v="2026-02-01T00:00:00"/>
    <m/>
    <m/>
    <m/>
    <m/>
    <m/>
    <m/>
    <m/>
    <m/>
    <m/>
    <s v="Réorientation"/>
    <s v="Social freins+"/>
    <m/>
    <m/>
    <m/>
    <m/>
    <m/>
    <m/>
    <m/>
    <m/>
    <m/>
    <m/>
    <m/>
    <n v="1"/>
    <m/>
    <m/>
    <m/>
    <m/>
    <m/>
    <s v="Absent ATC du 26/08/25 et rdv ind 8/09/25 ENVOI DDE REO SOCIALE ATTENTE"/>
    <n v="1"/>
  </r>
  <r>
    <s v="Madame"/>
    <s v="OZDEMIR"/>
    <s v="Sengül"/>
    <n v="43"/>
    <m/>
    <s v="Oyonnax"/>
    <d v="2025-06-23T00:00:00"/>
    <d v="2025-09-01T00:00:00"/>
    <d v="2025-09-23T00:00:00"/>
    <d v="2026-03-22T00:00:00"/>
    <m/>
    <m/>
    <m/>
    <s v="SANTE"/>
    <m/>
    <m/>
    <m/>
    <m/>
    <n v="1"/>
    <s v="Réorientation"/>
    <s v="Social freins+"/>
    <m/>
    <m/>
    <n v="1"/>
    <m/>
    <m/>
    <m/>
    <m/>
    <m/>
    <m/>
    <m/>
    <m/>
    <m/>
    <m/>
    <m/>
    <m/>
    <m/>
    <m/>
    <s v="CM demandé"/>
    <m/>
  </r>
  <r>
    <s v="Monsieur"/>
    <s v="AYNE"/>
    <s v="Levent"/>
    <n v="42"/>
    <m/>
    <s v="Oyonnax"/>
    <d v="2025-06-27T00:00:00"/>
    <d v="2025-08-06T00:00:00"/>
    <d v="2025-08-20T00:00:00"/>
    <d v="2026-02-16T00:00:00"/>
    <m/>
    <m/>
    <m/>
    <s v="mobilé"/>
    <m/>
    <m/>
    <m/>
    <m/>
    <n v="1"/>
    <m/>
    <m/>
    <m/>
    <m/>
    <n v="1"/>
    <m/>
    <m/>
    <m/>
    <m/>
    <m/>
    <m/>
    <m/>
    <m/>
    <m/>
    <m/>
    <m/>
    <m/>
    <m/>
    <m/>
    <s v="presription agent de santé / et le voir ensemble pour siae "/>
    <m/>
  </r>
  <r>
    <s v="Monsieur"/>
    <s v="IKEN"/>
    <s v="Abdellah"/>
    <n v="49"/>
    <m/>
    <s v="Oyonnax"/>
    <d v="2025-06-27T00:00:00"/>
    <d v="2025-09-01T00:00:00"/>
    <d v="2025-10-17T00:00:00"/>
    <d v="2026-04-15T00:00:00"/>
    <m/>
    <m/>
    <m/>
    <m/>
    <m/>
    <m/>
    <m/>
    <m/>
    <m/>
    <s v="Renonciation RSA"/>
    <m/>
    <m/>
    <m/>
    <n v="1"/>
    <m/>
    <m/>
    <m/>
    <m/>
    <m/>
    <m/>
    <m/>
    <m/>
    <m/>
    <m/>
    <m/>
    <m/>
    <m/>
    <m/>
    <s v="absent 4/08 et 21/08 - contact repris - ok ce / 2h par semaine : travailler caissier"/>
    <n v="1"/>
  </r>
  <r>
    <s v="Monsieur"/>
    <s v="ESTEVEZ"/>
    <s v="YANN"/>
    <n v="34"/>
    <m/>
    <s v="Oyonnax"/>
    <m/>
    <d v="2025-11-24T00:00:00"/>
    <d v="2025-11-24T00:00:00"/>
    <d v="2026-05-23T00:00:00"/>
    <m/>
    <m/>
    <m/>
    <s v="mobilite"/>
    <m/>
    <m/>
    <m/>
    <m/>
    <m/>
    <s v="Renonciation RSA"/>
    <m/>
    <m/>
    <m/>
    <n v="1"/>
    <m/>
    <m/>
    <m/>
    <m/>
    <m/>
    <m/>
    <m/>
    <m/>
    <m/>
    <m/>
    <m/>
    <m/>
    <m/>
    <m/>
    <s v="petits contrats interim"/>
    <m/>
  </r>
  <r>
    <s v="Monsieur"/>
    <s v="POURCHOUX"/>
    <s v="GUILLAUME"/>
    <n v="48"/>
    <m/>
    <s v="Oyonnax"/>
    <d v="2025-07-01T00:00:00"/>
    <d v="2025-12-10T00:00:00"/>
    <m/>
    <m/>
    <m/>
    <m/>
    <m/>
    <m/>
    <m/>
    <m/>
    <m/>
    <m/>
    <m/>
    <s v="autre"/>
    <m/>
    <m/>
    <m/>
    <m/>
    <m/>
    <m/>
    <m/>
    <m/>
    <m/>
    <m/>
    <m/>
    <m/>
    <m/>
    <m/>
    <m/>
    <m/>
    <m/>
    <m/>
    <s v="Absent 10/12 et 12/01 - SUSPENSION REMOB non soumis droits et devoirs depuis octobre 2025"/>
    <n v="1"/>
  </r>
  <r>
    <s v="Monsieur"/>
    <s v="YILDIRIM"/>
    <s v="Ozcan"/>
    <n v="35"/>
    <m/>
    <s v="Oyonnax"/>
    <d v="2025-06-27T00:00:00"/>
    <d v="2025-08-12T00:00:00"/>
    <d v="2025-08-12T00:00:00"/>
    <d v="2026-02-08T00:00:00"/>
    <m/>
    <m/>
    <m/>
    <m/>
    <m/>
    <m/>
    <m/>
    <m/>
    <m/>
    <s v="autre"/>
    <s v="Social freins+"/>
    <m/>
    <m/>
    <m/>
    <m/>
    <m/>
    <m/>
    <m/>
    <m/>
    <m/>
    <m/>
    <m/>
    <m/>
    <m/>
    <m/>
    <m/>
    <m/>
    <m/>
    <s v="reo sociale suite arret du 16/01 au 22/03"/>
    <m/>
  </r>
  <r>
    <s v="Madame"/>
    <s v="PILAS"/>
    <s v="SILVIE"/>
    <n v="60"/>
    <m/>
    <s v="Nantua"/>
    <d v="2025-07-01T00:00:00"/>
    <d v="2025-12-03T00:00:00"/>
    <d v="2025-12-03T00:00:00"/>
    <d v="2026-06-01T00:00:00"/>
    <m/>
    <m/>
    <m/>
    <m/>
    <m/>
    <m/>
    <m/>
    <m/>
    <m/>
    <s v="Réorientation"/>
    <s v="FT acc pro"/>
    <s v="FT SIAE"/>
    <d v="2026-02-25T00:00:00"/>
    <m/>
    <m/>
    <m/>
    <m/>
    <m/>
    <m/>
    <m/>
    <m/>
    <m/>
    <m/>
    <m/>
    <m/>
    <m/>
    <m/>
    <m/>
    <m/>
    <m/>
  </r>
  <r>
    <s v="Monsieur"/>
    <s v="BICER "/>
    <s v="AZIZ"/>
    <n v="40"/>
    <m/>
    <s v="Oyonnax"/>
    <d v="2026-01-05T00:00:00"/>
    <d v="2026-01-26T00:00:00"/>
    <d v="2026-02-13T00:00:00"/>
    <d v="2026-07-18T00:00:00"/>
    <m/>
    <m/>
    <m/>
    <s v="SANTE"/>
    <s v="garde enfants"/>
    <m/>
    <m/>
    <m/>
    <m/>
    <s v="Réorientation"/>
    <s v="Social freins+"/>
    <m/>
    <d v="2026-02-26T00:00:00"/>
    <m/>
    <m/>
    <m/>
    <m/>
    <m/>
    <m/>
    <m/>
    <m/>
    <m/>
    <m/>
    <m/>
    <m/>
    <m/>
    <m/>
    <m/>
    <s v="Absent 26/01/26"/>
    <m/>
  </r>
  <r>
    <s v="Monsieur"/>
    <s v="BENER"/>
    <s v="Yakup"/>
    <n v="49"/>
    <m/>
    <s v="Oyonnax"/>
    <d v="2025-04-17T00:00:00"/>
    <d v="2025-07-24T00:00:00"/>
    <d v="2025-08-13T00:00:00"/>
    <d v="2026-02-09T00:00:00"/>
    <m/>
    <m/>
    <m/>
    <m/>
    <m/>
    <m/>
    <m/>
    <m/>
    <m/>
    <s v="Réorientation"/>
    <s v="FT acc pro"/>
    <s v="France Travail"/>
    <m/>
    <n v="1"/>
    <m/>
    <m/>
    <m/>
    <m/>
    <m/>
    <m/>
    <m/>
    <m/>
    <m/>
    <m/>
    <m/>
    <m/>
    <m/>
    <m/>
    <s v="arret maladie de 3 mois - retour en decembre : voir pmsmp auto ecole"/>
    <m/>
  </r>
  <r>
    <s v="Monsieur"/>
    <s v="NEUVILLE "/>
    <s v="ALLAN"/>
    <n v="35"/>
    <m/>
    <s v="Nantua"/>
    <d v="2025-07-01T00:00:00"/>
    <d v="2025-12-03T00:00:00"/>
    <m/>
    <m/>
    <m/>
    <m/>
    <m/>
    <m/>
    <m/>
    <m/>
    <m/>
    <m/>
    <m/>
    <s v="Fin DD"/>
    <m/>
    <m/>
    <d v="2026-03-11T00:00:00"/>
    <m/>
    <m/>
    <m/>
    <m/>
    <m/>
    <m/>
    <m/>
    <m/>
    <m/>
    <m/>
    <m/>
    <m/>
    <m/>
    <m/>
    <m/>
    <s v="Absent 3/12 et 29/12 SUSPENSION REMOBILILSATION"/>
    <n v="1"/>
  </r>
  <r>
    <s v="Monsieur"/>
    <s v="EZZARHOUNI"/>
    <s v="Nesrdine"/>
    <n v="43"/>
    <m/>
    <s v="Oyonnax"/>
    <d v="2025-06-12T00:00:00"/>
    <d v="2025-08-05T00:00:00"/>
    <d v="2025-08-05T00:00:00"/>
    <d v="2026-02-01T00:00:00"/>
    <m/>
    <m/>
    <m/>
    <m/>
    <m/>
    <m/>
    <m/>
    <m/>
    <m/>
    <s v="Positive"/>
    <s v="FT acc pro"/>
    <s v="CDI &gt;ou= 24h"/>
    <d v="2026-03-17T00:00:00"/>
    <n v="1"/>
    <m/>
    <m/>
    <m/>
    <m/>
    <m/>
    <m/>
    <m/>
    <m/>
    <m/>
    <m/>
    <m/>
    <m/>
    <m/>
    <m/>
    <s v=" contrat de travail  cdi 30h"/>
    <m/>
  </r>
  <r>
    <s v="Monsieur"/>
    <s v="CHHUN"/>
    <s v="Sophanna"/>
    <n v="38"/>
    <m/>
    <s v="Oyonnax"/>
    <d v="2025-06-12T00:00:00"/>
    <d v="2025-08-25T00:00:00"/>
    <d v="2025-08-11T00:00:00"/>
    <d v="2026-02-07T00:00:00"/>
    <m/>
    <m/>
    <m/>
    <s v="SANTE"/>
    <m/>
    <m/>
    <m/>
    <m/>
    <n v="1"/>
    <s v="Réorientation"/>
    <s v="Social freins+"/>
    <m/>
    <d v="2026-03-13T00:00:00"/>
    <n v="1"/>
    <m/>
    <m/>
    <m/>
    <m/>
    <m/>
    <m/>
    <m/>
    <m/>
    <m/>
    <m/>
    <m/>
    <m/>
    <m/>
    <m/>
    <m/>
    <m/>
  </r>
  <r>
    <s v="Madame"/>
    <s v="YILDIRIM"/>
    <s v="AMINA"/>
    <n v="44"/>
    <m/>
    <s v="Oyonnax"/>
    <d v="2026-01-20T00:00:00"/>
    <d v="2026-01-28T00:00:00"/>
    <d v="2026-12-28T00:00:00"/>
    <d v="2027-06-26T00:00:00"/>
    <m/>
    <m/>
    <m/>
    <s v="SANTE"/>
    <m/>
    <m/>
    <m/>
    <m/>
    <m/>
    <s v="Réorientation"/>
    <s v="Social freins+"/>
    <m/>
    <d v="2026-02-04T00:00:00"/>
    <m/>
    <m/>
    <m/>
    <m/>
    <m/>
    <m/>
    <m/>
    <m/>
    <m/>
    <m/>
    <m/>
    <m/>
    <m/>
    <m/>
    <m/>
    <m/>
    <m/>
  </r>
  <r>
    <s v="Monsieur"/>
    <s v="TORRES"/>
    <s v="Vicente"/>
    <n v="55"/>
    <m/>
    <s v="Oyonnax"/>
    <d v="2025-06-24T00:00:00"/>
    <d v="2005-09-08T00:00:00"/>
    <d v="2025-07-30T00:00:00"/>
    <d v="2026-01-26T00:00:00"/>
    <s v="BGE"/>
    <m/>
    <m/>
    <s v="mobilite"/>
    <m/>
    <m/>
    <m/>
    <m/>
    <m/>
    <s v="Positive"/>
    <s v="BGE"/>
    <s v="Créa"/>
    <d v="2026-03-17T00:00:00"/>
    <n v="1"/>
    <m/>
    <m/>
    <m/>
    <m/>
    <m/>
    <m/>
    <m/>
    <m/>
    <m/>
    <m/>
    <m/>
    <m/>
    <m/>
    <m/>
    <s v="Absent ATC 09/09/25 - creation le 15/02/26"/>
    <n v="1"/>
  </r>
  <r>
    <s v="Madame"/>
    <s v="POPRAWA"/>
    <s v="Renata"/>
    <n v="40"/>
    <m/>
    <s v="Oyonnax"/>
    <d v="2025-07-04T00:00:00"/>
    <d v="2025-07-28T00:00:00"/>
    <d v="2026-01-20T00:00:00"/>
    <d v="2026-07-19T00:00:00"/>
    <m/>
    <m/>
    <m/>
    <m/>
    <m/>
    <m/>
    <m/>
    <m/>
    <m/>
    <s v="autre"/>
    <m/>
    <m/>
    <d v="2026-03-10T00:00:00"/>
    <n v="1"/>
    <m/>
    <m/>
    <m/>
    <m/>
    <m/>
    <m/>
    <m/>
    <m/>
    <m/>
    <m/>
    <m/>
    <m/>
    <m/>
    <m/>
    <s v="retour CLI - absent 23/12 , atc 3/03 et absent 11/03 FIN DROIT RADIE AU 10/03"/>
    <n v="1"/>
  </r>
  <r>
    <s v="Madame"/>
    <s v="ERGOC /ERDOGAN"/>
    <s v="MEYREM"/>
    <m/>
    <m/>
    <s v="Nantua"/>
    <d v="2026-02-09T00:00:00"/>
    <d v="2026-02-27T00:00:00"/>
    <m/>
    <m/>
    <m/>
    <m/>
    <m/>
    <m/>
    <m/>
    <m/>
    <m/>
    <m/>
    <m/>
    <s v="Renonciation RSA"/>
    <m/>
    <m/>
    <d v="2026-03-18T00:00:00"/>
    <m/>
    <m/>
    <m/>
    <m/>
    <m/>
    <m/>
    <m/>
    <m/>
    <m/>
    <m/>
    <m/>
    <m/>
    <m/>
    <m/>
    <m/>
    <s v="reçu le 27/02 mais pas inscrite, rendez redonné"/>
    <m/>
  </r>
  <r>
    <s v="Monsieur"/>
    <s v="COLOMBEL"/>
    <s v="Mickael"/>
    <n v="38"/>
    <m/>
    <s v="Oyonnax"/>
    <d v="2025-04-28T00:00:00"/>
    <d v="2025-08-12T00:00:00"/>
    <d v="2025-08-12T00:00:00"/>
    <d v="2026-02-08T00:00:00"/>
    <m/>
    <m/>
    <d v="1900-06-28T00:00:00"/>
    <s v="mobilite"/>
    <m/>
    <m/>
    <m/>
    <m/>
    <m/>
    <s v="autre"/>
    <m/>
    <m/>
    <d v="2026-03-24T00:00:00"/>
    <n v="1"/>
    <m/>
    <m/>
    <m/>
    <m/>
    <m/>
    <m/>
    <m/>
    <m/>
    <m/>
    <m/>
    <m/>
    <m/>
    <m/>
    <m/>
    <s v="absent le 26/08 ATC et le 8/09 - retour de cli : absent sofeo 8/12 ,  ATC 18/12 et 23/12 SANCTION suppression RSA "/>
    <n v="1"/>
  </r>
  <r>
    <s v="Monsieur"/>
    <s v="TOURNERY"/>
    <s v="PIERRE-LOU"/>
    <n v="27"/>
    <m/>
    <s v="Nantua"/>
    <d v="2026-01-14T00:00:00"/>
    <d v="2026-01-28T00:00:00"/>
    <m/>
    <m/>
    <m/>
    <m/>
    <m/>
    <m/>
    <m/>
    <m/>
    <m/>
    <m/>
    <m/>
    <s v="Fin DD"/>
    <m/>
    <m/>
    <d v="2026-03-10T00:00:00"/>
    <m/>
    <m/>
    <m/>
    <m/>
    <m/>
    <m/>
    <m/>
    <m/>
    <m/>
    <m/>
    <m/>
    <m/>
    <m/>
    <m/>
    <m/>
    <s v="Absent 28/01 et 20/02 sorti rsa 10/03/26 reo sosial 12/03/26"/>
    <m/>
  </r>
  <r>
    <s v="Monsieur"/>
    <s v="OZCAN"/>
    <s v="Okan"/>
    <n v="31"/>
    <m/>
    <s v="Oyonnax"/>
    <d v="2025-06-04T00:00:00"/>
    <d v="2025-08-13T00:00:00"/>
    <d v="2025-08-13T00:00:00"/>
    <d v="2026-02-09T00:00:00"/>
    <m/>
    <m/>
    <m/>
    <s v="SANTE"/>
    <m/>
    <m/>
    <m/>
    <m/>
    <m/>
    <s v="Réorientation"/>
    <s v="Social freins+"/>
    <m/>
    <d v="2026-03-12T00:00:00"/>
    <n v="1"/>
    <m/>
    <m/>
    <m/>
    <m/>
    <m/>
    <m/>
    <m/>
    <m/>
    <m/>
    <m/>
    <m/>
    <m/>
    <m/>
    <m/>
    <s v="Absent atc 25/09 SUSPENSION REMOB"/>
    <n v="1"/>
  </r>
  <r>
    <s v="Monsieur"/>
    <s v="TRAORE"/>
    <s v="ISSA"/>
    <n v="31"/>
    <m/>
    <s v="Nantua"/>
    <d v="2026-02-09T00:00:00"/>
    <d v="2026-02-27T00:00:00"/>
    <m/>
    <m/>
    <m/>
    <m/>
    <m/>
    <m/>
    <m/>
    <m/>
    <m/>
    <m/>
    <m/>
    <s v="Réorientation"/>
    <s v="FT acc pro"/>
    <s v="France Travail"/>
    <d v="2026-03-25T00:00:00"/>
    <m/>
    <m/>
    <m/>
    <m/>
    <m/>
    <m/>
    <m/>
    <m/>
    <m/>
    <m/>
    <m/>
    <m/>
    <m/>
    <m/>
    <m/>
    <s v="ABSENT 27/02"/>
    <m/>
  </r>
  <r>
    <s v="Monsieur"/>
    <s v="VACCA"/>
    <s v="NICOLAS"/>
    <m/>
    <m/>
    <s v="Oyonnax"/>
    <m/>
    <d v="2026-03-31T00:00:00"/>
    <m/>
    <m/>
    <m/>
    <m/>
    <m/>
    <m/>
    <m/>
    <m/>
    <m/>
    <m/>
    <m/>
    <s v="Réorientation"/>
    <s v="FT acc pro"/>
    <s v="France Travail"/>
    <d v="2026-03-31T00:00:00"/>
    <m/>
    <m/>
    <m/>
    <m/>
    <m/>
    <m/>
    <m/>
    <m/>
    <m/>
    <m/>
    <m/>
    <m/>
    <m/>
    <m/>
    <m/>
    <m/>
    <m/>
  </r>
  <r>
    <s v="Monsieur"/>
    <s v="SADA"/>
    <s v="THIERRY"/>
    <n v="53"/>
    <m/>
    <s v="Oyonnax"/>
    <d v="2026-02-04T00:00:00"/>
    <d v="2026-02-24T00:00:00"/>
    <d v="2026-02-24T00:00:00"/>
    <d v="2026-08-23T00:00:00"/>
    <m/>
    <m/>
    <m/>
    <s v="SANTE"/>
    <s v="MOBILITE"/>
    <m/>
    <m/>
    <m/>
    <m/>
    <s v="Réorientation"/>
    <s v="Social freins+"/>
    <m/>
    <d v="2026-03-31T00:00:00"/>
    <m/>
    <m/>
    <m/>
    <m/>
    <m/>
    <m/>
    <m/>
    <m/>
    <m/>
    <m/>
    <m/>
    <m/>
    <m/>
    <m/>
    <m/>
    <m/>
    <m/>
  </r>
  <r>
    <s v="Monsieur"/>
    <s v="BALLEIN "/>
    <s v="JEROME"/>
    <n v="46"/>
    <m/>
    <s v="Nantua"/>
    <d v="2026-02-09T00:00:00"/>
    <d v="2026-02-24T00:00:00"/>
    <m/>
    <m/>
    <m/>
    <m/>
    <m/>
    <m/>
    <m/>
    <m/>
    <m/>
    <m/>
    <m/>
    <s v="Réorientation"/>
    <s v="FT acco glo"/>
    <s v="FT SIAE"/>
    <d v="2026-04-01T00:00:00"/>
    <m/>
    <m/>
    <m/>
    <m/>
    <m/>
    <m/>
    <m/>
    <m/>
    <m/>
    <m/>
    <m/>
    <m/>
    <m/>
    <m/>
    <m/>
    <s v="PARCOUR PRO FT + CDD AIRE 02/03/26 attente de retour insertion "/>
    <m/>
  </r>
  <r>
    <s v="Madame"/>
    <s v="YENI /OCAL"/>
    <s v="Serife"/>
    <n v="40"/>
    <m/>
    <s v="Oyonnax"/>
    <d v="2026-01-22T00:00:00"/>
    <d v="2026-02-11T00:00:00"/>
    <d v="2026-02-11T00:00:00"/>
    <d v="2026-08-10T00:00:00"/>
    <m/>
    <m/>
    <m/>
    <s v="langue"/>
    <m/>
    <m/>
    <n v="1"/>
    <n v="1"/>
    <m/>
    <s v="Positive"/>
    <s v="FT acc pro"/>
    <s v="Stagiaire en formation"/>
    <d v="2026-04-01T00:00:00"/>
    <m/>
    <m/>
    <m/>
    <m/>
    <m/>
    <m/>
    <m/>
    <m/>
    <m/>
    <m/>
    <m/>
    <m/>
    <m/>
    <m/>
    <m/>
    <m/>
    <m/>
  </r>
  <r>
    <s v="Monsieur"/>
    <s v="ERSOY"/>
    <s v="Salih"/>
    <n v="46"/>
    <m/>
    <s v="Oyonnax"/>
    <d v="2025-05-28T00:00:00"/>
    <d v="2025-09-01T00:00:00"/>
    <d v="2025-08-27T00:00:00"/>
    <d v="2026-02-23T00:00:00"/>
    <m/>
    <m/>
    <m/>
    <s v="sante "/>
    <s v="MOBILITE"/>
    <m/>
    <m/>
    <m/>
    <m/>
    <s v="Fin DD"/>
    <m/>
    <m/>
    <d v="2025-11-01T00:00:00"/>
    <n v="1"/>
    <m/>
    <m/>
    <m/>
    <m/>
    <m/>
    <m/>
    <m/>
    <m/>
    <m/>
    <m/>
    <m/>
    <m/>
    <m/>
    <m/>
    <s v="absent 31/07 - ABS JOBDATING + rdv du 20/10 - CLI"/>
    <n v="1"/>
  </r>
  <r>
    <s v="Monsieur"/>
    <s v="BOSCHMANS"/>
    <s v="Franck"/>
    <n v="57"/>
    <m/>
    <s v="Oyonnax"/>
    <d v="2025-06-27T00:00:00"/>
    <d v="2025-07-30T00:00:00"/>
    <d v="2025-08-18T00:00:00"/>
    <d v="2026-02-14T00:00:00"/>
    <m/>
    <m/>
    <m/>
    <m/>
    <m/>
    <m/>
    <m/>
    <m/>
    <m/>
    <s v="Fin DD"/>
    <m/>
    <m/>
    <d v="2026-02-11T00:00:00"/>
    <m/>
    <m/>
    <m/>
    <m/>
    <m/>
    <m/>
    <m/>
    <m/>
    <m/>
    <m/>
    <m/>
    <m/>
    <m/>
    <m/>
    <m/>
    <s v="absent 30/07 et 09/09 - CLI en decembre 2025 / pas repris contact"/>
    <n v="1"/>
  </r>
  <r>
    <s v="Madame"/>
    <s v="BASSI"/>
    <s v="Stephanie"/>
    <n v="47"/>
    <m/>
    <s v="Nantua"/>
    <d v="2025-05-12T00:00:00"/>
    <d v="2025-07-31T00:00:00"/>
    <d v="2025-07-31T00:00:00"/>
    <d v="2026-01-27T00:00:00"/>
    <m/>
    <m/>
    <m/>
    <m/>
    <m/>
    <m/>
    <m/>
    <m/>
    <m/>
    <s v="autre"/>
    <m/>
    <m/>
    <m/>
    <m/>
    <m/>
    <m/>
    <m/>
    <m/>
    <m/>
    <m/>
    <m/>
    <m/>
    <m/>
    <m/>
    <m/>
    <m/>
    <m/>
    <m/>
    <s v="absente au 2e rdv et à l'atelier co / Passage en CLI le  ne s'est jamais représentée"/>
    <n v="1"/>
  </r>
  <r>
    <s v="Monsieur"/>
    <s v="AMMAR "/>
    <s v="Adam"/>
    <n v="34"/>
    <m/>
    <s v="Oyonnax"/>
    <d v="2026-04-02T00:00:00"/>
    <d v="2026-04-21T00:00:00"/>
    <m/>
    <m/>
    <m/>
    <m/>
    <m/>
    <m/>
    <m/>
    <m/>
    <m/>
    <m/>
    <m/>
    <s v="Réorientation"/>
    <s v="Sociale AAH"/>
    <m/>
    <d v="2026-04-03T00:00:00"/>
    <m/>
    <m/>
    <m/>
    <m/>
    <m/>
    <m/>
    <m/>
    <m/>
    <m/>
    <m/>
    <m/>
    <m/>
    <m/>
    <m/>
    <m/>
    <m/>
    <m/>
  </r>
  <r>
    <s v="Monsieur"/>
    <s v="TEKELI"/>
    <s v="Atilyahan"/>
    <n v="44"/>
    <m/>
    <s v="Oyonnax"/>
    <d v="2025-10-21T00:00:00"/>
    <d v="2025-11-19T00:00:00"/>
    <m/>
    <m/>
    <m/>
    <m/>
    <m/>
    <m/>
    <m/>
    <m/>
    <m/>
    <m/>
    <m/>
    <s v="Réorientation"/>
    <s v="BGE"/>
    <m/>
    <d v="2026-04-08T00:00:00"/>
    <m/>
    <m/>
    <m/>
    <m/>
    <m/>
    <m/>
    <m/>
    <m/>
    <m/>
    <m/>
    <m/>
    <m/>
    <m/>
    <m/>
    <m/>
    <s v="Absent 19/11 et 16/12 passéen CLI en dcembre pas repris contact"/>
    <n v="1"/>
  </r>
  <r>
    <s v="Monsieur"/>
    <s v="CLERMONT"/>
    <s v="CHRISTIAN"/>
    <n v="54"/>
    <m/>
    <s v="Nantua"/>
    <d v="2025-12-08T00:00:00"/>
    <d v="2025-12-29T00:00:00"/>
    <m/>
    <m/>
    <m/>
    <m/>
    <m/>
    <m/>
    <m/>
    <m/>
    <m/>
    <m/>
    <m/>
    <s v="autre"/>
    <m/>
    <m/>
    <d v="2026-04-07T00:00:00"/>
    <m/>
    <m/>
    <m/>
    <m/>
    <m/>
    <m/>
    <m/>
    <m/>
    <m/>
    <m/>
    <m/>
    <m/>
    <m/>
    <m/>
    <m/>
    <s v="Absent 29/12 et 20/01 SUSPENSION REMOB absent 31/03/26 retour suspension "/>
    <m/>
  </r>
  <r>
    <s v="Monsieur"/>
    <s v="GELAJ"/>
    <s v="Bekim"/>
    <n v="34"/>
    <m/>
    <s v="Oyonnax"/>
    <d v="2025-10-21T00:00:00"/>
    <d v="2025-11-19T00:00:00"/>
    <d v="2025-12-17T00:00:00"/>
    <d v="2026-06-15T00:00:00"/>
    <m/>
    <m/>
    <m/>
    <s v="fle"/>
    <m/>
    <m/>
    <m/>
    <m/>
    <m/>
    <s v="autre"/>
    <m/>
    <m/>
    <d v="2026-04-07T00:00:00"/>
    <n v="1"/>
    <m/>
    <m/>
    <m/>
    <m/>
    <m/>
    <m/>
    <m/>
    <m/>
    <m/>
    <m/>
    <m/>
    <m/>
    <m/>
    <m/>
    <s v="Absent 19/11  et  14/01 SUSPENSION REMOB"/>
    <n v="1"/>
  </r>
  <r>
    <s v="Monsieur"/>
    <s v="ONCU"/>
    <s v="ONDER"/>
    <n v="38"/>
    <m/>
    <s v="Nantua"/>
    <d v="2025-07-01T00:00:00"/>
    <d v="2025-12-03T00:00:00"/>
    <m/>
    <m/>
    <m/>
    <m/>
    <m/>
    <m/>
    <m/>
    <m/>
    <m/>
    <m/>
    <m/>
    <s v="autre"/>
    <m/>
    <m/>
    <d v="2026-04-07T00:00:00"/>
    <m/>
    <m/>
    <m/>
    <m/>
    <m/>
    <m/>
    <m/>
    <m/>
    <m/>
    <m/>
    <m/>
    <m/>
    <m/>
    <m/>
    <m/>
    <s v="Absent 3/12 et 29/12 - SUSPENSION REMOB absent 19/03"/>
    <n v="1"/>
  </r>
  <r>
    <s v="Monsieur"/>
    <s v="SULTANKHEL"/>
    <s v="SAMIULLAH"/>
    <m/>
    <m/>
    <s v="Oyonnax"/>
    <d v="2025-07-25T00:00:00"/>
    <d v="2025-12-15T00:00:00"/>
    <m/>
    <m/>
    <m/>
    <m/>
    <m/>
    <m/>
    <m/>
    <m/>
    <m/>
    <m/>
    <m/>
    <s v="autre"/>
    <m/>
    <m/>
    <d v="2026-04-07T00:00:00"/>
    <m/>
    <m/>
    <m/>
    <m/>
    <m/>
    <m/>
    <m/>
    <m/>
    <m/>
    <m/>
    <m/>
    <m/>
    <m/>
    <m/>
    <m/>
    <s v="Absent 15/12 et 14/01 SUSPENSION REMOB"/>
    <n v="1"/>
  </r>
  <r>
    <s v="Monsieur"/>
    <s v="ROSELL"/>
    <s v="Thibault"/>
    <n v="41"/>
    <m/>
    <s v="Oyonnax"/>
    <d v="2025-06-12T00:00:00"/>
    <d v="2025-08-06T00:00:00"/>
    <d v="2025-08-27T00:00:00"/>
    <d v="2026-02-23T00:00:00"/>
    <m/>
    <m/>
    <m/>
    <s v="SANTE"/>
    <m/>
    <m/>
    <m/>
    <m/>
    <m/>
    <s v="autre"/>
    <m/>
    <m/>
    <d v="2026-04-07T00:00:00"/>
    <n v="1"/>
    <m/>
    <m/>
    <m/>
    <m/>
    <m/>
    <m/>
    <m/>
    <m/>
    <m/>
    <m/>
    <m/>
    <m/>
    <m/>
    <m/>
    <s v="absent 6/08 et 5/01 - SUSPENSION REMOB"/>
    <m/>
  </r>
  <r>
    <s v="Madame"/>
    <s v="NUNES GOUVEIA"/>
    <s v="SABRINA"/>
    <n v="37"/>
    <m/>
    <s v="Oyonnax"/>
    <d v="2025-12-22T00:00:00"/>
    <d v="2026-01-19T00:00:00"/>
    <m/>
    <m/>
    <m/>
    <m/>
    <m/>
    <m/>
    <m/>
    <m/>
    <m/>
    <m/>
    <m/>
    <s v="autre"/>
    <m/>
    <m/>
    <d v="2026-04-07T00:00:00"/>
    <m/>
    <m/>
    <m/>
    <m/>
    <m/>
    <m/>
    <m/>
    <m/>
    <m/>
    <m/>
    <m/>
    <m/>
    <m/>
    <m/>
    <m/>
    <s v="absent 19/01/26 et 9/02"/>
    <m/>
  </r>
  <r>
    <s v="Monsieur"/>
    <s v="MEHALLEL"/>
    <s v="Salim"/>
    <n v="57"/>
    <m/>
    <s v="Oyonnax"/>
    <d v="2025-06-11T00:00:00"/>
    <d v="2025-09-01T00:00:00"/>
    <d v="2025-07-28T00:00:00"/>
    <d v="2026-01-24T00:00:00"/>
    <m/>
    <m/>
    <m/>
    <s v="SANTE"/>
    <s v="MOBILITE"/>
    <m/>
    <m/>
    <m/>
    <m/>
    <s v="Réorientation"/>
    <s v="Social freins+"/>
    <m/>
    <d v="2026-04-08T00:00:00"/>
    <n v="1"/>
    <m/>
    <m/>
    <m/>
    <m/>
    <m/>
    <m/>
    <m/>
    <m/>
    <m/>
    <m/>
    <m/>
    <m/>
    <m/>
    <m/>
    <m/>
    <m/>
  </r>
  <r>
    <s v="Madame"/>
    <s v="OZDEMIR"/>
    <s v="Emine"/>
    <n v="47"/>
    <m/>
    <s v="Oyonnax"/>
    <d v="2025-06-27T00:00:00"/>
    <d v="2025-09-15T00:00:00"/>
    <d v="2025-10-07T00:00:00"/>
    <d v="2026-04-05T00:00:00"/>
    <m/>
    <m/>
    <m/>
    <s v="fle"/>
    <m/>
    <m/>
    <m/>
    <m/>
    <m/>
    <s v="autre"/>
    <m/>
    <m/>
    <d v="2026-04-07T00:00:00"/>
    <n v="1"/>
    <m/>
    <m/>
    <m/>
    <m/>
    <m/>
    <m/>
    <m/>
    <m/>
    <m/>
    <m/>
    <m/>
    <m/>
    <m/>
    <m/>
    <s v="Absent 15/09 et 12/11 ATC SUSP REMOB"/>
    <n v="1"/>
  </r>
  <r>
    <s v="Monsieur"/>
    <s v="ONCUL"/>
    <s v="Samet"/>
    <n v="32"/>
    <m/>
    <s v="Oyonnax"/>
    <d v="2025-08-28T00:00:00"/>
    <d v="2025-09-24T00:00:00"/>
    <d v="2026-01-21T00:00:00"/>
    <d v="2026-07-20T00:00:00"/>
    <m/>
    <m/>
    <m/>
    <m/>
    <m/>
    <m/>
    <m/>
    <m/>
    <m/>
    <s v="autre"/>
    <m/>
    <m/>
    <d v="2026-04-07T00:00:00"/>
    <m/>
    <m/>
    <m/>
    <m/>
    <m/>
    <m/>
    <m/>
    <m/>
    <m/>
    <m/>
    <m/>
    <m/>
    <m/>
    <m/>
    <m/>
    <s v="Introuvable sur SDP (jamais venu) - retour cli absent 30/12_x000a_absent 16/02 entretien et ATC"/>
    <n v="1"/>
  </r>
  <r>
    <s v="Madame"/>
    <s v="ANNOUR ALI// ABDALLAH  ABDRAMANE "/>
    <s v="MARIAM"/>
    <n v="51"/>
    <m/>
    <s v="Oyonnax"/>
    <d v="2025-12-22T00:00:00"/>
    <d v="2026-01-19T00:00:00"/>
    <d v="2026-01-19T00:00:00"/>
    <d v="1900-06-28T00:00:00"/>
    <m/>
    <m/>
    <m/>
    <s v="fle++"/>
    <s v="sante"/>
    <m/>
    <m/>
    <m/>
    <n v="1"/>
    <s v="Réorientation"/>
    <s v="Social freins+"/>
    <m/>
    <d v="2026-04-07T00:00:00"/>
    <n v="1"/>
    <m/>
    <m/>
    <m/>
    <m/>
    <m/>
    <n v="1"/>
    <m/>
    <m/>
    <n v="1"/>
    <m/>
    <m/>
    <m/>
    <m/>
    <m/>
    <s v="gros soucis de santé prescription agt santé - Inscription GO ON voir CM"/>
    <m/>
  </r>
  <r>
    <s v="Monsieur"/>
    <s v="GONNETAN"/>
    <s v="PIERRE"/>
    <n v="34"/>
    <m/>
    <s v="Nantua"/>
    <d v="2025-12-08T00:00:00"/>
    <d v="2025-12-29T00:00:00"/>
    <d v="2025-12-19T00:00:00"/>
    <d v="2026-06-17T00:00:00"/>
    <m/>
    <m/>
    <m/>
    <s v="SANTE"/>
    <m/>
    <m/>
    <m/>
    <m/>
    <m/>
    <s v="Fin DD"/>
    <m/>
    <m/>
    <d v="2026-03-10T00:00:00"/>
    <n v="1"/>
    <m/>
    <m/>
    <m/>
    <m/>
    <m/>
    <m/>
    <m/>
    <m/>
    <m/>
    <m/>
    <m/>
    <m/>
    <m/>
    <m/>
    <m/>
    <m/>
  </r>
  <r>
    <s v="Madame"/>
    <s v="LIEU"/>
    <s v="Ophelie-kim"/>
    <n v="29"/>
    <m/>
    <s v="Oyonnax"/>
    <d v="2025-05-28T00:00:00"/>
    <d v="2026-01-19T00:00:00"/>
    <m/>
    <m/>
    <m/>
    <m/>
    <m/>
    <m/>
    <m/>
    <m/>
    <m/>
    <m/>
    <m/>
    <s v="Réorientation"/>
    <s v="FT acc pro"/>
    <s v="France Travail"/>
    <d v="2026-04-16T00:00:00"/>
    <m/>
    <m/>
    <m/>
    <m/>
    <m/>
    <m/>
    <m/>
    <m/>
    <m/>
    <m/>
    <m/>
    <m/>
    <m/>
    <m/>
    <m/>
    <s v="en contrat en Suisse, en attente de réception de son document FIN DD ???? Ou sinon contrôle"/>
    <m/>
  </r>
  <r>
    <s v="Monsieur"/>
    <s v="EL-HAMDI"/>
    <s v="Mourad"/>
    <n v="43"/>
    <m/>
    <s v="Oyonnax"/>
    <d v="2025-06-04T00:00:00"/>
    <d v="2025-09-01T00:00:00"/>
    <d v="2025-10-22T00:00:00"/>
    <d v="2026-04-20T00:00:00"/>
    <m/>
    <m/>
    <m/>
    <m/>
    <m/>
    <m/>
    <n v="5"/>
    <m/>
    <m/>
    <s v="autre"/>
    <m/>
    <m/>
    <s v="01/05/206"/>
    <n v="1"/>
    <m/>
    <m/>
    <m/>
    <m/>
    <m/>
    <m/>
    <m/>
    <m/>
    <m/>
    <m/>
    <m/>
    <m/>
    <m/>
    <m/>
    <s v="absent 5/08 et 21/08 - retour de CLI - positionnement defricheurs_x000a_absent le 20/02 entretien ind+ atc "/>
    <n v="1"/>
  </r>
  <r>
    <s v="Madame"/>
    <s v="JEBARI "/>
    <s v="Naoual"/>
    <n v="37"/>
    <m/>
    <s v="Oyonnax"/>
    <d v="2026-04-13T00:00:00"/>
    <d v="2026-04-28T00:00:00"/>
    <m/>
    <m/>
    <m/>
    <m/>
    <m/>
    <m/>
    <m/>
    <m/>
    <m/>
    <m/>
    <m/>
    <s v="Réorientation"/>
    <s v="FT acc pro"/>
    <s v="France Travail"/>
    <d v="2026-04-28T00:00:00"/>
    <m/>
    <m/>
    <m/>
    <m/>
    <m/>
    <m/>
    <m/>
    <m/>
    <m/>
    <m/>
    <m/>
    <m/>
    <m/>
    <m/>
    <m/>
    <s v="reorientation FT faite sur demande de M. Billoud"/>
    <m/>
  </r>
  <r>
    <s v="Monsieur"/>
    <s v="BANDATIA"/>
    <s v="ULRICH"/>
    <n v="26"/>
    <m/>
    <s v="Oyonnax"/>
    <d v="2026-01-07T00:00:00"/>
    <d v="2026-01-27T00:00:00"/>
    <d v="2026-01-27T00:00:00"/>
    <d v="2026-07-26T00:00:00"/>
    <m/>
    <m/>
    <m/>
    <s v="SANTE"/>
    <s v="MOBILITE"/>
    <m/>
    <n v="1"/>
    <m/>
    <m/>
    <s v="Déménagement"/>
    <m/>
    <m/>
    <d v="2026-05-07T00:00:00"/>
    <n v="1"/>
    <m/>
    <m/>
    <m/>
    <m/>
    <m/>
    <m/>
    <m/>
    <m/>
    <m/>
    <m/>
    <m/>
    <m/>
    <m/>
    <m/>
    <s v=" absent ATC 16/04"/>
    <m/>
  </r>
  <r>
    <s v="Madame"/>
    <s v="VENOT"/>
    <s v="Emilie"/>
    <n v="28"/>
    <m/>
    <s v="Oyonnax"/>
    <d v="2025-05-13T00:00:00"/>
    <d v="2025-09-02T00:00:00"/>
    <d v="2025-09-24T00:00:00"/>
    <d v="2026-03-23T00:00:00"/>
    <m/>
    <m/>
    <m/>
    <s v="GARDE ENFANT"/>
    <s v="MOBILITE"/>
    <m/>
    <m/>
    <m/>
    <n v="1"/>
    <m/>
    <m/>
    <m/>
    <m/>
    <n v="1"/>
    <m/>
    <m/>
    <m/>
    <m/>
    <m/>
    <m/>
    <m/>
    <m/>
    <m/>
    <m/>
    <m/>
    <m/>
    <m/>
    <m/>
    <s v="2/09 absente / BB 6 mois + enceinte de 3 mois // absente 03/04"/>
    <m/>
  </r>
  <r>
    <s v="Madame"/>
    <s v="RIVIERE"/>
    <s v="Cindy"/>
    <n v="32"/>
    <m/>
    <s v="Nantua"/>
    <d v="2025-06-03T00:00:00"/>
    <d v="2025-09-03T00:00:00"/>
    <d v="2025-09-29T00:00:00"/>
    <d v="2026-03-28T00:00:00"/>
    <m/>
    <m/>
    <m/>
    <m/>
    <m/>
    <m/>
    <n v="1"/>
    <n v="1"/>
    <m/>
    <s v="Positive"/>
    <s v="BGE"/>
    <s v="Créa"/>
    <d v="2026-05-12T00:00:00"/>
    <n v="1"/>
    <m/>
    <m/>
    <m/>
    <m/>
    <m/>
    <m/>
    <m/>
    <m/>
    <m/>
    <m/>
    <m/>
    <m/>
    <m/>
    <m/>
    <s v="3/09 absent a refusé les defricheurs / pas bien passé Startpeople "/>
    <m/>
  </r>
  <r>
    <s v="Madame"/>
    <s v="KHAROUNI"/>
    <s v="Kaïna"/>
    <n v="29"/>
    <m/>
    <s v="Oyonnax"/>
    <d v="2025-09-05T00:00:00"/>
    <d v="2025-09-30T00:00:00"/>
    <d v="2025-09-30T00:00:00"/>
    <d v="2026-03-29T00:00:00"/>
    <m/>
    <m/>
    <m/>
    <s v="GARDE ENFANTS"/>
    <m/>
    <m/>
    <n v="1"/>
    <n v="1"/>
    <n v="1"/>
    <s v="Positive"/>
    <s v="FT acc pro"/>
    <s v="France Travail"/>
    <d v="2026-05-12T00:00:00"/>
    <n v="1"/>
    <m/>
    <m/>
    <m/>
    <m/>
    <m/>
    <m/>
    <m/>
    <m/>
    <m/>
    <m/>
    <m/>
    <m/>
    <m/>
    <m/>
    <s v="absente 13/01 et 15/01  FORMATION WEBMARKETER 05/02/26 auto financée"/>
    <m/>
  </r>
  <r>
    <s v="Madame"/>
    <s v="OZCAN"/>
    <s v="Kamile"/>
    <n v="61"/>
    <m/>
    <s v="Oyonnax"/>
    <d v="2025-06-27T00:00:00"/>
    <d v="2025-09-10T00:00:00"/>
    <d v="2025-10-22T00:00:00"/>
    <d v="2026-04-20T00:00:00"/>
    <m/>
    <m/>
    <m/>
    <s v="FLE +++"/>
    <s v="MOBILITE/SANTE"/>
    <m/>
    <m/>
    <m/>
    <m/>
    <s v="Renonciation RSA"/>
    <m/>
    <m/>
    <d v="2026-05-13T00:00:00"/>
    <n v="1"/>
    <m/>
    <m/>
    <m/>
    <m/>
    <m/>
    <m/>
    <m/>
    <m/>
    <m/>
    <m/>
    <m/>
    <m/>
    <m/>
    <m/>
    <s v="personne hospitalisée 1j ! Pas de justif, serait partie chez son frere !!!! Voir susp remob"/>
    <m/>
  </r>
  <r>
    <s v="Madame"/>
    <s v="ROCHELLE"/>
    <s v="PATRICIA"/>
    <n v="55"/>
    <m/>
    <s v="Oyonnax"/>
    <d v="2025-09-10T00:00:00"/>
    <d v="2025-12-10T00:00:00"/>
    <d v="2025-12-10T00:00:00"/>
    <d v="2026-06-08T00:00:00"/>
    <m/>
    <m/>
    <m/>
    <s v="sans domicile fixe"/>
    <m/>
    <m/>
    <n v="4"/>
    <m/>
    <m/>
    <s v="Réorientation"/>
    <s v="Social freins+"/>
    <m/>
    <d v="2026-05-13T00:00:00"/>
    <n v="1"/>
    <m/>
    <m/>
    <m/>
    <m/>
    <m/>
    <m/>
    <m/>
    <m/>
    <m/>
    <m/>
    <m/>
    <m/>
    <m/>
    <m/>
    <s v="absent atc 13/01 - Entretien difficile (syndrome de persécution) et 2-/03 rdv de diana- acte de présence au jobdating absent atc 10/02 TRIPARTITE DEMANDE"/>
    <m/>
  </r>
  <r>
    <s v="Monsieur"/>
    <s v="BERTHET-BONDET"/>
    <s v="Franck"/>
    <n v="41"/>
    <m/>
    <s v="Oyonnax"/>
    <d v="2025-06-27T00:00:00"/>
    <d v="2025-08-06T00:00:00"/>
    <d v="2025-08-27T00:00:00"/>
    <d v="2026-02-23T00:00:00"/>
    <m/>
    <m/>
    <m/>
    <m/>
    <m/>
    <m/>
    <m/>
    <m/>
    <m/>
    <s v="autre"/>
    <m/>
    <m/>
    <d v="2026-04-24T00:00:00"/>
    <m/>
    <m/>
    <m/>
    <m/>
    <m/>
    <m/>
    <m/>
    <m/>
    <m/>
    <m/>
    <m/>
    <m/>
    <m/>
    <m/>
    <m/>
    <s v="pbme de diogène - CLI le 16/12/2025 - jamais repris contact // fin rsa "/>
    <n v="1"/>
  </r>
  <r>
    <s v="Monsieur"/>
    <s v="DERRIEN"/>
    <s v="BRYCE"/>
    <n v="35"/>
    <m/>
    <s v="Nantua"/>
    <d v="2026-01-13T00:00:00"/>
    <d v="2026-01-27T00:00:00"/>
    <m/>
    <m/>
    <m/>
    <m/>
    <m/>
    <m/>
    <m/>
    <m/>
    <m/>
    <m/>
    <m/>
    <s v="autre"/>
    <m/>
    <m/>
    <d v="2026-05-12T00:00:00"/>
    <m/>
    <m/>
    <m/>
    <m/>
    <m/>
    <m/>
    <m/>
    <m/>
    <m/>
    <m/>
    <m/>
    <m/>
    <m/>
    <m/>
    <m/>
    <s v="absent 27/01 et 17/02"/>
    <m/>
  </r>
  <r>
    <s v="Madame"/>
    <s v="BRASSART"/>
    <s v="Cindy"/>
    <n v="31"/>
    <m/>
    <s v="Nantua"/>
    <d v="2025-04-23T00:00:00"/>
    <d v="2025-08-20T00:00:00"/>
    <d v="2025-08-20T00:00:00"/>
    <d v="2026-02-16T00:00:00"/>
    <m/>
    <m/>
    <m/>
    <s v="mobilite "/>
    <s v="garde enfant"/>
    <m/>
    <m/>
    <m/>
    <m/>
    <s v="autre"/>
    <m/>
    <m/>
    <d v="2026-05-01T00:00:00"/>
    <n v="1"/>
    <m/>
    <m/>
    <m/>
    <m/>
    <m/>
    <m/>
    <m/>
    <m/>
    <m/>
    <m/>
    <m/>
    <m/>
    <m/>
    <m/>
    <s v="absente au 2e et 3e rdv : dde cli annulé car mauvaise adresse_x000a_absente le 09/02 suspension remobilisation"/>
    <m/>
  </r>
  <r>
    <s v="Monsieur"/>
    <s v="DUBOT"/>
    <s v="Sébastien"/>
    <n v="51"/>
    <m/>
    <s v="Nantua"/>
    <d v="2025-06-30T00:00:00"/>
    <d v="2025-08-04T00:00:00"/>
    <d v="2025-08-21T00:00:00"/>
    <d v="2026-02-17T00:00:00"/>
    <m/>
    <m/>
    <m/>
    <m/>
    <m/>
    <m/>
    <m/>
    <m/>
    <m/>
    <s v="autre"/>
    <m/>
    <m/>
    <d v="2026-05-01T00:00:00"/>
    <n v="1"/>
    <m/>
    <m/>
    <m/>
    <m/>
    <m/>
    <m/>
    <m/>
    <m/>
    <m/>
    <m/>
    <m/>
    <m/>
    <m/>
    <m/>
    <s v="2e absence etant l'ATC du 25/09 _x000a_Absent 10/02 et 25/02 S/REMOB"/>
    <n v="1"/>
  </r>
  <r>
    <s v="Monsieur"/>
    <s v="EL JABBAR"/>
    <s v="Anass"/>
    <n v="33"/>
    <m/>
    <s v="Oyonnax"/>
    <d v="2025-04-28T00:00:00"/>
    <d v="2025-08-13T00:00:00"/>
    <m/>
    <m/>
    <m/>
    <m/>
    <m/>
    <m/>
    <m/>
    <m/>
    <m/>
    <m/>
    <m/>
    <s v="Fin DD"/>
    <m/>
    <m/>
    <d v="2025-10-23T00:00:00"/>
    <m/>
    <m/>
    <m/>
    <m/>
    <m/>
    <m/>
    <m/>
    <m/>
    <m/>
    <m/>
    <m/>
    <m/>
    <m/>
    <m/>
    <m/>
    <s v="absent 13/08 et 28/08 - CLI pas repris contact"/>
    <n v="1"/>
  </r>
  <r>
    <s v="Monsieur"/>
    <s v="OZER"/>
    <s v="Ismaïl"/>
    <n v="33"/>
    <m/>
    <s v="Oyonnax"/>
    <d v="2025-04-22T00:00:00"/>
    <d v="2025-08-13T00:00:00"/>
    <m/>
    <m/>
    <m/>
    <m/>
    <m/>
    <m/>
    <m/>
    <m/>
    <m/>
    <m/>
    <m/>
    <s v="Fin DD"/>
    <m/>
    <m/>
    <d v="2025-11-14T00:00:00"/>
    <m/>
    <m/>
    <m/>
    <m/>
    <m/>
    <m/>
    <m/>
    <m/>
    <m/>
    <m/>
    <m/>
    <m/>
    <m/>
    <m/>
    <m/>
    <s v="absent 13/08 et 28/08 SUSPENSION REMOB"/>
    <n v="1"/>
  </r>
  <r>
    <s v="Monsieur"/>
    <s v="COLOMBEL"/>
    <s v="Mickael"/>
    <n v="38"/>
    <m/>
    <s v="Oyonnax"/>
    <d v="2025-04-28T00:00:00"/>
    <d v="2025-08-12T00:00:00"/>
    <d v="2025-08-12T00:00:00"/>
    <d v="2026-02-08T00:00:00"/>
    <m/>
    <m/>
    <m/>
    <s v="mobilite"/>
    <m/>
    <m/>
    <m/>
    <m/>
    <m/>
    <s v="autre"/>
    <m/>
    <m/>
    <d v="2026-03-24T00:00:00"/>
    <n v="1"/>
    <m/>
    <m/>
    <m/>
    <m/>
    <m/>
    <m/>
    <m/>
    <m/>
    <m/>
    <m/>
    <m/>
    <m/>
    <m/>
    <m/>
    <s v="absent le 26/08 ATC et le 8/09 - retour de cli : absent sofeo 8/12 ,  ATC 18/12 et 23/12 SANCTION suppression RSA "/>
    <n v="1"/>
  </r>
  <r>
    <s v="Monsieur"/>
    <s v="KARIAM"/>
    <s v="Omar"/>
    <n v="49"/>
    <m/>
    <s v="Oyonnax"/>
    <d v="2025-06-27T00:00:00"/>
    <d v="2025-08-04T00:00:00"/>
    <m/>
    <m/>
    <m/>
    <m/>
    <m/>
    <m/>
    <m/>
    <m/>
    <m/>
    <m/>
    <m/>
    <s v="Fin DD"/>
    <m/>
    <m/>
    <d v="2025-11-14T00:00:00"/>
    <m/>
    <m/>
    <m/>
    <m/>
    <m/>
    <m/>
    <m/>
    <m/>
    <m/>
    <m/>
    <m/>
    <m/>
    <m/>
    <m/>
    <m/>
    <s v="absent 04/08 et 21/08 - CLI jamais repris contact"/>
    <n v="1"/>
  </r>
  <r>
    <s v="Madame"/>
    <s v="BEN EMBARECK"/>
    <s v="Wassila"/>
    <n v="32"/>
    <m/>
    <s v="Oyonnax"/>
    <d v="2025-06-27T00:00:00"/>
    <d v="2025-09-09T00:00:00"/>
    <m/>
    <m/>
    <m/>
    <m/>
    <m/>
    <m/>
    <m/>
    <m/>
    <m/>
    <m/>
    <m/>
    <s v="Fin DD"/>
    <m/>
    <m/>
    <d v="2025-09-01T00:00:00"/>
    <m/>
    <m/>
    <m/>
    <m/>
    <m/>
    <m/>
    <m/>
    <m/>
    <m/>
    <m/>
    <m/>
    <m/>
    <m/>
    <m/>
    <m/>
    <s v="9/09 Absent passé CLI pas repris contact"/>
    <n v="1"/>
  </r>
  <r>
    <s v="Monsieur"/>
    <s v="OZER"/>
    <s v="Ismaïl"/>
    <n v="33"/>
    <m/>
    <s v="Oyonnax"/>
    <d v="2025-04-22T00:00:00"/>
    <d v="2025-08-13T00:00:00"/>
    <m/>
    <m/>
    <m/>
    <m/>
    <m/>
    <m/>
    <m/>
    <m/>
    <m/>
    <m/>
    <m/>
    <s v="Fin DD"/>
    <m/>
    <m/>
    <d v="2025-11-14T00:00:00"/>
    <m/>
    <m/>
    <m/>
    <m/>
    <m/>
    <m/>
    <m/>
    <m/>
    <m/>
    <m/>
    <m/>
    <m/>
    <m/>
    <m/>
    <m/>
    <s v="absent 13/08 et 28/08 SUSPENSION REMOB"/>
    <n v="1"/>
  </r>
  <r>
    <s v="Monsieur"/>
    <s v="MAADOUR"/>
    <s v="Anas"/>
    <n v="25"/>
    <m/>
    <s v="Oyonnax"/>
    <d v="2025-05-12T00:00:00"/>
    <d v="2025-09-02T00:00:00"/>
    <m/>
    <m/>
    <m/>
    <m/>
    <m/>
    <m/>
    <m/>
    <m/>
    <m/>
    <m/>
    <m/>
    <s v="Fin DD"/>
    <m/>
    <m/>
    <d v="2025-11-14T00:00:00"/>
    <m/>
    <m/>
    <m/>
    <m/>
    <m/>
    <m/>
    <m/>
    <m/>
    <m/>
    <m/>
    <m/>
    <m/>
    <m/>
    <m/>
    <m/>
    <s v="SUSPENSION REMOBILSATION JAMAIS V"/>
    <n v="1"/>
  </r>
  <r>
    <s v="Madame"/>
    <s v="BAYIRTEPE"/>
    <s v="Gulsah"/>
    <n v="45"/>
    <m/>
    <s v="Oyonnax"/>
    <d v="2025-05-16T00:00:00"/>
    <d v="2025-09-02T00:00:00"/>
    <m/>
    <m/>
    <m/>
    <m/>
    <m/>
    <m/>
    <m/>
    <m/>
    <m/>
    <m/>
    <m/>
    <s v="Fin DD"/>
    <m/>
    <m/>
    <d v="2026-04-30T00:00:00"/>
    <m/>
    <m/>
    <m/>
    <m/>
    <m/>
    <m/>
    <m/>
    <m/>
    <m/>
    <m/>
    <m/>
    <m/>
    <m/>
    <m/>
    <m/>
    <s v=" Passage en CLI le  ne s'est jamais représentée"/>
    <n v="1"/>
  </r>
  <r>
    <s v="Monsieur"/>
    <s v="SMAAL"/>
    <s v="Samir"/>
    <n v="49"/>
    <m/>
    <s v="Oyonnax"/>
    <d v="2025-06-27T00:00:00"/>
    <d v="2005-09-08T00:00:00"/>
    <d v="2025-08-28T00:00:00"/>
    <d v="2026-02-24T00:00:00"/>
    <m/>
    <m/>
    <m/>
    <m/>
    <m/>
    <m/>
    <n v="1"/>
    <m/>
    <m/>
    <s v="Fin DD"/>
    <m/>
    <m/>
    <d v="2026-03-30T00:00:00"/>
    <n v="1"/>
    <m/>
    <m/>
    <m/>
    <m/>
    <m/>
    <m/>
    <m/>
    <m/>
    <m/>
    <m/>
    <m/>
    <m/>
    <m/>
    <m/>
    <s v="absent ATC du 09/09/25 - Passé en CLI Pas de reprise de contact"/>
    <n v="1"/>
  </r>
  <r>
    <s v="Monsieur"/>
    <s v="LEANG DATH"/>
    <s v="Benoît"/>
    <n v="26"/>
    <m/>
    <s v="Oyonnax"/>
    <d v="2025-07-07T00:00:00"/>
    <d v="2025-07-22T00:00:00"/>
    <d v="2025-07-22T00:00:00"/>
    <d v="2026-01-18T00:00:00"/>
    <m/>
    <m/>
    <m/>
    <s v="mobilité"/>
    <m/>
    <m/>
    <n v="2"/>
    <m/>
    <n v="1"/>
    <s v="Positive"/>
    <s v="FT acc pro"/>
    <s v="Stagiaire en formation"/>
    <d v="2026-05-25T00:00:00"/>
    <n v="1"/>
    <m/>
    <m/>
    <m/>
    <m/>
    <m/>
    <m/>
    <m/>
    <m/>
    <m/>
    <m/>
    <m/>
    <m/>
    <m/>
    <m/>
    <s v="poei 2 mois a oartir du 2/04/26 puis cdi 35h"/>
    <m/>
  </r>
  <r>
    <s v="Monsieur"/>
    <s v="DIABY"/>
    <s v=" MAMADOU"/>
    <n v="55"/>
    <m/>
    <s v="Oyonnax"/>
    <d v="2026-02-04T00:00:00"/>
    <d v="2026-02-23T00:00:00"/>
    <d v="2026-02-23T00:00:00"/>
    <d v="2026-08-22T00:00:00"/>
    <m/>
    <m/>
    <m/>
    <s v="mobilite"/>
    <m/>
    <m/>
    <m/>
    <m/>
    <m/>
    <s v="autre"/>
    <m/>
    <m/>
    <d v="2026-06-01T00:00:00"/>
    <m/>
    <m/>
    <m/>
    <m/>
    <m/>
    <m/>
    <m/>
    <m/>
    <m/>
    <m/>
    <m/>
    <m/>
    <m/>
    <m/>
    <m/>
    <s v="absent atc 3/03 ,10/03 et 23/03 suspension remo"/>
    <m/>
  </r>
  <r>
    <s v="Madame"/>
    <s v="OULAKBIR"/>
    <s v="Touria"/>
    <n v="44"/>
    <m/>
    <s v="Oyonnax"/>
    <d v="2025-04-23T00:00:00"/>
    <d v="2025-10-15T00:00:00"/>
    <d v="2025-10-15T00:00:00"/>
    <d v="2026-04-13T00:00:00"/>
    <m/>
    <m/>
    <m/>
    <m/>
    <m/>
    <m/>
    <n v="1"/>
    <m/>
    <m/>
    <s v="Positive"/>
    <s v="FT acc pro"/>
    <m/>
    <d v="2026-05-27T00:00:00"/>
    <n v="1"/>
    <m/>
    <m/>
    <m/>
    <m/>
    <m/>
    <m/>
    <m/>
    <m/>
    <m/>
    <m/>
    <m/>
    <m/>
    <m/>
    <m/>
    <s v="agent entretien gle des sces : CDI du 1/12 -  absent 24/11/25  CDD 1/04 AU 30/09/26 130H"/>
    <m/>
  </r>
  <r>
    <s v="Monsieur"/>
    <s v="GOUROUVIN"/>
    <s v="Gabriel"/>
    <n v="33"/>
    <m/>
    <s v="Oyonnax"/>
    <d v="2026-01-22T00:00:00"/>
    <d v="2026-02-10T00:00:00"/>
    <m/>
    <m/>
    <m/>
    <m/>
    <m/>
    <m/>
    <m/>
    <m/>
    <m/>
    <m/>
    <m/>
    <s v="autre"/>
    <m/>
    <m/>
    <d v="2026-05-12T00:00:00"/>
    <m/>
    <m/>
    <m/>
    <m/>
    <m/>
    <m/>
    <m/>
    <m/>
    <m/>
    <m/>
    <m/>
    <m/>
    <m/>
    <m/>
    <m/>
    <s v="absent le 10/02/26 et 11/03 suspension remo"/>
    <m/>
  </r>
  <r>
    <s v="Monsieur"/>
    <s v="HASANI"/>
    <s v="Gazmend"/>
    <n v="26"/>
    <m/>
    <s v="Oyonnax"/>
    <d v="2025-08-27T00:00:00"/>
    <d v="2025-09-22T00:00:00"/>
    <m/>
    <m/>
    <m/>
    <m/>
    <m/>
    <m/>
    <m/>
    <m/>
    <m/>
    <m/>
    <m/>
    <s v="autre"/>
    <m/>
    <m/>
    <d v="2025-12-10T00:00:00"/>
    <m/>
    <m/>
    <m/>
    <m/>
    <m/>
    <m/>
    <m/>
    <m/>
    <m/>
    <m/>
    <m/>
    <m/>
    <m/>
    <m/>
    <m/>
    <s v="22/09 absent passé cli pas repris contact MAIL CDS LE 21/05/26 CAR IL A DE L ARE JUSQU EN 11/26"/>
    <n v="1"/>
  </r>
  <r>
    <s v="Monsieur"/>
    <s v="CHERIFI "/>
    <s v="HAMZA"/>
    <n v="32"/>
    <m/>
    <s v="Oyonnax"/>
    <d v="2026-01-05T00:00:00"/>
    <d v="2026-01-26T00:00:00"/>
    <d v="2026-02-09T00:00:00"/>
    <d v="2026-08-08T00:00:00"/>
    <m/>
    <m/>
    <m/>
    <m/>
    <m/>
    <m/>
    <m/>
    <m/>
    <m/>
    <s v="autre"/>
    <m/>
    <m/>
    <d v="2026-05-01T00:00:00"/>
    <m/>
    <m/>
    <m/>
    <m/>
    <m/>
    <m/>
    <m/>
    <m/>
    <m/>
    <m/>
    <m/>
    <m/>
    <m/>
    <m/>
    <m/>
    <s v="Absent 26/01/26 et le 25/02"/>
    <m/>
  </r>
  <r>
    <s v="Madame"/>
    <s v="MUTLU"/>
    <s v="Mualla"/>
    <n v="51"/>
    <m/>
    <s v="Oyonnax"/>
    <d v="2025-06-27T00:00:00"/>
    <d v="2025-09-01T00:00:00"/>
    <d v="2025-09-10T00:00:00"/>
    <d v="2026-03-09T00:00:00"/>
    <s v="Renouvellement"/>
    <m/>
    <m/>
    <s v="FLE +++"/>
    <s v="MOBILITE"/>
    <m/>
    <n v="4"/>
    <m/>
    <n v="1"/>
    <s v="Réorientation"/>
    <s v="Social freins+"/>
    <m/>
    <d v="2026-06-09T00:00:00"/>
    <n v="1"/>
    <m/>
    <m/>
    <m/>
    <m/>
    <m/>
    <m/>
    <m/>
    <m/>
    <m/>
    <m/>
    <m/>
    <m/>
    <m/>
    <m/>
    <s v="couturiere poste AIRE absent 22/04 atc /// tripartite le 09/06/26"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s v="Madame"/>
    <s v="AKHMAL"/>
    <s v="Najat"/>
    <n v="44"/>
    <m/>
    <s v="Oyonnax"/>
    <d v="2025-07-07T00:00:00"/>
    <d v="2025-07-21T00:00:00"/>
    <d v="2025-07-21T00:00:00"/>
    <d v="2026-01-17T00:00:00"/>
    <s v="Renouvellement"/>
    <m/>
    <d v="1900-06-28T00:00:00"/>
    <s v="mobilité"/>
    <s v="sante"/>
    <m/>
    <n v="0"/>
    <m/>
    <m/>
    <x v="0"/>
    <x v="0"/>
    <m/>
    <m/>
    <n v="1"/>
    <m/>
    <m/>
    <m/>
    <m/>
    <n v="1"/>
    <m/>
    <m/>
    <m/>
    <m/>
    <m/>
    <m/>
    <m/>
    <m/>
    <m/>
  </r>
  <r>
    <s v="Monsieur"/>
    <s v="AL-RIHEMAWEE"/>
    <s v="Qays"/>
    <n v="54"/>
    <m/>
    <s v="Oyonnax"/>
    <d v="2025-06-27T00:00:00"/>
    <d v="2025-07-30T00:00:00"/>
    <d v="2025-09-30T00:00:00"/>
    <d v="2026-03-29T00:00:00"/>
    <s v="Renouvellement"/>
    <m/>
    <d v="1900-06-28T00:00:00"/>
    <s v="mobilite"/>
    <s v="sante mentale"/>
    <m/>
    <n v="3"/>
    <n v="2"/>
    <m/>
    <x v="0"/>
    <x v="0"/>
    <m/>
    <m/>
    <n v="1"/>
    <m/>
    <m/>
    <m/>
    <m/>
    <m/>
    <n v="1"/>
    <m/>
    <m/>
    <m/>
    <m/>
    <m/>
    <m/>
    <m/>
    <m/>
  </r>
  <r>
    <s v="Monsieur"/>
    <s v="ARBINOT"/>
    <s v="Alexandre"/>
    <n v="40"/>
    <m/>
    <s v="Nantua"/>
    <d v="2025-06-20T00:00:00"/>
    <d v="2025-08-11T00:00:00"/>
    <d v="2025-08-11T00:00:00"/>
    <d v="2026-02-07T00:00:00"/>
    <s v="Renouvellement"/>
    <m/>
    <d v="1900-06-28T00:00:00"/>
    <s v="SANTE"/>
    <s v="MOBILITE"/>
    <m/>
    <n v="0"/>
    <m/>
    <n v="1"/>
    <x v="0"/>
    <x v="0"/>
    <m/>
    <m/>
    <n v="1"/>
    <m/>
    <m/>
    <m/>
    <m/>
    <m/>
    <m/>
    <m/>
    <m/>
    <m/>
    <m/>
    <m/>
    <m/>
    <m/>
    <m/>
  </r>
  <r>
    <s v="Madame"/>
    <s v="BRAHIMI"/>
    <s v="Farida"/>
    <n v="56"/>
    <m/>
    <s v="Oyonnax"/>
    <d v="2025-07-02T00:00:00"/>
    <s v="25/07//2025"/>
    <d v="2025-08-13T00:00:00"/>
    <d v="2026-02-09T00:00:00"/>
    <m/>
    <m/>
    <d v="1900-06-28T00:00:00"/>
    <s v="SANTE"/>
    <s v="MOBILITE"/>
    <m/>
    <m/>
    <m/>
    <m/>
    <x v="1"/>
    <x v="1"/>
    <m/>
    <d v="2026-03-20T00:00:00"/>
    <n v="1"/>
    <m/>
    <m/>
    <m/>
    <m/>
    <m/>
    <m/>
    <m/>
    <m/>
    <m/>
    <m/>
    <m/>
    <m/>
    <m/>
    <m/>
  </r>
  <r>
    <s v="Monsieur"/>
    <s v="CAVDAR"/>
    <s v="Tugay"/>
    <n v="26"/>
    <m/>
    <s v="Oyonnax"/>
    <d v="2025-05-28T00:00:00"/>
    <d v="2025-08-25T00:00:00"/>
    <d v="2025-09-29T00:00:00"/>
    <d v="2026-03-28T00:00:00"/>
    <m/>
    <m/>
    <d v="1900-06-28T00:00:00"/>
    <s v="SANTE"/>
    <s v="MOBILITE"/>
    <m/>
    <m/>
    <m/>
    <m/>
    <x v="0"/>
    <x v="0"/>
    <m/>
    <m/>
    <n v="1"/>
    <m/>
    <m/>
    <m/>
    <m/>
    <m/>
    <m/>
    <m/>
    <m/>
    <m/>
    <m/>
    <m/>
    <m/>
    <m/>
    <m/>
  </r>
  <r>
    <s v="Monsieur"/>
    <s v="CIMEN"/>
    <s v="Mehmet"/>
    <n v="41"/>
    <m/>
    <s v="Oyonnax"/>
    <d v="2025-06-12T00:00:00"/>
    <d v="2025-08-06T00:00:00"/>
    <d v="2025-08-27T00:00:00"/>
    <d v="2026-02-23T00:00:00"/>
    <m/>
    <m/>
    <d v="1900-06-28T00:00:00"/>
    <s v="SANTE"/>
    <s v="MOBILITE"/>
    <m/>
    <m/>
    <m/>
    <m/>
    <x v="0"/>
    <x v="0"/>
    <m/>
    <m/>
    <m/>
    <m/>
    <m/>
    <m/>
    <m/>
    <m/>
    <m/>
    <m/>
    <m/>
    <m/>
    <m/>
    <m/>
    <m/>
    <m/>
    <m/>
  </r>
  <r>
    <s v="Madame"/>
    <s v="DESSAINTJEAN"/>
    <s v="Amandine"/>
    <n v="29"/>
    <m/>
    <s v="Nantua"/>
    <d v="2025-04-24T00:00:00"/>
    <d v="2025-08-26T00:00:00"/>
    <d v="2025-09-01T00:00:00"/>
    <d v="2026-02-28T00:00:00"/>
    <s v="Renouvellement"/>
    <m/>
    <d v="1900-06-28T00:00:00"/>
    <s v="mobilité"/>
    <s v="garde enfant"/>
    <m/>
    <n v="6"/>
    <n v="1"/>
    <m/>
    <x v="0"/>
    <x v="0"/>
    <m/>
    <m/>
    <n v="1"/>
    <m/>
    <m/>
    <m/>
    <m/>
    <m/>
    <m/>
    <m/>
    <m/>
    <m/>
    <m/>
    <m/>
    <m/>
    <m/>
    <m/>
  </r>
  <r>
    <s v="Monsieur"/>
    <s v="ERAMIL"/>
    <s v="Erhan"/>
    <n v="38"/>
    <m/>
    <s v="Oyonnax"/>
    <d v="2025-04-23T00:00:00"/>
    <d v="2025-08-11T00:00:00"/>
    <d v="2025-11-05T00:00:00"/>
    <d v="2026-05-04T00:00:00"/>
    <m/>
    <m/>
    <d v="1900-06-28T00:00:00"/>
    <m/>
    <m/>
    <m/>
    <n v="5"/>
    <m/>
    <m/>
    <x v="0"/>
    <x v="0"/>
    <m/>
    <m/>
    <n v="1"/>
    <m/>
    <m/>
    <m/>
    <m/>
    <m/>
    <m/>
    <m/>
    <m/>
    <m/>
    <m/>
    <m/>
    <m/>
    <m/>
    <m/>
  </r>
  <r>
    <s v="Monsieur"/>
    <s v="GAYNUTDINOV"/>
    <s v="Rafael"/>
    <n v="54"/>
    <m/>
    <s v="Oyonnax"/>
    <d v="2025-06-27T00:00:00"/>
    <d v="2025-09-01T00:00:00"/>
    <d v="2025-07-30T00:00:00"/>
    <d v="2026-01-26T00:00:00"/>
    <s v="Renouvellement"/>
    <m/>
    <d v="1900-06-28T00:00:00"/>
    <s v="fle"/>
    <s v="sante "/>
    <m/>
    <n v="4"/>
    <m/>
    <m/>
    <x v="0"/>
    <x v="0"/>
    <m/>
    <m/>
    <n v="1"/>
    <m/>
    <m/>
    <m/>
    <m/>
    <m/>
    <m/>
    <m/>
    <m/>
    <m/>
    <m/>
    <m/>
    <m/>
    <m/>
    <m/>
  </r>
  <r>
    <s v="Monsieur"/>
    <s v="JUILLARD"/>
    <s v="Frédéric"/>
    <n v="45"/>
    <m/>
    <s v="Nantua"/>
    <d v="2025-06-30T00:00:00"/>
    <d v="2025-09-01T00:00:00"/>
    <d v="2025-08-21T00:00:00"/>
    <d v="2026-02-17T00:00:00"/>
    <s v="Renouvellement"/>
    <m/>
    <d v="1900-06-28T00:00:00"/>
    <s v="mobilite"/>
    <m/>
    <m/>
    <n v="3"/>
    <m/>
    <m/>
    <x v="0"/>
    <x v="0"/>
    <m/>
    <m/>
    <n v="1"/>
    <m/>
    <m/>
    <m/>
    <m/>
    <m/>
    <m/>
    <m/>
    <m/>
    <m/>
    <m/>
    <m/>
    <m/>
    <m/>
    <m/>
  </r>
  <r>
    <s v="Monsieur"/>
    <s v="KAMENICA"/>
    <s v="Ardit"/>
    <n v="25"/>
    <m/>
    <s v="Oyonnax"/>
    <d v="2025-07-09T00:00:00"/>
    <d v="2025-09-01T00:00:00"/>
    <d v="2025-07-22T00:00:00"/>
    <d v="2026-01-18T00:00:00"/>
    <s v="Renouvellement"/>
    <m/>
    <d v="1900-06-28T00:00:00"/>
    <s v="mobilite"/>
    <m/>
    <m/>
    <n v="3"/>
    <m/>
    <m/>
    <x v="0"/>
    <x v="0"/>
    <m/>
    <m/>
    <n v="1"/>
    <m/>
    <m/>
    <m/>
    <m/>
    <m/>
    <m/>
    <m/>
    <m/>
    <m/>
    <m/>
    <m/>
    <m/>
    <m/>
    <m/>
  </r>
  <r>
    <s v="Madame"/>
    <s v="KANBOUI"/>
    <s v="Zineb"/>
    <n v="36"/>
    <m/>
    <s v="Oyonnax"/>
    <d v="2025-04-23T00:00:00"/>
    <d v="2025-08-20T00:00:00"/>
    <d v="2025-09-16T00:00:00"/>
    <d v="2026-03-15T00:00:00"/>
    <s v="Renouvellement"/>
    <m/>
    <d v="1900-06-28T00:00:00"/>
    <s v="GARDE ENFANTS"/>
    <s v="fle"/>
    <m/>
    <n v="5"/>
    <m/>
    <m/>
    <x v="0"/>
    <x v="0"/>
    <m/>
    <m/>
    <n v="1"/>
    <m/>
    <m/>
    <m/>
    <m/>
    <m/>
    <m/>
    <m/>
    <m/>
    <m/>
    <m/>
    <m/>
    <m/>
    <m/>
    <m/>
  </r>
  <r>
    <s v="Madame"/>
    <s v="KONMAZ"/>
    <s v="Ayse"/>
    <n v="51"/>
    <m/>
    <s v="Oyonnax"/>
    <d v="2025-07-07T00:00:00"/>
    <d v="2025-08-25T00:00:00"/>
    <d v="2025-07-21T00:00:00"/>
    <d v="2026-01-17T00:00:00"/>
    <s v="Renouvellement"/>
    <m/>
    <d v="1900-06-28T00:00:00"/>
    <s v="mobilité"/>
    <m/>
    <m/>
    <n v="4"/>
    <n v="1"/>
    <m/>
    <x v="0"/>
    <x v="0"/>
    <m/>
    <m/>
    <n v="1"/>
    <m/>
    <m/>
    <m/>
    <m/>
    <m/>
    <m/>
    <m/>
    <m/>
    <m/>
    <m/>
    <m/>
    <m/>
    <m/>
    <m/>
  </r>
  <r>
    <s v="Monsieur"/>
    <s v="LAOUFI"/>
    <s v="Hamza"/>
    <n v="28"/>
    <m/>
    <s v="Oyonnax"/>
    <d v="2025-05-12T00:00:00"/>
    <d v="2025-08-25T00:00:00"/>
    <d v="2025-09-02T00:00:00"/>
    <d v="2026-03-01T00:00:00"/>
    <s v="Renouvellement"/>
    <m/>
    <d v="1900-06-28T00:00:00"/>
    <s v="mobilité"/>
    <m/>
    <m/>
    <n v="2"/>
    <n v="2"/>
    <n v="1"/>
    <x v="0"/>
    <x v="0"/>
    <m/>
    <m/>
    <n v="1"/>
    <m/>
    <m/>
    <m/>
    <m/>
    <m/>
    <m/>
    <m/>
    <m/>
    <m/>
    <m/>
    <m/>
    <m/>
    <m/>
    <m/>
  </r>
  <r>
    <s v="Madame"/>
    <s v="LAMBREZ"/>
    <s v="Angélique"/>
    <n v="44"/>
    <m/>
    <s v="Nantua"/>
    <d v="2025-07-16T00:00:00"/>
    <d v="2025-09-25T00:00:00"/>
    <d v="2025-09-25T00:00:00"/>
    <d v="2026-03-24T00:00:00"/>
    <s v="Renouvellement"/>
    <m/>
    <d v="1900-06-28T00:00:00"/>
    <s v="SANTE"/>
    <s v="mobilité"/>
    <m/>
    <n v="3"/>
    <m/>
    <n v="4"/>
    <x v="0"/>
    <x v="0"/>
    <m/>
    <m/>
    <n v="1"/>
    <m/>
    <m/>
    <m/>
    <m/>
    <m/>
    <m/>
    <m/>
    <m/>
    <m/>
    <m/>
    <m/>
    <m/>
    <m/>
    <m/>
  </r>
  <r>
    <s v="Madame"/>
    <s v="MOHAMMAD"/>
    <s v="Sania"/>
    <n v="33"/>
    <m/>
    <s v="Nantua"/>
    <d v="2025-07-09T00:00:00"/>
    <d v="2025-07-22T00:00:00"/>
    <d v="2025-08-11T00:00:00"/>
    <d v="2026-02-07T00:00:00"/>
    <s v="Renouvellement"/>
    <m/>
    <d v="1900-06-28T00:00:00"/>
    <s v="FLE +++"/>
    <s v="MOBILITE"/>
    <m/>
    <n v="5"/>
    <m/>
    <m/>
    <x v="0"/>
    <x v="0"/>
    <m/>
    <m/>
    <n v="1"/>
    <m/>
    <m/>
    <m/>
    <m/>
    <m/>
    <m/>
    <m/>
    <m/>
    <m/>
    <m/>
    <m/>
    <m/>
    <m/>
    <m/>
  </r>
  <r>
    <s v="Monsieur"/>
    <s v="NACIRY"/>
    <s v="Moussa"/>
    <n v="39"/>
    <m/>
    <s v="Oyonnax"/>
    <d v="2025-07-07T00:00:00"/>
    <d v="2025-07-21T00:00:00"/>
    <d v="2025-07-21T00:00:00"/>
    <d v="2026-01-17T00:00:00"/>
    <s v="Renouvellement"/>
    <m/>
    <d v="1900-06-28T00:00:00"/>
    <s v="mobilite"/>
    <m/>
    <m/>
    <n v="1"/>
    <n v="1"/>
    <m/>
    <x v="0"/>
    <x v="0"/>
    <m/>
    <m/>
    <n v="1"/>
    <m/>
    <m/>
    <m/>
    <m/>
    <m/>
    <m/>
    <m/>
    <m/>
    <m/>
    <m/>
    <m/>
    <m/>
    <m/>
    <m/>
  </r>
  <r>
    <s v="Madame"/>
    <s v="OZDEMIR"/>
    <s v="Songul"/>
    <n v="39"/>
    <m/>
    <s v="Oyonnax"/>
    <d v="2025-07-11T00:00:00"/>
    <d v="2025-09-15T00:00:00"/>
    <d v="2025-10-15T00:00:00"/>
    <d v="2026-04-13T00:00:00"/>
    <s v="Renouvellement"/>
    <m/>
    <d v="1900-06-28T00:00:00"/>
    <m/>
    <m/>
    <m/>
    <m/>
    <m/>
    <m/>
    <x v="0"/>
    <x v="0"/>
    <m/>
    <m/>
    <n v="1"/>
    <m/>
    <m/>
    <m/>
    <m/>
    <m/>
    <m/>
    <m/>
    <m/>
    <m/>
    <m/>
    <m/>
    <m/>
    <m/>
    <m/>
  </r>
  <r>
    <s v="Madame"/>
    <s v="OZKAN"/>
    <s v="Nezahat"/>
    <n v="50"/>
    <m/>
    <s v="Oyonnax"/>
    <d v="2025-06-27T00:00:00"/>
    <d v="2025-09-15T00:00:00"/>
    <d v="2025-10-07T00:00:00"/>
    <d v="2026-04-05T00:00:00"/>
    <s v="Renouvellement"/>
    <m/>
    <d v="1900-06-28T00:00:00"/>
    <s v="fle"/>
    <m/>
    <m/>
    <n v="5"/>
    <n v="1"/>
    <m/>
    <x v="0"/>
    <x v="0"/>
    <m/>
    <m/>
    <n v="1"/>
    <m/>
    <m/>
    <m/>
    <m/>
    <m/>
    <m/>
    <m/>
    <m/>
    <m/>
    <m/>
    <m/>
    <m/>
    <m/>
    <m/>
  </r>
  <r>
    <s v="Madame"/>
    <s v="OZTURK"/>
    <s v="Fatma"/>
    <n v="40"/>
    <m/>
    <s v="Oyonnax"/>
    <d v="2025-06-12T00:00:00"/>
    <d v="2025-09-15T00:00:00"/>
    <d v="2025-09-15T00:00:00"/>
    <d v="2026-03-14T00:00:00"/>
    <s v="Renouvellement"/>
    <m/>
    <d v="1900-06-28T00:00:00"/>
    <s v="GARDE ENFANTS"/>
    <m/>
    <m/>
    <n v="4"/>
    <n v="1"/>
    <n v="1"/>
    <x v="0"/>
    <x v="0"/>
    <m/>
    <m/>
    <n v="1"/>
    <m/>
    <m/>
    <m/>
    <m/>
    <m/>
    <m/>
    <m/>
    <m/>
    <m/>
    <m/>
    <m/>
    <m/>
    <m/>
    <s v="iae"/>
  </r>
  <r>
    <s v="Monsieur"/>
    <s v="SAFI"/>
    <s v="Abdul"/>
    <n v="28"/>
    <m/>
    <s v="Oyonnax"/>
    <d v="2025-04-23T00:00:00"/>
    <d v="2025-09-01T00:00:00"/>
    <d v="2025-09-01T00:00:00"/>
    <d v="2026-02-28T00:00:00"/>
    <s v="Renouvellement"/>
    <m/>
    <d v="1900-06-28T00:00:00"/>
    <s v="fle"/>
    <m/>
    <m/>
    <m/>
    <m/>
    <m/>
    <x v="0"/>
    <x v="0"/>
    <m/>
    <m/>
    <m/>
    <m/>
    <m/>
    <m/>
    <m/>
    <m/>
    <m/>
    <m/>
    <m/>
    <m/>
    <m/>
    <m/>
    <m/>
    <m/>
    <m/>
  </r>
  <r>
    <s v="Monsieur"/>
    <s v="SARROUKH"/>
    <s v="Mohcine"/>
    <n v="39"/>
    <m/>
    <s v="Oyonnax"/>
    <d v="2025-06-27T00:00:00"/>
    <d v="2025-08-11T00:00:00"/>
    <d v="2025-11-12T00:00:00"/>
    <d v="2026-05-11T00:00:00"/>
    <m/>
    <m/>
    <d v="1900-06-28T00:00:00"/>
    <s v="fle"/>
    <s v="MOBILITE"/>
    <m/>
    <n v="8"/>
    <m/>
    <m/>
    <x v="0"/>
    <x v="0"/>
    <m/>
    <m/>
    <n v="1"/>
    <m/>
    <m/>
    <m/>
    <m/>
    <m/>
    <n v="1"/>
    <m/>
    <m/>
    <m/>
    <m/>
    <m/>
    <m/>
    <m/>
    <s v="iae"/>
  </r>
  <r>
    <s v="Madame"/>
    <s v="TARDY"/>
    <s v="Anaïs"/>
    <n v="36"/>
    <m/>
    <s v="Nantua"/>
    <d v="2025-06-23T00:00:00"/>
    <d v="2005-09-08T00:00:00"/>
    <d v="2025-09-02T00:00:00"/>
    <d v="2026-03-01T00:00:00"/>
    <s v="Tripartite"/>
    <m/>
    <d v="1900-06-28T00:00:00"/>
    <s v="GARDE ENFANTS"/>
    <s v="MOBILITE"/>
    <m/>
    <m/>
    <m/>
    <n v="1"/>
    <x v="0"/>
    <x v="0"/>
    <m/>
    <m/>
    <n v="1"/>
    <m/>
    <m/>
    <m/>
    <m/>
    <m/>
    <m/>
    <m/>
    <m/>
    <m/>
    <m/>
    <m/>
    <m/>
    <m/>
    <m/>
  </r>
  <r>
    <s v="Madame"/>
    <s v="TECHER"/>
    <s v="Anaelle"/>
    <n v="30"/>
    <m/>
    <s v="Oyonnax"/>
    <d v="2025-06-27T00:00:00"/>
    <d v="2005-09-08T00:00:00"/>
    <d v="2025-09-09T00:00:00"/>
    <d v="2026-03-08T00:00:00"/>
    <s v="Renouvellement"/>
    <m/>
    <d v="1900-06-28T00:00:00"/>
    <s v="GARDE ENFANTS"/>
    <s v="MOBILITE"/>
    <m/>
    <n v="2"/>
    <m/>
    <m/>
    <x v="0"/>
    <x v="0"/>
    <m/>
    <m/>
    <n v="1"/>
    <m/>
    <m/>
    <m/>
    <m/>
    <m/>
    <m/>
    <m/>
    <m/>
    <m/>
    <m/>
    <m/>
    <m/>
    <m/>
    <m/>
  </r>
  <r>
    <s v="Monsieur"/>
    <s v="URCEL"/>
    <s v="Steve"/>
    <n v="38"/>
    <m/>
    <s v="Oyonnax"/>
    <d v="2025-07-08T00:00:00"/>
    <d v="2025-07-15T00:00:00"/>
    <d v="2025-12-05T00:00:00"/>
    <d v="2026-06-03T00:00:00"/>
    <m/>
    <m/>
    <d v="1900-06-28T00:00:00"/>
    <s v="SANTE"/>
    <s v="MOBILITE"/>
    <m/>
    <m/>
    <m/>
    <m/>
    <x v="0"/>
    <x v="0"/>
    <m/>
    <m/>
    <n v="1"/>
    <m/>
    <m/>
    <m/>
    <m/>
    <m/>
    <m/>
    <m/>
    <m/>
    <m/>
    <m/>
    <m/>
    <m/>
    <m/>
    <m/>
  </r>
  <r>
    <s v="Monsieur"/>
    <s v="AKAKHIL"/>
    <s v="Mohammed"/>
    <n v="25"/>
    <m/>
    <s v="Oyonnax"/>
    <d v="2025-09-05T00:00:00"/>
    <d v="2025-09-30T00:00:00"/>
    <d v="2025-10-21T00:00:00"/>
    <d v="2026-04-19T00:00:00"/>
    <s v="Renouvellement"/>
    <m/>
    <d v="1900-06-28T00:00:00"/>
    <s v="FLE +++"/>
    <s v="MOBILITE"/>
    <m/>
    <n v="1"/>
    <n v="1"/>
    <m/>
    <x v="0"/>
    <x v="0"/>
    <m/>
    <m/>
    <n v="1"/>
    <m/>
    <m/>
    <m/>
    <m/>
    <m/>
    <m/>
    <m/>
    <m/>
    <m/>
    <m/>
    <m/>
    <m/>
    <m/>
    <m/>
  </r>
  <r>
    <s v="Madame"/>
    <s v="GUERIAUD"/>
    <s v="Sabrina"/>
    <n v="37"/>
    <m/>
    <s v="Oyonnax"/>
    <d v="2025-06-02T00:00:00"/>
    <d v="2025-09-29T00:00:00"/>
    <d v="2025-10-21T00:00:00"/>
    <d v="2026-04-19T00:00:00"/>
    <s v="Renouvellement"/>
    <m/>
    <d v="1900-06-28T00:00:00"/>
    <s v="GARDE ENFANTS"/>
    <s v="MOBILITE"/>
    <m/>
    <n v="1"/>
    <n v="2"/>
    <n v="1"/>
    <x v="0"/>
    <x v="0"/>
    <m/>
    <m/>
    <n v="1"/>
    <m/>
    <m/>
    <m/>
    <m/>
    <m/>
    <m/>
    <m/>
    <m/>
    <m/>
    <m/>
    <m/>
    <m/>
    <m/>
    <m/>
  </r>
  <r>
    <s v="Madame"/>
    <s v="BELHASSAN"/>
    <s v="Ilham"/>
    <n v="32"/>
    <m/>
    <s v="Oyonnax"/>
    <d v="2025-10-06T00:00:00"/>
    <d v="2025-10-22T00:00:00"/>
    <d v="2025-11-19T00:00:00"/>
    <d v="2026-05-18T00:00:00"/>
    <m/>
    <m/>
    <d v="1900-06-28T00:00:00"/>
    <s v="GARDE ENFANTS"/>
    <m/>
    <m/>
    <n v="3"/>
    <n v="1"/>
    <n v="1"/>
    <x v="0"/>
    <x v="0"/>
    <m/>
    <m/>
    <n v="1"/>
    <m/>
    <m/>
    <m/>
    <m/>
    <m/>
    <m/>
    <m/>
    <m/>
    <m/>
    <m/>
    <m/>
    <m/>
    <m/>
    <m/>
  </r>
  <r>
    <s v="Monsieur"/>
    <s v="KAPTAN"/>
    <s v="Ridvan"/>
    <n v="29"/>
    <s v="CAP"/>
    <s v="Oyonnax"/>
    <d v="2025-10-29T00:00:00"/>
    <d v="2025-11-18T00:00:00"/>
    <d v="2025-11-18T00:00:00"/>
    <d v="2026-05-17T00:00:00"/>
    <m/>
    <m/>
    <d v="1900-06-28T00:00:00"/>
    <s v="mobilite"/>
    <m/>
    <m/>
    <m/>
    <m/>
    <m/>
    <x v="0"/>
    <x v="0"/>
    <m/>
    <m/>
    <n v="1"/>
    <m/>
    <m/>
    <m/>
    <m/>
    <m/>
    <m/>
    <m/>
    <m/>
    <m/>
    <m/>
    <m/>
    <m/>
    <m/>
    <m/>
  </r>
  <r>
    <s v="Madame"/>
    <s v="LEGGUI"/>
    <s v="HAFIDA"/>
    <n v="34"/>
    <m/>
    <s v="Oyonnax"/>
    <d v="2025-12-22T00:00:00"/>
    <d v="2026-01-19T00:00:00"/>
    <d v="2026-01-19T00:00:00"/>
    <d v="2026-07-18T00:00:00"/>
    <m/>
    <m/>
    <d v="1900-06-28T00:00:00"/>
    <s v="GARDE ENFANT"/>
    <s v="MOBILITE"/>
    <m/>
    <m/>
    <m/>
    <n v="1"/>
    <x v="0"/>
    <x v="0"/>
    <m/>
    <m/>
    <n v="1"/>
    <m/>
    <m/>
    <m/>
    <m/>
    <m/>
    <m/>
    <m/>
    <m/>
    <m/>
    <m/>
    <m/>
    <m/>
    <m/>
    <m/>
  </r>
  <r>
    <s v="Monsieur"/>
    <s v="BENHAMED"/>
    <s v="ZIED"/>
    <n v="47"/>
    <m/>
    <s v="Oyonnax"/>
    <d v="2026-01-07T00:00:00"/>
    <d v="2026-01-26T00:00:00"/>
    <d v="2026-04-14T00:00:00"/>
    <d v="2026-10-11T00:00:00"/>
    <m/>
    <m/>
    <d v="1900-06-28T00:00:00"/>
    <m/>
    <m/>
    <m/>
    <m/>
    <m/>
    <m/>
    <x v="0"/>
    <x v="0"/>
    <m/>
    <m/>
    <m/>
    <m/>
    <m/>
    <m/>
    <m/>
    <m/>
    <m/>
    <m/>
    <m/>
    <m/>
    <m/>
    <m/>
    <m/>
    <m/>
    <m/>
  </r>
  <r>
    <s v="Monsieur"/>
    <s v="SIOUDA"/>
    <s v="OUSSAMA"/>
    <n v="35"/>
    <m/>
    <s v="Oyonnax"/>
    <d v="2026-01-14T00:00:00"/>
    <d v="2026-01-28T00:00:00"/>
    <d v="2026-01-28T00:00:00"/>
    <d v="2026-07-27T00:00:00"/>
    <m/>
    <m/>
    <d v="1900-06-28T00:00:00"/>
    <m/>
    <m/>
    <m/>
    <n v="4"/>
    <n v="4"/>
    <m/>
    <x v="0"/>
    <x v="0"/>
    <m/>
    <m/>
    <n v="1"/>
    <m/>
    <m/>
    <m/>
    <m/>
    <m/>
    <m/>
    <m/>
    <m/>
    <m/>
    <m/>
    <m/>
    <m/>
    <m/>
    <m/>
  </r>
  <r>
    <s v="Monsieur"/>
    <s v="NEUVILLE"/>
    <s v="Mickael "/>
    <n v="30"/>
    <m/>
    <s v="Nantua"/>
    <d v="2026-01-14T00:00:00"/>
    <d v="2026-02-17T00:00:00"/>
    <d v="2026-02-17T00:00:00"/>
    <d v="2026-08-16T00:00:00"/>
    <m/>
    <m/>
    <d v="1900-06-28T00:00:00"/>
    <s v="mobilite"/>
    <m/>
    <m/>
    <n v="1"/>
    <m/>
    <n v="2"/>
    <x v="0"/>
    <x v="0"/>
    <m/>
    <m/>
    <m/>
    <m/>
    <m/>
    <m/>
    <m/>
    <m/>
    <m/>
    <m/>
    <m/>
    <m/>
    <m/>
    <m/>
    <m/>
    <m/>
    <m/>
  </r>
  <r>
    <s v="Madame"/>
    <s v="MARCHAND/BOUAKKAZ"/>
    <s v="DJIDA"/>
    <n v="56"/>
    <m/>
    <s v="Oyonnax"/>
    <d v="2026-01-14T00:00:00"/>
    <d v="2026-01-28T00:00:00"/>
    <d v="2026-01-28T00:00:00"/>
    <d v="2026-07-27T00:00:00"/>
    <m/>
    <m/>
    <d v="1900-06-28T00:00:00"/>
    <s v="SANTE"/>
    <s v="MOBILITE"/>
    <m/>
    <n v="1"/>
    <m/>
    <n v="2"/>
    <x v="0"/>
    <x v="0"/>
    <m/>
    <m/>
    <n v="1"/>
    <m/>
    <m/>
    <m/>
    <m/>
    <n v="1"/>
    <m/>
    <m/>
    <m/>
    <m/>
    <m/>
    <m/>
    <m/>
    <m/>
    <m/>
  </r>
  <r>
    <s v="Monsieur"/>
    <s v="TIMSILINE"/>
    <s v="DJAFFAR"/>
    <n v="36"/>
    <m/>
    <s v="Oyonnax"/>
    <d v="2026-02-04T00:00:00"/>
    <d v="2026-02-24T00:00:00"/>
    <d v="2026-02-24T00:00:00"/>
    <d v="2026-08-23T00:00:00"/>
    <m/>
    <m/>
    <d v="1900-06-28T00:00:00"/>
    <s v="mobilite"/>
    <m/>
    <m/>
    <n v="2"/>
    <m/>
    <m/>
    <x v="0"/>
    <x v="0"/>
    <m/>
    <m/>
    <n v="1"/>
    <m/>
    <m/>
    <m/>
    <m/>
    <m/>
    <m/>
    <m/>
    <m/>
    <m/>
    <m/>
    <m/>
    <m/>
    <m/>
    <m/>
  </r>
  <r>
    <s v="Madame"/>
    <s v="PONSON"/>
    <s v="FRANCOISE"/>
    <n v="58"/>
    <m/>
    <s v="Oyonnax"/>
    <d v="2026-02-09T00:00:00"/>
    <d v="2026-02-27T00:00:00"/>
    <d v="2026-02-27T00:00:00"/>
    <d v="2026-08-26T00:00:00"/>
    <m/>
    <m/>
    <d v="1900-06-28T00:00:00"/>
    <m/>
    <m/>
    <m/>
    <n v="5"/>
    <m/>
    <m/>
    <x v="0"/>
    <x v="0"/>
    <m/>
    <m/>
    <n v="1"/>
    <m/>
    <m/>
    <m/>
    <m/>
    <m/>
    <m/>
    <m/>
    <m/>
    <m/>
    <m/>
    <m/>
    <m/>
    <m/>
    <m/>
  </r>
  <r>
    <s v="Madame"/>
    <s v="NAOUMI "/>
    <s v="MILOUDA"/>
    <n v="41"/>
    <m/>
    <s v="Oyonnax"/>
    <d v="2026-02-09T00:00:00"/>
    <d v="2026-02-27T00:00:00"/>
    <d v="2026-02-27T00:00:00"/>
    <d v="2026-08-26T00:00:00"/>
    <m/>
    <m/>
    <d v="1900-06-28T00:00:00"/>
    <s v="GARDE ENFANT"/>
    <s v="MOBILITE"/>
    <m/>
    <n v="2"/>
    <m/>
    <m/>
    <x v="0"/>
    <x v="0"/>
    <m/>
    <m/>
    <n v="1"/>
    <m/>
    <m/>
    <m/>
    <m/>
    <m/>
    <m/>
    <m/>
    <m/>
    <m/>
    <m/>
    <m/>
    <m/>
    <m/>
    <m/>
  </r>
  <r>
    <s v="Monsieur"/>
    <s v="MORFIN"/>
    <s v="FREDERIC"/>
    <n v="55"/>
    <m/>
    <s v="Nantua"/>
    <d v="2026-04-02T00:00:00"/>
    <d v="2026-04-21T00:00:00"/>
    <d v="2026-04-21T00:00:00"/>
    <d v="2026-10-18T00:00:00"/>
    <m/>
    <m/>
    <d v="1900-06-28T00:00:00"/>
    <s v="mobilite"/>
    <m/>
    <m/>
    <n v="1"/>
    <m/>
    <m/>
    <x v="0"/>
    <x v="0"/>
    <m/>
    <m/>
    <m/>
    <m/>
    <m/>
    <m/>
    <m/>
    <m/>
    <m/>
    <m/>
    <m/>
    <m/>
    <m/>
    <m/>
    <m/>
    <m/>
    <m/>
  </r>
  <r>
    <s v="Madame"/>
    <s v="LEBRET"/>
    <s v="ISABELLE"/>
    <n v="53"/>
    <m/>
    <s v="Oyonnax"/>
    <d v="2026-03-09T00:00:00"/>
    <d v="2026-03-31T00:00:00"/>
    <d v="2026-04-16T00:00:00"/>
    <d v="2026-10-13T00:00:00"/>
    <m/>
    <m/>
    <d v="1900-06-28T00:00:00"/>
    <s v="mobilite"/>
    <m/>
    <m/>
    <n v="2"/>
    <m/>
    <m/>
    <x v="0"/>
    <x v="0"/>
    <m/>
    <m/>
    <m/>
    <m/>
    <m/>
    <m/>
    <m/>
    <m/>
    <m/>
    <m/>
    <m/>
    <m/>
    <m/>
    <m/>
    <m/>
    <m/>
    <m/>
  </r>
  <r>
    <s v="Madame"/>
    <s v="SECGIN"/>
    <s v="MERYEM"/>
    <n v="50"/>
    <m/>
    <s v="Oyonnax"/>
    <d v="2026-03-11T00:00:00"/>
    <d v="2026-03-31T00:00:00"/>
    <d v="2026-03-31T00:00:00"/>
    <d v="2026-09-27T00:00:00"/>
    <m/>
    <m/>
    <d v="1900-06-28T00:00:00"/>
    <s v="mobilte"/>
    <m/>
    <m/>
    <m/>
    <m/>
    <m/>
    <x v="0"/>
    <x v="0"/>
    <m/>
    <m/>
    <m/>
    <m/>
    <m/>
    <m/>
    <m/>
    <m/>
    <m/>
    <m/>
    <m/>
    <m/>
    <m/>
    <m/>
    <m/>
    <m/>
    <m/>
  </r>
  <r>
    <s v="Madame"/>
    <s v="COLLOMB"/>
    <s v="CATHERINE"/>
    <n v="61"/>
    <m/>
    <s v="Nantua"/>
    <d v="2026-04-03T00:00:00"/>
    <d v="2026-04-21T00:00:00"/>
    <d v="2026-04-21T00:00:00"/>
    <d v="2026-10-18T00:00:00"/>
    <m/>
    <m/>
    <d v="1900-06-28T00:00:00"/>
    <m/>
    <m/>
    <m/>
    <n v="2"/>
    <m/>
    <m/>
    <x v="0"/>
    <x v="0"/>
    <m/>
    <m/>
    <m/>
    <m/>
    <m/>
    <m/>
    <m/>
    <m/>
    <m/>
    <m/>
    <m/>
    <m/>
    <m/>
    <m/>
    <m/>
    <m/>
    <m/>
  </r>
  <r>
    <s v="Monsieur"/>
    <s v="CHAMCHAM "/>
    <s v="M'barek"/>
    <n v="56"/>
    <m/>
    <s v="Oyonnax"/>
    <d v="2026-04-09T00:00:00"/>
    <d v="2026-04-28T00:00:00"/>
    <d v="2026-04-28T00:00:00"/>
    <d v="2026-10-25T00:00:00"/>
    <m/>
    <m/>
    <d v="1900-06-28T00:00:00"/>
    <s v="langue"/>
    <m/>
    <m/>
    <n v="1"/>
    <m/>
    <m/>
    <x v="0"/>
    <x v="0"/>
    <m/>
    <m/>
    <m/>
    <m/>
    <m/>
    <m/>
    <m/>
    <m/>
    <n v="1"/>
    <m/>
    <m/>
    <m/>
    <m/>
    <m/>
    <m/>
    <m/>
    <m/>
  </r>
  <r>
    <s v="Monsieur"/>
    <s v="CHEVAUCHET "/>
    <s v="Andy"/>
    <n v="38"/>
    <m/>
    <s v="Oyonnax"/>
    <d v="2026-04-03T00:00:00"/>
    <d v="2026-04-28T00:00:00"/>
    <d v="2026-04-28T00:00:00"/>
    <d v="2026-10-25T00:00:00"/>
    <m/>
    <m/>
    <d v="1900-06-28T00:00:00"/>
    <s v="SANTE"/>
    <s v="MOBILITE"/>
    <m/>
    <n v="2"/>
    <m/>
    <m/>
    <x v="0"/>
    <x v="0"/>
    <m/>
    <m/>
    <m/>
    <m/>
    <m/>
    <m/>
    <m/>
    <m/>
    <m/>
    <m/>
    <m/>
    <m/>
    <m/>
    <m/>
    <m/>
    <m/>
    <m/>
  </r>
  <r>
    <s v="Madame"/>
    <s v="EL BARHMI "/>
    <s v="Chaima"/>
    <n v="26"/>
    <m/>
    <s v="Oyonnax"/>
    <d v="2026-04-10T00:00:00"/>
    <d v="2026-04-29T00:00:00"/>
    <d v="2026-04-29T00:00:00"/>
    <d v="2026-10-26T00:00:00"/>
    <m/>
    <m/>
    <d v="1900-06-28T00:00:00"/>
    <m/>
    <m/>
    <m/>
    <n v="1"/>
    <m/>
    <m/>
    <x v="0"/>
    <x v="0"/>
    <m/>
    <m/>
    <m/>
    <m/>
    <m/>
    <m/>
    <m/>
    <m/>
    <m/>
    <m/>
    <m/>
    <m/>
    <m/>
    <m/>
    <m/>
    <m/>
    <m/>
  </r>
  <r>
    <s v="Monsieur"/>
    <s v="LOPES CABRAL "/>
    <s v="Jose"/>
    <n v="44"/>
    <m/>
    <s v="Oyonnax"/>
    <d v="2026-04-03T00:00:00"/>
    <d v="2026-04-27T00:00:00"/>
    <d v="2026-05-11T00:00:00"/>
    <d v="2026-11-07T00:00:00"/>
    <m/>
    <m/>
    <d v="1900-06-28T00:00:00"/>
    <s v="sante "/>
    <m/>
    <m/>
    <m/>
    <m/>
    <m/>
    <x v="0"/>
    <x v="0"/>
    <m/>
    <m/>
    <m/>
    <m/>
    <m/>
    <m/>
    <m/>
    <m/>
    <m/>
    <m/>
    <m/>
    <m/>
    <m/>
    <m/>
    <m/>
    <m/>
    <m/>
  </r>
  <r>
    <s v="Monsieur"/>
    <s v="RISSELIN "/>
    <s v="Pierre"/>
    <n v="29"/>
    <m/>
    <s v="Oyonnax"/>
    <d v="2026-03-03T00:00:00"/>
    <d v="2026-04-28T00:00:00"/>
    <d v="2026-04-28T00:00:00"/>
    <d v="2026-10-25T00:00:00"/>
    <m/>
    <m/>
    <d v="1900-06-28T00:00:00"/>
    <s v="mobilite"/>
    <m/>
    <m/>
    <n v="1"/>
    <m/>
    <m/>
    <x v="0"/>
    <x v="0"/>
    <m/>
    <m/>
    <m/>
    <m/>
    <m/>
    <m/>
    <m/>
    <m/>
    <m/>
    <m/>
    <m/>
    <m/>
    <m/>
    <m/>
    <m/>
    <m/>
    <m/>
  </r>
  <r>
    <s v="Monsieur"/>
    <s v="BEL HAJ MOHAMED "/>
    <s v="Ahmed"/>
    <n v="60"/>
    <m/>
    <s v="Oyonnax"/>
    <d v="2026-04-13T00:00:00"/>
    <d v="2026-04-29T00:00:00"/>
    <d v="2026-04-29T00:00:00"/>
    <d v="2026-10-26T00:00:00"/>
    <m/>
    <m/>
    <d v="1900-06-28T00:00:00"/>
    <s v="sante "/>
    <s v="MOBILITE"/>
    <m/>
    <m/>
    <m/>
    <m/>
    <x v="0"/>
    <x v="0"/>
    <m/>
    <m/>
    <m/>
    <m/>
    <m/>
    <m/>
    <m/>
    <m/>
    <m/>
    <m/>
    <m/>
    <m/>
    <m/>
    <m/>
    <m/>
    <m/>
    <m/>
  </r>
  <r>
    <s v="Monsieur"/>
    <s v="SAHBAZER "/>
    <s v="Fatih"/>
    <n v="45"/>
    <m/>
    <s v="Nantua"/>
    <d v="2026-04-27T00:00:00"/>
    <d v="2026-05-12T00:00:00"/>
    <d v="2026-05-12T00:00:00"/>
    <d v="2026-11-08T00:00:00"/>
    <m/>
    <m/>
    <d v="1900-06-28T00:00:00"/>
    <m/>
    <m/>
    <m/>
    <n v="1"/>
    <m/>
    <m/>
    <x v="0"/>
    <x v="0"/>
    <m/>
    <m/>
    <m/>
    <m/>
    <m/>
    <m/>
    <m/>
    <m/>
    <m/>
    <m/>
    <m/>
    <m/>
    <m/>
    <m/>
    <m/>
    <m/>
    <m/>
  </r>
  <r>
    <s v="Monsieur"/>
    <s v="AMAL "/>
    <s v=" Zine-El-Abidi"/>
    <n v="33"/>
    <m/>
    <s v="Oyonnax"/>
    <d v="2026-05-26T00:00:00"/>
    <d v="2026-06-12T00:00:00"/>
    <m/>
    <m/>
    <m/>
    <m/>
    <d v="1900-06-28T00:00:00"/>
    <m/>
    <m/>
    <m/>
    <m/>
    <m/>
    <m/>
    <x v="0"/>
    <x v="0"/>
    <m/>
    <m/>
    <m/>
    <m/>
    <m/>
    <m/>
    <m/>
    <m/>
    <m/>
    <m/>
    <m/>
    <m/>
    <m/>
    <m/>
    <m/>
    <m/>
    <m/>
  </r>
  <r>
    <s v="Madame"/>
    <s v="BAMBA "/>
    <s v="Tenimba"/>
    <n v="30"/>
    <m/>
    <s v="Oyonnax"/>
    <d v="2026-05-26T00:00:00"/>
    <d v="2026-06-15T00:00:00"/>
    <d v="2026-06-15T00:00:00"/>
    <d v="2026-12-12T00:00:00"/>
    <m/>
    <m/>
    <d v="1900-06-28T00:00:00"/>
    <m/>
    <m/>
    <m/>
    <m/>
    <m/>
    <m/>
    <x v="0"/>
    <x v="0"/>
    <m/>
    <m/>
    <m/>
    <m/>
    <m/>
    <m/>
    <m/>
    <m/>
    <m/>
    <m/>
    <m/>
    <m/>
    <m/>
    <m/>
    <m/>
    <m/>
    <m/>
  </r>
  <r>
    <s v="Monsieur"/>
    <s v="RODRIGUEZ- PODESTA "/>
    <s v="Alexis"/>
    <n v="27"/>
    <m/>
    <s v="Oyonnax"/>
    <d v="2026-05-26T00:00:00"/>
    <d v="2026-06-12T00:00:00"/>
    <d v="2026-06-12T00:00:00"/>
    <d v="2026-12-09T00:00:00"/>
    <m/>
    <m/>
    <d v="1900-06-28T00:00:00"/>
    <s v="SANTE"/>
    <m/>
    <m/>
    <m/>
    <m/>
    <m/>
    <x v="0"/>
    <x v="0"/>
    <m/>
    <m/>
    <m/>
    <m/>
    <m/>
    <m/>
    <m/>
    <m/>
    <m/>
    <m/>
    <m/>
    <m/>
    <m/>
    <m/>
    <m/>
    <m/>
    <m/>
  </r>
  <r>
    <s v="Monsieur"/>
    <s v="YILDIZ "/>
    <s v="Yusuf"/>
    <n v="45"/>
    <m/>
    <s v="Oyonnax"/>
    <d v="2026-05-26T00:00:00"/>
    <d v="2026-06-16T00:00:00"/>
    <m/>
    <m/>
    <m/>
    <m/>
    <d v="1900-06-28T00:00:00"/>
    <m/>
    <m/>
    <m/>
    <m/>
    <m/>
    <m/>
    <x v="0"/>
    <x v="0"/>
    <m/>
    <m/>
    <m/>
    <m/>
    <m/>
    <m/>
    <m/>
    <m/>
    <m/>
    <m/>
    <m/>
    <m/>
    <m/>
    <m/>
    <m/>
    <m/>
    <m/>
  </r>
  <r>
    <s v="Madame"/>
    <s v="ROSSIGNOL "/>
    <s v="Tiffany"/>
    <n v="32"/>
    <m/>
    <s v="Oyonnax"/>
    <d v="2026-05-07T00:00:00"/>
    <d v="2026-05-18T00:00:00"/>
    <d v="2026-06-03T00:00:00"/>
    <d v="2026-11-30T00:00:00"/>
    <m/>
    <m/>
    <d v="1900-06-28T00:00:00"/>
    <m/>
    <m/>
    <m/>
    <m/>
    <m/>
    <m/>
    <x v="0"/>
    <x v="0"/>
    <m/>
    <m/>
    <m/>
    <m/>
    <m/>
    <m/>
    <m/>
    <m/>
    <m/>
    <m/>
    <m/>
    <m/>
    <m/>
    <m/>
    <m/>
    <m/>
    <m/>
  </r>
  <r>
    <s v="Monsieur"/>
    <s v="BOUNABI "/>
    <s v="Azedine"/>
    <m/>
    <m/>
    <s v="Oyonnax"/>
    <d v="2026-06-03T00:00:00"/>
    <d v="2026-06-19T00:00:00"/>
    <m/>
    <m/>
    <m/>
    <m/>
    <d v="1900-06-28T00:00:00"/>
    <m/>
    <m/>
    <m/>
    <m/>
    <m/>
    <m/>
    <x v="0"/>
    <x v="0"/>
    <m/>
    <m/>
    <m/>
    <m/>
    <m/>
    <m/>
    <m/>
    <m/>
    <m/>
    <m/>
    <m/>
    <m/>
    <m/>
    <m/>
    <m/>
    <m/>
    <m/>
  </r>
  <r>
    <s v="Monsieur"/>
    <s v="CHAU"/>
    <s v="Georges "/>
    <m/>
    <m/>
    <s v="Oyonnax"/>
    <d v="2026-06-03T00:00:00"/>
    <d v="2026-06-23T00:00:00"/>
    <m/>
    <m/>
    <m/>
    <m/>
    <d v="1900-06-28T00:00:00"/>
    <m/>
    <m/>
    <m/>
    <m/>
    <m/>
    <m/>
    <x v="0"/>
    <x v="0"/>
    <m/>
    <m/>
    <m/>
    <m/>
    <m/>
    <m/>
    <m/>
    <m/>
    <m/>
    <m/>
    <m/>
    <m/>
    <m/>
    <m/>
    <m/>
    <m/>
    <m/>
  </r>
  <r>
    <s v="Monsieur"/>
    <s v="FLIPO "/>
    <s v="Morgann"/>
    <m/>
    <m/>
    <s v="Oyonnax"/>
    <d v="2026-06-03T00:00:00"/>
    <d v="2026-06-16T00:00:00"/>
    <m/>
    <m/>
    <m/>
    <m/>
    <d v="1900-06-28T00:00:00"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s v="Monsieur"/>
    <s v="ABID"/>
    <s v="Mimoun"/>
    <n v="62"/>
    <m/>
    <s v="Oyonnax"/>
    <d v="2025-06-27T00:00:00"/>
    <d v="2025-07-29T00:00:00"/>
    <m/>
    <m/>
    <m/>
    <m/>
    <d v="1900-06-28T00:00:00"/>
    <m/>
    <m/>
    <m/>
    <m/>
    <m/>
    <m/>
    <x v="1"/>
    <x v="2"/>
    <m/>
    <m/>
    <m/>
    <m/>
    <m/>
    <m/>
    <m/>
    <m/>
    <m/>
    <m/>
    <m/>
    <m/>
    <m/>
    <m/>
    <m/>
    <m/>
    <m/>
  </r>
  <r>
    <s v="Monsieur"/>
    <s v="ALOUANE"/>
    <s v="Cherif"/>
    <n v="42"/>
    <m/>
    <s v="Oyonnax"/>
    <d v="2025-06-04T00:00:00"/>
    <d v="2025-08-06T00:00:00"/>
    <m/>
    <m/>
    <m/>
    <m/>
    <d v="1900-06-28T00:00:00"/>
    <m/>
    <m/>
    <m/>
    <m/>
    <m/>
    <m/>
    <x v="1"/>
    <x v="3"/>
    <m/>
    <m/>
    <m/>
    <m/>
    <m/>
    <m/>
    <m/>
    <m/>
    <m/>
    <m/>
    <m/>
    <m/>
    <m/>
    <m/>
    <m/>
    <m/>
    <m/>
  </r>
  <r>
    <s v="Monsieur"/>
    <s v="BAJRAMOV"/>
    <s v="Sebastijan"/>
    <n v="48"/>
    <m/>
    <s v="Oyonnax"/>
    <d v="2025-07-08T00:00:00"/>
    <d v="2025-07-16T00:00:00"/>
    <m/>
    <m/>
    <m/>
    <m/>
    <d v="1900-06-28T00:00:00"/>
    <m/>
    <m/>
    <m/>
    <m/>
    <m/>
    <m/>
    <x v="1"/>
    <x v="1"/>
    <m/>
    <m/>
    <m/>
    <m/>
    <m/>
    <m/>
    <m/>
    <m/>
    <m/>
    <m/>
    <m/>
    <m/>
    <m/>
    <m/>
    <m/>
    <m/>
    <m/>
  </r>
  <r>
    <s v="Monsieur"/>
    <s v="BEDOUI"/>
    <s v="Abdeslam"/>
    <n v="74"/>
    <m/>
    <s v="Oyonnax"/>
    <d v="2025-07-08T00:00:00"/>
    <d v="2025-07-17T00:00:00"/>
    <m/>
    <m/>
    <m/>
    <m/>
    <d v="1900-06-28T00:00:00"/>
    <m/>
    <m/>
    <m/>
    <m/>
    <m/>
    <m/>
    <x v="1"/>
    <x v="2"/>
    <m/>
    <m/>
    <m/>
    <m/>
    <m/>
    <m/>
    <m/>
    <m/>
    <m/>
    <m/>
    <m/>
    <m/>
    <m/>
    <m/>
    <m/>
    <m/>
    <m/>
  </r>
  <r>
    <s v="Monsieur"/>
    <s v="BEN MABROUK"/>
    <s v="Souliman"/>
    <n v="35"/>
    <m/>
    <s v="Oyonnax"/>
    <d v="2025-06-11T00:00:00"/>
    <d v="2025-08-20T00:00:00"/>
    <m/>
    <m/>
    <m/>
    <m/>
    <d v="1900-06-28T00:00:00"/>
    <m/>
    <m/>
    <m/>
    <m/>
    <m/>
    <m/>
    <x v="1"/>
    <x v="4"/>
    <m/>
    <m/>
    <m/>
    <m/>
    <m/>
    <m/>
    <m/>
    <m/>
    <m/>
    <m/>
    <m/>
    <m/>
    <m/>
    <m/>
    <m/>
    <m/>
    <m/>
  </r>
  <r>
    <s v="Monsieur"/>
    <s v="BEQIRI"/>
    <s v="Bejta"/>
    <n v="76"/>
    <m/>
    <s v="Oyonnax"/>
    <d v="2025-07-08T00:00:00"/>
    <d v="2025-08-20T00:00:00"/>
    <m/>
    <m/>
    <m/>
    <m/>
    <d v="1900-06-28T00:00:00"/>
    <m/>
    <m/>
    <m/>
    <m/>
    <m/>
    <m/>
    <x v="1"/>
    <x v="2"/>
    <m/>
    <m/>
    <m/>
    <m/>
    <m/>
    <m/>
    <m/>
    <m/>
    <m/>
    <m/>
    <m/>
    <m/>
    <m/>
    <m/>
    <m/>
    <m/>
    <m/>
  </r>
  <r>
    <s v="Madame"/>
    <s v="BERTHET-BONDET"/>
    <s v="Margot"/>
    <n v="41"/>
    <m/>
    <s v="Nantua"/>
    <d v="2025-05-27T00:00:00"/>
    <d v="2025-09-02T00:00:00"/>
    <m/>
    <m/>
    <m/>
    <m/>
    <d v="1900-06-28T00:00:00"/>
    <m/>
    <m/>
    <m/>
    <m/>
    <m/>
    <m/>
    <x v="1"/>
    <x v="1"/>
    <m/>
    <m/>
    <m/>
    <m/>
    <m/>
    <m/>
    <m/>
    <m/>
    <m/>
    <m/>
    <m/>
    <m/>
    <m/>
    <m/>
    <m/>
    <m/>
    <m/>
  </r>
  <r>
    <s v="Monsieur"/>
    <s v="BORSLA"/>
    <s v="Tewfik"/>
    <n v="63"/>
    <m/>
    <s v="Oyonnax"/>
    <d v="2025-06-23T00:00:00"/>
    <d v="2025-07-29T00:00:00"/>
    <m/>
    <m/>
    <m/>
    <m/>
    <d v="1900-06-28T00:00:00"/>
    <m/>
    <m/>
    <m/>
    <m/>
    <m/>
    <m/>
    <x v="1"/>
    <x v="1"/>
    <m/>
    <m/>
    <m/>
    <m/>
    <m/>
    <m/>
    <m/>
    <m/>
    <m/>
    <m/>
    <m/>
    <m/>
    <m/>
    <m/>
    <m/>
    <m/>
    <m/>
  </r>
  <r>
    <s v="Monsieur"/>
    <s v="CAVDAR"/>
    <s v="Ibrahim"/>
    <n v="61"/>
    <m/>
    <s v="Oyonnax"/>
    <d v="2025-06-12T00:00:00"/>
    <d v="2025-08-25T00:00:00"/>
    <m/>
    <m/>
    <m/>
    <m/>
    <d v="1900-06-28T00:00:00"/>
    <m/>
    <m/>
    <m/>
    <m/>
    <m/>
    <m/>
    <x v="1"/>
    <x v="2"/>
    <m/>
    <m/>
    <n v="1"/>
    <m/>
    <m/>
    <m/>
    <m/>
    <m/>
    <m/>
    <m/>
    <m/>
    <n v="1"/>
    <m/>
    <m/>
    <m/>
    <m/>
    <m/>
  </r>
  <r>
    <s v="Monsieur"/>
    <s v="CEYZERIAT"/>
    <s v="Samuel"/>
    <n v="46"/>
    <m/>
    <s v="Nantua"/>
    <d v="2025-04-23T00:00:00"/>
    <d v="2025-08-26T00:00:00"/>
    <m/>
    <m/>
    <m/>
    <m/>
    <d v="1900-06-28T00:00:00"/>
    <m/>
    <m/>
    <m/>
    <m/>
    <m/>
    <m/>
    <x v="1"/>
    <x v="5"/>
    <m/>
    <m/>
    <n v="1"/>
    <m/>
    <m/>
    <m/>
    <m/>
    <m/>
    <m/>
    <m/>
    <m/>
    <m/>
    <m/>
    <m/>
    <m/>
    <m/>
    <m/>
  </r>
  <r>
    <s v="Madame"/>
    <s v="CHIRON"/>
    <s v="Aziza"/>
    <n v="61"/>
    <m/>
    <s v="Oyonnax"/>
    <d v="2025-06-04T00:00:00"/>
    <d v="2025-08-04T00:00:00"/>
    <m/>
    <m/>
    <m/>
    <m/>
    <d v="1900-06-28T00:00:00"/>
    <m/>
    <m/>
    <m/>
    <m/>
    <m/>
    <m/>
    <x v="1"/>
    <x v="3"/>
    <m/>
    <m/>
    <m/>
    <m/>
    <m/>
    <m/>
    <m/>
    <m/>
    <m/>
    <m/>
    <m/>
    <m/>
    <m/>
    <m/>
    <m/>
    <m/>
    <m/>
  </r>
  <r>
    <s v="Madame"/>
    <s v="DJELLOUL"/>
    <s v="Assia"/>
    <n v="49"/>
    <m/>
    <s v="Oyonnax"/>
    <d v="2025-05-28T00:00:00"/>
    <d v="2025-09-03T00:00:00"/>
    <m/>
    <m/>
    <m/>
    <m/>
    <d v="1900-06-28T00:00:00"/>
    <m/>
    <m/>
    <m/>
    <m/>
    <m/>
    <m/>
    <x v="1"/>
    <x v="3"/>
    <m/>
    <m/>
    <m/>
    <m/>
    <m/>
    <m/>
    <m/>
    <m/>
    <m/>
    <m/>
    <m/>
    <m/>
    <m/>
    <m/>
    <m/>
    <m/>
    <m/>
  </r>
  <r>
    <s v="Monsieur"/>
    <s v="EL AAROUSSI"/>
    <s v="Chahid"/>
    <n v="45"/>
    <m/>
    <s v="Oyonnax"/>
    <d v="2025-06-27T00:00:00"/>
    <d v="2025-09-01T00:00:00"/>
    <m/>
    <m/>
    <m/>
    <m/>
    <d v="1900-06-28T00:00:00"/>
    <m/>
    <m/>
    <m/>
    <m/>
    <m/>
    <m/>
    <x v="1"/>
    <x v="1"/>
    <m/>
    <m/>
    <m/>
    <m/>
    <m/>
    <m/>
    <m/>
    <m/>
    <m/>
    <m/>
    <m/>
    <m/>
    <m/>
    <m/>
    <m/>
    <m/>
    <m/>
  </r>
  <r>
    <s v="Monsieur"/>
    <s v="EL KHYAF"/>
    <s v="Anouar"/>
    <n v="39"/>
    <m/>
    <s v="Oyonnax"/>
    <d v="2025-06-27T00:00:00"/>
    <d v="2025-08-11T00:00:00"/>
    <m/>
    <m/>
    <m/>
    <m/>
    <d v="1900-06-28T00:00:00"/>
    <m/>
    <m/>
    <m/>
    <m/>
    <m/>
    <m/>
    <x v="1"/>
    <x v="6"/>
    <m/>
    <m/>
    <m/>
    <m/>
    <m/>
    <m/>
    <m/>
    <m/>
    <m/>
    <m/>
    <m/>
    <m/>
    <m/>
    <m/>
    <m/>
    <m/>
    <m/>
  </r>
  <r>
    <s v="Monsieur"/>
    <s v="GUNDUZ"/>
    <s v="Ibrahim"/>
    <n v="48"/>
    <m/>
    <s v="Nantua"/>
    <d v="2025-06-04T00:00:00"/>
    <d v="2025-09-01T00:00:00"/>
    <m/>
    <m/>
    <m/>
    <m/>
    <d v="1900-06-28T00:00:00"/>
    <m/>
    <m/>
    <m/>
    <m/>
    <m/>
    <m/>
    <x v="1"/>
    <x v="7"/>
    <m/>
    <m/>
    <m/>
    <m/>
    <m/>
    <m/>
    <m/>
    <m/>
    <m/>
    <m/>
    <m/>
    <m/>
    <m/>
    <m/>
    <m/>
    <m/>
    <m/>
  </r>
  <r>
    <s v="Monsieur"/>
    <s v="JOUINI"/>
    <s v="Mustapha"/>
    <n v="63"/>
    <m/>
    <s v="Oyonnax"/>
    <d v="2025-06-12T00:00:00"/>
    <d v="2025-09-01T00:00:00"/>
    <m/>
    <m/>
    <m/>
    <m/>
    <d v="1900-06-28T00:00:00"/>
    <m/>
    <m/>
    <m/>
    <m/>
    <m/>
    <m/>
    <x v="1"/>
    <x v="2"/>
    <m/>
    <m/>
    <m/>
    <m/>
    <m/>
    <m/>
    <m/>
    <m/>
    <m/>
    <m/>
    <m/>
    <m/>
    <m/>
    <m/>
    <m/>
    <m/>
    <m/>
  </r>
  <r>
    <s v="Monsieur"/>
    <s v="KAMENICA"/>
    <s v="Ragip"/>
    <n v="60"/>
    <m/>
    <s v="Oyonnax"/>
    <d v="2025-06-12T00:00:00"/>
    <d v="2025-09-01T00:00:00"/>
    <m/>
    <m/>
    <m/>
    <m/>
    <d v="1900-06-28T00:00:00"/>
    <m/>
    <m/>
    <m/>
    <m/>
    <m/>
    <m/>
    <x v="1"/>
    <x v="2"/>
    <m/>
    <m/>
    <n v="1"/>
    <m/>
    <m/>
    <m/>
    <m/>
    <m/>
    <m/>
    <m/>
    <m/>
    <m/>
    <m/>
    <m/>
    <m/>
    <m/>
    <m/>
  </r>
  <r>
    <s v="Monsieur"/>
    <s v="KANBOUI"/>
    <s v="Mohammed"/>
    <n v="54"/>
    <m/>
    <s v="Oyonnax"/>
    <d v="2025-04-23T00:00:00"/>
    <d v="2025-07-30T00:00:00"/>
    <m/>
    <m/>
    <m/>
    <m/>
    <d v="1900-06-28T00:00:00"/>
    <m/>
    <m/>
    <m/>
    <m/>
    <m/>
    <m/>
    <x v="1"/>
    <x v="6"/>
    <m/>
    <m/>
    <n v="1"/>
    <m/>
    <m/>
    <m/>
    <m/>
    <m/>
    <m/>
    <m/>
    <m/>
    <m/>
    <m/>
    <m/>
    <m/>
    <m/>
    <m/>
  </r>
  <r>
    <s v="Madame"/>
    <s v="KARAKOC"/>
    <s v="Ummugulsum"/>
    <n v="45"/>
    <m/>
    <s v="Nantua"/>
    <d v="2025-04-23T00:00:00"/>
    <d v="2025-09-01T00:00:00"/>
    <m/>
    <m/>
    <m/>
    <m/>
    <d v="1900-06-28T00:00:00"/>
    <m/>
    <m/>
    <m/>
    <m/>
    <m/>
    <m/>
    <x v="2"/>
    <x v="0"/>
    <m/>
    <m/>
    <m/>
    <m/>
    <m/>
    <m/>
    <m/>
    <m/>
    <m/>
    <m/>
    <m/>
    <m/>
    <m/>
    <m/>
    <m/>
    <m/>
    <m/>
  </r>
  <r>
    <s v="Monsieur"/>
    <s v="KHOMSI"/>
    <s v="Ismaïl"/>
    <n v="28"/>
    <m/>
    <s v="Oyonnax"/>
    <d v="2025-04-23T00:00:00"/>
    <d v="2025-08-20T00:00:00"/>
    <m/>
    <m/>
    <m/>
    <m/>
    <m/>
    <m/>
    <m/>
    <m/>
    <m/>
    <m/>
    <m/>
    <x v="1"/>
    <x v="3"/>
    <m/>
    <m/>
    <m/>
    <m/>
    <m/>
    <m/>
    <m/>
    <m/>
    <m/>
    <m/>
    <m/>
    <m/>
    <m/>
    <m/>
    <m/>
    <m/>
    <m/>
  </r>
  <r>
    <s v="Monsieur"/>
    <s v="MARECAUX"/>
    <s v="Philippe"/>
    <n v="63"/>
    <m/>
    <s v="Oyonnax"/>
    <d v="2025-07-08T00:00:00"/>
    <d v="2025-09-01T00:00:00"/>
    <m/>
    <m/>
    <m/>
    <m/>
    <m/>
    <m/>
    <m/>
    <m/>
    <m/>
    <m/>
    <m/>
    <x v="1"/>
    <x v="2"/>
    <m/>
    <m/>
    <m/>
    <m/>
    <m/>
    <m/>
    <m/>
    <m/>
    <m/>
    <m/>
    <m/>
    <m/>
    <m/>
    <m/>
    <m/>
    <m/>
    <m/>
  </r>
  <r>
    <s v="Monsieur"/>
    <s v="MOUGEL"/>
    <s v="Jérémy"/>
    <n v="30"/>
    <m/>
    <s v="Nantua"/>
    <d v="2025-07-24T00:00:00"/>
    <d v="2025-09-01T00:00:00"/>
    <m/>
    <m/>
    <m/>
    <m/>
    <m/>
    <m/>
    <m/>
    <m/>
    <m/>
    <m/>
    <m/>
    <x v="2"/>
    <x v="0"/>
    <m/>
    <m/>
    <m/>
    <m/>
    <m/>
    <m/>
    <m/>
    <m/>
    <m/>
    <m/>
    <m/>
    <m/>
    <m/>
    <m/>
    <m/>
    <m/>
    <m/>
  </r>
  <r>
    <s v="Madame"/>
    <s v="MURET"/>
    <s v="Christelle"/>
    <n v="50"/>
    <m/>
    <s v="Oyonnax"/>
    <d v="2025-06-27T00:00:00"/>
    <d v="2025-09-10T00:00:00"/>
    <m/>
    <m/>
    <m/>
    <m/>
    <m/>
    <m/>
    <m/>
    <m/>
    <m/>
    <m/>
    <m/>
    <x v="1"/>
    <x v="4"/>
    <m/>
    <m/>
    <m/>
    <m/>
    <m/>
    <m/>
    <m/>
    <m/>
    <m/>
    <m/>
    <m/>
    <m/>
    <m/>
    <m/>
    <m/>
    <m/>
    <m/>
  </r>
  <r>
    <s v="Monsieur"/>
    <s v="NAELS"/>
    <s v="Florian"/>
    <n v="36"/>
    <m/>
    <s v="Oyonnax"/>
    <d v="2025-06-13T00:00:00"/>
    <d v="2025-09-01T00:00:00"/>
    <m/>
    <m/>
    <m/>
    <m/>
    <m/>
    <m/>
    <m/>
    <m/>
    <m/>
    <m/>
    <m/>
    <x v="1"/>
    <x v="1"/>
    <m/>
    <m/>
    <n v="1"/>
    <m/>
    <m/>
    <m/>
    <m/>
    <m/>
    <m/>
    <m/>
    <m/>
    <m/>
    <m/>
    <m/>
    <m/>
    <m/>
    <m/>
  </r>
  <r>
    <s v="Madame"/>
    <s v="NICOUD"/>
    <s v="Laetitia"/>
    <n v="42"/>
    <m/>
    <s v="Oyonnax"/>
    <d v="2025-06-10T00:00:00"/>
    <d v="2025-09-10T00:00:00"/>
    <m/>
    <m/>
    <m/>
    <m/>
    <m/>
    <m/>
    <m/>
    <m/>
    <m/>
    <m/>
    <m/>
    <x v="1"/>
    <x v="1"/>
    <m/>
    <m/>
    <n v="1"/>
    <m/>
    <m/>
    <m/>
    <m/>
    <m/>
    <m/>
    <m/>
    <m/>
    <m/>
    <m/>
    <m/>
    <m/>
    <m/>
    <m/>
  </r>
  <r>
    <s v="Monsieur"/>
    <s v="OZPINAR"/>
    <s v="Ali"/>
    <n v="51"/>
    <m/>
    <s v="Oyonnax"/>
    <d v="2025-06-13T00:00:00"/>
    <d v="2025-08-04T00:00:00"/>
    <m/>
    <m/>
    <m/>
    <m/>
    <m/>
    <m/>
    <m/>
    <m/>
    <m/>
    <m/>
    <m/>
    <x v="1"/>
    <x v="3"/>
    <m/>
    <m/>
    <m/>
    <m/>
    <m/>
    <m/>
    <m/>
    <m/>
    <m/>
    <m/>
    <m/>
    <m/>
    <m/>
    <m/>
    <m/>
    <m/>
    <m/>
  </r>
  <r>
    <s v="Monsieur"/>
    <s v="PISANI"/>
    <s v="Sébastien"/>
    <n v="42"/>
    <m/>
    <s v="Oyonnax"/>
    <d v="2025-06-27T00:00:00"/>
    <d v="2025-08-05T00:00:00"/>
    <m/>
    <m/>
    <m/>
    <m/>
    <m/>
    <m/>
    <m/>
    <m/>
    <m/>
    <m/>
    <m/>
    <x v="1"/>
    <x v="1"/>
    <m/>
    <m/>
    <m/>
    <m/>
    <m/>
    <m/>
    <m/>
    <m/>
    <m/>
    <m/>
    <m/>
    <m/>
    <m/>
    <m/>
    <m/>
    <m/>
    <m/>
  </r>
  <r>
    <s v="Madame"/>
    <s v="PRAK"/>
    <s v="Chantha"/>
    <n v="58"/>
    <m/>
    <s v="Oyonnax"/>
    <d v="2025-07-10T00:00:00"/>
    <d v="2025-07-24T00:00:00"/>
    <m/>
    <m/>
    <m/>
    <m/>
    <m/>
    <m/>
    <m/>
    <m/>
    <m/>
    <m/>
    <m/>
    <x v="1"/>
    <x v="3"/>
    <m/>
    <m/>
    <m/>
    <m/>
    <m/>
    <m/>
    <m/>
    <m/>
    <m/>
    <m/>
    <m/>
    <m/>
    <m/>
    <m/>
    <m/>
    <m/>
    <m/>
  </r>
  <r>
    <s v="Monsieur"/>
    <s v="REGHIOUA"/>
    <s v="Azzouz"/>
    <n v="65"/>
    <m/>
    <s v="Oyonnax"/>
    <d v="2025-06-12T00:00:00"/>
    <d v="2025-07-28T00:00:00"/>
    <m/>
    <m/>
    <m/>
    <m/>
    <m/>
    <m/>
    <m/>
    <m/>
    <m/>
    <m/>
    <m/>
    <x v="1"/>
    <x v="7"/>
    <m/>
    <m/>
    <m/>
    <m/>
    <m/>
    <m/>
    <m/>
    <m/>
    <m/>
    <m/>
    <m/>
    <m/>
    <m/>
    <m/>
    <m/>
    <m/>
    <m/>
  </r>
  <r>
    <s v="Madame"/>
    <s v="SYLLA"/>
    <s v="Ardita"/>
    <n v="39"/>
    <m/>
    <s v="Oyonnax"/>
    <d v="2025-04-29T00:00:00"/>
    <d v="2005-09-08T00:00:00"/>
    <m/>
    <m/>
    <m/>
    <m/>
    <m/>
    <m/>
    <m/>
    <m/>
    <m/>
    <m/>
    <m/>
    <x v="1"/>
    <x v="3"/>
    <m/>
    <m/>
    <m/>
    <m/>
    <m/>
    <m/>
    <m/>
    <m/>
    <m/>
    <m/>
    <m/>
    <m/>
    <m/>
    <m/>
    <m/>
    <m/>
    <m/>
  </r>
  <r>
    <s v="Madame"/>
    <s v="ERDOGAN /TEMEL"/>
    <s v="Zeynep"/>
    <n v="45"/>
    <m/>
    <s v="Nantua"/>
    <d v="2025-06-23T00:00:00"/>
    <d v="2005-09-09T00:00:00"/>
    <m/>
    <m/>
    <m/>
    <m/>
    <m/>
    <m/>
    <m/>
    <m/>
    <m/>
    <m/>
    <m/>
    <x v="1"/>
    <x v="5"/>
    <m/>
    <m/>
    <n v="1"/>
    <m/>
    <m/>
    <m/>
    <m/>
    <m/>
    <m/>
    <m/>
    <m/>
    <m/>
    <m/>
    <m/>
    <m/>
    <m/>
    <m/>
  </r>
  <r>
    <s v="Madame"/>
    <s v="UGUZ"/>
    <s v="Leyla"/>
    <n v="43"/>
    <m/>
    <s v="Nantua"/>
    <d v="2025-04-22T00:00:00"/>
    <d v="2025-08-20T00:00:00"/>
    <m/>
    <m/>
    <m/>
    <m/>
    <m/>
    <m/>
    <m/>
    <m/>
    <m/>
    <m/>
    <m/>
    <x v="1"/>
    <x v="3"/>
    <m/>
    <m/>
    <m/>
    <m/>
    <m/>
    <m/>
    <m/>
    <m/>
    <m/>
    <m/>
    <m/>
    <m/>
    <m/>
    <m/>
    <m/>
    <m/>
    <m/>
  </r>
  <r>
    <s v="Madame"/>
    <s v="EL-RHAZZAL"/>
    <s v="Rachida"/>
    <n v="64"/>
    <m/>
    <s v="Oyonnax"/>
    <d v="2025-05-28T00:00:00"/>
    <d v="2025-09-03T00:00:00"/>
    <m/>
    <m/>
    <m/>
    <m/>
    <m/>
    <m/>
    <m/>
    <m/>
    <m/>
    <m/>
    <m/>
    <x v="1"/>
    <x v="2"/>
    <m/>
    <m/>
    <m/>
    <m/>
    <m/>
    <m/>
    <m/>
    <m/>
    <m/>
    <m/>
    <m/>
    <m/>
    <m/>
    <m/>
    <m/>
    <m/>
    <m/>
  </r>
  <r>
    <s v="Monsieur"/>
    <s v="YACOUBI"/>
    <s v="Tarek"/>
    <n v="48"/>
    <m/>
    <s v="Oyonnax"/>
    <d v="2025-06-12T00:00:00"/>
    <d v="2025-07-31T00:00:00"/>
    <m/>
    <m/>
    <m/>
    <m/>
    <m/>
    <m/>
    <m/>
    <m/>
    <m/>
    <m/>
    <m/>
    <x v="1"/>
    <x v="1"/>
    <m/>
    <m/>
    <m/>
    <m/>
    <m/>
    <m/>
    <m/>
    <m/>
    <m/>
    <m/>
    <m/>
    <m/>
    <m/>
    <m/>
    <m/>
    <m/>
    <m/>
  </r>
  <r>
    <s v="Monsieur"/>
    <s v="ZIHRI"/>
    <s v="Rachid"/>
    <n v="51"/>
    <m/>
    <s v="Oyonnax"/>
    <d v="2025-04-23T00:00:00"/>
    <d v="2025-09-08T00:00:00"/>
    <m/>
    <m/>
    <m/>
    <m/>
    <m/>
    <m/>
    <m/>
    <m/>
    <m/>
    <m/>
    <m/>
    <x v="1"/>
    <x v="7"/>
    <m/>
    <m/>
    <m/>
    <m/>
    <m/>
    <m/>
    <m/>
    <m/>
    <m/>
    <m/>
    <m/>
    <m/>
    <m/>
    <m/>
    <m/>
    <m/>
    <m/>
  </r>
  <r>
    <s v="Monsieur"/>
    <s v="BUET"/>
    <s v="Patrice"/>
    <n v="54"/>
    <m/>
    <s v="Nantua"/>
    <d v="2025-07-16T00:00:00"/>
    <s v="25/09//2025"/>
    <m/>
    <m/>
    <m/>
    <m/>
    <m/>
    <m/>
    <m/>
    <m/>
    <m/>
    <m/>
    <m/>
    <x v="1"/>
    <x v="6"/>
    <m/>
    <m/>
    <m/>
    <m/>
    <m/>
    <m/>
    <m/>
    <m/>
    <m/>
    <m/>
    <m/>
    <m/>
    <m/>
    <m/>
    <m/>
    <m/>
    <m/>
  </r>
  <r>
    <s v="Madame"/>
    <s v="SAULNIER"/>
    <s v="Isabelle"/>
    <m/>
    <m/>
    <m/>
    <m/>
    <d v="2025-10-03T00:00:00"/>
    <m/>
    <m/>
    <m/>
    <m/>
    <m/>
    <m/>
    <m/>
    <m/>
    <m/>
    <m/>
    <m/>
    <x v="1"/>
    <x v="1"/>
    <m/>
    <m/>
    <m/>
    <m/>
    <m/>
    <m/>
    <m/>
    <m/>
    <m/>
    <m/>
    <m/>
    <m/>
    <m/>
    <m/>
    <m/>
    <m/>
    <m/>
  </r>
  <r>
    <s v="Monsieur"/>
    <s v="CHAMPEYMOND"/>
    <s v="Pascal"/>
    <n v="60"/>
    <m/>
    <s v="Nantua"/>
    <d v="2025-04-30T00:00:00"/>
    <d v="2025-08-25T00:00:00"/>
    <m/>
    <m/>
    <m/>
    <m/>
    <m/>
    <m/>
    <m/>
    <m/>
    <m/>
    <m/>
    <m/>
    <x v="1"/>
    <x v="1"/>
    <m/>
    <m/>
    <n v="1"/>
    <m/>
    <m/>
    <m/>
    <m/>
    <m/>
    <m/>
    <m/>
    <m/>
    <m/>
    <m/>
    <m/>
    <m/>
    <m/>
    <m/>
  </r>
  <r>
    <s v="Madame"/>
    <s v="SAIDIA"/>
    <s v="Farida"/>
    <n v="63"/>
    <m/>
    <s v="Oyonnax"/>
    <d v="2025-06-12T00:00:00"/>
    <d v="2025-08-19T00:00:00"/>
    <m/>
    <m/>
    <m/>
    <m/>
    <m/>
    <m/>
    <m/>
    <m/>
    <m/>
    <m/>
    <m/>
    <x v="1"/>
    <x v="2"/>
    <m/>
    <m/>
    <m/>
    <m/>
    <m/>
    <m/>
    <m/>
    <m/>
    <m/>
    <m/>
    <m/>
    <m/>
    <m/>
    <m/>
    <m/>
    <m/>
    <m/>
  </r>
  <r>
    <s v="Monsieur"/>
    <s v="MABROUK"/>
    <s v="Wahid"/>
    <n v="50"/>
    <m/>
    <s v="Oyonnax"/>
    <d v="2025-09-06T00:00:00"/>
    <d v="2025-09-08T00:00:00"/>
    <m/>
    <m/>
    <m/>
    <m/>
    <m/>
    <m/>
    <m/>
    <m/>
    <m/>
    <m/>
    <m/>
    <x v="1"/>
    <x v="3"/>
    <m/>
    <m/>
    <m/>
    <m/>
    <m/>
    <m/>
    <m/>
    <m/>
    <m/>
    <m/>
    <m/>
    <m/>
    <m/>
    <m/>
    <m/>
    <m/>
    <m/>
  </r>
  <r>
    <s v="Monsieur"/>
    <s v="LOUIS"/>
    <s v="Laura"/>
    <n v="37"/>
    <m/>
    <s v="Oyonnax"/>
    <d v="2025-06-12T00:00:00"/>
    <d v="2025-08-12T00:00:00"/>
    <m/>
    <m/>
    <m/>
    <m/>
    <m/>
    <m/>
    <m/>
    <m/>
    <m/>
    <m/>
    <m/>
    <x v="1"/>
    <x v="5"/>
    <m/>
    <m/>
    <m/>
    <m/>
    <m/>
    <m/>
    <m/>
    <m/>
    <m/>
    <m/>
    <m/>
    <m/>
    <m/>
    <m/>
    <m/>
    <m/>
    <m/>
  </r>
  <r>
    <s v="Madame"/>
    <s v="BEDIR"/>
    <s v="Fadime"/>
    <n v="44"/>
    <m/>
    <s v="Oyonnax"/>
    <d v="2025-07-10T00:00:00"/>
    <d v="2025-07-23T00:00:00"/>
    <d v="2025-07-23T00:00:00"/>
    <d v="2026-01-19T00:00:00"/>
    <m/>
    <m/>
    <m/>
    <s v="fle"/>
    <s v="MOBILITE"/>
    <m/>
    <m/>
    <m/>
    <n v="1"/>
    <x v="1"/>
    <x v="1"/>
    <m/>
    <m/>
    <m/>
    <m/>
    <m/>
    <m/>
    <m/>
    <m/>
    <m/>
    <m/>
    <m/>
    <m/>
    <m/>
    <m/>
    <m/>
    <m/>
    <m/>
  </r>
  <r>
    <s v="Madame"/>
    <s v="FIORILE"/>
    <s v="Yori-Kin"/>
    <n v="28"/>
    <m/>
    <s v="Nantua"/>
    <d v="2025-04-23T00:00:00"/>
    <d v="2025-09-17T00:00:00"/>
    <d v="2025-09-17T00:00:00"/>
    <d v="2026-03-16T00:00:00"/>
    <m/>
    <m/>
    <m/>
    <m/>
    <m/>
    <m/>
    <m/>
    <m/>
    <m/>
    <x v="1"/>
    <x v="3"/>
    <m/>
    <m/>
    <n v="1"/>
    <m/>
    <m/>
    <m/>
    <m/>
    <m/>
    <m/>
    <m/>
    <m/>
    <m/>
    <m/>
    <m/>
    <m/>
    <m/>
    <m/>
  </r>
  <r>
    <s v="Madame"/>
    <s v="KEPENEK"/>
    <s v="Nihal"/>
    <n v="45"/>
    <m/>
    <s v="Oyonnax"/>
    <d v="2025-04-17T00:00:00"/>
    <d v="2025-08-20T00:00:00"/>
    <d v="2025-08-27T00:00:00"/>
    <d v="2026-02-23T00:00:00"/>
    <m/>
    <m/>
    <m/>
    <s v="fle"/>
    <s v="MOBILITE"/>
    <m/>
    <n v="1"/>
    <n v="1"/>
    <n v="1"/>
    <x v="1"/>
    <x v="4"/>
    <m/>
    <m/>
    <n v="1"/>
    <m/>
    <m/>
    <m/>
    <m/>
    <m/>
    <m/>
    <m/>
    <m/>
    <m/>
    <m/>
    <m/>
    <m/>
    <m/>
    <m/>
  </r>
  <r>
    <s v="Monsieur"/>
    <s v="DAWLATZI"/>
    <s v="Naeem"/>
    <n v="28"/>
    <m/>
    <s v="Oyonnax"/>
    <d v="2025-10-16T00:00:00"/>
    <d v="2025-11-17T00:00:00"/>
    <s v="non"/>
    <m/>
    <m/>
    <m/>
    <m/>
    <m/>
    <m/>
    <m/>
    <m/>
    <m/>
    <m/>
    <x v="1"/>
    <x v="3"/>
    <s v="France Travail"/>
    <m/>
    <m/>
    <m/>
    <m/>
    <m/>
    <m/>
    <m/>
    <m/>
    <m/>
    <m/>
    <m/>
    <m/>
    <m/>
    <m/>
    <m/>
    <m/>
  </r>
  <r>
    <s v="Monsieur"/>
    <s v="RHAZI"/>
    <s v="Abdelhakim"/>
    <n v="53"/>
    <m/>
    <s v="Oyonnax"/>
    <d v="2025-07-08T00:00:00"/>
    <d v="2025-07-16T00:00:00"/>
    <d v="2025-07-16T00:00:00"/>
    <d v="2026-01-12T00:00:00"/>
    <m/>
    <m/>
    <m/>
    <s v="mobilite"/>
    <s v="sante"/>
    <m/>
    <m/>
    <m/>
    <m/>
    <x v="0"/>
    <x v="0"/>
    <m/>
    <m/>
    <n v="1"/>
    <m/>
    <m/>
    <m/>
    <m/>
    <m/>
    <m/>
    <m/>
    <m/>
    <m/>
    <m/>
    <m/>
    <m/>
    <m/>
    <m/>
  </r>
  <r>
    <s v="Monsieur"/>
    <s v="DUPUPET"/>
    <s v="Meydhie"/>
    <n v="37"/>
    <m/>
    <s v="Oyonnax"/>
    <d v="2025-06-27T00:00:00"/>
    <d v="2025-08-12T00:00:00"/>
    <d v="2025-08-28T00:00:00"/>
    <d v="2026-02-24T00:00:00"/>
    <m/>
    <m/>
    <m/>
    <s v="SANTE"/>
    <m/>
    <m/>
    <m/>
    <m/>
    <m/>
    <x v="1"/>
    <x v="1"/>
    <m/>
    <m/>
    <n v="1"/>
    <m/>
    <m/>
    <m/>
    <m/>
    <m/>
    <m/>
    <m/>
    <m/>
    <n v="1"/>
    <m/>
    <m/>
    <m/>
    <m/>
    <m/>
  </r>
  <r>
    <s v="Monsieur"/>
    <s v="MOHAMMADI"/>
    <s v="NIAZ"/>
    <n v="35"/>
    <m/>
    <s v="Oyonnax"/>
    <m/>
    <d v="2025-12-10T00:00:00"/>
    <s v="non"/>
    <m/>
    <m/>
    <m/>
    <m/>
    <m/>
    <m/>
    <m/>
    <m/>
    <m/>
    <m/>
    <x v="1"/>
    <x v="3"/>
    <s v="France Travail"/>
    <m/>
    <m/>
    <m/>
    <m/>
    <m/>
    <m/>
    <m/>
    <m/>
    <m/>
    <m/>
    <m/>
    <m/>
    <m/>
    <m/>
    <m/>
    <m/>
  </r>
  <r>
    <s v="Madame"/>
    <s v="BELLOTTO"/>
    <s v="Charlotte"/>
    <n v="30"/>
    <m/>
    <s v="Oyonnax"/>
    <d v="2025-04-22T00:00:00"/>
    <d v="2025-09-10T00:00:00"/>
    <d v="2025-09-10T00:00:00"/>
    <d v="2026-03-09T00:00:00"/>
    <m/>
    <m/>
    <m/>
    <m/>
    <m/>
    <m/>
    <m/>
    <m/>
    <m/>
    <x v="1"/>
    <x v="8"/>
    <m/>
    <m/>
    <n v="1"/>
    <m/>
    <m/>
    <m/>
    <m/>
    <m/>
    <m/>
    <m/>
    <m/>
    <m/>
    <m/>
    <m/>
    <m/>
    <m/>
    <m/>
  </r>
  <r>
    <s v="Madame"/>
    <s v="YLMAZ "/>
    <s v="GULBAHAR"/>
    <n v="51"/>
    <m/>
    <s v="Oyonnax"/>
    <m/>
    <d v="2025-12-15T00:00:00"/>
    <m/>
    <m/>
    <m/>
    <m/>
    <m/>
    <m/>
    <m/>
    <m/>
    <m/>
    <m/>
    <m/>
    <x v="1"/>
    <x v="1"/>
    <m/>
    <m/>
    <m/>
    <m/>
    <m/>
    <m/>
    <m/>
    <m/>
    <m/>
    <m/>
    <m/>
    <m/>
    <m/>
    <m/>
    <m/>
    <m/>
    <m/>
  </r>
  <r>
    <s v="Monsieur"/>
    <s v="LEMAISTRE"/>
    <s v="Giuseppe"/>
    <n v="27"/>
    <m/>
    <s v="Oyonnax"/>
    <d v="2025-07-04T00:00:00"/>
    <d v="2025-07-23T00:00:00"/>
    <d v="2025-07-23T00:00:00"/>
    <d v="2026-01-19T00:00:00"/>
    <m/>
    <m/>
    <m/>
    <s v="mobilité"/>
    <m/>
    <m/>
    <m/>
    <m/>
    <m/>
    <x v="1"/>
    <x v="1"/>
    <m/>
    <m/>
    <n v="1"/>
    <m/>
    <m/>
    <m/>
    <m/>
    <m/>
    <m/>
    <m/>
    <m/>
    <n v="1"/>
    <m/>
    <m/>
    <m/>
    <m/>
    <m/>
  </r>
  <r>
    <s v="Monsieur"/>
    <s v="MARGUIN"/>
    <s v="Frederic"/>
    <n v="50"/>
    <m/>
    <s v="Oyonnax"/>
    <d v="2025-10-16T00:00:00"/>
    <d v="2025-11-17T00:00:00"/>
    <d v="2025-12-03T00:00:00"/>
    <d v="2026-06-01T00:00:00"/>
    <m/>
    <m/>
    <m/>
    <m/>
    <m/>
    <m/>
    <m/>
    <m/>
    <m/>
    <x v="1"/>
    <x v="7"/>
    <m/>
    <m/>
    <n v="1"/>
    <m/>
    <m/>
    <m/>
    <m/>
    <m/>
    <m/>
    <m/>
    <m/>
    <m/>
    <m/>
    <m/>
    <m/>
    <m/>
    <m/>
  </r>
  <r>
    <s v="Madame"/>
    <s v="BICER"/>
    <s v="Elife"/>
    <n v="37"/>
    <m/>
    <s v="Oyonnax"/>
    <d v="2025-07-03T00:00:00"/>
    <d v="2025-08-25T00:00:00"/>
    <d v="2026-01-12T00:00:00"/>
    <d v="2026-07-11T00:00:00"/>
    <m/>
    <m/>
    <m/>
    <m/>
    <m/>
    <m/>
    <m/>
    <m/>
    <m/>
    <x v="1"/>
    <x v="1"/>
    <m/>
    <m/>
    <m/>
    <m/>
    <m/>
    <m/>
    <m/>
    <m/>
    <m/>
    <m/>
    <m/>
    <m/>
    <m/>
    <m/>
    <m/>
    <m/>
    <m/>
  </r>
  <r>
    <s v="Madame"/>
    <s v="KESKIN //OZYUREK"/>
    <s v="KUPRA"/>
    <n v="28"/>
    <m/>
    <s v="Oyonnax"/>
    <d v="2025-12-22T00:00:00"/>
    <d v="2026-01-20T00:00:00"/>
    <m/>
    <m/>
    <m/>
    <m/>
    <m/>
    <s v="SANTE"/>
    <m/>
    <m/>
    <m/>
    <m/>
    <m/>
    <x v="1"/>
    <x v="1"/>
    <m/>
    <m/>
    <m/>
    <m/>
    <m/>
    <m/>
    <m/>
    <m/>
    <m/>
    <m/>
    <m/>
    <m/>
    <m/>
    <m/>
    <m/>
    <m/>
    <m/>
  </r>
  <r>
    <s v="Madame"/>
    <s v="TUZUN"/>
    <s v="Selda"/>
    <n v="45"/>
    <m/>
    <s v="Oyonnax"/>
    <d v="2025-07-04T00:00:00"/>
    <d v="2025-07-28T00:00:00"/>
    <d v="2025-07-28T00:00:00"/>
    <d v="2026-01-24T00:00:00"/>
    <m/>
    <m/>
    <m/>
    <s v="fle"/>
    <m/>
    <m/>
    <m/>
    <m/>
    <m/>
    <x v="2"/>
    <x v="0"/>
    <m/>
    <m/>
    <n v="1"/>
    <m/>
    <m/>
    <m/>
    <m/>
    <m/>
    <m/>
    <m/>
    <m/>
    <m/>
    <m/>
    <m/>
    <m/>
    <m/>
    <m/>
  </r>
  <r>
    <s v="Monsieur"/>
    <s v="OUAMALICH"/>
    <s v="Youssef"/>
    <n v="48"/>
    <m/>
    <s v="Oyonnax"/>
    <d v="2025-08-20T00:00:00"/>
    <d v="2025-09-17T00:00:00"/>
    <d v="2025-09-17T00:00:00"/>
    <d v="2026-03-16T00:00:00"/>
    <m/>
    <m/>
    <m/>
    <m/>
    <m/>
    <m/>
    <m/>
    <m/>
    <m/>
    <x v="3"/>
    <x v="0"/>
    <m/>
    <m/>
    <n v="1"/>
    <m/>
    <m/>
    <m/>
    <m/>
    <m/>
    <m/>
    <m/>
    <m/>
    <m/>
    <m/>
    <m/>
    <m/>
    <m/>
    <m/>
  </r>
  <r>
    <s v="Monsieur"/>
    <s v="VELAZQUEZ MAYA"/>
    <s v="Jose"/>
    <n v="48"/>
    <m/>
    <s v="Nantua"/>
    <d v="2025-06-30T00:00:00"/>
    <d v="2025-07-29T00:00:00"/>
    <d v="2025-08-25T00:00:00"/>
    <d v="2026-02-21T00:00:00"/>
    <m/>
    <m/>
    <m/>
    <s v="mobilité"/>
    <m/>
    <m/>
    <m/>
    <m/>
    <m/>
    <x v="3"/>
    <x v="0"/>
    <m/>
    <m/>
    <n v="1"/>
    <m/>
    <m/>
    <m/>
    <m/>
    <m/>
    <m/>
    <m/>
    <m/>
    <m/>
    <m/>
    <m/>
    <m/>
    <m/>
    <m/>
  </r>
  <r>
    <s v="Madame"/>
    <s v="GUNGOR"/>
    <s v="Ciydem"/>
    <n v="54"/>
    <m/>
    <s v="Oyonnax"/>
    <d v="2025-07-03T00:00:00"/>
    <d v="2025-07-18T00:00:00"/>
    <d v="2025-07-18T00:00:00"/>
    <d v="2026-01-14T00:00:00"/>
    <m/>
    <m/>
    <m/>
    <s v="fle"/>
    <s v="sante "/>
    <m/>
    <m/>
    <m/>
    <m/>
    <x v="1"/>
    <x v="1"/>
    <m/>
    <m/>
    <n v="1"/>
    <m/>
    <m/>
    <m/>
    <m/>
    <m/>
    <m/>
    <m/>
    <m/>
    <m/>
    <m/>
    <m/>
    <m/>
    <m/>
    <m/>
  </r>
  <r>
    <s v="Monsieur"/>
    <s v="AMAMOU"/>
    <s v="Driss"/>
    <n v="58"/>
    <m/>
    <s v="Oyonnax"/>
    <d v="2025-06-27T00:00:00"/>
    <d v="2025-08-14T00:00:00"/>
    <d v="2025-08-25T00:00:00"/>
    <d v="2026-02-21T00:00:00"/>
    <m/>
    <m/>
    <m/>
    <s v="SANTE"/>
    <s v="MOBILITE"/>
    <m/>
    <n v="0"/>
    <m/>
    <n v="0"/>
    <x v="1"/>
    <x v="4"/>
    <m/>
    <m/>
    <n v="1"/>
    <m/>
    <m/>
    <m/>
    <m/>
    <m/>
    <m/>
    <m/>
    <m/>
    <n v="1"/>
    <m/>
    <m/>
    <m/>
    <m/>
    <m/>
  </r>
  <r>
    <s v="Monsieur"/>
    <s v="STEMER"/>
    <s v="Pascal"/>
    <n v="52"/>
    <m/>
    <s v="Oyonnax"/>
    <d v="2025-06-04T00:00:00"/>
    <d v="2025-08-05T00:00:00"/>
    <d v="2025-08-05T00:00:00"/>
    <d v="2026-02-01T00:00:00"/>
    <m/>
    <m/>
    <m/>
    <m/>
    <m/>
    <m/>
    <m/>
    <m/>
    <m/>
    <x v="1"/>
    <x v="1"/>
    <m/>
    <m/>
    <m/>
    <m/>
    <m/>
    <m/>
    <m/>
    <m/>
    <m/>
    <m/>
    <m/>
    <n v="1"/>
    <m/>
    <m/>
    <m/>
    <m/>
    <m/>
  </r>
  <r>
    <s v="Madame"/>
    <s v="OZDEMIR"/>
    <s v="Sengül"/>
    <n v="43"/>
    <m/>
    <s v="Oyonnax"/>
    <d v="2025-06-23T00:00:00"/>
    <d v="2025-09-01T00:00:00"/>
    <d v="2025-09-23T00:00:00"/>
    <d v="2026-03-22T00:00:00"/>
    <m/>
    <m/>
    <m/>
    <s v="SANTE"/>
    <m/>
    <m/>
    <m/>
    <m/>
    <n v="1"/>
    <x v="1"/>
    <x v="1"/>
    <m/>
    <m/>
    <n v="1"/>
    <m/>
    <m/>
    <m/>
    <m/>
    <m/>
    <m/>
    <m/>
    <m/>
    <m/>
    <m/>
    <m/>
    <m/>
    <m/>
    <m/>
  </r>
  <r>
    <s v="Monsieur"/>
    <s v="AYNE"/>
    <s v="Levent"/>
    <n v="42"/>
    <m/>
    <s v="Oyonnax"/>
    <d v="2025-06-27T00:00:00"/>
    <d v="2025-08-06T00:00:00"/>
    <d v="2025-08-20T00:00:00"/>
    <d v="2026-02-16T00:00:00"/>
    <m/>
    <m/>
    <m/>
    <s v="mobilé"/>
    <m/>
    <m/>
    <m/>
    <m/>
    <n v="1"/>
    <x v="0"/>
    <x v="0"/>
    <m/>
    <m/>
    <n v="1"/>
    <m/>
    <m/>
    <m/>
    <m/>
    <m/>
    <m/>
    <m/>
    <m/>
    <m/>
    <m/>
    <m/>
    <m/>
    <m/>
    <m/>
  </r>
  <r>
    <s v="Monsieur"/>
    <s v="IKEN"/>
    <s v="Abdellah"/>
    <n v="49"/>
    <m/>
    <s v="Oyonnax"/>
    <d v="2025-06-27T00:00:00"/>
    <d v="2025-09-01T00:00:00"/>
    <d v="2025-10-17T00:00:00"/>
    <d v="2026-04-15T00:00:00"/>
    <m/>
    <m/>
    <m/>
    <m/>
    <m/>
    <m/>
    <m/>
    <m/>
    <m/>
    <x v="2"/>
    <x v="0"/>
    <m/>
    <m/>
    <n v="1"/>
    <m/>
    <m/>
    <m/>
    <m/>
    <m/>
    <m/>
    <m/>
    <m/>
    <m/>
    <m/>
    <m/>
    <m/>
    <m/>
    <m/>
  </r>
  <r>
    <s v="Monsieur"/>
    <s v="ESTEVEZ"/>
    <s v="YANN"/>
    <n v="34"/>
    <m/>
    <s v="Oyonnax"/>
    <m/>
    <d v="2025-11-24T00:00:00"/>
    <d v="2025-11-24T00:00:00"/>
    <d v="2026-05-23T00:00:00"/>
    <m/>
    <m/>
    <m/>
    <s v="mobilite"/>
    <m/>
    <m/>
    <m/>
    <m/>
    <m/>
    <x v="2"/>
    <x v="0"/>
    <m/>
    <m/>
    <n v="1"/>
    <m/>
    <m/>
    <m/>
    <m/>
    <m/>
    <m/>
    <m/>
    <m/>
    <m/>
    <m/>
    <m/>
    <m/>
    <m/>
    <m/>
  </r>
  <r>
    <s v="Monsieur"/>
    <s v="POURCHOUX"/>
    <s v="GUILLAUME"/>
    <n v="48"/>
    <m/>
    <s v="Oyonnax"/>
    <d v="2025-07-01T00:00:00"/>
    <d v="2025-12-10T00:00:00"/>
    <m/>
    <m/>
    <m/>
    <m/>
    <m/>
    <m/>
    <m/>
    <m/>
    <m/>
    <m/>
    <m/>
    <x v="3"/>
    <x v="0"/>
    <m/>
    <m/>
    <m/>
    <m/>
    <m/>
    <m/>
    <m/>
    <m/>
    <m/>
    <m/>
    <m/>
    <m/>
    <m/>
    <m/>
    <m/>
    <m/>
    <m/>
  </r>
  <r>
    <s v="Monsieur"/>
    <s v="YILDIRIM"/>
    <s v="Ozcan"/>
    <n v="35"/>
    <m/>
    <s v="Oyonnax"/>
    <d v="2025-06-27T00:00:00"/>
    <d v="2025-08-12T00:00:00"/>
    <d v="2025-08-12T00:00:00"/>
    <d v="2026-02-08T00:00:00"/>
    <m/>
    <m/>
    <m/>
    <m/>
    <m/>
    <m/>
    <m/>
    <m/>
    <m/>
    <x v="3"/>
    <x v="1"/>
    <m/>
    <m/>
    <m/>
    <m/>
    <m/>
    <m/>
    <m/>
    <m/>
    <m/>
    <m/>
    <m/>
    <m/>
    <m/>
    <m/>
    <m/>
    <m/>
    <m/>
  </r>
  <r>
    <s v="Madame"/>
    <s v="PILAS"/>
    <s v="SILVIE"/>
    <n v="60"/>
    <m/>
    <s v="Nantua"/>
    <d v="2025-07-01T00:00:00"/>
    <d v="2025-12-03T00:00:00"/>
    <d v="2025-12-03T00:00:00"/>
    <d v="2026-06-01T00:00:00"/>
    <m/>
    <m/>
    <m/>
    <m/>
    <m/>
    <m/>
    <m/>
    <m/>
    <m/>
    <x v="1"/>
    <x v="3"/>
    <s v="FT SIAE"/>
    <d v="2026-02-25T00:00:00"/>
    <m/>
    <m/>
    <m/>
    <m/>
    <m/>
    <m/>
    <m/>
    <m/>
    <m/>
    <m/>
    <m/>
    <m/>
    <m/>
    <m/>
    <m/>
  </r>
  <r>
    <s v="Monsieur"/>
    <s v="BICER "/>
    <s v="AZIZ"/>
    <n v="40"/>
    <m/>
    <s v="Oyonnax"/>
    <d v="2026-01-05T00:00:00"/>
    <d v="2026-01-26T00:00:00"/>
    <d v="2026-02-13T00:00:00"/>
    <d v="2026-07-18T00:00:00"/>
    <m/>
    <m/>
    <m/>
    <s v="SANTE"/>
    <s v="garde enfants"/>
    <m/>
    <m/>
    <m/>
    <m/>
    <x v="1"/>
    <x v="1"/>
    <m/>
    <d v="2026-02-26T00:00:00"/>
    <m/>
    <m/>
    <m/>
    <m/>
    <m/>
    <m/>
    <m/>
    <m/>
    <m/>
    <m/>
    <m/>
    <m/>
    <m/>
    <m/>
    <m/>
  </r>
  <r>
    <s v="Monsieur"/>
    <s v="BENER"/>
    <s v="Yakup"/>
    <n v="49"/>
    <m/>
    <s v="Oyonnax"/>
    <d v="2025-04-17T00:00:00"/>
    <d v="2025-07-24T00:00:00"/>
    <d v="2025-08-13T00:00:00"/>
    <d v="2026-02-09T00:00:00"/>
    <m/>
    <m/>
    <m/>
    <m/>
    <m/>
    <m/>
    <m/>
    <m/>
    <m/>
    <x v="1"/>
    <x v="3"/>
    <s v="France Travail"/>
    <m/>
    <n v="1"/>
    <m/>
    <m/>
    <m/>
    <m/>
    <m/>
    <m/>
    <m/>
    <m/>
    <m/>
    <m/>
    <m/>
    <m/>
    <m/>
    <m/>
  </r>
  <r>
    <s v="Monsieur"/>
    <s v="NEUVILLE "/>
    <s v="ALLAN"/>
    <n v="35"/>
    <m/>
    <s v="Nantua"/>
    <d v="2025-07-01T00:00:00"/>
    <d v="2025-12-03T00:00:00"/>
    <m/>
    <m/>
    <m/>
    <m/>
    <m/>
    <m/>
    <m/>
    <m/>
    <m/>
    <m/>
    <m/>
    <x v="4"/>
    <x v="0"/>
    <m/>
    <d v="2026-03-11T00:00:00"/>
    <m/>
    <m/>
    <m/>
    <m/>
    <m/>
    <m/>
    <m/>
    <m/>
    <m/>
    <m/>
    <m/>
    <m/>
    <m/>
    <m/>
    <m/>
  </r>
  <r>
    <s v="Monsieur"/>
    <s v="EZZARHOUNI"/>
    <s v="Nesrdine"/>
    <n v="43"/>
    <m/>
    <s v="Oyonnax"/>
    <d v="2025-06-12T00:00:00"/>
    <d v="2025-08-05T00:00:00"/>
    <d v="2025-08-05T00:00:00"/>
    <d v="2026-02-01T00:00:00"/>
    <m/>
    <m/>
    <m/>
    <m/>
    <m/>
    <m/>
    <m/>
    <m/>
    <m/>
    <x v="5"/>
    <x v="3"/>
    <s v="CDI &gt;ou= 24h"/>
    <d v="2026-03-17T00:00:00"/>
    <n v="1"/>
    <m/>
    <m/>
    <m/>
    <m/>
    <m/>
    <m/>
    <m/>
    <m/>
    <m/>
    <m/>
    <m/>
    <m/>
    <m/>
    <m/>
  </r>
  <r>
    <s v="Monsieur"/>
    <s v="CHHUN"/>
    <s v="Sophanna"/>
    <n v="38"/>
    <m/>
    <s v="Oyonnax"/>
    <d v="2025-06-12T00:00:00"/>
    <d v="2025-08-25T00:00:00"/>
    <d v="2025-08-11T00:00:00"/>
    <d v="2026-02-07T00:00:00"/>
    <m/>
    <m/>
    <m/>
    <s v="SANTE"/>
    <m/>
    <m/>
    <m/>
    <m/>
    <n v="1"/>
    <x v="1"/>
    <x v="1"/>
    <m/>
    <d v="2026-03-13T00:00:00"/>
    <n v="1"/>
    <m/>
    <m/>
    <m/>
    <m/>
    <m/>
    <m/>
    <m/>
    <m/>
    <m/>
    <m/>
    <m/>
    <m/>
    <m/>
    <m/>
  </r>
  <r>
    <s v="Madame"/>
    <s v="YILDIRIM"/>
    <s v="AMINA"/>
    <n v="44"/>
    <m/>
    <s v="Oyonnax"/>
    <d v="2026-01-20T00:00:00"/>
    <d v="2026-01-28T00:00:00"/>
    <d v="2026-12-28T00:00:00"/>
    <d v="2027-06-26T00:00:00"/>
    <m/>
    <m/>
    <m/>
    <s v="SANTE"/>
    <m/>
    <m/>
    <m/>
    <m/>
    <m/>
    <x v="1"/>
    <x v="1"/>
    <m/>
    <d v="2026-02-04T00:00:00"/>
    <m/>
    <m/>
    <m/>
    <m/>
    <m/>
    <m/>
    <m/>
    <m/>
    <m/>
    <m/>
    <m/>
    <m/>
    <m/>
    <m/>
    <m/>
  </r>
  <r>
    <s v="Monsieur"/>
    <s v="TORRES"/>
    <s v="Vicente"/>
    <n v="55"/>
    <m/>
    <s v="Oyonnax"/>
    <d v="2025-06-24T00:00:00"/>
    <d v="2005-09-08T00:00:00"/>
    <d v="2025-07-30T00:00:00"/>
    <d v="2026-01-26T00:00:00"/>
    <s v="BGE"/>
    <m/>
    <m/>
    <s v="mobilite"/>
    <m/>
    <m/>
    <m/>
    <m/>
    <m/>
    <x v="5"/>
    <x v="7"/>
    <s v="Créa"/>
    <d v="2026-03-17T00:00:00"/>
    <n v="1"/>
    <m/>
    <m/>
    <m/>
    <m/>
    <m/>
    <m/>
    <m/>
    <m/>
    <m/>
    <m/>
    <m/>
    <m/>
    <m/>
    <m/>
  </r>
  <r>
    <s v="Madame"/>
    <s v="POPRAWA"/>
    <s v="Renata"/>
    <n v="40"/>
    <m/>
    <s v="Oyonnax"/>
    <d v="2025-07-04T00:00:00"/>
    <d v="2025-07-28T00:00:00"/>
    <d v="2026-01-20T00:00:00"/>
    <d v="2026-07-19T00:00:00"/>
    <m/>
    <m/>
    <m/>
    <m/>
    <m/>
    <m/>
    <m/>
    <m/>
    <m/>
    <x v="3"/>
    <x v="0"/>
    <m/>
    <d v="2026-03-10T00:00:00"/>
    <n v="1"/>
    <m/>
    <m/>
    <m/>
    <m/>
    <m/>
    <m/>
    <m/>
    <m/>
    <m/>
    <m/>
    <m/>
    <m/>
    <m/>
    <m/>
  </r>
  <r>
    <s v="Madame"/>
    <s v="ERGOC /ERDOGAN"/>
    <s v="MEYREM"/>
    <m/>
    <m/>
    <s v="Nantua"/>
    <d v="2026-02-09T00:00:00"/>
    <d v="2026-02-27T00:00:00"/>
    <m/>
    <m/>
    <m/>
    <m/>
    <m/>
    <m/>
    <m/>
    <m/>
    <m/>
    <m/>
    <m/>
    <x v="2"/>
    <x v="0"/>
    <m/>
    <d v="2026-03-18T00:00:00"/>
    <m/>
    <m/>
    <m/>
    <m/>
    <m/>
    <m/>
    <m/>
    <m/>
    <m/>
    <m/>
    <m/>
    <m/>
    <m/>
    <m/>
    <m/>
  </r>
  <r>
    <s v="Monsieur"/>
    <s v="COLOMBEL"/>
    <s v="Mickael"/>
    <n v="38"/>
    <m/>
    <s v="Oyonnax"/>
    <d v="2025-04-28T00:00:00"/>
    <d v="2025-08-12T00:00:00"/>
    <d v="2025-08-12T00:00:00"/>
    <d v="2026-02-08T00:00:00"/>
    <m/>
    <m/>
    <d v="1900-06-28T00:00:00"/>
    <s v="mobilite"/>
    <m/>
    <m/>
    <m/>
    <m/>
    <m/>
    <x v="3"/>
    <x v="0"/>
    <m/>
    <d v="2026-03-24T00:00:00"/>
    <n v="1"/>
    <m/>
    <m/>
    <m/>
    <m/>
    <m/>
    <m/>
    <m/>
    <m/>
    <m/>
    <m/>
    <m/>
    <m/>
    <m/>
    <m/>
  </r>
  <r>
    <s v="Monsieur"/>
    <s v="TOURNERY"/>
    <s v="PIERRE-LOU"/>
    <n v="27"/>
    <m/>
    <s v="Nantua"/>
    <d v="2026-01-14T00:00:00"/>
    <d v="2026-01-28T00:00:00"/>
    <m/>
    <m/>
    <m/>
    <m/>
    <m/>
    <m/>
    <m/>
    <m/>
    <m/>
    <m/>
    <m/>
    <x v="4"/>
    <x v="0"/>
    <m/>
    <d v="2026-03-10T00:00:00"/>
    <m/>
    <m/>
    <m/>
    <m/>
    <m/>
    <m/>
    <m/>
    <m/>
    <m/>
    <m/>
    <m/>
    <m/>
    <m/>
    <m/>
    <m/>
  </r>
  <r>
    <s v="Monsieur"/>
    <s v="OZCAN"/>
    <s v="Okan"/>
    <n v="31"/>
    <m/>
    <s v="Oyonnax"/>
    <d v="2025-06-04T00:00:00"/>
    <d v="2025-08-13T00:00:00"/>
    <d v="2025-08-13T00:00:00"/>
    <d v="2026-02-09T00:00:00"/>
    <m/>
    <m/>
    <m/>
    <s v="SANTE"/>
    <m/>
    <m/>
    <m/>
    <m/>
    <m/>
    <x v="1"/>
    <x v="1"/>
    <m/>
    <d v="2026-03-12T00:00:00"/>
    <n v="1"/>
    <m/>
    <m/>
    <m/>
    <m/>
    <m/>
    <m/>
    <m/>
    <m/>
    <m/>
    <m/>
    <m/>
    <m/>
    <m/>
    <m/>
  </r>
  <r>
    <s v="Monsieur"/>
    <s v="TRAORE"/>
    <s v="ISSA"/>
    <n v="31"/>
    <m/>
    <s v="Nantua"/>
    <d v="2026-02-09T00:00:00"/>
    <d v="2026-02-27T00:00:00"/>
    <m/>
    <m/>
    <m/>
    <m/>
    <m/>
    <m/>
    <m/>
    <m/>
    <m/>
    <m/>
    <m/>
    <x v="1"/>
    <x v="3"/>
    <s v="France Travail"/>
    <d v="2026-03-25T00:00:00"/>
    <m/>
    <m/>
    <m/>
    <m/>
    <m/>
    <m/>
    <m/>
    <m/>
    <m/>
    <m/>
    <m/>
    <m/>
    <m/>
    <m/>
    <m/>
  </r>
  <r>
    <s v="Monsieur"/>
    <s v="VACCA"/>
    <s v="NICOLAS"/>
    <m/>
    <m/>
    <s v="Oyonnax"/>
    <m/>
    <d v="2026-03-31T00:00:00"/>
    <m/>
    <m/>
    <m/>
    <m/>
    <m/>
    <m/>
    <m/>
    <m/>
    <m/>
    <m/>
    <m/>
    <x v="1"/>
    <x v="3"/>
    <s v="France Travail"/>
    <d v="2026-03-31T00:00:00"/>
    <m/>
    <m/>
    <m/>
    <m/>
    <m/>
    <m/>
    <m/>
    <m/>
    <m/>
    <m/>
    <m/>
    <m/>
    <m/>
    <m/>
    <m/>
  </r>
  <r>
    <s v="Monsieur"/>
    <s v="SADA"/>
    <s v="THIERRY"/>
    <n v="53"/>
    <m/>
    <s v="Oyonnax"/>
    <d v="2026-02-04T00:00:00"/>
    <d v="2026-02-24T00:00:00"/>
    <d v="2026-02-24T00:00:00"/>
    <d v="2026-08-23T00:00:00"/>
    <m/>
    <m/>
    <m/>
    <s v="SANTE"/>
    <s v="MOBILITE"/>
    <m/>
    <m/>
    <m/>
    <m/>
    <x v="1"/>
    <x v="1"/>
    <m/>
    <d v="2026-03-31T00:00:00"/>
    <m/>
    <m/>
    <m/>
    <m/>
    <m/>
    <m/>
    <m/>
    <m/>
    <m/>
    <m/>
    <m/>
    <m/>
    <m/>
    <m/>
    <m/>
  </r>
  <r>
    <s v="Monsieur"/>
    <s v="BALLEIN "/>
    <s v="JEROME"/>
    <n v="46"/>
    <m/>
    <s v="Nantua"/>
    <d v="2026-02-09T00:00:00"/>
    <d v="2026-02-24T00:00:00"/>
    <m/>
    <m/>
    <m/>
    <m/>
    <m/>
    <m/>
    <m/>
    <m/>
    <m/>
    <m/>
    <m/>
    <x v="1"/>
    <x v="6"/>
    <s v="FT SIAE"/>
    <d v="2026-04-01T00:00:00"/>
    <m/>
    <m/>
    <m/>
    <m/>
    <m/>
    <m/>
    <m/>
    <m/>
    <m/>
    <m/>
    <m/>
    <m/>
    <m/>
    <m/>
    <m/>
  </r>
  <r>
    <s v="Madame"/>
    <s v="YENI /OCAL"/>
    <s v="Serife"/>
    <n v="40"/>
    <m/>
    <s v="Oyonnax"/>
    <d v="2026-01-22T00:00:00"/>
    <d v="2026-02-11T00:00:00"/>
    <d v="2026-02-11T00:00:00"/>
    <d v="2026-08-10T00:00:00"/>
    <m/>
    <m/>
    <m/>
    <s v="langue"/>
    <m/>
    <m/>
    <n v="1"/>
    <n v="1"/>
    <m/>
    <x v="5"/>
    <x v="3"/>
    <s v="Stagiaire en formation"/>
    <d v="2026-04-01T00:00:00"/>
    <m/>
    <m/>
    <m/>
    <m/>
    <m/>
    <m/>
    <m/>
    <m/>
    <m/>
    <m/>
    <m/>
    <m/>
    <m/>
    <m/>
    <m/>
  </r>
  <r>
    <s v="Monsieur"/>
    <s v="ERSOY"/>
    <s v="Salih"/>
    <n v="46"/>
    <m/>
    <s v="Oyonnax"/>
    <d v="2025-05-28T00:00:00"/>
    <d v="2025-09-01T00:00:00"/>
    <d v="2025-08-27T00:00:00"/>
    <d v="2026-02-23T00:00:00"/>
    <m/>
    <m/>
    <m/>
    <s v="sante "/>
    <s v="MOBILITE"/>
    <m/>
    <m/>
    <m/>
    <m/>
    <x v="4"/>
    <x v="0"/>
    <m/>
    <d v="2025-11-01T00:00:00"/>
    <n v="1"/>
    <m/>
    <m/>
    <m/>
    <m/>
    <m/>
    <m/>
    <m/>
    <m/>
    <m/>
    <m/>
    <m/>
    <m/>
    <m/>
    <m/>
  </r>
  <r>
    <s v="Monsieur"/>
    <s v="BOSCHMANS"/>
    <s v="Franck"/>
    <n v="57"/>
    <m/>
    <s v="Oyonnax"/>
    <d v="2025-06-27T00:00:00"/>
    <d v="2025-07-30T00:00:00"/>
    <d v="2025-08-18T00:00:00"/>
    <d v="2026-02-14T00:00:00"/>
    <m/>
    <m/>
    <m/>
    <m/>
    <m/>
    <m/>
    <m/>
    <m/>
    <m/>
    <x v="4"/>
    <x v="0"/>
    <m/>
    <d v="2026-02-11T00:00:00"/>
    <m/>
    <m/>
    <m/>
    <m/>
    <m/>
    <m/>
    <m/>
    <m/>
    <m/>
    <m/>
    <m/>
    <m/>
    <m/>
    <m/>
    <m/>
  </r>
  <r>
    <s v="Madame"/>
    <s v="BASSI"/>
    <s v="Stephanie"/>
    <n v="47"/>
    <m/>
    <s v="Nantua"/>
    <d v="2025-05-12T00:00:00"/>
    <d v="2025-07-31T00:00:00"/>
    <d v="2025-07-31T00:00:00"/>
    <d v="2026-01-27T00:00:00"/>
    <m/>
    <m/>
    <m/>
    <m/>
    <m/>
    <m/>
    <m/>
    <m/>
    <m/>
    <x v="3"/>
    <x v="0"/>
    <m/>
    <m/>
    <m/>
    <m/>
    <m/>
    <m/>
    <m/>
    <m/>
    <m/>
    <m/>
    <m/>
    <m/>
    <m/>
    <m/>
    <m/>
    <m/>
    <m/>
  </r>
  <r>
    <s v="Monsieur"/>
    <s v="AMMAR "/>
    <s v="Adam"/>
    <n v="34"/>
    <m/>
    <s v="Oyonnax"/>
    <d v="2026-04-02T00:00:00"/>
    <d v="2026-04-21T00:00:00"/>
    <m/>
    <m/>
    <m/>
    <m/>
    <m/>
    <m/>
    <m/>
    <m/>
    <m/>
    <m/>
    <m/>
    <x v="1"/>
    <x v="5"/>
    <m/>
    <d v="2026-04-03T00:00:00"/>
    <m/>
    <m/>
    <m/>
    <m/>
    <m/>
    <m/>
    <m/>
    <m/>
    <m/>
    <m/>
    <m/>
    <m/>
    <m/>
    <m/>
    <m/>
  </r>
  <r>
    <s v="Monsieur"/>
    <s v="TEKELI"/>
    <s v="Atilyahan"/>
    <n v="44"/>
    <m/>
    <s v="Oyonnax"/>
    <d v="2025-10-21T00:00:00"/>
    <d v="2025-11-19T00:00:00"/>
    <m/>
    <m/>
    <m/>
    <m/>
    <m/>
    <m/>
    <m/>
    <m/>
    <m/>
    <m/>
    <m/>
    <x v="1"/>
    <x v="7"/>
    <m/>
    <d v="2026-04-08T00:00:00"/>
    <m/>
    <m/>
    <m/>
    <m/>
    <m/>
    <m/>
    <m/>
    <m/>
    <m/>
    <m/>
    <m/>
    <m/>
    <m/>
    <m/>
    <m/>
  </r>
  <r>
    <s v="Monsieur"/>
    <s v="CLERMONT"/>
    <s v="CHRISTIAN"/>
    <n v="54"/>
    <m/>
    <s v="Nantua"/>
    <d v="2025-12-08T00:00:00"/>
    <d v="2025-12-29T00:00:00"/>
    <m/>
    <m/>
    <m/>
    <m/>
    <m/>
    <m/>
    <m/>
    <m/>
    <m/>
    <m/>
    <m/>
    <x v="3"/>
    <x v="0"/>
    <m/>
    <d v="2026-04-07T00:00:00"/>
    <m/>
    <m/>
    <m/>
    <m/>
    <m/>
    <m/>
    <m/>
    <m/>
    <m/>
    <m/>
    <m/>
    <m/>
    <m/>
    <m/>
    <m/>
  </r>
  <r>
    <s v="Monsieur"/>
    <s v="GELAJ"/>
    <s v="Bekim"/>
    <n v="34"/>
    <m/>
    <s v="Oyonnax"/>
    <d v="2025-10-21T00:00:00"/>
    <d v="2025-11-19T00:00:00"/>
    <d v="2025-12-17T00:00:00"/>
    <d v="2026-06-15T00:00:00"/>
    <m/>
    <m/>
    <m/>
    <s v="fle"/>
    <m/>
    <m/>
    <m/>
    <m/>
    <m/>
    <x v="3"/>
    <x v="0"/>
    <m/>
    <d v="2026-04-07T00:00:00"/>
    <n v="1"/>
    <m/>
    <m/>
    <m/>
    <m/>
    <m/>
    <m/>
    <m/>
    <m/>
    <m/>
    <m/>
    <m/>
    <m/>
    <m/>
    <m/>
  </r>
  <r>
    <s v="Monsieur"/>
    <s v="ONCU"/>
    <s v="ONDER"/>
    <n v="38"/>
    <m/>
    <s v="Nantua"/>
    <d v="2025-07-01T00:00:00"/>
    <d v="2025-12-03T00:00:00"/>
    <m/>
    <m/>
    <m/>
    <m/>
    <m/>
    <m/>
    <m/>
    <m/>
    <m/>
    <m/>
    <m/>
    <x v="3"/>
    <x v="0"/>
    <m/>
    <d v="2026-04-07T00:00:00"/>
    <m/>
    <m/>
    <m/>
    <m/>
    <m/>
    <m/>
    <m/>
    <m/>
    <m/>
    <m/>
    <m/>
    <m/>
    <m/>
    <m/>
    <m/>
  </r>
  <r>
    <s v="Monsieur"/>
    <s v="SULTANKHEL"/>
    <s v="SAMIULLAH"/>
    <m/>
    <m/>
    <s v="Oyonnax"/>
    <d v="2025-07-25T00:00:00"/>
    <d v="2025-12-15T00:00:00"/>
    <m/>
    <m/>
    <m/>
    <m/>
    <m/>
    <m/>
    <m/>
    <m/>
    <m/>
    <m/>
    <m/>
    <x v="3"/>
    <x v="0"/>
    <m/>
    <d v="2026-04-07T00:00:00"/>
    <m/>
    <m/>
    <m/>
    <m/>
    <m/>
    <m/>
    <m/>
    <m/>
    <m/>
    <m/>
    <m/>
    <m/>
    <m/>
    <m/>
    <m/>
  </r>
  <r>
    <s v="Monsieur"/>
    <s v="ROSELL"/>
    <s v="Thibault"/>
    <n v="41"/>
    <m/>
    <s v="Oyonnax"/>
    <d v="2025-06-12T00:00:00"/>
    <d v="2025-08-06T00:00:00"/>
    <d v="2025-08-27T00:00:00"/>
    <d v="2026-02-23T00:00:00"/>
    <m/>
    <m/>
    <m/>
    <s v="SANTE"/>
    <m/>
    <m/>
    <m/>
    <m/>
    <m/>
    <x v="3"/>
    <x v="0"/>
    <m/>
    <d v="2026-04-07T00:00:00"/>
    <n v="1"/>
    <m/>
    <m/>
    <m/>
    <m/>
    <m/>
    <m/>
    <m/>
    <m/>
    <m/>
    <m/>
    <m/>
    <m/>
    <m/>
    <m/>
  </r>
  <r>
    <s v="Madame"/>
    <s v="NUNES GOUVEIA"/>
    <s v="SABRINA"/>
    <n v="37"/>
    <m/>
    <s v="Oyonnax"/>
    <d v="2025-12-22T00:00:00"/>
    <d v="2026-01-19T00:00:00"/>
    <m/>
    <m/>
    <m/>
    <m/>
    <m/>
    <m/>
    <m/>
    <m/>
    <m/>
    <m/>
    <m/>
    <x v="3"/>
    <x v="0"/>
    <m/>
    <d v="2026-04-07T00:00:00"/>
    <m/>
    <m/>
    <m/>
    <m/>
    <m/>
    <m/>
    <m/>
    <m/>
    <m/>
    <m/>
    <m/>
    <m/>
    <m/>
    <m/>
    <m/>
  </r>
  <r>
    <s v="Monsieur"/>
    <s v="MEHALLEL"/>
    <s v="Salim"/>
    <n v="57"/>
    <m/>
    <s v="Oyonnax"/>
    <d v="2025-06-11T00:00:00"/>
    <d v="2025-09-01T00:00:00"/>
    <d v="2025-07-28T00:00:00"/>
    <d v="2026-01-24T00:00:00"/>
    <m/>
    <m/>
    <m/>
    <s v="SANTE"/>
    <s v="MOBILITE"/>
    <m/>
    <m/>
    <m/>
    <m/>
    <x v="1"/>
    <x v="1"/>
    <m/>
    <d v="2026-04-08T00:00:00"/>
    <n v="1"/>
    <m/>
    <m/>
    <m/>
    <m/>
    <m/>
    <m/>
    <m/>
    <m/>
    <m/>
    <m/>
    <m/>
    <m/>
    <m/>
    <m/>
  </r>
  <r>
    <s v="Madame"/>
    <s v="OZDEMIR"/>
    <s v="Emine"/>
    <n v="47"/>
    <m/>
    <s v="Oyonnax"/>
    <d v="2025-06-27T00:00:00"/>
    <d v="2025-09-15T00:00:00"/>
    <d v="2025-10-07T00:00:00"/>
    <d v="2026-04-05T00:00:00"/>
    <m/>
    <m/>
    <m/>
    <s v="fle"/>
    <m/>
    <m/>
    <m/>
    <m/>
    <m/>
    <x v="3"/>
    <x v="0"/>
    <m/>
    <d v="2026-04-07T00:00:00"/>
    <n v="1"/>
    <m/>
    <m/>
    <m/>
    <m/>
    <m/>
    <m/>
    <m/>
    <m/>
    <m/>
    <m/>
    <m/>
    <m/>
    <m/>
    <m/>
  </r>
  <r>
    <s v="Monsieur"/>
    <s v="ONCUL"/>
    <s v="Samet"/>
    <n v="32"/>
    <m/>
    <s v="Oyonnax"/>
    <d v="2025-08-28T00:00:00"/>
    <d v="2025-09-24T00:00:00"/>
    <d v="2026-01-21T00:00:00"/>
    <d v="2026-07-20T00:00:00"/>
    <m/>
    <m/>
    <m/>
    <m/>
    <m/>
    <m/>
    <m/>
    <m/>
    <m/>
    <x v="3"/>
    <x v="0"/>
    <m/>
    <d v="2026-04-07T00:00:00"/>
    <m/>
    <m/>
    <m/>
    <m/>
    <m/>
    <m/>
    <m/>
    <m/>
    <m/>
    <m/>
    <m/>
    <m/>
    <m/>
    <m/>
    <m/>
  </r>
  <r>
    <s v="Madame"/>
    <s v="ANNOUR ALI// ABDALLAH  ABDRAMANE "/>
    <s v="MARIAM"/>
    <n v="51"/>
    <m/>
    <s v="Oyonnax"/>
    <d v="2025-12-22T00:00:00"/>
    <d v="2026-01-19T00:00:00"/>
    <d v="2026-01-19T00:00:00"/>
    <d v="1900-06-28T00:00:00"/>
    <m/>
    <m/>
    <m/>
    <s v="fle++"/>
    <s v="sante"/>
    <m/>
    <m/>
    <m/>
    <n v="1"/>
    <x v="1"/>
    <x v="1"/>
    <m/>
    <d v="2026-04-07T00:00:00"/>
    <n v="1"/>
    <m/>
    <m/>
    <m/>
    <m/>
    <m/>
    <n v="1"/>
    <m/>
    <m/>
    <n v="1"/>
    <m/>
    <m/>
    <m/>
    <m/>
    <m/>
  </r>
  <r>
    <s v="Monsieur"/>
    <s v="GONNETAN"/>
    <s v="PIERRE"/>
    <n v="34"/>
    <m/>
    <s v="Nantua"/>
    <d v="2025-12-08T00:00:00"/>
    <d v="2025-12-29T00:00:00"/>
    <d v="2025-12-19T00:00:00"/>
    <d v="2026-06-17T00:00:00"/>
    <m/>
    <m/>
    <m/>
    <s v="SANTE"/>
    <m/>
    <m/>
    <m/>
    <m/>
    <m/>
    <x v="4"/>
    <x v="0"/>
    <m/>
    <d v="2026-03-10T00:00:00"/>
    <n v="1"/>
    <m/>
    <m/>
    <m/>
    <m/>
    <m/>
    <m/>
    <m/>
    <m/>
    <m/>
    <m/>
    <m/>
    <m/>
    <m/>
    <m/>
  </r>
  <r>
    <s v="Madame"/>
    <s v="LIEU"/>
    <s v="Ophelie-kim"/>
    <n v="29"/>
    <m/>
    <s v="Oyonnax"/>
    <d v="2025-05-28T00:00:00"/>
    <d v="2026-01-19T00:00:00"/>
    <m/>
    <m/>
    <m/>
    <m/>
    <m/>
    <m/>
    <m/>
    <m/>
    <m/>
    <m/>
    <m/>
    <x v="1"/>
    <x v="3"/>
    <s v="France Travail"/>
    <d v="2026-04-16T00:00:00"/>
    <m/>
    <m/>
    <m/>
    <m/>
    <m/>
    <m/>
    <m/>
    <m/>
    <m/>
    <m/>
    <m/>
    <m/>
    <m/>
    <m/>
    <m/>
  </r>
  <r>
    <s v="Monsieur"/>
    <s v="EL-HAMDI"/>
    <s v="Mourad"/>
    <n v="43"/>
    <m/>
    <s v="Oyonnax"/>
    <d v="2025-06-04T00:00:00"/>
    <d v="2025-09-01T00:00:00"/>
    <d v="2025-10-22T00:00:00"/>
    <d v="2026-04-20T00:00:00"/>
    <m/>
    <m/>
    <m/>
    <m/>
    <m/>
    <m/>
    <n v="5"/>
    <m/>
    <m/>
    <x v="3"/>
    <x v="0"/>
    <m/>
    <s v="01/05/206"/>
    <n v="1"/>
    <m/>
    <m/>
    <m/>
    <m/>
    <m/>
    <m/>
    <m/>
    <m/>
    <m/>
    <m/>
    <m/>
    <m/>
    <m/>
    <m/>
  </r>
  <r>
    <s v="Madame"/>
    <s v="JEBARI "/>
    <s v="Naoual"/>
    <n v="37"/>
    <m/>
    <s v="Oyonnax"/>
    <d v="2026-04-13T00:00:00"/>
    <d v="2026-04-28T00:00:00"/>
    <m/>
    <m/>
    <m/>
    <m/>
    <m/>
    <m/>
    <m/>
    <m/>
    <m/>
    <m/>
    <m/>
    <x v="1"/>
    <x v="3"/>
    <s v="France Travail"/>
    <d v="2026-04-28T00:00:00"/>
    <m/>
    <m/>
    <m/>
    <m/>
    <m/>
    <m/>
    <m/>
    <m/>
    <m/>
    <m/>
    <m/>
    <m/>
    <m/>
    <m/>
    <m/>
  </r>
  <r>
    <s v="Monsieur"/>
    <s v="BANDATIA"/>
    <s v="ULRICH"/>
    <n v="26"/>
    <m/>
    <s v="Oyonnax"/>
    <d v="2026-01-07T00:00:00"/>
    <d v="2026-01-27T00:00:00"/>
    <d v="2026-01-27T00:00:00"/>
    <d v="2026-07-26T00:00:00"/>
    <m/>
    <m/>
    <m/>
    <s v="SANTE"/>
    <s v="MOBILITE"/>
    <m/>
    <n v="1"/>
    <m/>
    <m/>
    <x v="6"/>
    <x v="0"/>
    <m/>
    <d v="2026-05-07T00:00:00"/>
    <n v="1"/>
    <m/>
    <m/>
    <m/>
    <m/>
    <m/>
    <m/>
    <m/>
    <m/>
    <m/>
    <m/>
    <m/>
    <m/>
    <m/>
    <m/>
  </r>
  <r>
    <s v="Madame"/>
    <s v="VENOT"/>
    <s v="Emilie"/>
    <n v="28"/>
    <m/>
    <s v="Oyonnax"/>
    <d v="2025-05-13T00:00:00"/>
    <d v="2025-09-02T00:00:00"/>
    <d v="2025-09-24T00:00:00"/>
    <d v="2026-03-23T00:00:00"/>
    <m/>
    <m/>
    <m/>
    <s v="GARDE ENFANT"/>
    <s v="MOBILITE"/>
    <m/>
    <m/>
    <m/>
    <n v="1"/>
    <x v="0"/>
    <x v="0"/>
    <m/>
    <m/>
    <n v="1"/>
    <m/>
    <m/>
    <m/>
    <m/>
    <m/>
    <m/>
    <m/>
    <m/>
    <m/>
    <m/>
    <m/>
    <m/>
    <m/>
    <m/>
  </r>
  <r>
    <s v="Madame"/>
    <s v="RIVIERE"/>
    <s v="Cindy"/>
    <n v="32"/>
    <m/>
    <s v="Nantua"/>
    <d v="2025-06-03T00:00:00"/>
    <d v="2025-09-03T00:00:00"/>
    <d v="2025-09-29T00:00:00"/>
    <d v="2026-03-28T00:00:00"/>
    <m/>
    <m/>
    <m/>
    <m/>
    <m/>
    <m/>
    <n v="1"/>
    <n v="1"/>
    <m/>
    <x v="5"/>
    <x v="7"/>
    <s v="Créa"/>
    <d v="2026-05-12T00:00:00"/>
    <n v="1"/>
    <m/>
    <m/>
    <m/>
    <m/>
    <m/>
    <m/>
    <m/>
    <m/>
    <m/>
    <m/>
    <m/>
    <m/>
    <m/>
    <m/>
  </r>
  <r>
    <s v="Madame"/>
    <s v="KHAROUNI"/>
    <s v="Kaïna"/>
    <n v="29"/>
    <m/>
    <s v="Oyonnax"/>
    <d v="2025-09-05T00:00:00"/>
    <d v="2025-09-30T00:00:00"/>
    <d v="2025-09-30T00:00:00"/>
    <d v="2026-03-29T00:00:00"/>
    <m/>
    <m/>
    <m/>
    <s v="GARDE ENFANTS"/>
    <m/>
    <m/>
    <n v="1"/>
    <n v="1"/>
    <n v="1"/>
    <x v="5"/>
    <x v="3"/>
    <s v="France Travail"/>
    <d v="2026-05-12T00:00:00"/>
    <n v="1"/>
    <m/>
    <m/>
    <m/>
    <m/>
    <m/>
    <m/>
    <m/>
    <m/>
    <m/>
    <m/>
    <m/>
    <m/>
    <m/>
    <m/>
  </r>
  <r>
    <s v="Madame"/>
    <s v="OZCAN"/>
    <s v="Kamile"/>
    <n v="61"/>
    <m/>
    <s v="Oyonnax"/>
    <d v="2025-06-27T00:00:00"/>
    <d v="2025-09-10T00:00:00"/>
    <d v="2025-10-22T00:00:00"/>
    <d v="2026-04-20T00:00:00"/>
    <m/>
    <m/>
    <m/>
    <s v="FLE +++"/>
    <s v="MOBILITE/SANTE"/>
    <m/>
    <m/>
    <m/>
    <m/>
    <x v="2"/>
    <x v="0"/>
    <m/>
    <d v="2026-05-13T00:00:00"/>
    <n v="1"/>
    <m/>
    <m/>
    <m/>
    <m/>
    <m/>
    <m/>
    <m/>
    <m/>
    <m/>
    <m/>
    <m/>
    <m/>
    <m/>
    <m/>
  </r>
  <r>
    <s v="Madame"/>
    <s v="ROCHELLE"/>
    <s v="PATRICIA"/>
    <n v="55"/>
    <m/>
    <s v="Oyonnax"/>
    <d v="2025-09-10T00:00:00"/>
    <d v="2025-12-10T00:00:00"/>
    <d v="2025-12-10T00:00:00"/>
    <d v="2026-06-08T00:00:00"/>
    <m/>
    <m/>
    <m/>
    <s v="sans domicile fixe"/>
    <m/>
    <m/>
    <n v="4"/>
    <m/>
    <m/>
    <x v="1"/>
    <x v="1"/>
    <m/>
    <d v="2026-05-13T00:00:00"/>
    <n v="1"/>
    <m/>
    <m/>
    <m/>
    <m/>
    <m/>
    <m/>
    <m/>
    <m/>
    <m/>
    <m/>
    <m/>
    <m/>
    <m/>
    <m/>
  </r>
  <r>
    <s v="Monsieur"/>
    <s v="BERTHET-BONDET"/>
    <s v="Franck"/>
    <n v="41"/>
    <m/>
    <s v="Oyonnax"/>
    <d v="2025-06-27T00:00:00"/>
    <d v="2025-08-06T00:00:00"/>
    <d v="2025-08-27T00:00:00"/>
    <d v="2026-02-23T00:00:00"/>
    <m/>
    <m/>
    <m/>
    <m/>
    <m/>
    <m/>
    <m/>
    <m/>
    <m/>
    <x v="3"/>
    <x v="0"/>
    <m/>
    <d v="2026-04-24T00:00:00"/>
    <m/>
    <m/>
    <m/>
    <m/>
    <m/>
    <m/>
    <m/>
    <m/>
    <m/>
    <m/>
    <m/>
    <m/>
    <m/>
    <m/>
    <m/>
  </r>
  <r>
    <s v="Monsieur"/>
    <s v="DERRIEN"/>
    <s v="BRYCE"/>
    <n v="35"/>
    <m/>
    <s v="Nantua"/>
    <d v="2026-01-13T00:00:00"/>
    <d v="2026-01-27T00:00:00"/>
    <m/>
    <m/>
    <m/>
    <m/>
    <m/>
    <m/>
    <m/>
    <m/>
    <m/>
    <m/>
    <m/>
    <x v="3"/>
    <x v="0"/>
    <m/>
    <d v="2026-05-12T00:00:00"/>
    <m/>
    <m/>
    <m/>
    <m/>
    <m/>
    <m/>
    <m/>
    <m/>
    <m/>
    <m/>
    <m/>
    <m/>
    <m/>
    <m/>
    <m/>
  </r>
  <r>
    <s v="Madame"/>
    <s v="BRASSART"/>
    <s v="Cindy"/>
    <n v="31"/>
    <m/>
    <s v="Nantua"/>
    <d v="2025-04-23T00:00:00"/>
    <d v="2025-08-20T00:00:00"/>
    <d v="2025-08-20T00:00:00"/>
    <d v="2026-02-16T00:00:00"/>
    <m/>
    <m/>
    <m/>
    <s v="mobilite "/>
    <s v="garde enfant"/>
    <m/>
    <m/>
    <m/>
    <m/>
    <x v="3"/>
    <x v="0"/>
    <m/>
    <d v="2026-05-01T00:00:00"/>
    <n v="1"/>
    <m/>
    <m/>
    <m/>
    <m/>
    <m/>
    <m/>
    <m/>
    <m/>
    <m/>
    <m/>
    <m/>
    <m/>
    <m/>
    <m/>
  </r>
  <r>
    <s v="Monsieur"/>
    <s v="DUBOT"/>
    <s v="Sébastien"/>
    <n v="51"/>
    <m/>
    <s v="Nantua"/>
    <d v="2025-06-30T00:00:00"/>
    <d v="2025-08-04T00:00:00"/>
    <d v="2025-08-21T00:00:00"/>
    <d v="2026-02-17T00:00:00"/>
    <m/>
    <m/>
    <m/>
    <m/>
    <m/>
    <m/>
    <m/>
    <m/>
    <m/>
    <x v="3"/>
    <x v="0"/>
    <m/>
    <d v="2026-05-01T00:00:00"/>
    <n v="1"/>
    <m/>
    <m/>
    <m/>
    <m/>
    <m/>
    <m/>
    <m/>
    <m/>
    <m/>
    <m/>
    <m/>
    <m/>
    <m/>
    <m/>
  </r>
  <r>
    <s v="Monsieur"/>
    <s v="EL JABBAR"/>
    <s v="Anass"/>
    <n v="33"/>
    <m/>
    <s v="Oyonnax"/>
    <d v="2025-04-28T00:00:00"/>
    <d v="2025-08-13T00:00:00"/>
    <m/>
    <m/>
    <m/>
    <m/>
    <m/>
    <m/>
    <m/>
    <m/>
    <m/>
    <m/>
    <m/>
    <x v="4"/>
    <x v="0"/>
    <m/>
    <d v="2025-10-23T00:00:00"/>
    <m/>
    <m/>
    <m/>
    <m/>
    <m/>
    <m/>
    <m/>
    <m/>
    <m/>
    <m/>
    <m/>
    <m/>
    <m/>
    <m/>
    <m/>
  </r>
  <r>
    <s v="Monsieur"/>
    <s v="OZER"/>
    <s v="Ismaïl"/>
    <n v="33"/>
    <m/>
    <s v="Oyonnax"/>
    <d v="2025-04-22T00:00:00"/>
    <d v="2025-08-13T00:00:00"/>
    <m/>
    <m/>
    <m/>
    <m/>
    <m/>
    <m/>
    <m/>
    <m/>
    <m/>
    <m/>
    <m/>
    <x v="4"/>
    <x v="0"/>
    <m/>
    <d v="2025-11-14T00:00:00"/>
    <m/>
    <m/>
    <m/>
    <m/>
    <m/>
    <m/>
    <m/>
    <m/>
    <m/>
    <m/>
    <m/>
    <m/>
    <m/>
    <m/>
    <m/>
  </r>
  <r>
    <s v="Monsieur"/>
    <s v="COLOMBEL"/>
    <s v="Mickael"/>
    <n v="38"/>
    <m/>
    <s v="Oyonnax"/>
    <d v="2025-04-28T00:00:00"/>
    <d v="2025-08-12T00:00:00"/>
    <d v="2025-08-12T00:00:00"/>
    <d v="2026-02-08T00:00:00"/>
    <m/>
    <m/>
    <m/>
    <s v="mobilite"/>
    <m/>
    <m/>
    <m/>
    <m/>
    <m/>
    <x v="3"/>
    <x v="0"/>
    <m/>
    <d v="2026-03-24T00:00:00"/>
    <n v="1"/>
    <m/>
    <m/>
    <m/>
    <m/>
    <m/>
    <m/>
    <m/>
    <m/>
    <m/>
    <m/>
    <m/>
    <m/>
    <m/>
    <m/>
  </r>
  <r>
    <s v="Monsieur"/>
    <s v="KARIAM"/>
    <s v="Omar"/>
    <n v="49"/>
    <m/>
    <s v="Oyonnax"/>
    <d v="2025-06-27T00:00:00"/>
    <d v="2025-08-04T00:00:00"/>
    <m/>
    <m/>
    <m/>
    <m/>
    <m/>
    <m/>
    <m/>
    <m/>
    <m/>
    <m/>
    <m/>
    <x v="4"/>
    <x v="0"/>
    <m/>
    <d v="2025-11-14T00:00:00"/>
    <m/>
    <m/>
    <m/>
    <m/>
    <m/>
    <m/>
    <m/>
    <m/>
    <m/>
    <m/>
    <m/>
    <m/>
    <m/>
    <m/>
    <m/>
  </r>
  <r>
    <s v="Madame"/>
    <s v="BEN EMBARECK"/>
    <s v="Wassila"/>
    <n v="32"/>
    <m/>
    <s v="Oyonnax"/>
    <d v="2025-06-27T00:00:00"/>
    <d v="2025-09-09T00:00:00"/>
    <m/>
    <m/>
    <m/>
    <m/>
    <m/>
    <m/>
    <m/>
    <m/>
    <m/>
    <m/>
    <m/>
    <x v="4"/>
    <x v="0"/>
    <m/>
    <d v="2025-09-01T00:00:00"/>
    <m/>
    <m/>
    <m/>
    <m/>
    <m/>
    <m/>
    <m/>
    <m/>
    <m/>
    <m/>
    <m/>
    <m/>
    <m/>
    <m/>
    <m/>
  </r>
  <r>
    <s v="Monsieur"/>
    <s v="OZER"/>
    <s v="Ismaïl"/>
    <n v="33"/>
    <m/>
    <s v="Oyonnax"/>
    <d v="2025-04-22T00:00:00"/>
    <d v="2025-08-13T00:00:00"/>
    <m/>
    <m/>
    <m/>
    <m/>
    <m/>
    <m/>
    <m/>
    <m/>
    <m/>
    <m/>
    <m/>
    <x v="4"/>
    <x v="0"/>
    <m/>
    <d v="2025-11-14T00:00:00"/>
    <m/>
    <m/>
    <m/>
    <m/>
    <m/>
    <m/>
    <m/>
    <m/>
    <m/>
    <m/>
    <m/>
    <m/>
    <m/>
    <m/>
    <m/>
  </r>
  <r>
    <s v="Monsieur"/>
    <s v="MAADOUR"/>
    <s v="Anas"/>
    <n v="25"/>
    <m/>
    <s v="Oyonnax"/>
    <d v="2025-05-12T00:00:00"/>
    <d v="2025-09-02T00:00:00"/>
    <m/>
    <m/>
    <m/>
    <m/>
    <m/>
    <m/>
    <m/>
    <m/>
    <m/>
    <m/>
    <m/>
    <x v="4"/>
    <x v="0"/>
    <m/>
    <d v="2025-11-14T00:00:00"/>
    <m/>
    <m/>
    <m/>
    <m/>
    <m/>
    <m/>
    <m/>
    <m/>
    <m/>
    <m/>
    <m/>
    <m/>
    <m/>
    <m/>
    <m/>
  </r>
  <r>
    <s v="Madame"/>
    <s v="BAYIRTEPE"/>
    <s v="Gulsah"/>
    <n v="45"/>
    <m/>
    <s v="Oyonnax"/>
    <d v="2025-05-16T00:00:00"/>
    <d v="2025-09-02T00:00:00"/>
    <m/>
    <m/>
    <m/>
    <m/>
    <m/>
    <m/>
    <m/>
    <m/>
    <m/>
    <m/>
    <m/>
    <x v="4"/>
    <x v="0"/>
    <m/>
    <d v="2026-04-30T00:00:00"/>
    <m/>
    <m/>
    <m/>
    <m/>
    <m/>
    <m/>
    <m/>
    <m/>
    <m/>
    <m/>
    <m/>
    <m/>
    <m/>
    <m/>
    <m/>
  </r>
  <r>
    <s v="Monsieur"/>
    <s v="SMAAL"/>
    <s v="Samir"/>
    <n v="49"/>
    <m/>
    <s v="Oyonnax"/>
    <d v="2025-06-27T00:00:00"/>
    <d v="2005-09-08T00:00:00"/>
    <d v="2025-08-28T00:00:00"/>
    <d v="2026-02-24T00:00:00"/>
    <m/>
    <m/>
    <m/>
    <m/>
    <m/>
    <m/>
    <n v="1"/>
    <m/>
    <m/>
    <x v="4"/>
    <x v="0"/>
    <m/>
    <d v="2026-03-30T00:00:00"/>
    <n v="1"/>
    <m/>
    <m/>
    <m/>
    <m/>
    <m/>
    <m/>
    <m/>
    <m/>
    <m/>
    <m/>
    <m/>
    <m/>
    <m/>
    <m/>
  </r>
  <r>
    <s v="Monsieur"/>
    <s v="LEANG DATH"/>
    <s v="Benoît"/>
    <n v="26"/>
    <m/>
    <s v="Oyonnax"/>
    <d v="2025-07-07T00:00:00"/>
    <d v="2025-07-22T00:00:00"/>
    <d v="2025-07-22T00:00:00"/>
    <d v="2026-01-18T00:00:00"/>
    <m/>
    <m/>
    <m/>
    <s v="mobilité"/>
    <m/>
    <m/>
    <n v="2"/>
    <m/>
    <n v="1"/>
    <x v="5"/>
    <x v="3"/>
    <s v="Stagiaire en formation"/>
    <d v="2026-05-25T00:00:00"/>
    <n v="1"/>
    <m/>
    <m/>
    <m/>
    <m/>
    <m/>
    <m/>
    <m/>
    <m/>
    <m/>
    <m/>
    <m/>
    <m/>
    <m/>
    <m/>
  </r>
  <r>
    <s v="Monsieur"/>
    <s v="DIABY"/>
    <s v=" MAMADOU"/>
    <n v="55"/>
    <m/>
    <s v="Oyonnax"/>
    <d v="2026-02-04T00:00:00"/>
    <d v="2026-02-23T00:00:00"/>
    <d v="2026-02-23T00:00:00"/>
    <d v="2026-08-22T00:00:00"/>
    <m/>
    <m/>
    <m/>
    <s v="mobilite"/>
    <m/>
    <m/>
    <m/>
    <m/>
    <m/>
    <x v="3"/>
    <x v="0"/>
    <m/>
    <d v="2026-06-01T00:00:00"/>
    <m/>
    <m/>
    <m/>
    <m/>
    <m/>
    <m/>
    <m/>
    <m/>
    <m/>
    <m/>
    <m/>
    <m/>
    <m/>
    <m/>
    <m/>
  </r>
  <r>
    <s v="Madame"/>
    <s v="OULAKBIR"/>
    <s v="Touria"/>
    <n v="44"/>
    <m/>
    <s v="Oyonnax"/>
    <d v="2025-04-23T00:00:00"/>
    <d v="2025-10-15T00:00:00"/>
    <d v="2025-10-15T00:00:00"/>
    <d v="2026-04-13T00:00:00"/>
    <m/>
    <m/>
    <m/>
    <m/>
    <m/>
    <m/>
    <n v="1"/>
    <m/>
    <m/>
    <x v="5"/>
    <x v="3"/>
    <m/>
    <d v="2026-05-27T00:00:00"/>
    <n v="1"/>
    <m/>
    <m/>
    <m/>
    <m/>
    <m/>
    <m/>
    <m/>
    <m/>
    <m/>
    <m/>
    <m/>
    <m/>
    <m/>
    <m/>
  </r>
  <r>
    <s v="Monsieur"/>
    <s v="GOUROUVIN"/>
    <s v="Gabriel"/>
    <n v="33"/>
    <m/>
    <s v="Oyonnax"/>
    <d v="2026-01-22T00:00:00"/>
    <d v="2026-02-10T00:00:00"/>
    <m/>
    <m/>
    <m/>
    <m/>
    <m/>
    <m/>
    <m/>
    <m/>
    <m/>
    <m/>
    <m/>
    <x v="3"/>
    <x v="0"/>
    <m/>
    <d v="2026-05-12T00:00:00"/>
    <m/>
    <m/>
    <m/>
    <m/>
    <m/>
    <m/>
    <m/>
    <m/>
    <m/>
    <m/>
    <m/>
    <m/>
    <m/>
    <m/>
    <m/>
  </r>
  <r>
    <s v="Monsieur"/>
    <s v="HASANI"/>
    <s v="Gazmend"/>
    <n v="26"/>
    <m/>
    <s v="Oyonnax"/>
    <d v="2025-08-27T00:00:00"/>
    <d v="2025-09-22T00:00:00"/>
    <m/>
    <m/>
    <m/>
    <m/>
    <m/>
    <m/>
    <m/>
    <m/>
    <m/>
    <m/>
    <m/>
    <x v="3"/>
    <x v="0"/>
    <m/>
    <d v="2025-12-10T00:00:00"/>
    <m/>
    <m/>
    <m/>
    <m/>
    <m/>
    <m/>
    <m/>
    <m/>
    <m/>
    <m/>
    <m/>
    <m/>
    <m/>
    <m/>
    <m/>
  </r>
  <r>
    <s v="Monsieur"/>
    <s v="CHERIFI "/>
    <s v="HAMZA"/>
    <n v="32"/>
    <m/>
    <s v="Oyonnax"/>
    <d v="2026-01-05T00:00:00"/>
    <d v="2026-01-26T00:00:00"/>
    <d v="2026-02-09T00:00:00"/>
    <d v="2026-08-08T00:00:00"/>
    <m/>
    <m/>
    <m/>
    <m/>
    <m/>
    <m/>
    <m/>
    <m/>
    <m/>
    <x v="3"/>
    <x v="0"/>
    <m/>
    <d v="2026-05-01T00:00:00"/>
    <m/>
    <m/>
    <m/>
    <m/>
    <m/>
    <m/>
    <m/>
    <m/>
    <m/>
    <m/>
    <m/>
    <m/>
    <m/>
    <m/>
    <m/>
  </r>
  <r>
    <s v="Madame"/>
    <s v="MUTLU"/>
    <s v="Mualla"/>
    <n v="51"/>
    <m/>
    <s v="Oyonnax"/>
    <d v="2025-06-27T00:00:00"/>
    <d v="2025-09-01T00:00:00"/>
    <d v="2025-09-10T00:00:00"/>
    <d v="2026-03-09T00:00:00"/>
    <s v="Renouvellement"/>
    <m/>
    <m/>
    <s v="FLE +++"/>
    <s v="MOBILITE"/>
    <m/>
    <n v="4"/>
    <m/>
    <n v="1"/>
    <x v="1"/>
    <x v="1"/>
    <m/>
    <d v="2026-06-09T00:00:00"/>
    <n v="1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s v="Madame"/>
    <s v="AKHMAL"/>
    <s v="Najat"/>
    <n v="44"/>
    <m/>
    <s v="Oyonnax"/>
    <d v="2025-07-07T00:00:00"/>
    <d v="2025-07-21T00:00:00"/>
    <d v="2025-07-21T00:00:00"/>
    <d v="2026-01-17T00:00:00"/>
    <s v="Renouvellement"/>
    <m/>
    <d v="1900-06-28T00:00:00"/>
    <s v="mobilité"/>
    <s v="sante"/>
    <m/>
    <n v="0"/>
    <m/>
    <m/>
    <m/>
    <m/>
    <x v="0"/>
    <m/>
    <n v="1"/>
    <m/>
    <m/>
    <m/>
    <m/>
    <n v="1"/>
    <m/>
    <m/>
    <m/>
    <m/>
    <m/>
    <m/>
    <m/>
    <m/>
    <m/>
  </r>
  <r>
    <s v="Monsieur"/>
    <s v="AL-RIHEMAWEE"/>
    <s v="Qays"/>
    <n v="54"/>
    <m/>
    <s v="Oyonnax"/>
    <d v="2025-06-27T00:00:00"/>
    <d v="2025-07-30T00:00:00"/>
    <d v="2025-09-30T00:00:00"/>
    <d v="2026-03-29T00:00:00"/>
    <s v="Renouvellement"/>
    <m/>
    <d v="1900-06-28T00:00:00"/>
    <s v="mobilite"/>
    <s v="sante mentale"/>
    <m/>
    <n v="3"/>
    <n v="2"/>
    <m/>
    <m/>
    <m/>
    <x v="0"/>
    <m/>
    <n v="1"/>
    <m/>
    <m/>
    <m/>
    <m/>
    <m/>
    <n v="1"/>
    <m/>
    <m/>
    <m/>
    <m/>
    <m/>
    <m/>
    <m/>
    <m/>
  </r>
  <r>
    <s v="Monsieur"/>
    <s v="ARBINOT"/>
    <s v="Alexandre"/>
    <n v="40"/>
    <m/>
    <s v="Nantua"/>
    <d v="2025-06-20T00:00:00"/>
    <d v="2025-08-11T00:00:00"/>
    <d v="2025-08-11T00:00:00"/>
    <d v="2026-02-07T00:00:00"/>
    <s v="Renouvellement"/>
    <m/>
    <d v="1900-06-28T00:00:00"/>
    <s v="SANTE"/>
    <s v="MOBILITE"/>
    <m/>
    <n v="0"/>
    <m/>
    <n v="1"/>
    <m/>
    <m/>
    <x v="0"/>
    <m/>
    <n v="1"/>
    <m/>
    <m/>
    <m/>
    <m/>
    <m/>
    <m/>
    <m/>
    <m/>
    <m/>
    <m/>
    <m/>
    <m/>
    <m/>
    <m/>
  </r>
  <r>
    <s v="Madame"/>
    <s v="BRAHIMI"/>
    <s v="Farida"/>
    <n v="56"/>
    <m/>
    <s v="Oyonnax"/>
    <d v="2025-07-02T00:00:00"/>
    <s v="25/07//2025"/>
    <d v="2025-08-13T00:00:00"/>
    <d v="2026-02-09T00:00:00"/>
    <m/>
    <m/>
    <d v="1900-06-28T00:00:00"/>
    <s v="SANTE"/>
    <s v="MOBILITE"/>
    <m/>
    <m/>
    <m/>
    <m/>
    <s v="Réorientation"/>
    <s v="Social freins+"/>
    <x v="0"/>
    <d v="2026-03-20T00:00:00"/>
    <n v="1"/>
    <m/>
    <m/>
    <m/>
    <m/>
    <m/>
    <m/>
    <m/>
    <m/>
    <m/>
    <m/>
    <m/>
    <m/>
    <m/>
    <m/>
  </r>
  <r>
    <s v="Monsieur"/>
    <s v="CAVDAR"/>
    <s v="Tugay"/>
    <n v="26"/>
    <m/>
    <s v="Oyonnax"/>
    <d v="2025-05-28T00:00:00"/>
    <d v="2025-08-25T00:00:00"/>
    <d v="2025-09-29T00:00:00"/>
    <d v="2026-03-28T00:00:00"/>
    <m/>
    <m/>
    <d v="1900-06-28T00:00:00"/>
    <s v="SANTE"/>
    <s v="MOBILITE"/>
    <m/>
    <m/>
    <m/>
    <m/>
    <m/>
    <m/>
    <x v="0"/>
    <m/>
    <n v="1"/>
    <m/>
    <m/>
    <m/>
    <m/>
    <m/>
    <m/>
    <m/>
    <m/>
    <m/>
    <m/>
    <m/>
    <m/>
    <m/>
    <m/>
  </r>
  <r>
    <s v="Monsieur"/>
    <s v="CIMEN"/>
    <s v="Mehmet"/>
    <n v="41"/>
    <m/>
    <s v="Oyonnax"/>
    <d v="2025-06-12T00:00:00"/>
    <d v="2025-08-06T00:00:00"/>
    <d v="2025-08-27T00:00:00"/>
    <d v="2026-02-23T00:00:00"/>
    <m/>
    <m/>
    <d v="1900-06-28T00:00:00"/>
    <s v="SANTE"/>
    <s v="MOBILITE"/>
    <m/>
    <m/>
    <m/>
    <m/>
    <m/>
    <m/>
    <x v="0"/>
    <m/>
    <m/>
    <m/>
    <m/>
    <m/>
    <m/>
    <m/>
    <m/>
    <m/>
    <m/>
    <m/>
    <m/>
    <m/>
    <m/>
    <m/>
    <m/>
  </r>
  <r>
    <s v="Madame"/>
    <s v="DESSAINTJEAN"/>
    <s v="Amandine"/>
    <n v="29"/>
    <m/>
    <s v="Nantua"/>
    <d v="2025-04-24T00:00:00"/>
    <d v="2025-08-26T00:00:00"/>
    <d v="2025-09-01T00:00:00"/>
    <d v="2026-02-28T00:00:00"/>
    <s v="Renouvellement"/>
    <m/>
    <d v="1900-06-28T00:00:00"/>
    <s v="mobilité"/>
    <s v="garde enfant"/>
    <m/>
    <n v="6"/>
    <n v="1"/>
    <m/>
    <m/>
    <m/>
    <x v="0"/>
    <m/>
    <n v="1"/>
    <m/>
    <m/>
    <m/>
    <m/>
    <m/>
    <m/>
    <m/>
    <m/>
    <m/>
    <m/>
    <m/>
    <m/>
    <m/>
    <m/>
  </r>
  <r>
    <s v="Monsieur"/>
    <s v="ERAMIL"/>
    <s v="Erhan"/>
    <n v="38"/>
    <m/>
    <s v="Oyonnax"/>
    <d v="2025-04-23T00:00:00"/>
    <d v="2025-08-11T00:00:00"/>
    <d v="2025-11-05T00:00:00"/>
    <d v="2026-05-04T00:00:00"/>
    <m/>
    <m/>
    <d v="1900-06-28T00:00:00"/>
    <m/>
    <m/>
    <m/>
    <n v="5"/>
    <m/>
    <m/>
    <m/>
    <m/>
    <x v="0"/>
    <m/>
    <n v="1"/>
    <m/>
    <m/>
    <m/>
    <m/>
    <m/>
    <m/>
    <m/>
    <m/>
    <m/>
    <m/>
    <m/>
    <m/>
    <m/>
    <m/>
  </r>
  <r>
    <s v="Monsieur"/>
    <s v="GAYNUTDINOV"/>
    <s v="Rafael"/>
    <n v="54"/>
    <m/>
    <s v="Oyonnax"/>
    <d v="2025-06-27T00:00:00"/>
    <d v="2025-09-01T00:00:00"/>
    <d v="2025-07-30T00:00:00"/>
    <d v="2026-01-26T00:00:00"/>
    <s v="Renouvellement"/>
    <m/>
    <d v="1900-06-28T00:00:00"/>
    <s v="fle"/>
    <s v="sante "/>
    <m/>
    <n v="4"/>
    <m/>
    <m/>
    <m/>
    <m/>
    <x v="0"/>
    <m/>
    <n v="1"/>
    <m/>
    <m/>
    <m/>
    <m/>
    <m/>
    <m/>
    <m/>
    <m/>
    <m/>
    <m/>
    <m/>
    <m/>
    <m/>
    <m/>
  </r>
  <r>
    <s v="Monsieur"/>
    <s v="JUILLARD"/>
    <s v="Frédéric"/>
    <n v="45"/>
    <m/>
    <s v="Nantua"/>
    <d v="2025-06-30T00:00:00"/>
    <d v="2025-09-01T00:00:00"/>
    <d v="2025-08-21T00:00:00"/>
    <d v="2026-02-17T00:00:00"/>
    <s v="Renouvellement"/>
    <m/>
    <d v="1900-06-28T00:00:00"/>
    <s v="mobilite"/>
    <m/>
    <m/>
    <n v="3"/>
    <m/>
    <m/>
    <m/>
    <m/>
    <x v="0"/>
    <m/>
    <n v="1"/>
    <m/>
    <m/>
    <m/>
    <m/>
    <m/>
    <m/>
    <m/>
    <m/>
    <m/>
    <m/>
    <m/>
    <m/>
    <m/>
    <m/>
  </r>
  <r>
    <s v="Monsieur"/>
    <s v="KAMENICA"/>
    <s v="Ardit"/>
    <n v="25"/>
    <m/>
    <s v="Oyonnax"/>
    <d v="2025-07-09T00:00:00"/>
    <d v="2025-09-01T00:00:00"/>
    <d v="2025-07-22T00:00:00"/>
    <d v="2026-01-18T00:00:00"/>
    <s v="Renouvellement"/>
    <m/>
    <d v="1900-06-28T00:00:00"/>
    <s v="mobilite"/>
    <m/>
    <m/>
    <n v="3"/>
    <m/>
    <m/>
    <m/>
    <m/>
    <x v="0"/>
    <m/>
    <n v="1"/>
    <m/>
    <m/>
    <m/>
    <m/>
    <m/>
    <m/>
    <m/>
    <m/>
    <m/>
    <m/>
    <m/>
    <m/>
    <m/>
    <m/>
  </r>
  <r>
    <s v="Madame"/>
    <s v="KANBOUI"/>
    <s v="Zineb"/>
    <n v="36"/>
    <m/>
    <s v="Oyonnax"/>
    <d v="2025-04-23T00:00:00"/>
    <d v="2025-08-20T00:00:00"/>
    <d v="2025-09-16T00:00:00"/>
    <d v="2026-03-15T00:00:00"/>
    <s v="Renouvellement"/>
    <m/>
    <d v="1900-06-28T00:00:00"/>
    <s v="GARDE ENFANTS"/>
    <s v="fle"/>
    <m/>
    <n v="5"/>
    <m/>
    <m/>
    <m/>
    <m/>
    <x v="0"/>
    <m/>
    <n v="1"/>
    <m/>
    <m/>
    <m/>
    <m/>
    <m/>
    <m/>
    <m/>
    <m/>
    <m/>
    <m/>
    <m/>
    <m/>
    <m/>
    <m/>
  </r>
  <r>
    <s v="Madame"/>
    <s v="KONMAZ"/>
    <s v="Ayse"/>
    <n v="51"/>
    <m/>
    <s v="Oyonnax"/>
    <d v="2025-07-07T00:00:00"/>
    <d v="2025-08-25T00:00:00"/>
    <d v="2025-07-21T00:00:00"/>
    <d v="2026-01-17T00:00:00"/>
    <s v="Renouvellement"/>
    <m/>
    <d v="1900-06-28T00:00:00"/>
    <s v="mobilité"/>
    <m/>
    <m/>
    <n v="4"/>
    <n v="1"/>
    <m/>
    <m/>
    <m/>
    <x v="0"/>
    <m/>
    <n v="1"/>
    <m/>
    <m/>
    <m/>
    <m/>
    <m/>
    <m/>
    <m/>
    <m/>
    <m/>
    <m/>
    <m/>
    <m/>
    <m/>
    <m/>
  </r>
  <r>
    <s v="Monsieur"/>
    <s v="LAOUFI"/>
    <s v="Hamza"/>
    <n v="28"/>
    <m/>
    <s v="Oyonnax"/>
    <d v="2025-05-12T00:00:00"/>
    <d v="2025-08-25T00:00:00"/>
    <d v="2025-09-02T00:00:00"/>
    <d v="2026-03-01T00:00:00"/>
    <s v="Renouvellement"/>
    <m/>
    <d v="1900-06-28T00:00:00"/>
    <s v="mobilité"/>
    <m/>
    <m/>
    <n v="2"/>
    <n v="2"/>
    <n v="1"/>
    <m/>
    <m/>
    <x v="0"/>
    <m/>
    <n v="1"/>
    <m/>
    <m/>
    <m/>
    <m/>
    <m/>
    <m/>
    <m/>
    <m/>
    <m/>
    <m/>
    <m/>
    <m/>
    <m/>
    <m/>
  </r>
  <r>
    <s v="Madame"/>
    <s v="LAMBREZ"/>
    <s v="Angélique"/>
    <n v="44"/>
    <m/>
    <s v="Nantua"/>
    <d v="2025-07-16T00:00:00"/>
    <d v="2025-09-25T00:00:00"/>
    <d v="2025-09-25T00:00:00"/>
    <d v="2026-03-24T00:00:00"/>
    <s v="Renouvellement"/>
    <m/>
    <d v="1900-06-28T00:00:00"/>
    <s v="SANTE"/>
    <s v="mobilité"/>
    <m/>
    <n v="3"/>
    <m/>
    <n v="4"/>
    <m/>
    <m/>
    <x v="0"/>
    <m/>
    <n v="1"/>
    <m/>
    <m/>
    <m/>
    <m/>
    <m/>
    <m/>
    <m/>
    <m/>
    <m/>
    <m/>
    <m/>
    <m/>
    <m/>
    <m/>
  </r>
  <r>
    <s v="Madame"/>
    <s v="MOHAMMAD"/>
    <s v="Sania"/>
    <n v="33"/>
    <m/>
    <s v="Nantua"/>
    <d v="2025-07-09T00:00:00"/>
    <d v="2025-07-22T00:00:00"/>
    <d v="2025-08-11T00:00:00"/>
    <d v="2026-02-07T00:00:00"/>
    <s v="Renouvellement"/>
    <m/>
    <d v="1900-06-28T00:00:00"/>
    <s v="FLE +++"/>
    <s v="MOBILITE"/>
    <m/>
    <n v="5"/>
    <m/>
    <m/>
    <m/>
    <m/>
    <x v="0"/>
    <m/>
    <n v="1"/>
    <m/>
    <m/>
    <m/>
    <m/>
    <m/>
    <m/>
    <m/>
    <m/>
    <m/>
    <m/>
    <m/>
    <m/>
    <m/>
    <m/>
  </r>
  <r>
    <s v="Monsieur"/>
    <s v="NACIRY"/>
    <s v="Moussa"/>
    <n v="39"/>
    <m/>
    <s v="Oyonnax"/>
    <d v="2025-07-07T00:00:00"/>
    <d v="2025-07-21T00:00:00"/>
    <d v="2025-07-21T00:00:00"/>
    <d v="2026-01-17T00:00:00"/>
    <s v="Renouvellement"/>
    <m/>
    <d v="1900-06-28T00:00:00"/>
    <s v="mobilite"/>
    <m/>
    <m/>
    <n v="1"/>
    <n v="1"/>
    <m/>
    <m/>
    <m/>
    <x v="0"/>
    <m/>
    <n v="1"/>
    <m/>
    <m/>
    <m/>
    <m/>
    <m/>
    <m/>
    <m/>
    <m/>
    <m/>
    <m/>
    <m/>
    <m/>
    <m/>
    <m/>
  </r>
  <r>
    <s v="Madame"/>
    <s v="OZDEMIR"/>
    <s v="Songul"/>
    <n v="39"/>
    <m/>
    <s v="Oyonnax"/>
    <d v="2025-07-11T00:00:00"/>
    <d v="2025-09-15T00:00:00"/>
    <d v="2025-10-15T00:00:00"/>
    <d v="2026-04-13T00:00:00"/>
    <s v="Renouvellement"/>
    <m/>
    <d v="1900-06-28T00:00:00"/>
    <m/>
    <m/>
    <m/>
    <m/>
    <m/>
    <m/>
    <m/>
    <m/>
    <x v="0"/>
    <m/>
    <n v="1"/>
    <m/>
    <m/>
    <m/>
    <m/>
    <m/>
    <m/>
    <m/>
    <m/>
    <m/>
    <m/>
    <m/>
    <m/>
    <m/>
    <m/>
  </r>
  <r>
    <s v="Madame"/>
    <s v="OZKAN"/>
    <s v="Nezahat"/>
    <n v="50"/>
    <m/>
    <s v="Oyonnax"/>
    <d v="2025-06-27T00:00:00"/>
    <d v="2025-09-15T00:00:00"/>
    <d v="2025-10-07T00:00:00"/>
    <d v="2026-04-05T00:00:00"/>
    <s v="Renouvellement"/>
    <m/>
    <d v="1900-06-28T00:00:00"/>
    <s v="fle"/>
    <m/>
    <m/>
    <n v="5"/>
    <n v="1"/>
    <m/>
    <m/>
    <m/>
    <x v="0"/>
    <m/>
    <n v="1"/>
    <m/>
    <m/>
    <m/>
    <m/>
    <m/>
    <m/>
    <m/>
    <m/>
    <m/>
    <m/>
    <m/>
    <m/>
    <m/>
    <m/>
  </r>
  <r>
    <s v="Madame"/>
    <s v="OZTURK"/>
    <s v="Fatma"/>
    <n v="40"/>
    <m/>
    <s v="Oyonnax"/>
    <d v="2025-06-12T00:00:00"/>
    <d v="2025-09-15T00:00:00"/>
    <d v="2025-09-15T00:00:00"/>
    <d v="2026-03-14T00:00:00"/>
    <s v="Renouvellement"/>
    <m/>
    <d v="1900-06-28T00:00:00"/>
    <s v="GARDE ENFANTS"/>
    <m/>
    <m/>
    <n v="4"/>
    <n v="1"/>
    <n v="1"/>
    <m/>
    <m/>
    <x v="0"/>
    <m/>
    <n v="1"/>
    <m/>
    <m/>
    <m/>
    <m/>
    <m/>
    <m/>
    <m/>
    <m/>
    <m/>
    <m/>
    <m/>
    <m/>
    <m/>
    <s v="iae"/>
  </r>
  <r>
    <s v="Monsieur"/>
    <s v="SAFI"/>
    <s v="Abdul"/>
    <n v="28"/>
    <m/>
    <s v="Oyonnax"/>
    <d v="2025-04-23T00:00:00"/>
    <d v="2025-09-01T00:00:00"/>
    <d v="2025-09-01T00:00:00"/>
    <d v="2026-02-28T00:00:00"/>
    <s v="Renouvellement"/>
    <m/>
    <d v="1900-06-28T00:00:00"/>
    <s v="fle"/>
    <m/>
    <m/>
    <m/>
    <m/>
    <m/>
    <m/>
    <m/>
    <x v="0"/>
    <m/>
    <m/>
    <m/>
    <m/>
    <m/>
    <m/>
    <m/>
    <m/>
    <m/>
    <m/>
    <m/>
    <m/>
    <m/>
    <m/>
    <m/>
    <m/>
  </r>
  <r>
    <s v="Monsieur"/>
    <s v="SARROUKH"/>
    <s v="Mohcine"/>
    <n v="39"/>
    <m/>
    <s v="Oyonnax"/>
    <d v="2025-06-27T00:00:00"/>
    <d v="2025-08-11T00:00:00"/>
    <d v="2025-11-12T00:00:00"/>
    <d v="2026-05-11T00:00:00"/>
    <m/>
    <m/>
    <d v="1900-06-28T00:00:00"/>
    <s v="fle"/>
    <s v="MOBILITE"/>
    <m/>
    <n v="8"/>
    <m/>
    <m/>
    <m/>
    <m/>
    <x v="0"/>
    <m/>
    <n v="1"/>
    <m/>
    <m/>
    <m/>
    <m/>
    <m/>
    <n v="1"/>
    <m/>
    <m/>
    <m/>
    <m/>
    <m/>
    <m/>
    <m/>
    <s v="iae"/>
  </r>
  <r>
    <s v="Madame"/>
    <s v="TARDY"/>
    <s v="Anaïs"/>
    <n v="36"/>
    <m/>
    <s v="Nantua"/>
    <d v="2025-06-23T00:00:00"/>
    <d v="2005-09-08T00:00:00"/>
    <d v="2025-09-02T00:00:00"/>
    <d v="2026-03-01T00:00:00"/>
    <s v="Tripartite"/>
    <m/>
    <d v="1900-06-28T00:00:00"/>
    <s v="GARDE ENFANTS"/>
    <s v="MOBILITE"/>
    <m/>
    <m/>
    <m/>
    <n v="1"/>
    <m/>
    <m/>
    <x v="0"/>
    <m/>
    <n v="1"/>
    <m/>
    <m/>
    <m/>
    <m/>
    <m/>
    <m/>
    <m/>
    <m/>
    <m/>
    <m/>
    <m/>
    <m/>
    <m/>
    <m/>
  </r>
  <r>
    <s v="Madame"/>
    <s v="TECHER"/>
    <s v="Anaelle"/>
    <n v="30"/>
    <m/>
    <s v="Oyonnax"/>
    <d v="2025-06-27T00:00:00"/>
    <d v="2005-09-08T00:00:00"/>
    <d v="2025-09-09T00:00:00"/>
    <d v="2026-03-08T00:00:00"/>
    <s v="Renouvellement"/>
    <m/>
    <d v="1900-06-28T00:00:00"/>
    <s v="GARDE ENFANTS"/>
    <s v="MOBILITE"/>
    <m/>
    <n v="2"/>
    <m/>
    <m/>
    <m/>
    <m/>
    <x v="0"/>
    <m/>
    <n v="1"/>
    <m/>
    <m/>
    <m/>
    <m/>
    <m/>
    <m/>
    <m/>
    <m/>
    <m/>
    <m/>
    <m/>
    <m/>
    <m/>
    <m/>
  </r>
  <r>
    <s v="Monsieur"/>
    <s v="URCEL"/>
    <s v="Steve"/>
    <n v="38"/>
    <m/>
    <s v="Oyonnax"/>
    <d v="2025-07-08T00:00:00"/>
    <d v="2025-07-15T00:00:00"/>
    <d v="2025-12-05T00:00:00"/>
    <d v="2026-06-03T00:00:00"/>
    <m/>
    <m/>
    <d v="1900-06-28T00:00:00"/>
    <s v="SANTE"/>
    <s v="MOBILITE"/>
    <m/>
    <m/>
    <m/>
    <m/>
    <m/>
    <m/>
    <x v="0"/>
    <m/>
    <n v="1"/>
    <m/>
    <m/>
    <m/>
    <m/>
    <m/>
    <m/>
    <m/>
    <m/>
    <m/>
    <m/>
    <m/>
    <m/>
    <m/>
    <m/>
  </r>
  <r>
    <s v="Monsieur"/>
    <s v="AKAKHIL"/>
    <s v="Mohammed"/>
    <n v="25"/>
    <m/>
    <s v="Oyonnax"/>
    <d v="2025-09-05T00:00:00"/>
    <d v="2025-09-30T00:00:00"/>
    <d v="2025-10-21T00:00:00"/>
    <d v="2026-04-19T00:00:00"/>
    <s v="Renouvellement"/>
    <m/>
    <d v="1900-06-28T00:00:00"/>
    <s v="FLE +++"/>
    <s v="MOBILITE"/>
    <m/>
    <n v="1"/>
    <n v="1"/>
    <m/>
    <m/>
    <m/>
    <x v="0"/>
    <m/>
    <n v="1"/>
    <m/>
    <m/>
    <m/>
    <m/>
    <m/>
    <m/>
    <m/>
    <m/>
    <m/>
    <m/>
    <m/>
    <m/>
    <m/>
    <m/>
  </r>
  <r>
    <s v="Madame"/>
    <s v="GUERIAUD"/>
    <s v="Sabrina"/>
    <n v="37"/>
    <m/>
    <s v="Oyonnax"/>
    <d v="2025-06-02T00:00:00"/>
    <d v="2025-09-29T00:00:00"/>
    <d v="2025-10-21T00:00:00"/>
    <d v="2026-04-19T00:00:00"/>
    <s v="Renouvellement"/>
    <m/>
    <d v="1900-06-28T00:00:00"/>
    <s v="GARDE ENFANTS"/>
    <s v="MOBILITE"/>
    <m/>
    <n v="1"/>
    <n v="2"/>
    <n v="1"/>
    <m/>
    <m/>
    <x v="0"/>
    <m/>
    <n v="1"/>
    <m/>
    <m/>
    <m/>
    <m/>
    <m/>
    <m/>
    <m/>
    <m/>
    <m/>
    <m/>
    <m/>
    <m/>
    <m/>
    <m/>
  </r>
  <r>
    <s v="Madame"/>
    <s v="BELHASSAN"/>
    <s v="Ilham"/>
    <n v="32"/>
    <m/>
    <s v="Oyonnax"/>
    <d v="2025-10-06T00:00:00"/>
    <d v="2025-10-22T00:00:00"/>
    <d v="2025-11-19T00:00:00"/>
    <d v="2026-05-18T00:00:00"/>
    <m/>
    <m/>
    <d v="1900-06-28T00:00:00"/>
    <s v="GARDE ENFANTS"/>
    <m/>
    <m/>
    <n v="3"/>
    <n v="1"/>
    <n v="1"/>
    <m/>
    <m/>
    <x v="0"/>
    <m/>
    <n v="1"/>
    <m/>
    <m/>
    <m/>
    <m/>
    <m/>
    <m/>
    <m/>
    <m/>
    <m/>
    <m/>
    <m/>
    <m/>
    <m/>
    <m/>
  </r>
  <r>
    <s v="Monsieur"/>
    <s v="KAPTAN"/>
    <s v="Ridvan"/>
    <n v="29"/>
    <s v="CAP"/>
    <s v="Oyonnax"/>
    <d v="2025-10-29T00:00:00"/>
    <d v="2025-11-18T00:00:00"/>
    <d v="2025-11-18T00:00:00"/>
    <d v="2026-05-17T00:00:00"/>
    <m/>
    <m/>
    <d v="1900-06-28T00:00:00"/>
    <s v="mobilite"/>
    <m/>
    <m/>
    <m/>
    <m/>
    <m/>
    <m/>
    <m/>
    <x v="0"/>
    <m/>
    <n v="1"/>
    <m/>
    <m/>
    <m/>
    <m/>
    <m/>
    <m/>
    <m/>
    <m/>
    <m/>
    <m/>
    <m/>
    <m/>
    <m/>
    <m/>
  </r>
  <r>
    <s v="Madame"/>
    <s v="LEGGUI"/>
    <s v="HAFIDA"/>
    <n v="34"/>
    <m/>
    <s v="Oyonnax"/>
    <d v="2025-12-22T00:00:00"/>
    <d v="2026-01-19T00:00:00"/>
    <d v="2026-01-19T00:00:00"/>
    <d v="2026-07-18T00:00:00"/>
    <m/>
    <m/>
    <d v="1900-06-28T00:00:00"/>
    <s v="GARDE ENFANT"/>
    <s v="MOBILITE"/>
    <m/>
    <m/>
    <m/>
    <n v="1"/>
    <m/>
    <m/>
    <x v="0"/>
    <m/>
    <n v="1"/>
    <m/>
    <m/>
    <m/>
    <m/>
    <m/>
    <m/>
    <m/>
    <m/>
    <m/>
    <m/>
    <m/>
    <m/>
    <m/>
    <m/>
  </r>
  <r>
    <s v="Monsieur"/>
    <s v="BENHAMED"/>
    <s v="ZIED"/>
    <n v="47"/>
    <m/>
    <s v="Oyonnax"/>
    <d v="2026-01-07T00:00:00"/>
    <d v="2026-01-26T00:00:00"/>
    <d v="2026-04-14T00:00:00"/>
    <d v="2026-10-11T00:00:00"/>
    <m/>
    <m/>
    <d v="1900-06-28T00:00:00"/>
    <m/>
    <m/>
    <m/>
    <m/>
    <m/>
    <m/>
    <m/>
    <m/>
    <x v="0"/>
    <m/>
    <m/>
    <m/>
    <m/>
    <m/>
    <m/>
    <m/>
    <m/>
    <m/>
    <m/>
    <m/>
    <m/>
    <m/>
    <m/>
    <m/>
    <m/>
  </r>
  <r>
    <s v="Monsieur"/>
    <s v="SIOUDA"/>
    <s v="OUSSAMA"/>
    <n v="35"/>
    <m/>
    <s v="Oyonnax"/>
    <d v="2026-01-14T00:00:00"/>
    <d v="2026-01-28T00:00:00"/>
    <d v="2026-01-28T00:00:00"/>
    <d v="2026-07-27T00:00:00"/>
    <m/>
    <m/>
    <d v="1900-06-28T00:00:00"/>
    <m/>
    <m/>
    <m/>
    <n v="4"/>
    <n v="4"/>
    <m/>
    <m/>
    <m/>
    <x v="0"/>
    <m/>
    <n v="1"/>
    <m/>
    <m/>
    <m/>
    <m/>
    <m/>
    <m/>
    <m/>
    <m/>
    <m/>
    <m/>
    <m/>
    <m/>
    <m/>
    <m/>
  </r>
  <r>
    <s v="Monsieur"/>
    <s v="NEUVILLE"/>
    <s v="Mickael "/>
    <n v="30"/>
    <m/>
    <s v="Nantua"/>
    <d v="2026-01-14T00:00:00"/>
    <d v="2026-02-17T00:00:00"/>
    <d v="2026-02-17T00:00:00"/>
    <d v="2026-08-16T00:00:00"/>
    <m/>
    <m/>
    <d v="1900-06-28T00:00:00"/>
    <s v="mobilite"/>
    <m/>
    <m/>
    <n v="1"/>
    <m/>
    <n v="2"/>
    <m/>
    <m/>
    <x v="0"/>
    <m/>
    <m/>
    <m/>
    <m/>
    <m/>
    <m/>
    <m/>
    <m/>
    <m/>
    <m/>
    <m/>
    <m/>
    <m/>
    <m/>
    <m/>
    <m/>
  </r>
  <r>
    <s v="Madame"/>
    <s v="MARCHAND/BOUAKKAZ"/>
    <s v="DJIDA"/>
    <n v="56"/>
    <m/>
    <s v="Oyonnax"/>
    <d v="2026-01-14T00:00:00"/>
    <d v="2026-01-28T00:00:00"/>
    <d v="2026-01-28T00:00:00"/>
    <d v="2026-07-27T00:00:00"/>
    <m/>
    <m/>
    <d v="1900-06-28T00:00:00"/>
    <s v="SANTE"/>
    <s v="MOBILITE"/>
    <m/>
    <n v="1"/>
    <m/>
    <n v="2"/>
    <m/>
    <m/>
    <x v="0"/>
    <m/>
    <n v="1"/>
    <m/>
    <m/>
    <m/>
    <m/>
    <n v="1"/>
    <m/>
    <m/>
    <m/>
    <m/>
    <m/>
    <m/>
    <m/>
    <m/>
    <m/>
  </r>
  <r>
    <s v="Monsieur"/>
    <s v="TIMSILINE"/>
    <s v="DJAFFAR"/>
    <n v="36"/>
    <m/>
    <s v="Oyonnax"/>
    <d v="2026-02-04T00:00:00"/>
    <d v="2026-02-24T00:00:00"/>
    <d v="2026-02-24T00:00:00"/>
    <d v="2026-08-23T00:00:00"/>
    <m/>
    <m/>
    <d v="1900-06-28T00:00:00"/>
    <s v="mobilite"/>
    <m/>
    <m/>
    <n v="2"/>
    <m/>
    <m/>
    <m/>
    <m/>
    <x v="0"/>
    <m/>
    <n v="1"/>
    <m/>
    <m/>
    <m/>
    <m/>
    <m/>
    <m/>
    <m/>
    <m/>
    <m/>
    <m/>
    <m/>
    <m/>
    <m/>
    <m/>
  </r>
  <r>
    <s v="Madame"/>
    <s v="PONSON"/>
    <s v="FRANCOISE"/>
    <n v="58"/>
    <m/>
    <s v="Oyonnax"/>
    <d v="2026-02-09T00:00:00"/>
    <d v="2026-02-27T00:00:00"/>
    <d v="2026-02-27T00:00:00"/>
    <d v="2026-08-26T00:00:00"/>
    <m/>
    <m/>
    <d v="1900-06-28T00:00:00"/>
    <m/>
    <m/>
    <m/>
    <n v="5"/>
    <m/>
    <m/>
    <m/>
    <m/>
    <x v="0"/>
    <m/>
    <n v="1"/>
    <m/>
    <m/>
    <m/>
    <m/>
    <m/>
    <m/>
    <m/>
    <m/>
    <m/>
    <m/>
    <m/>
    <m/>
    <m/>
    <m/>
  </r>
  <r>
    <s v="Madame"/>
    <s v="NAOUMI "/>
    <s v="MILOUDA"/>
    <n v="41"/>
    <m/>
    <s v="Oyonnax"/>
    <d v="2026-02-09T00:00:00"/>
    <d v="2026-02-27T00:00:00"/>
    <d v="2026-02-27T00:00:00"/>
    <d v="2026-08-26T00:00:00"/>
    <m/>
    <m/>
    <d v="1900-06-28T00:00:00"/>
    <s v="GARDE ENFANT"/>
    <s v="MOBILITE"/>
    <m/>
    <n v="2"/>
    <m/>
    <m/>
    <m/>
    <m/>
    <x v="0"/>
    <m/>
    <n v="1"/>
    <m/>
    <m/>
    <m/>
    <m/>
    <m/>
    <m/>
    <m/>
    <m/>
    <m/>
    <m/>
    <m/>
    <m/>
    <m/>
    <m/>
  </r>
  <r>
    <s v="Monsieur"/>
    <s v="MORFIN"/>
    <s v="FREDERIC"/>
    <n v="55"/>
    <m/>
    <s v="Nantua"/>
    <d v="2026-04-02T00:00:00"/>
    <d v="2026-04-21T00:00:00"/>
    <d v="2026-04-21T00:00:00"/>
    <d v="2026-10-18T00:00:00"/>
    <m/>
    <m/>
    <d v="1900-06-28T00:00:00"/>
    <s v="mobilite"/>
    <m/>
    <m/>
    <n v="1"/>
    <m/>
    <m/>
    <m/>
    <m/>
    <x v="0"/>
    <m/>
    <m/>
    <m/>
    <m/>
    <m/>
    <m/>
    <m/>
    <m/>
    <m/>
    <m/>
    <m/>
    <m/>
    <m/>
    <m/>
    <m/>
    <m/>
  </r>
  <r>
    <s v="Madame"/>
    <s v="LEBRET"/>
    <s v="ISABELLE"/>
    <n v="53"/>
    <m/>
    <s v="Oyonnax"/>
    <d v="2026-03-09T00:00:00"/>
    <d v="2026-03-31T00:00:00"/>
    <d v="2026-04-16T00:00:00"/>
    <d v="2026-10-13T00:00:00"/>
    <m/>
    <m/>
    <d v="1900-06-28T00:00:00"/>
    <s v="mobilite"/>
    <m/>
    <m/>
    <n v="2"/>
    <m/>
    <m/>
    <m/>
    <m/>
    <x v="0"/>
    <m/>
    <m/>
    <m/>
    <m/>
    <m/>
    <m/>
    <m/>
    <m/>
    <m/>
    <m/>
    <m/>
    <m/>
    <m/>
    <m/>
    <m/>
    <m/>
  </r>
  <r>
    <s v="Madame"/>
    <s v="SECGIN"/>
    <s v="MERYEM"/>
    <n v="50"/>
    <m/>
    <s v="Oyonnax"/>
    <d v="2026-03-11T00:00:00"/>
    <d v="2026-03-31T00:00:00"/>
    <d v="2026-03-31T00:00:00"/>
    <d v="2026-09-27T00:00:00"/>
    <m/>
    <m/>
    <d v="1900-06-28T00:00:00"/>
    <s v="mobilte"/>
    <m/>
    <m/>
    <m/>
    <m/>
    <m/>
    <m/>
    <m/>
    <x v="0"/>
    <m/>
    <m/>
    <m/>
    <m/>
    <m/>
    <m/>
    <m/>
    <m/>
    <m/>
    <m/>
    <m/>
    <m/>
    <m/>
    <m/>
    <m/>
    <m/>
  </r>
  <r>
    <s v="Madame"/>
    <s v="COLLOMB"/>
    <s v="CATHERINE"/>
    <n v="61"/>
    <m/>
    <s v="Nantua"/>
    <d v="2026-04-03T00:00:00"/>
    <d v="2026-04-21T00:00:00"/>
    <d v="2026-04-21T00:00:00"/>
    <d v="2026-10-18T00:00:00"/>
    <m/>
    <m/>
    <d v="1900-06-28T00:00:00"/>
    <m/>
    <m/>
    <m/>
    <n v="2"/>
    <m/>
    <m/>
    <m/>
    <m/>
    <x v="0"/>
    <m/>
    <m/>
    <m/>
    <m/>
    <m/>
    <m/>
    <m/>
    <m/>
    <m/>
    <m/>
    <m/>
    <m/>
    <m/>
    <m/>
    <m/>
    <m/>
  </r>
  <r>
    <s v="Monsieur"/>
    <s v="CHAMCHAM "/>
    <s v="M'barek"/>
    <n v="56"/>
    <m/>
    <s v="Oyonnax"/>
    <d v="2026-04-09T00:00:00"/>
    <d v="2026-04-28T00:00:00"/>
    <d v="2026-04-28T00:00:00"/>
    <d v="2026-10-25T00:00:00"/>
    <m/>
    <m/>
    <d v="1900-06-28T00:00:00"/>
    <s v="langue"/>
    <m/>
    <m/>
    <n v="1"/>
    <m/>
    <m/>
    <m/>
    <m/>
    <x v="0"/>
    <m/>
    <m/>
    <m/>
    <m/>
    <m/>
    <m/>
    <m/>
    <n v="1"/>
    <m/>
    <m/>
    <m/>
    <m/>
    <m/>
    <m/>
    <m/>
    <m/>
  </r>
  <r>
    <s v="Monsieur"/>
    <s v="CHEVAUCHET "/>
    <s v="Andy"/>
    <n v="38"/>
    <m/>
    <s v="Oyonnax"/>
    <d v="2026-04-03T00:00:00"/>
    <d v="2026-04-28T00:00:00"/>
    <d v="2026-04-28T00:00:00"/>
    <d v="2026-10-25T00:00:00"/>
    <m/>
    <m/>
    <d v="1900-06-28T00:00:00"/>
    <s v="SANTE"/>
    <s v="MOBILITE"/>
    <m/>
    <n v="2"/>
    <m/>
    <m/>
    <m/>
    <m/>
    <x v="0"/>
    <m/>
    <m/>
    <m/>
    <m/>
    <m/>
    <m/>
    <m/>
    <m/>
    <m/>
    <m/>
    <m/>
    <m/>
    <m/>
    <m/>
    <m/>
    <m/>
  </r>
  <r>
    <s v="Madame"/>
    <s v="EL BARHMI "/>
    <s v="Chaima"/>
    <n v="26"/>
    <m/>
    <s v="Oyonnax"/>
    <d v="2026-04-10T00:00:00"/>
    <d v="2026-04-29T00:00:00"/>
    <d v="2026-04-29T00:00:00"/>
    <d v="2026-10-26T00:00:00"/>
    <m/>
    <m/>
    <d v="1900-06-28T00:00:00"/>
    <m/>
    <m/>
    <m/>
    <n v="1"/>
    <m/>
    <m/>
    <m/>
    <m/>
    <x v="0"/>
    <m/>
    <m/>
    <m/>
    <m/>
    <m/>
    <m/>
    <m/>
    <m/>
    <m/>
    <m/>
    <m/>
    <m/>
    <m/>
    <m/>
    <m/>
    <m/>
  </r>
  <r>
    <s v="Monsieur"/>
    <s v="LOPES CABRAL "/>
    <s v="Jose"/>
    <n v="44"/>
    <m/>
    <s v="Oyonnax"/>
    <d v="2026-04-03T00:00:00"/>
    <d v="2026-04-27T00:00:00"/>
    <d v="2026-05-11T00:00:00"/>
    <d v="2026-11-07T00:00:00"/>
    <m/>
    <m/>
    <d v="1900-06-28T00:00:00"/>
    <s v="sante "/>
    <m/>
    <m/>
    <m/>
    <m/>
    <m/>
    <m/>
    <m/>
    <x v="0"/>
    <m/>
    <m/>
    <m/>
    <m/>
    <m/>
    <m/>
    <m/>
    <m/>
    <m/>
    <m/>
    <m/>
    <m/>
    <m/>
    <m/>
    <m/>
    <m/>
  </r>
  <r>
    <s v="Monsieur"/>
    <s v="RISSELIN "/>
    <s v="Pierre"/>
    <n v="29"/>
    <m/>
    <s v="Oyonnax"/>
    <d v="2026-03-03T00:00:00"/>
    <d v="2026-04-28T00:00:00"/>
    <d v="2026-04-28T00:00:00"/>
    <d v="2026-10-25T00:00:00"/>
    <m/>
    <m/>
    <d v="1900-06-28T00:00:00"/>
    <s v="mobilite"/>
    <m/>
    <m/>
    <n v="1"/>
    <m/>
    <m/>
    <m/>
    <m/>
    <x v="0"/>
    <m/>
    <m/>
    <m/>
    <m/>
    <m/>
    <m/>
    <m/>
    <m/>
    <m/>
    <m/>
    <m/>
    <m/>
    <m/>
    <m/>
    <m/>
    <m/>
  </r>
  <r>
    <s v="Monsieur"/>
    <s v="BEL HAJ MOHAMED "/>
    <s v="Ahmed"/>
    <n v="60"/>
    <m/>
    <s v="Oyonnax"/>
    <d v="2026-04-13T00:00:00"/>
    <d v="2026-04-29T00:00:00"/>
    <d v="2026-04-29T00:00:00"/>
    <d v="2026-10-26T00:00:00"/>
    <m/>
    <m/>
    <d v="1900-06-28T00:00:00"/>
    <s v="sante "/>
    <s v="MOBILITE"/>
    <m/>
    <m/>
    <m/>
    <m/>
    <m/>
    <m/>
    <x v="0"/>
    <m/>
    <m/>
    <m/>
    <m/>
    <m/>
    <m/>
    <m/>
    <m/>
    <m/>
    <m/>
    <m/>
    <m/>
    <m/>
    <m/>
    <m/>
    <m/>
  </r>
  <r>
    <s v="Monsieur"/>
    <s v="SAHBAZER "/>
    <s v="Fatih"/>
    <n v="45"/>
    <m/>
    <s v="Nantua"/>
    <d v="2026-04-27T00:00:00"/>
    <d v="2026-05-12T00:00:00"/>
    <d v="2026-05-12T00:00:00"/>
    <d v="2026-11-08T00:00:00"/>
    <m/>
    <m/>
    <d v="1900-06-28T00:00:00"/>
    <m/>
    <m/>
    <m/>
    <n v="1"/>
    <m/>
    <m/>
    <m/>
    <m/>
    <x v="0"/>
    <m/>
    <m/>
    <m/>
    <m/>
    <m/>
    <m/>
    <m/>
    <m/>
    <m/>
    <m/>
    <m/>
    <m/>
    <m/>
    <m/>
    <m/>
    <m/>
  </r>
  <r>
    <s v="Monsieur"/>
    <s v="AMAL "/>
    <s v=" Zine-El-Abidi"/>
    <n v="33"/>
    <m/>
    <s v="Oyonnax"/>
    <d v="2026-05-26T00:00:00"/>
    <d v="2026-06-12T00:00:00"/>
    <m/>
    <m/>
    <m/>
    <m/>
    <d v="1900-06-28T00:00:00"/>
    <m/>
    <m/>
    <m/>
    <m/>
    <m/>
    <m/>
    <m/>
    <m/>
    <x v="0"/>
    <m/>
    <m/>
    <m/>
    <m/>
    <m/>
    <m/>
    <m/>
    <m/>
    <m/>
    <m/>
    <m/>
    <m/>
    <m/>
    <m/>
    <m/>
    <m/>
  </r>
  <r>
    <s v="Madame"/>
    <s v="BAMBA "/>
    <s v="Tenimba"/>
    <n v="30"/>
    <m/>
    <s v="Oyonnax"/>
    <d v="2026-05-26T00:00:00"/>
    <d v="2026-06-15T00:00:00"/>
    <d v="2026-06-15T00:00:00"/>
    <d v="2026-12-12T00:00:00"/>
    <m/>
    <m/>
    <d v="1900-06-28T00:00:00"/>
    <m/>
    <m/>
    <m/>
    <m/>
    <m/>
    <m/>
    <m/>
    <m/>
    <x v="0"/>
    <m/>
    <m/>
    <m/>
    <m/>
    <m/>
    <m/>
    <m/>
    <m/>
    <m/>
    <m/>
    <m/>
    <m/>
    <m/>
    <m/>
    <m/>
    <m/>
  </r>
  <r>
    <s v="Monsieur"/>
    <s v="RODRIGUEZ- PODESTA "/>
    <s v="Alexis"/>
    <n v="27"/>
    <m/>
    <s v="Oyonnax"/>
    <d v="2026-05-26T00:00:00"/>
    <d v="2026-06-12T00:00:00"/>
    <d v="2026-06-12T00:00:00"/>
    <d v="2026-12-09T00:00:00"/>
    <m/>
    <m/>
    <d v="1900-06-28T00:00:00"/>
    <s v="SANTE"/>
    <m/>
    <m/>
    <m/>
    <m/>
    <m/>
    <m/>
    <m/>
    <x v="0"/>
    <m/>
    <m/>
    <m/>
    <m/>
    <m/>
    <m/>
    <m/>
    <m/>
    <m/>
    <m/>
    <m/>
    <m/>
    <m/>
    <m/>
    <m/>
    <m/>
  </r>
  <r>
    <s v="Monsieur"/>
    <s v="YILDIZ "/>
    <s v="Yusuf"/>
    <n v="45"/>
    <m/>
    <s v="Oyonnax"/>
    <d v="2026-05-26T00:00:00"/>
    <d v="2026-06-16T00:00:00"/>
    <m/>
    <m/>
    <m/>
    <m/>
    <d v="1900-06-28T00:00:00"/>
    <m/>
    <m/>
    <m/>
    <m/>
    <m/>
    <m/>
    <m/>
    <m/>
    <x v="0"/>
    <m/>
    <m/>
    <m/>
    <m/>
    <m/>
    <m/>
    <m/>
    <m/>
    <m/>
    <m/>
    <m/>
    <m/>
    <m/>
    <m/>
    <m/>
    <m/>
  </r>
  <r>
    <s v="Madame"/>
    <s v="ROSSIGNOL "/>
    <s v="Tiffany"/>
    <n v="32"/>
    <m/>
    <s v="Oyonnax"/>
    <d v="2026-05-07T00:00:00"/>
    <d v="2026-05-18T00:00:00"/>
    <d v="2026-06-03T00:00:00"/>
    <d v="2026-11-30T00:00:00"/>
    <m/>
    <m/>
    <d v="1900-06-28T00:00:00"/>
    <m/>
    <m/>
    <m/>
    <m/>
    <m/>
    <m/>
    <m/>
    <m/>
    <x v="0"/>
    <m/>
    <m/>
    <m/>
    <m/>
    <m/>
    <m/>
    <m/>
    <m/>
    <m/>
    <m/>
    <m/>
    <m/>
    <m/>
    <m/>
    <m/>
    <m/>
  </r>
  <r>
    <s v="Monsieur"/>
    <s v="BOUNABI "/>
    <s v="Azedine"/>
    <m/>
    <m/>
    <s v="Oyonnax"/>
    <d v="2026-06-03T00:00:00"/>
    <d v="2026-06-19T00:00:00"/>
    <m/>
    <m/>
    <m/>
    <m/>
    <d v="1900-06-28T00:00:00"/>
    <m/>
    <m/>
    <m/>
    <m/>
    <m/>
    <m/>
    <m/>
    <m/>
    <x v="0"/>
    <m/>
    <m/>
    <m/>
    <m/>
    <m/>
    <m/>
    <m/>
    <m/>
    <m/>
    <m/>
    <m/>
    <m/>
    <m/>
    <m/>
    <m/>
    <m/>
  </r>
  <r>
    <s v="Monsieur"/>
    <s v="CHAU"/>
    <s v="Georges "/>
    <m/>
    <m/>
    <s v="Oyonnax"/>
    <d v="2026-06-03T00:00:00"/>
    <d v="2026-06-23T00:00:00"/>
    <m/>
    <m/>
    <m/>
    <m/>
    <d v="1900-06-28T00:00:00"/>
    <m/>
    <m/>
    <m/>
    <m/>
    <m/>
    <m/>
    <m/>
    <m/>
    <x v="0"/>
    <m/>
    <m/>
    <m/>
    <m/>
    <m/>
    <m/>
    <m/>
    <m/>
    <m/>
    <m/>
    <m/>
    <m/>
    <m/>
    <m/>
    <m/>
    <m/>
  </r>
  <r>
    <s v="Monsieur"/>
    <s v="FLIPO "/>
    <s v="Morgann"/>
    <m/>
    <m/>
    <s v="Oyonnax"/>
    <d v="2026-06-03T00:00:00"/>
    <d v="2026-06-16T00:00:00"/>
    <m/>
    <m/>
    <m/>
    <m/>
    <d v="1900-06-28T00:00:00"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d v="1900-06-28T00:00:00"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s v="Monsieur"/>
    <s v="ABID"/>
    <s v="Mimoun"/>
    <n v="62"/>
    <m/>
    <s v="Oyonnax"/>
    <d v="2025-06-27T00:00:00"/>
    <d v="2025-07-29T00:00:00"/>
    <m/>
    <m/>
    <m/>
    <m/>
    <d v="1900-06-28T00:00:00"/>
    <m/>
    <m/>
    <m/>
    <m/>
    <m/>
    <m/>
    <s v="Réorientation"/>
    <s v="Sociale retraite"/>
    <x v="0"/>
    <m/>
    <m/>
    <m/>
    <m/>
    <m/>
    <m/>
    <m/>
    <m/>
    <m/>
    <m/>
    <m/>
    <m/>
    <m/>
    <m/>
    <m/>
    <m/>
  </r>
  <r>
    <s v="Monsieur"/>
    <s v="ALOUANE"/>
    <s v="Cherif"/>
    <n v="42"/>
    <m/>
    <s v="Oyonnax"/>
    <d v="2025-06-04T00:00:00"/>
    <d v="2025-08-06T00:00:00"/>
    <m/>
    <m/>
    <m/>
    <m/>
    <d v="1900-06-28T00:00:00"/>
    <m/>
    <m/>
    <m/>
    <m/>
    <m/>
    <m/>
    <s v="Réorientation"/>
    <s v="FT acc pro"/>
    <x v="0"/>
    <m/>
    <m/>
    <m/>
    <m/>
    <m/>
    <m/>
    <m/>
    <m/>
    <m/>
    <m/>
    <m/>
    <m/>
    <m/>
    <m/>
    <m/>
    <m/>
  </r>
  <r>
    <s v="Monsieur"/>
    <s v="BAJRAMOV"/>
    <s v="Sebastijan"/>
    <n v="48"/>
    <m/>
    <s v="Oyonnax"/>
    <d v="2025-07-08T00:00:00"/>
    <d v="2025-07-16T00:00:00"/>
    <m/>
    <m/>
    <m/>
    <m/>
    <d v="1900-06-28T00:00:00"/>
    <m/>
    <m/>
    <m/>
    <m/>
    <m/>
    <m/>
    <s v="Réorientation"/>
    <s v="Social freins+"/>
    <x v="0"/>
    <m/>
    <m/>
    <m/>
    <m/>
    <m/>
    <m/>
    <m/>
    <m/>
    <m/>
    <m/>
    <m/>
    <m/>
    <m/>
    <m/>
    <m/>
    <m/>
  </r>
  <r>
    <s v="Monsieur"/>
    <s v="BEDOUI"/>
    <s v="Abdeslam"/>
    <n v="74"/>
    <m/>
    <s v="Oyonnax"/>
    <d v="2025-07-08T00:00:00"/>
    <d v="2025-07-17T00:00:00"/>
    <m/>
    <m/>
    <m/>
    <m/>
    <d v="1900-06-28T00:00:00"/>
    <m/>
    <m/>
    <m/>
    <m/>
    <m/>
    <m/>
    <s v="Réorientation"/>
    <s v="Sociale retraite"/>
    <x v="0"/>
    <m/>
    <m/>
    <m/>
    <m/>
    <m/>
    <m/>
    <m/>
    <m/>
    <m/>
    <m/>
    <m/>
    <m/>
    <m/>
    <m/>
    <m/>
    <m/>
  </r>
  <r>
    <s v="Monsieur"/>
    <s v="BEN MABROUK"/>
    <s v="Souliman"/>
    <n v="35"/>
    <m/>
    <s v="Oyonnax"/>
    <d v="2025-06-11T00:00:00"/>
    <d v="2025-08-20T00:00:00"/>
    <m/>
    <m/>
    <m/>
    <m/>
    <d v="1900-06-28T00:00:00"/>
    <m/>
    <m/>
    <m/>
    <m/>
    <m/>
    <m/>
    <s v="Réorientation"/>
    <s v="Arret mal longue durée"/>
    <x v="0"/>
    <m/>
    <m/>
    <m/>
    <m/>
    <m/>
    <m/>
    <m/>
    <m/>
    <m/>
    <m/>
    <m/>
    <m/>
    <m/>
    <m/>
    <m/>
    <m/>
  </r>
  <r>
    <s v="Monsieur"/>
    <s v="BEQIRI"/>
    <s v="Bejta"/>
    <n v="76"/>
    <m/>
    <s v="Oyonnax"/>
    <d v="2025-07-08T00:00:00"/>
    <d v="2025-08-20T00:00:00"/>
    <m/>
    <m/>
    <m/>
    <m/>
    <d v="1900-06-28T00:00:00"/>
    <m/>
    <m/>
    <m/>
    <m/>
    <m/>
    <m/>
    <s v="Réorientation"/>
    <s v="Sociale retraite"/>
    <x v="0"/>
    <m/>
    <m/>
    <m/>
    <m/>
    <m/>
    <m/>
    <m/>
    <m/>
    <m/>
    <m/>
    <m/>
    <m/>
    <m/>
    <m/>
    <m/>
    <m/>
  </r>
  <r>
    <s v="Madame"/>
    <s v="BERTHET-BONDET"/>
    <s v="Margot"/>
    <n v="41"/>
    <m/>
    <s v="Nantua"/>
    <d v="2025-05-27T00:00:00"/>
    <d v="2025-09-02T00:00:00"/>
    <m/>
    <m/>
    <m/>
    <m/>
    <d v="1900-06-28T00:00:00"/>
    <m/>
    <m/>
    <m/>
    <m/>
    <m/>
    <m/>
    <s v="Réorientation"/>
    <s v="Social freins+"/>
    <x v="0"/>
    <m/>
    <m/>
    <m/>
    <m/>
    <m/>
    <m/>
    <m/>
    <m/>
    <m/>
    <m/>
    <m/>
    <m/>
    <m/>
    <m/>
    <m/>
    <m/>
  </r>
  <r>
    <s v="Monsieur"/>
    <s v="BORSLA"/>
    <s v="Tewfik"/>
    <n v="63"/>
    <m/>
    <s v="Oyonnax"/>
    <d v="2025-06-23T00:00:00"/>
    <d v="2025-07-29T00:00:00"/>
    <m/>
    <m/>
    <m/>
    <m/>
    <d v="1900-06-28T00:00:00"/>
    <m/>
    <m/>
    <m/>
    <m/>
    <m/>
    <m/>
    <s v="Réorientation"/>
    <s v="Social freins+"/>
    <x v="0"/>
    <m/>
    <m/>
    <m/>
    <m/>
    <m/>
    <m/>
    <m/>
    <m/>
    <m/>
    <m/>
    <m/>
    <m/>
    <m/>
    <m/>
    <m/>
    <m/>
  </r>
  <r>
    <s v="Monsieur"/>
    <s v="CAVDAR"/>
    <s v="Ibrahim"/>
    <n v="61"/>
    <m/>
    <s v="Oyonnax"/>
    <d v="2025-06-12T00:00:00"/>
    <d v="2025-08-25T00:00:00"/>
    <m/>
    <m/>
    <m/>
    <m/>
    <d v="1900-06-28T00:00:00"/>
    <m/>
    <m/>
    <m/>
    <m/>
    <m/>
    <m/>
    <s v="Réorientation"/>
    <s v="Sociale retraite"/>
    <x v="0"/>
    <m/>
    <n v="1"/>
    <m/>
    <m/>
    <m/>
    <m/>
    <m/>
    <m/>
    <m/>
    <m/>
    <n v="1"/>
    <m/>
    <m/>
    <m/>
    <m/>
    <m/>
  </r>
  <r>
    <s v="Monsieur"/>
    <s v="CEYZERIAT"/>
    <s v="Samuel"/>
    <n v="46"/>
    <m/>
    <s v="Nantua"/>
    <d v="2025-04-23T00:00:00"/>
    <d v="2025-08-26T00:00:00"/>
    <m/>
    <m/>
    <m/>
    <m/>
    <d v="1900-06-28T00:00:00"/>
    <m/>
    <m/>
    <m/>
    <m/>
    <m/>
    <m/>
    <s v="Réorientation"/>
    <s v="Sociale AAH"/>
    <x v="0"/>
    <m/>
    <n v="1"/>
    <m/>
    <m/>
    <m/>
    <m/>
    <m/>
    <m/>
    <m/>
    <m/>
    <m/>
    <m/>
    <m/>
    <m/>
    <m/>
    <m/>
  </r>
  <r>
    <s v="Madame"/>
    <s v="CHIRON"/>
    <s v="Aziza"/>
    <n v="61"/>
    <m/>
    <s v="Oyonnax"/>
    <d v="2025-06-04T00:00:00"/>
    <d v="2025-08-04T00:00:00"/>
    <m/>
    <m/>
    <m/>
    <m/>
    <d v="1900-06-28T00:00:00"/>
    <m/>
    <m/>
    <m/>
    <m/>
    <m/>
    <m/>
    <s v="Réorientation"/>
    <s v="FT acc pro"/>
    <x v="0"/>
    <m/>
    <m/>
    <m/>
    <m/>
    <m/>
    <m/>
    <m/>
    <m/>
    <m/>
    <m/>
    <m/>
    <m/>
    <m/>
    <m/>
    <m/>
    <m/>
  </r>
  <r>
    <s v="Madame"/>
    <s v="DJELLOUL"/>
    <s v="Assia"/>
    <n v="49"/>
    <m/>
    <s v="Oyonnax"/>
    <d v="2025-05-28T00:00:00"/>
    <d v="2025-09-03T00:00:00"/>
    <m/>
    <m/>
    <m/>
    <m/>
    <d v="1900-06-28T00:00:00"/>
    <m/>
    <m/>
    <m/>
    <m/>
    <m/>
    <m/>
    <s v="Réorientation"/>
    <s v="FT acc pro"/>
    <x v="0"/>
    <m/>
    <m/>
    <m/>
    <m/>
    <m/>
    <m/>
    <m/>
    <m/>
    <m/>
    <m/>
    <m/>
    <m/>
    <m/>
    <m/>
    <m/>
    <m/>
  </r>
  <r>
    <s v="Monsieur"/>
    <s v="EL AAROUSSI"/>
    <s v="Chahid"/>
    <n v="45"/>
    <m/>
    <s v="Oyonnax"/>
    <d v="2025-06-27T00:00:00"/>
    <d v="2025-09-01T00:00:00"/>
    <m/>
    <m/>
    <m/>
    <m/>
    <d v="1900-06-28T00:00:00"/>
    <m/>
    <m/>
    <m/>
    <m/>
    <m/>
    <m/>
    <s v="Réorientation"/>
    <s v="Social freins+"/>
    <x v="0"/>
    <m/>
    <m/>
    <m/>
    <m/>
    <m/>
    <m/>
    <m/>
    <m/>
    <m/>
    <m/>
    <m/>
    <m/>
    <m/>
    <m/>
    <m/>
    <m/>
  </r>
  <r>
    <s v="Monsieur"/>
    <s v="EL KHYAF"/>
    <s v="Anouar"/>
    <n v="39"/>
    <m/>
    <s v="Oyonnax"/>
    <d v="2025-06-27T00:00:00"/>
    <d v="2025-08-11T00:00:00"/>
    <m/>
    <m/>
    <m/>
    <m/>
    <d v="1900-06-28T00:00:00"/>
    <m/>
    <m/>
    <m/>
    <m/>
    <m/>
    <m/>
    <s v="Réorientation"/>
    <s v="FT acco glo"/>
    <x v="0"/>
    <m/>
    <m/>
    <m/>
    <m/>
    <m/>
    <m/>
    <m/>
    <m/>
    <m/>
    <m/>
    <m/>
    <m/>
    <m/>
    <m/>
    <m/>
    <m/>
  </r>
  <r>
    <s v="Monsieur"/>
    <s v="GUNDUZ"/>
    <s v="Ibrahim"/>
    <n v="48"/>
    <m/>
    <s v="Nantua"/>
    <d v="2025-06-04T00:00:00"/>
    <d v="2025-09-01T00:00:00"/>
    <m/>
    <m/>
    <m/>
    <m/>
    <d v="1900-06-28T00:00:00"/>
    <m/>
    <m/>
    <m/>
    <m/>
    <m/>
    <m/>
    <s v="Réorientation"/>
    <s v="BGE"/>
    <x v="0"/>
    <m/>
    <m/>
    <m/>
    <m/>
    <m/>
    <m/>
    <m/>
    <m/>
    <m/>
    <m/>
    <m/>
    <m/>
    <m/>
    <m/>
    <m/>
    <m/>
  </r>
  <r>
    <s v="Monsieur"/>
    <s v="JOUINI"/>
    <s v="Mustapha"/>
    <n v="63"/>
    <m/>
    <s v="Oyonnax"/>
    <d v="2025-06-12T00:00:00"/>
    <d v="2025-09-01T00:00:00"/>
    <m/>
    <m/>
    <m/>
    <m/>
    <d v="1900-06-28T00:00:00"/>
    <m/>
    <m/>
    <m/>
    <m/>
    <m/>
    <m/>
    <s v="Réorientation"/>
    <s v="Sociale retraite"/>
    <x v="0"/>
    <m/>
    <m/>
    <m/>
    <m/>
    <m/>
    <m/>
    <m/>
    <m/>
    <m/>
    <m/>
    <m/>
    <m/>
    <m/>
    <m/>
    <m/>
    <m/>
  </r>
  <r>
    <s v="Monsieur"/>
    <s v="KAMENICA"/>
    <s v="Ragip"/>
    <n v="60"/>
    <m/>
    <s v="Oyonnax"/>
    <d v="2025-06-12T00:00:00"/>
    <d v="2025-09-01T00:00:00"/>
    <m/>
    <m/>
    <m/>
    <m/>
    <d v="1900-06-28T00:00:00"/>
    <m/>
    <m/>
    <m/>
    <m/>
    <m/>
    <m/>
    <s v="Réorientation"/>
    <s v="Sociale retraite"/>
    <x v="0"/>
    <m/>
    <n v="1"/>
    <m/>
    <m/>
    <m/>
    <m/>
    <m/>
    <m/>
    <m/>
    <m/>
    <m/>
    <m/>
    <m/>
    <m/>
    <m/>
    <m/>
  </r>
  <r>
    <s v="Monsieur"/>
    <s v="KANBOUI"/>
    <s v="Mohammed"/>
    <n v="54"/>
    <m/>
    <s v="Oyonnax"/>
    <d v="2025-04-23T00:00:00"/>
    <d v="2025-07-30T00:00:00"/>
    <m/>
    <m/>
    <m/>
    <m/>
    <d v="1900-06-28T00:00:00"/>
    <m/>
    <m/>
    <m/>
    <m/>
    <m/>
    <m/>
    <s v="Réorientation"/>
    <s v="FT acco glo"/>
    <x v="0"/>
    <m/>
    <n v="1"/>
    <m/>
    <m/>
    <m/>
    <m/>
    <m/>
    <m/>
    <m/>
    <m/>
    <m/>
    <m/>
    <m/>
    <m/>
    <m/>
    <m/>
  </r>
  <r>
    <s v="Madame"/>
    <s v="KARAKOC"/>
    <s v="Ummugulsum"/>
    <n v="45"/>
    <m/>
    <s v="Nantua"/>
    <d v="2025-04-23T00:00:00"/>
    <d v="2025-09-01T00:00:00"/>
    <m/>
    <m/>
    <m/>
    <m/>
    <d v="1900-06-28T00:00:00"/>
    <m/>
    <m/>
    <m/>
    <m/>
    <m/>
    <m/>
    <s v="Renonciation RSA"/>
    <m/>
    <x v="0"/>
    <m/>
    <m/>
    <m/>
    <m/>
    <m/>
    <m/>
    <m/>
    <m/>
    <m/>
    <m/>
    <m/>
    <m/>
    <m/>
    <m/>
    <m/>
    <m/>
  </r>
  <r>
    <s v="Monsieur"/>
    <s v="KHOMSI"/>
    <s v="Ismaïl"/>
    <n v="28"/>
    <m/>
    <s v="Oyonnax"/>
    <d v="2025-04-23T00:00:00"/>
    <d v="2025-08-20T00:00:00"/>
    <m/>
    <m/>
    <m/>
    <m/>
    <m/>
    <m/>
    <m/>
    <m/>
    <m/>
    <m/>
    <m/>
    <s v="Réorientation"/>
    <s v="FT acc pro"/>
    <x v="0"/>
    <m/>
    <m/>
    <m/>
    <m/>
    <m/>
    <m/>
    <m/>
    <m/>
    <m/>
    <m/>
    <m/>
    <m/>
    <m/>
    <m/>
    <m/>
    <m/>
  </r>
  <r>
    <s v="Monsieur"/>
    <s v="MARECAUX"/>
    <s v="Philippe"/>
    <n v="63"/>
    <m/>
    <s v="Oyonnax"/>
    <d v="2025-07-08T00:00:00"/>
    <d v="2025-09-01T00:00:00"/>
    <m/>
    <m/>
    <m/>
    <m/>
    <m/>
    <m/>
    <m/>
    <m/>
    <m/>
    <m/>
    <m/>
    <s v="Réorientation"/>
    <s v="Sociale retraite"/>
    <x v="0"/>
    <m/>
    <m/>
    <m/>
    <m/>
    <m/>
    <m/>
    <m/>
    <m/>
    <m/>
    <m/>
    <m/>
    <m/>
    <m/>
    <m/>
    <m/>
    <m/>
  </r>
  <r>
    <s v="Monsieur"/>
    <s v="MOUGEL"/>
    <s v="Jérémy"/>
    <n v="30"/>
    <m/>
    <s v="Nantua"/>
    <d v="2025-07-24T00:00:00"/>
    <d v="2025-09-01T00:00:00"/>
    <m/>
    <m/>
    <m/>
    <m/>
    <m/>
    <m/>
    <m/>
    <m/>
    <m/>
    <m/>
    <m/>
    <s v="Renonciation RSA"/>
    <m/>
    <x v="0"/>
    <m/>
    <m/>
    <m/>
    <m/>
    <m/>
    <m/>
    <m/>
    <m/>
    <m/>
    <m/>
    <m/>
    <m/>
    <m/>
    <m/>
    <m/>
    <m/>
  </r>
  <r>
    <s v="Madame"/>
    <s v="MURET"/>
    <s v="Christelle"/>
    <n v="50"/>
    <m/>
    <s v="Oyonnax"/>
    <d v="2025-06-27T00:00:00"/>
    <d v="2025-09-10T00:00:00"/>
    <m/>
    <m/>
    <m/>
    <m/>
    <m/>
    <m/>
    <m/>
    <m/>
    <m/>
    <m/>
    <m/>
    <s v="Réorientation"/>
    <s v="Arret mal longue durée"/>
    <x v="0"/>
    <m/>
    <m/>
    <m/>
    <m/>
    <m/>
    <m/>
    <m/>
    <m/>
    <m/>
    <m/>
    <m/>
    <m/>
    <m/>
    <m/>
    <m/>
    <m/>
  </r>
  <r>
    <s v="Monsieur"/>
    <s v="NAELS"/>
    <s v="Florian"/>
    <n v="36"/>
    <m/>
    <s v="Oyonnax"/>
    <d v="2025-06-13T00:00:00"/>
    <d v="2025-09-01T00:00:00"/>
    <m/>
    <m/>
    <m/>
    <m/>
    <m/>
    <m/>
    <m/>
    <m/>
    <m/>
    <m/>
    <m/>
    <s v="Réorientation"/>
    <s v="Social freins+"/>
    <x v="0"/>
    <m/>
    <n v="1"/>
    <m/>
    <m/>
    <m/>
    <m/>
    <m/>
    <m/>
    <m/>
    <m/>
    <m/>
    <m/>
    <m/>
    <m/>
    <m/>
    <m/>
  </r>
  <r>
    <s v="Madame"/>
    <s v="NICOUD"/>
    <s v="Laetitia"/>
    <n v="42"/>
    <m/>
    <s v="Oyonnax"/>
    <d v="2025-06-10T00:00:00"/>
    <d v="2025-09-10T00:00:00"/>
    <m/>
    <m/>
    <m/>
    <m/>
    <m/>
    <m/>
    <m/>
    <m/>
    <m/>
    <m/>
    <m/>
    <s v="Réorientation"/>
    <s v="Social freins+"/>
    <x v="0"/>
    <m/>
    <n v="1"/>
    <m/>
    <m/>
    <m/>
    <m/>
    <m/>
    <m/>
    <m/>
    <m/>
    <m/>
    <m/>
    <m/>
    <m/>
    <m/>
    <m/>
  </r>
  <r>
    <s v="Monsieur"/>
    <s v="OZPINAR"/>
    <s v="Ali"/>
    <n v="51"/>
    <m/>
    <s v="Oyonnax"/>
    <d v="2025-06-13T00:00:00"/>
    <d v="2025-08-04T00:00:00"/>
    <m/>
    <m/>
    <m/>
    <m/>
    <m/>
    <m/>
    <m/>
    <m/>
    <m/>
    <m/>
    <m/>
    <s v="Réorientation"/>
    <s v="FT acc pro"/>
    <x v="0"/>
    <m/>
    <m/>
    <m/>
    <m/>
    <m/>
    <m/>
    <m/>
    <m/>
    <m/>
    <m/>
    <m/>
    <m/>
    <m/>
    <m/>
    <m/>
    <m/>
  </r>
  <r>
    <s v="Monsieur"/>
    <s v="PISANI"/>
    <s v="Sébastien"/>
    <n v="42"/>
    <m/>
    <s v="Oyonnax"/>
    <d v="2025-06-27T00:00:00"/>
    <d v="2025-08-05T00:00:00"/>
    <m/>
    <m/>
    <m/>
    <m/>
    <m/>
    <m/>
    <m/>
    <m/>
    <m/>
    <m/>
    <m/>
    <s v="Réorientation"/>
    <s v="Social freins+"/>
    <x v="0"/>
    <m/>
    <m/>
    <m/>
    <m/>
    <m/>
    <m/>
    <m/>
    <m/>
    <m/>
    <m/>
    <m/>
    <m/>
    <m/>
    <m/>
    <m/>
    <m/>
  </r>
  <r>
    <s v="Madame"/>
    <s v="PRAK"/>
    <s v="Chantha"/>
    <n v="58"/>
    <m/>
    <s v="Oyonnax"/>
    <d v="2025-07-10T00:00:00"/>
    <d v="2025-07-24T00:00:00"/>
    <m/>
    <m/>
    <m/>
    <m/>
    <m/>
    <m/>
    <m/>
    <m/>
    <m/>
    <m/>
    <m/>
    <s v="Réorientation"/>
    <s v="FT acc pro"/>
    <x v="0"/>
    <m/>
    <m/>
    <m/>
    <m/>
    <m/>
    <m/>
    <m/>
    <m/>
    <m/>
    <m/>
    <m/>
    <m/>
    <m/>
    <m/>
    <m/>
    <m/>
  </r>
  <r>
    <s v="Monsieur"/>
    <s v="REGHIOUA"/>
    <s v="Azzouz"/>
    <n v="65"/>
    <m/>
    <s v="Oyonnax"/>
    <d v="2025-06-12T00:00:00"/>
    <d v="2025-07-28T00:00:00"/>
    <m/>
    <m/>
    <m/>
    <m/>
    <m/>
    <m/>
    <m/>
    <m/>
    <m/>
    <m/>
    <m/>
    <s v="Réorientation"/>
    <s v="BGE"/>
    <x v="0"/>
    <m/>
    <m/>
    <m/>
    <m/>
    <m/>
    <m/>
    <m/>
    <m/>
    <m/>
    <m/>
    <m/>
    <m/>
    <m/>
    <m/>
    <m/>
    <m/>
  </r>
  <r>
    <s v="Madame"/>
    <s v="SYLLA"/>
    <s v="Ardita"/>
    <n v="39"/>
    <m/>
    <s v="Oyonnax"/>
    <d v="2025-04-29T00:00:00"/>
    <d v="2005-09-08T00:00:00"/>
    <m/>
    <m/>
    <m/>
    <m/>
    <m/>
    <m/>
    <m/>
    <m/>
    <m/>
    <m/>
    <m/>
    <s v="Réorientation"/>
    <s v="FT acc pro"/>
    <x v="0"/>
    <m/>
    <m/>
    <m/>
    <m/>
    <m/>
    <m/>
    <m/>
    <m/>
    <m/>
    <m/>
    <m/>
    <m/>
    <m/>
    <m/>
    <m/>
    <m/>
  </r>
  <r>
    <s v="Madame"/>
    <s v="ERDOGAN /TEMEL"/>
    <s v="Zeynep"/>
    <n v="45"/>
    <m/>
    <s v="Nantua"/>
    <d v="2025-06-23T00:00:00"/>
    <d v="2005-09-09T00:00:00"/>
    <m/>
    <m/>
    <m/>
    <m/>
    <m/>
    <m/>
    <m/>
    <m/>
    <m/>
    <m/>
    <m/>
    <s v="Réorientation"/>
    <s v="Sociale AAH"/>
    <x v="0"/>
    <m/>
    <n v="1"/>
    <m/>
    <m/>
    <m/>
    <m/>
    <m/>
    <m/>
    <m/>
    <m/>
    <m/>
    <m/>
    <m/>
    <m/>
    <m/>
    <m/>
  </r>
  <r>
    <s v="Madame"/>
    <s v="UGUZ"/>
    <s v="Leyla"/>
    <n v="43"/>
    <m/>
    <s v="Nantua"/>
    <d v="2025-04-22T00:00:00"/>
    <d v="2025-08-20T00:00:00"/>
    <m/>
    <m/>
    <m/>
    <m/>
    <m/>
    <m/>
    <m/>
    <m/>
    <m/>
    <m/>
    <m/>
    <s v="Réorientation"/>
    <s v="FT acc pro"/>
    <x v="0"/>
    <m/>
    <m/>
    <m/>
    <m/>
    <m/>
    <m/>
    <m/>
    <m/>
    <m/>
    <m/>
    <m/>
    <m/>
    <m/>
    <m/>
    <m/>
    <m/>
  </r>
  <r>
    <s v="Madame"/>
    <s v="EL-RHAZZAL"/>
    <s v="Rachida"/>
    <n v="64"/>
    <m/>
    <s v="Oyonnax"/>
    <d v="2025-05-28T00:00:00"/>
    <d v="2025-09-03T00:00:00"/>
    <m/>
    <m/>
    <m/>
    <m/>
    <m/>
    <m/>
    <m/>
    <m/>
    <m/>
    <m/>
    <m/>
    <s v="Réorientation"/>
    <s v="Sociale retraite"/>
    <x v="0"/>
    <m/>
    <m/>
    <m/>
    <m/>
    <m/>
    <m/>
    <m/>
    <m/>
    <m/>
    <m/>
    <m/>
    <m/>
    <m/>
    <m/>
    <m/>
    <m/>
  </r>
  <r>
    <s v="Monsieur"/>
    <s v="YACOUBI"/>
    <s v="Tarek"/>
    <n v="48"/>
    <m/>
    <s v="Oyonnax"/>
    <d v="2025-06-12T00:00:00"/>
    <d v="2025-07-31T00:00:00"/>
    <m/>
    <m/>
    <m/>
    <m/>
    <m/>
    <m/>
    <m/>
    <m/>
    <m/>
    <m/>
    <m/>
    <s v="Réorientation"/>
    <s v="Social freins+"/>
    <x v="0"/>
    <m/>
    <m/>
    <m/>
    <m/>
    <m/>
    <m/>
    <m/>
    <m/>
    <m/>
    <m/>
    <m/>
    <m/>
    <m/>
    <m/>
    <m/>
    <m/>
  </r>
  <r>
    <s v="Monsieur"/>
    <s v="ZIHRI"/>
    <s v="Rachid"/>
    <n v="51"/>
    <m/>
    <s v="Oyonnax"/>
    <d v="2025-04-23T00:00:00"/>
    <d v="2025-09-08T00:00:00"/>
    <m/>
    <m/>
    <m/>
    <m/>
    <m/>
    <m/>
    <m/>
    <m/>
    <m/>
    <m/>
    <m/>
    <s v="Réorientation"/>
    <s v="BGE"/>
    <x v="0"/>
    <m/>
    <m/>
    <m/>
    <m/>
    <m/>
    <m/>
    <m/>
    <m/>
    <m/>
    <m/>
    <m/>
    <m/>
    <m/>
    <m/>
    <m/>
    <m/>
  </r>
  <r>
    <s v="Monsieur"/>
    <s v="BUET"/>
    <s v="Patrice"/>
    <n v="54"/>
    <m/>
    <s v="Nantua"/>
    <d v="2025-07-16T00:00:00"/>
    <s v="25/09//2025"/>
    <m/>
    <m/>
    <m/>
    <m/>
    <m/>
    <m/>
    <m/>
    <m/>
    <m/>
    <m/>
    <m/>
    <s v="Réorientation"/>
    <s v="FT acco glo"/>
    <x v="0"/>
    <m/>
    <m/>
    <m/>
    <m/>
    <m/>
    <m/>
    <m/>
    <m/>
    <m/>
    <m/>
    <m/>
    <m/>
    <m/>
    <m/>
    <m/>
    <m/>
  </r>
  <r>
    <s v="Madame"/>
    <s v="SAULNIER"/>
    <s v="Isabelle"/>
    <m/>
    <m/>
    <m/>
    <m/>
    <d v="2025-10-03T00:00:00"/>
    <m/>
    <m/>
    <m/>
    <m/>
    <m/>
    <m/>
    <m/>
    <m/>
    <m/>
    <m/>
    <m/>
    <s v="Réorientation"/>
    <s v="Social freins+"/>
    <x v="0"/>
    <m/>
    <m/>
    <m/>
    <m/>
    <m/>
    <m/>
    <m/>
    <m/>
    <m/>
    <m/>
    <m/>
    <m/>
    <m/>
    <m/>
    <m/>
    <m/>
  </r>
  <r>
    <s v="Monsieur"/>
    <s v="CHAMPEYMOND"/>
    <s v="Pascal"/>
    <n v="60"/>
    <m/>
    <s v="Nantua"/>
    <d v="2025-04-30T00:00:00"/>
    <d v="2025-08-25T00:00:00"/>
    <m/>
    <m/>
    <m/>
    <m/>
    <m/>
    <m/>
    <m/>
    <m/>
    <m/>
    <m/>
    <m/>
    <s v="Réorientation"/>
    <s v="Social freins+"/>
    <x v="0"/>
    <m/>
    <n v="1"/>
    <m/>
    <m/>
    <m/>
    <m/>
    <m/>
    <m/>
    <m/>
    <m/>
    <m/>
    <m/>
    <m/>
    <m/>
    <m/>
    <m/>
  </r>
  <r>
    <s v="Madame"/>
    <s v="SAIDIA"/>
    <s v="Farida"/>
    <n v="63"/>
    <m/>
    <s v="Oyonnax"/>
    <d v="2025-06-12T00:00:00"/>
    <d v="2025-08-19T00:00:00"/>
    <m/>
    <m/>
    <m/>
    <m/>
    <m/>
    <m/>
    <m/>
    <m/>
    <m/>
    <m/>
    <m/>
    <s v="Réorientation"/>
    <s v="Sociale retraite"/>
    <x v="0"/>
    <m/>
    <m/>
    <m/>
    <m/>
    <m/>
    <m/>
    <m/>
    <m/>
    <m/>
    <m/>
    <m/>
    <m/>
    <m/>
    <m/>
    <m/>
    <m/>
  </r>
  <r>
    <s v="Monsieur"/>
    <s v="MABROUK"/>
    <s v="Wahid"/>
    <n v="50"/>
    <m/>
    <s v="Oyonnax"/>
    <d v="2025-09-06T00:00:00"/>
    <d v="2025-09-08T00:00:00"/>
    <m/>
    <m/>
    <m/>
    <m/>
    <m/>
    <m/>
    <m/>
    <m/>
    <m/>
    <m/>
    <m/>
    <s v="Réorientation"/>
    <s v="FT acc pro"/>
    <x v="0"/>
    <m/>
    <m/>
    <m/>
    <m/>
    <m/>
    <m/>
    <m/>
    <m/>
    <m/>
    <m/>
    <m/>
    <m/>
    <m/>
    <m/>
    <m/>
    <m/>
  </r>
  <r>
    <s v="Monsieur"/>
    <s v="LOUIS"/>
    <s v="Laura"/>
    <n v="37"/>
    <m/>
    <s v="Oyonnax"/>
    <d v="2025-06-12T00:00:00"/>
    <d v="2025-08-12T00:00:00"/>
    <m/>
    <m/>
    <m/>
    <m/>
    <m/>
    <m/>
    <m/>
    <m/>
    <m/>
    <m/>
    <m/>
    <s v="Réorientation"/>
    <s v="Sociale AAH"/>
    <x v="0"/>
    <m/>
    <m/>
    <m/>
    <m/>
    <m/>
    <m/>
    <m/>
    <m/>
    <m/>
    <m/>
    <m/>
    <m/>
    <m/>
    <m/>
    <m/>
    <m/>
  </r>
  <r>
    <s v="Madame"/>
    <s v="BEDIR"/>
    <s v="Fadime"/>
    <n v="44"/>
    <m/>
    <s v="Oyonnax"/>
    <d v="2025-07-10T00:00:00"/>
    <d v="2025-07-23T00:00:00"/>
    <d v="2025-07-23T00:00:00"/>
    <d v="2026-01-19T00:00:00"/>
    <m/>
    <m/>
    <m/>
    <s v="fle"/>
    <s v="MOBILITE"/>
    <m/>
    <m/>
    <m/>
    <n v="1"/>
    <s v="Réorientation"/>
    <s v="Social freins+"/>
    <x v="0"/>
    <m/>
    <m/>
    <m/>
    <m/>
    <m/>
    <m/>
    <m/>
    <m/>
    <m/>
    <m/>
    <m/>
    <m/>
    <m/>
    <m/>
    <m/>
    <m/>
  </r>
  <r>
    <s v="Madame"/>
    <s v="FIORILE"/>
    <s v="Yori-Kin"/>
    <n v="28"/>
    <m/>
    <s v="Nantua"/>
    <d v="2025-04-23T00:00:00"/>
    <d v="2025-09-17T00:00:00"/>
    <d v="2025-09-17T00:00:00"/>
    <d v="2026-03-16T00:00:00"/>
    <m/>
    <m/>
    <m/>
    <m/>
    <m/>
    <m/>
    <m/>
    <m/>
    <m/>
    <s v="Réorientation"/>
    <s v="FT acc pro"/>
    <x v="0"/>
    <m/>
    <n v="1"/>
    <m/>
    <m/>
    <m/>
    <m/>
    <m/>
    <m/>
    <m/>
    <m/>
    <m/>
    <m/>
    <m/>
    <m/>
    <m/>
    <m/>
  </r>
  <r>
    <s v="Madame"/>
    <s v="KEPENEK"/>
    <s v="Nihal"/>
    <n v="45"/>
    <m/>
    <s v="Oyonnax"/>
    <d v="2025-04-17T00:00:00"/>
    <d v="2025-08-20T00:00:00"/>
    <d v="2025-08-27T00:00:00"/>
    <d v="2026-02-23T00:00:00"/>
    <m/>
    <m/>
    <m/>
    <s v="fle"/>
    <s v="MOBILITE"/>
    <m/>
    <n v="1"/>
    <n v="1"/>
    <n v="1"/>
    <s v="Réorientation"/>
    <s v="Arret mal longue durée"/>
    <x v="0"/>
    <m/>
    <n v="1"/>
    <m/>
    <m/>
    <m/>
    <m/>
    <m/>
    <m/>
    <m/>
    <m/>
    <m/>
    <m/>
    <m/>
    <m/>
    <m/>
    <m/>
  </r>
  <r>
    <s v="Monsieur"/>
    <s v="DAWLATZI"/>
    <s v="Naeem"/>
    <n v="28"/>
    <m/>
    <s v="Oyonnax"/>
    <d v="2025-10-16T00:00:00"/>
    <d v="2025-11-17T00:00:00"/>
    <s v="non"/>
    <m/>
    <m/>
    <m/>
    <m/>
    <m/>
    <m/>
    <m/>
    <m/>
    <m/>
    <m/>
    <s v="Réorientation"/>
    <s v="FT acc pro"/>
    <x v="1"/>
    <m/>
    <m/>
    <m/>
    <m/>
    <m/>
    <m/>
    <m/>
    <m/>
    <m/>
    <m/>
    <m/>
    <m/>
    <m/>
    <m/>
    <m/>
    <m/>
  </r>
  <r>
    <s v="Monsieur"/>
    <s v="RHAZI"/>
    <s v="Abdelhakim"/>
    <n v="53"/>
    <m/>
    <s v="Oyonnax"/>
    <d v="2025-07-08T00:00:00"/>
    <d v="2025-07-16T00:00:00"/>
    <d v="2025-07-16T00:00:00"/>
    <d v="2026-01-12T00:00:00"/>
    <m/>
    <m/>
    <m/>
    <s v="mobilite"/>
    <s v="sante"/>
    <m/>
    <m/>
    <m/>
    <m/>
    <m/>
    <m/>
    <x v="0"/>
    <m/>
    <n v="1"/>
    <m/>
    <m/>
    <m/>
    <m/>
    <m/>
    <m/>
    <m/>
    <m/>
    <m/>
    <m/>
    <m/>
    <m/>
    <m/>
    <m/>
  </r>
  <r>
    <s v="Monsieur"/>
    <s v="DUPUPET"/>
    <s v="Meydhie"/>
    <n v="37"/>
    <m/>
    <s v="Oyonnax"/>
    <d v="2025-06-27T00:00:00"/>
    <d v="2025-08-12T00:00:00"/>
    <d v="2025-08-28T00:00:00"/>
    <d v="2026-02-24T00:00:00"/>
    <m/>
    <m/>
    <m/>
    <s v="SANTE"/>
    <m/>
    <m/>
    <m/>
    <m/>
    <m/>
    <s v="Réorientation"/>
    <s v="Social freins+"/>
    <x v="0"/>
    <m/>
    <n v="1"/>
    <m/>
    <m/>
    <m/>
    <m/>
    <m/>
    <m/>
    <m/>
    <m/>
    <n v="1"/>
    <m/>
    <m/>
    <m/>
    <m/>
    <m/>
  </r>
  <r>
    <s v="Monsieur"/>
    <s v="MOHAMMADI"/>
    <s v="NIAZ"/>
    <n v="35"/>
    <m/>
    <s v="Oyonnax"/>
    <m/>
    <d v="2025-12-10T00:00:00"/>
    <s v="non"/>
    <m/>
    <m/>
    <m/>
    <m/>
    <m/>
    <m/>
    <m/>
    <m/>
    <m/>
    <m/>
    <s v="Réorientation"/>
    <s v="FT acc pro"/>
    <x v="1"/>
    <m/>
    <m/>
    <m/>
    <m/>
    <m/>
    <m/>
    <m/>
    <m/>
    <m/>
    <m/>
    <m/>
    <m/>
    <m/>
    <m/>
    <m/>
    <m/>
  </r>
  <r>
    <s v="Madame"/>
    <s v="BELLOTTO"/>
    <s v="Charlotte"/>
    <n v="30"/>
    <m/>
    <s v="Oyonnax"/>
    <d v="2025-04-22T00:00:00"/>
    <d v="2025-09-10T00:00:00"/>
    <d v="2025-09-10T00:00:00"/>
    <d v="2026-03-09T00:00:00"/>
    <m/>
    <m/>
    <m/>
    <m/>
    <m/>
    <m/>
    <m/>
    <m/>
    <m/>
    <s v="Réorientation"/>
    <s v="Sociale maternité"/>
    <x v="0"/>
    <m/>
    <n v="1"/>
    <m/>
    <m/>
    <m/>
    <m/>
    <m/>
    <m/>
    <m/>
    <m/>
    <m/>
    <m/>
    <m/>
    <m/>
    <m/>
    <m/>
  </r>
  <r>
    <s v="Madame"/>
    <s v="YLMAZ "/>
    <s v="GULBAHAR"/>
    <n v="51"/>
    <m/>
    <s v="Oyonnax"/>
    <m/>
    <d v="2025-12-15T00:00:00"/>
    <m/>
    <m/>
    <m/>
    <m/>
    <m/>
    <m/>
    <m/>
    <m/>
    <m/>
    <m/>
    <m/>
    <s v="Réorientation"/>
    <s v="Social freins+"/>
    <x v="0"/>
    <m/>
    <m/>
    <m/>
    <m/>
    <m/>
    <m/>
    <m/>
    <m/>
    <m/>
    <m/>
    <m/>
    <m/>
    <m/>
    <m/>
    <m/>
    <m/>
  </r>
  <r>
    <s v="Monsieur"/>
    <s v="LEMAISTRE"/>
    <s v="Giuseppe"/>
    <n v="27"/>
    <m/>
    <s v="Oyonnax"/>
    <d v="2025-07-04T00:00:00"/>
    <d v="2025-07-23T00:00:00"/>
    <d v="2025-07-23T00:00:00"/>
    <d v="2026-01-19T00:00:00"/>
    <m/>
    <m/>
    <m/>
    <s v="mobilité"/>
    <m/>
    <m/>
    <m/>
    <m/>
    <m/>
    <s v="Réorientation"/>
    <s v="Social freins+"/>
    <x v="0"/>
    <m/>
    <n v="1"/>
    <m/>
    <m/>
    <m/>
    <m/>
    <m/>
    <m/>
    <m/>
    <m/>
    <n v="1"/>
    <m/>
    <m/>
    <m/>
    <m/>
    <m/>
  </r>
  <r>
    <s v="Monsieur"/>
    <s v="MARGUIN"/>
    <s v="Frederic"/>
    <n v="50"/>
    <m/>
    <s v="Oyonnax"/>
    <d v="2025-10-16T00:00:00"/>
    <d v="2025-11-17T00:00:00"/>
    <d v="2025-12-03T00:00:00"/>
    <d v="2026-06-01T00:00:00"/>
    <m/>
    <m/>
    <m/>
    <m/>
    <m/>
    <m/>
    <m/>
    <m/>
    <m/>
    <s v="Réorientation"/>
    <s v="BGE"/>
    <x v="0"/>
    <m/>
    <n v="1"/>
    <m/>
    <m/>
    <m/>
    <m/>
    <m/>
    <m/>
    <m/>
    <m/>
    <m/>
    <m/>
    <m/>
    <m/>
    <m/>
    <m/>
  </r>
  <r>
    <s v="Madame"/>
    <s v="BICER"/>
    <s v="Elife"/>
    <n v="37"/>
    <m/>
    <s v="Oyonnax"/>
    <d v="2025-07-03T00:00:00"/>
    <d v="2025-08-25T00:00:00"/>
    <d v="2026-01-12T00:00:00"/>
    <d v="2026-07-11T00:00:00"/>
    <m/>
    <m/>
    <m/>
    <m/>
    <m/>
    <m/>
    <m/>
    <m/>
    <m/>
    <s v="Réorientation"/>
    <s v="Social freins+"/>
    <x v="0"/>
    <m/>
    <m/>
    <m/>
    <m/>
    <m/>
    <m/>
    <m/>
    <m/>
    <m/>
    <m/>
    <m/>
    <m/>
    <m/>
    <m/>
    <m/>
    <m/>
  </r>
  <r>
    <s v="Madame"/>
    <s v="KESKIN //OZYUREK"/>
    <s v="KUPRA"/>
    <n v="28"/>
    <m/>
    <s v="Oyonnax"/>
    <d v="2025-12-22T00:00:00"/>
    <d v="2026-01-20T00:00:00"/>
    <m/>
    <m/>
    <m/>
    <m/>
    <m/>
    <s v="SANTE"/>
    <m/>
    <m/>
    <m/>
    <m/>
    <m/>
    <s v="Réorientation"/>
    <s v="Social freins+"/>
    <x v="0"/>
    <m/>
    <m/>
    <m/>
    <m/>
    <m/>
    <m/>
    <m/>
    <m/>
    <m/>
    <m/>
    <m/>
    <m/>
    <m/>
    <m/>
    <m/>
    <m/>
  </r>
  <r>
    <s v="Madame"/>
    <s v="TUZUN"/>
    <s v="Selda"/>
    <n v="45"/>
    <m/>
    <s v="Oyonnax"/>
    <d v="2025-07-04T00:00:00"/>
    <d v="2025-07-28T00:00:00"/>
    <d v="2025-07-28T00:00:00"/>
    <d v="2026-01-24T00:00:00"/>
    <m/>
    <m/>
    <m/>
    <s v="fle"/>
    <m/>
    <m/>
    <m/>
    <m/>
    <m/>
    <s v="Renonciation RSA"/>
    <m/>
    <x v="0"/>
    <m/>
    <n v="1"/>
    <m/>
    <m/>
    <m/>
    <m/>
    <m/>
    <m/>
    <m/>
    <m/>
    <m/>
    <m/>
    <m/>
    <m/>
    <m/>
    <m/>
  </r>
  <r>
    <s v="Monsieur"/>
    <s v="OUAMALICH"/>
    <s v="Youssef"/>
    <n v="48"/>
    <m/>
    <s v="Oyonnax"/>
    <d v="2025-08-20T00:00:00"/>
    <d v="2025-09-17T00:00:00"/>
    <d v="2025-09-17T00:00:00"/>
    <d v="2026-03-16T00:00:00"/>
    <m/>
    <m/>
    <m/>
    <m/>
    <m/>
    <m/>
    <m/>
    <m/>
    <m/>
    <s v="autre"/>
    <m/>
    <x v="0"/>
    <m/>
    <n v="1"/>
    <m/>
    <m/>
    <m/>
    <m/>
    <m/>
    <m/>
    <m/>
    <m/>
    <m/>
    <m/>
    <m/>
    <m/>
    <m/>
    <m/>
  </r>
  <r>
    <s v="Monsieur"/>
    <s v="VELAZQUEZ MAYA"/>
    <s v="Jose"/>
    <n v="48"/>
    <m/>
    <s v="Nantua"/>
    <d v="2025-06-30T00:00:00"/>
    <d v="2025-07-29T00:00:00"/>
    <d v="2025-08-25T00:00:00"/>
    <d v="2026-02-21T00:00:00"/>
    <m/>
    <m/>
    <m/>
    <s v="mobilité"/>
    <m/>
    <m/>
    <m/>
    <m/>
    <m/>
    <s v="autre"/>
    <m/>
    <x v="0"/>
    <m/>
    <n v="1"/>
    <m/>
    <m/>
    <m/>
    <m/>
    <m/>
    <m/>
    <m/>
    <m/>
    <m/>
    <m/>
    <m/>
    <m/>
    <m/>
    <m/>
  </r>
  <r>
    <s v="Madame"/>
    <s v="GUNGOR"/>
    <s v="Ciydem"/>
    <n v="54"/>
    <m/>
    <s v="Oyonnax"/>
    <d v="2025-07-03T00:00:00"/>
    <d v="2025-07-18T00:00:00"/>
    <d v="2025-07-18T00:00:00"/>
    <d v="2026-01-14T00:00:00"/>
    <m/>
    <m/>
    <m/>
    <s v="fle"/>
    <s v="sante "/>
    <m/>
    <m/>
    <m/>
    <m/>
    <s v="Réorientation"/>
    <s v="Social freins+"/>
    <x v="0"/>
    <m/>
    <n v="1"/>
    <m/>
    <m/>
    <m/>
    <m/>
    <m/>
    <m/>
    <m/>
    <m/>
    <m/>
    <m/>
    <m/>
    <m/>
    <m/>
    <m/>
  </r>
  <r>
    <s v="Monsieur"/>
    <s v="AMAMOU"/>
    <s v="Driss"/>
    <n v="58"/>
    <m/>
    <s v="Oyonnax"/>
    <d v="2025-06-27T00:00:00"/>
    <d v="2025-08-14T00:00:00"/>
    <d v="2025-08-25T00:00:00"/>
    <d v="2026-02-21T00:00:00"/>
    <m/>
    <m/>
    <m/>
    <s v="SANTE"/>
    <s v="MOBILITE"/>
    <m/>
    <n v="0"/>
    <m/>
    <n v="0"/>
    <s v="Réorientation"/>
    <s v="Arret mal longue durée"/>
    <x v="0"/>
    <m/>
    <n v="1"/>
    <m/>
    <m/>
    <m/>
    <m/>
    <m/>
    <m/>
    <m/>
    <m/>
    <n v="1"/>
    <m/>
    <m/>
    <m/>
    <m/>
    <m/>
  </r>
  <r>
    <s v="Monsieur"/>
    <s v="STEMER"/>
    <s v="Pascal"/>
    <n v="52"/>
    <m/>
    <s v="Oyonnax"/>
    <d v="2025-06-04T00:00:00"/>
    <d v="2025-08-05T00:00:00"/>
    <d v="2025-08-05T00:00:00"/>
    <d v="2026-02-01T00:00:00"/>
    <m/>
    <m/>
    <m/>
    <m/>
    <m/>
    <m/>
    <m/>
    <m/>
    <m/>
    <s v="Réorientation"/>
    <s v="Social freins+"/>
    <x v="0"/>
    <m/>
    <m/>
    <m/>
    <m/>
    <m/>
    <m/>
    <m/>
    <m/>
    <m/>
    <m/>
    <n v="1"/>
    <m/>
    <m/>
    <m/>
    <m/>
    <m/>
  </r>
  <r>
    <s v="Madame"/>
    <s v="OZDEMIR"/>
    <s v="Sengül"/>
    <n v="43"/>
    <m/>
    <s v="Oyonnax"/>
    <d v="2025-06-23T00:00:00"/>
    <d v="2025-09-01T00:00:00"/>
    <d v="2025-09-23T00:00:00"/>
    <d v="2026-03-22T00:00:00"/>
    <m/>
    <m/>
    <m/>
    <s v="SANTE"/>
    <m/>
    <m/>
    <m/>
    <m/>
    <n v="1"/>
    <s v="Réorientation"/>
    <s v="Social freins+"/>
    <x v="0"/>
    <m/>
    <n v="1"/>
    <m/>
    <m/>
    <m/>
    <m/>
    <m/>
    <m/>
    <m/>
    <m/>
    <m/>
    <m/>
    <m/>
    <m/>
    <m/>
    <m/>
  </r>
  <r>
    <s v="Monsieur"/>
    <s v="AYNE"/>
    <s v="Levent"/>
    <n v="42"/>
    <m/>
    <s v="Oyonnax"/>
    <d v="2025-06-27T00:00:00"/>
    <d v="2025-08-06T00:00:00"/>
    <d v="2025-08-20T00:00:00"/>
    <d v="2026-02-16T00:00:00"/>
    <m/>
    <m/>
    <m/>
    <s v="mobilé"/>
    <m/>
    <m/>
    <m/>
    <m/>
    <n v="1"/>
    <m/>
    <m/>
    <x v="0"/>
    <m/>
    <n v="1"/>
    <m/>
    <m/>
    <m/>
    <m/>
    <m/>
    <m/>
    <m/>
    <m/>
    <m/>
    <m/>
    <m/>
    <m/>
    <m/>
    <m/>
  </r>
  <r>
    <s v="Monsieur"/>
    <s v="IKEN"/>
    <s v="Abdellah"/>
    <n v="49"/>
    <m/>
    <s v="Oyonnax"/>
    <d v="2025-06-27T00:00:00"/>
    <d v="2025-09-01T00:00:00"/>
    <d v="2025-10-17T00:00:00"/>
    <d v="2026-04-15T00:00:00"/>
    <m/>
    <m/>
    <m/>
    <m/>
    <m/>
    <m/>
    <m/>
    <m/>
    <m/>
    <s v="Renonciation RSA"/>
    <m/>
    <x v="0"/>
    <m/>
    <n v="1"/>
    <m/>
    <m/>
    <m/>
    <m/>
    <m/>
    <m/>
    <m/>
    <m/>
    <m/>
    <m/>
    <m/>
    <m/>
    <m/>
    <m/>
  </r>
  <r>
    <s v="Monsieur"/>
    <s v="ESTEVEZ"/>
    <s v="YANN"/>
    <n v="34"/>
    <m/>
    <s v="Oyonnax"/>
    <m/>
    <d v="2025-11-24T00:00:00"/>
    <d v="2025-11-24T00:00:00"/>
    <d v="2026-05-23T00:00:00"/>
    <m/>
    <m/>
    <m/>
    <s v="mobilite"/>
    <m/>
    <m/>
    <m/>
    <m/>
    <m/>
    <s v="Renonciation RSA"/>
    <m/>
    <x v="0"/>
    <m/>
    <n v="1"/>
    <m/>
    <m/>
    <m/>
    <m/>
    <m/>
    <m/>
    <m/>
    <m/>
    <m/>
    <m/>
    <m/>
    <m/>
    <m/>
    <m/>
  </r>
  <r>
    <s v="Monsieur"/>
    <s v="POURCHOUX"/>
    <s v="GUILLAUME"/>
    <n v="48"/>
    <m/>
    <s v="Oyonnax"/>
    <d v="2025-07-01T00:00:00"/>
    <d v="2025-12-10T00:00:00"/>
    <m/>
    <m/>
    <m/>
    <m/>
    <m/>
    <m/>
    <m/>
    <m/>
    <m/>
    <m/>
    <m/>
    <s v="autre"/>
    <m/>
    <x v="0"/>
    <m/>
    <m/>
    <m/>
    <m/>
    <m/>
    <m/>
    <m/>
    <m/>
    <m/>
    <m/>
    <m/>
    <m/>
    <m/>
    <m/>
    <m/>
    <m/>
  </r>
  <r>
    <s v="Monsieur"/>
    <s v="YILDIRIM"/>
    <s v="Ozcan"/>
    <n v="35"/>
    <m/>
    <s v="Oyonnax"/>
    <d v="2025-06-27T00:00:00"/>
    <d v="2025-08-12T00:00:00"/>
    <d v="2025-08-12T00:00:00"/>
    <d v="2026-02-08T00:00:00"/>
    <m/>
    <m/>
    <m/>
    <m/>
    <m/>
    <m/>
    <m/>
    <m/>
    <m/>
    <s v="autre"/>
    <s v="Social freins+"/>
    <x v="0"/>
    <m/>
    <m/>
    <m/>
    <m/>
    <m/>
    <m/>
    <m/>
    <m/>
    <m/>
    <m/>
    <m/>
    <m/>
    <m/>
    <m/>
    <m/>
    <m/>
  </r>
  <r>
    <s v="Madame"/>
    <s v="PILAS"/>
    <s v="SILVIE"/>
    <n v="60"/>
    <m/>
    <s v="Nantua"/>
    <d v="2025-07-01T00:00:00"/>
    <d v="2025-12-03T00:00:00"/>
    <d v="2025-12-03T00:00:00"/>
    <d v="2026-06-01T00:00:00"/>
    <m/>
    <m/>
    <m/>
    <m/>
    <m/>
    <m/>
    <m/>
    <m/>
    <m/>
    <s v="Réorientation"/>
    <s v="FT acc pro"/>
    <x v="2"/>
    <d v="2026-02-25T00:00:00"/>
    <m/>
    <m/>
    <m/>
    <m/>
    <m/>
    <m/>
    <m/>
    <m/>
    <m/>
    <m/>
    <m/>
    <m/>
    <m/>
    <m/>
    <m/>
  </r>
  <r>
    <s v="Monsieur"/>
    <s v="BICER "/>
    <s v="AZIZ"/>
    <n v="40"/>
    <m/>
    <s v="Oyonnax"/>
    <d v="2026-01-05T00:00:00"/>
    <d v="2026-01-26T00:00:00"/>
    <d v="2026-02-13T00:00:00"/>
    <d v="2026-07-18T00:00:00"/>
    <m/>
    <m/>
    <m/>
    <s v="SANTE"/>
    <s v="garde enfants"/>
    <m/>
    <m/>
    <m/>
    <m/>
    <s v="Réorientation"/>
    <s v="Social freins+"/>
    <x v="0"/>
    <d v="2026-02-26T00:00:00"/>
    <m/>
    <m/>
    <m/>
    <m/>
    <m/>
    <m/>
    <m/>
    <m/>
    <m/>
    <m/>
    <m/>
    <m/>
    <m/>
    <m/>
    <m/>
  </r>
  <r>
    <s v="Monsieur"/>
    <s v="BENER"/>
    <s v="Yakup"/>
    <n v="49"/>
    <m/>
    <s v="Oyonnax"/>
    <d v="2025-04-17T00:00:00"/>
    <d v="2025-07-24T00:00:00"/>
    <d v="2025-08-13T00:00:00"/>
    <d v="2026-02-09T00:00:00"/>
    <m/>
    <m/>
    <m/>
    <m/>
    <m/>
    <m/>
    <m/>
    <m/>
    <m/>
    <s v="Réorientation"/>
    <s v="FT acc pro"/>
    <x v="1"/>
    <m/>
    <n v="1"/>
    <m/>
    <m/>
    <m/>
    <m/>
    <m/>
    <m/>
    <m/>
    <m/>
    <m/>
    <m/>
    <m/>
    <m/>
    <m/>
    <m/>
  </r>
  <r>
    <s v="Monsieur"/>
    <s v="NEUVILLE "/>
    <s v="ALLAN"/>
    <n v="35"/>
    <m/>
    <s v="Nantua"/>
    <d v="2025-07-01T00:00:00"/>
    <d v="2025-12-03T00:00:00"/>
    <m/>
    <m/>
    <m/>
    <m/>
    <m/>
    <m/>
    <m/>
    <m/>
    <m/>
    <m/>
    <m/>
    <s v="Fin DD"/>
    <m/>
    <x v="0"/>
    <d v="2026-03-11T00:00:00"/>
    <m/>
    <m/>
    <m/>
    <m/>
    <m/>
    <m/>
    <m/>
    <m/>
    <m/>
    <m/>
    <m/>
    <m/>
    <m/>
    <m/>
    <m/>
  </r>
  <r>
    <s v="Monsieur"/>
    <s v="EZZARHOUNI"/>
    <s v="Nesrdine"/>
    <n v="43"/>
    <m/>
    <s v="Oyonnax"/>
    <d v="2025-06-12T00:00:00"/>
    <d v="2025-08-05T00:00:00"/>
    <d v="2025-08-05T00:00:00"/>
    <d v="2026-02-01T00:00:00"/>
    <m/>
    <m/>
    <m/>
    <m/>
    <m/>
    <m/>
    <m/>
    <m/>
    <m/>
    <s v="Positive"/>
    <s v="FT acc pro"/>
    <x v="3"/>
    <d v="2026-03-17T00:00:00"/>
    <n v="1"/>
    <m/>
    <m/>
    <m/>
    <m/>
    <m/>
    <m/>
    <m/>
    <m/>
    <m/>
    <m/>
    <m/>
    <m/>
    <m/>
    <m/>
  </r>
  <r>
    <s v="Monsieur"/>
    <s v="CHHUN"/>
    <s v="Sophanna"/>
    <n v="38"/>
    <m/>
    <s v="Oyonnax"/>
    <d v="2025-06-12T00:00:00"/>
    <d v="2025-08-25T00:00:00"/>
    <d v="2025-08-11T00:00:00"/>
    <d v="2026-02-07T00:00:00"/>
    <m/>
    <m/>
    <m/>
    <s v="SANTE"/>
    <m/>
    <m/>
    <m/>
    <m/>
    <n v="1"/>
    <s v="Réorientation"/>
    <s v="Social freins+"/>
    <x v="0"/>
    <d v="2026-03-13T00:00:00"/>
    <n v="1"/>
    <m/>
    <m/>
    <m/>
    <m/>
    <m/>
    <m/>
    <m/>
    <m/>
    <m/>
    <m/>
    <m/>
    <m/>
    <m/>
    <m/>
  </r>
  <r>
    <s v="Madame"/>
    <s v="YILDIRIM"/>
    <s v="AMINA"/>
    <n v="44"/>
    <m/>
    <s v="Oyonnax"/>
    <d v="2026-01-20T00:00:00"/>
    <d v="2026-01-28T00:00:00"/>
    <d v="2026-12-28T00:00:00"/>
    <d v="2027-06-26T00:00:00"/>
    <m/>
    <m/>
    <m/>
    <s v="SANTE"/>
    <m/>
    <m/>
    <m/>
    <m/>
    <m/>
    <s v="Réorientation"/>
    <s v="Social freins+"/>
    <x v="0"/>
    <d v="2026-02-04T00:00:00"/>
    <m/>
    <m/>
    <m/>
    <m/>
    <m/>
    <m/>
    <m/>
    <m/>
    <m/>
    <m/>
    <m/>
    <m/>
    <m/>
    <m/>
    <m/>
  </r>
  <r>
    <s v="Monsieur"/>
    <s v="TORRES"/>
    <s v="Vicente"/>
    <n v="55"/>
    <m/>
    <s v="Oyonnax"/>
    <d v="2025-06-24T00:00:00"/>
    <d v="2005-09-08T00:00:00"/>
    <d v="2025-07-30T00:00:00"/>
    <d v="2026-01-26T00:00:00"/>
    <s v="BGE"/>
    <m/>
    <m/>
    <s v="mobilite"/>
    <m/>
    <m/>
    <m/>
    <m/>
    <m/>
    <s v="Positive"/>
    <s v="BGE"/>
    <x v="4"/>
    <d v="2026-03-17T00:00:00"/>
    <n v="1"/>
    <m/>
    <m/>
    <m/>
    <m/>
    <m/>
    <m/>
    <m/>
    <m/>
    <m/>
    <m/>
    <m/>
    <m/>
    <m/>
    <m/>
  </r>
  <r>
    <s v="Madame"/>
    <s v="POPRAWA"/>
    <s v="Renata"/>
    <n v="40"/>
    <m/>
    <s v="Oyonnax"/>
    <d v="2025-07-04T00:00:00"/>
    <d v="2025-07-28T00:00:00"/>
    <d v="2026-01-20T00:00:00"/>
    <d v="2026-07-19T00:00:00"/>
    <m/>
    <m/>
    <m/>
    <m/>
    <m/>
    <m/>
    <m/>
    <m/>
    <m/>
    <s v="autre"/>
    <m/>
    <x v="0"/>
    <d v="2026-03-10T00:00:00"/>
    <n v="1"/>
    <m/>
    <m/>
    <m/>
    <m/>
    <m/>
    <m/>
    <m/>
    <m/>
    <m/>
    <m/>
    <m/>
    <m/>
    <m/>
    <m/>
  </r>
  <r>
    <s v="Madame"/>
    <s v="ERGOC /ERDOGAN"/>
    <s v="MEYREM"/>
    <m/>
    <m/>
    <s v="Nantua"/>
    <d v="2026-02-09T00:00:00"/>
    <d v="2026-02-27T00:00:00"/>
    <m/>
    <m/>
    <m/>
    <m/>
    <m/>
    <m/>
    <m/>
    <m/>
    <m/>
    <m/>
    <m/>
    <s v="Renonciation RSA"/>
    <m/>
    <x v="0"/>
    <d v="2026-03-18T00:00:00"/>
    <m/>
    <m/>
    <m/>
    <m/>
    <m/>
    <m/>
    <m/>
    <m/>
    <m/>
    <m/>
    <m/>
    <m/>
    <m/>
    <m/>
    <m/>
  </r>
  <r>
    <s v="Monsieur"/>
    <s v="COLOMBEL"/>
    <s v="Mickael"/>
    <n v="38"/>
    <m/>
    <s v="Oyonnax"/>
    <d v="2025-04-28T00:00:00"/>
    <d v="2025-08-12T00:00:00"/>
    <d v="2025-08-12T00:00:00"/>
    <d v="2026-02-08T00:00:00"/>
    <m/>
    <m/>
    <d v="1900-06-28T00:00:00"/>
    <s v="mobilite"/>
    <m/>
    <m/>
    <m/>
    <m/>
    <m/>
    <s v="autre"/>
    <m/>
    <x v="0"/>
    <d v="2026-03-24T00:00:00"/>
    <n v="1"/>
    <m/>
    <m/>
    <m/>
    <m/>
    <m/>
    <m/>
    <m/>
    <m/>
    <m/>
    <m/>
    <m/>
    <m/>
    <m/>
    <m/>
  </r>
  <r>
    <s v="Monsieur"/>
    <s v="TOURNERY"/>
    <s v="PIERRE-LOU"/>
    <n v="27"/>
    <m/>
    <s v="Nantua"/>
    <d v="2026-01-14T00:00:00"/>
    <d v="2026-01-28T00:00:00"/>
    <m/>
    <m/>
    <m/>
    <m/>
    <m/>
    <m/>
    <m/>
    <m/>
    <m/>
    <m/>
    <m/>
    <s v="Fin DD"/>
    <m/>
    <x v="0"/>
    <d v="2026-03-10T00:00:00"/>
    <m/>
    <m/>
    <m/>
    <m/>
    <m/>
    <m/>
    <m/>
    <m/>
    <m/>
    <m/>
    <m/>
    <m/>
    <m/>
    <m/>
    <m/>
  </r>
  <r>
    <s v="Monsieur"/>
    <s v="OZCAN"/>
    <s v="Okan"/>
    <n v="31"/>
    <m/>
    <s v="Oyonnax"/>
    <d v="2025-06-04T00:00:00"/>
    <d v="2025-08-13T00:00:00"/>
    <d v="2025-08-13T00:00:00"/>
    <d v="2026-02-09T00:00:00"/>
    <m/>
    <m/>
    <m/>
    <s v="SANTE"/>
    <m/>
    <m/>
    <m/>
    <m/>
    <m/>
    <s v="Réorientation"/>
    <s v="Social freins+"/>
    <x v="0"/>
    <d v="2026-03-12T00:00:00"/>
    <n v="1"/>
    <m/>
    <m/>
    <m/>
    <m/>
    <m/>
    <m/>
    <m/>
    <m/>
    <m/>
    <m/>
    <m/>
    <m/>
    <m/>
    <m/>
  </r>
  <r>
    <s v="Monsieur"/>
    <s v="TRAORE"/>
    <s v="ISSA"/>
    <n v="31"/>
    <m/>
    <s v="Nantua"/>
    <d v="2026-02-09T00:00:00"/>
    <d v="2026-02-27T00:00:00"/>
    <m/>
    <m/>
    <m/>
    <m/>
    <m/>
    <m/>
    <m/>
    <m/>
    <m/>
    <m/>
    <m/>
    <s v="Réorientation"/>
    <s v="FT acc pro"/>
    <x v="1"/>
    <d v="2026-03-25T00:00:00"/>
    <m/>
    <m/>
    <m/>
    <m/>
    <m/>
    <m/>
    <m/>
    <m/>
    <m/>
    <m/>
    <m/>
    <m/>
    <m/>
    <m/>
    <m/>
  </r>
  <r>
    <s v="Monsieur"/>
    <s v="VACCA"/>
    <s v="NICOLAS"/>
    <m/>
    <m/>
    <s v="Oyonnax"/>
    <m/>
    <d v="2026-03-31T00:00:00"/>
    <m/>
    <m/>
    <m/>
    <m/>
    <m/>
    <m/>
    <m/>
    <m/>
    <m/>
    <m/>
    <m/>
    <s v="Réorientation"/>
    <s v="FT acc pro"/>
    <x v="1"/>
    <d v="2026-03-31T00:00:00"/>
    <m/>
    <m/>
    <m/>
    <m/>
    <m/>
    <m/>
    <m/>
    <m/>
    <m/>
    <m/>
    <m/>
    <m/>
    <m/>
    <m/>
    <m/>
  </r>
  <r>
    <s v="Monsieur"/>
    <s v="SADA"/>
    <s v="THIERRY"/>
    <n v="53"/>
    <m/>
    <s v="Oyonnax"/>
    <d v="2026-02-04T00:00:00"/>
    <d v="2026-02-24T00:00:00"/>
    <d v="2026-02-24T00:00:00"/>
    <d v="2026-08-23T00:00:00"/>
    <m/>
    <m/>
    <m/>
    <s v="SANTE"/>
    <s v="MOBILITE"/>
    <m/>
    <m/>
    <m/>
    <m/>
    <s v="Réorientation"/>
    <s v="Social freins+"/>
    <x v="0"/>
    <d v="2026-03-31T00:00:00"/>
    <m/>
    <m/>
    <m/>
    <m/>
    <m/>
    <m/>
    <m/>
    <m/>
    <m/>
    <m/>
    <m/>
    <m/>
    <m/>
    <m/>
    <m/>
  </r>
  <r>
    <s v="Monsieur"/>
    <s v="BALLEIN "/>
    <s v="JEROME"/>
    <n v="46"/>
    <m/>
    <s v="Nantua"/>
    <d v="2026-02-09T00:00:00"/>
    <d v="2026-02-24T00:00:00"/>
    <m/>
    <m/>
    <m/>
    <m/>
    <m/>
    <m/>
    <m/>
    <m/>
    <m/>
    <m/>
    <m/>
    <s v="Réorientation"/>
    <s v="FT acco glo"/>
    <x v="2"/>
    <d v="2026-04-01T00:00:00"/>
    <m/>
    <m/>
    <m/>
    <m/>
    <m/>
    <m/>
    <m/>
    <m/>
    <m/>
    <m/>
    <m/>
    <m/>
    <m/>
    <m/>
    <m/>
  </r>
  <r>
    <s v="Madame"/>
    <s v="YENI /OCAL"/>
    <s v="Serife"/>
    <n v="40"/>
    <m/>
    <s v="Oyonnax"/>
    <d v="2026-01-22T00:00:00"/>
    <d v="2026-02-11T00:00:00"/>
    <d v="2026-02-11T00:00:00"/>
    <d v="2026-08-10T00:00:00"/>
    <m/>
    <m/>
    <m/>
    <s v="langue"/>
    <m/>
    <m/>
    <n v="1"/>
    <n v="1"/>
    <m/>
    <s v="Positive"/>
    <s v="FT acc pro"/>
    <x v="5"/>
    <d v="2026-04-01T00:00:00"/>
    <m/>
    <m/>
    <m/>
    <m/>
    <m/>
    <m/>
    <m/>
    <m/>
    <m/>
    <m/>
    <m/>
    <m/>
    <m/>
    <m/>
    <m/>
  </r>
  <r>
    <s v="Monsieur"/>
    <s v="ERSOY"/>
    <s v="Salih"/>
    <n v="46"/>
    <m/>
    <s v="Oyonnax"/>
    <d v="2025-05-28T00:00:00"/>
    <d v="2025-09-01T00:00:00"/>
    <d v="2025-08-27T00:00:00"/>
    <d v="2026-02-23T00:00:00"/>
    <m/>
    <m/>
    <m/>
    <s v="sante "/>
    <s v="MOBILITE"/>
    <m/>
    <m/>
    <m/>
    <m/>
    <s v="Fin DD"/>
    <m/>
    <x v="0"/>
    <d v="2025-11-01T00:00:00"/>
    <n v="1"/>
    <m/>
    <m/>
    <m/>
    <m/>
    <m/>
    <m/>
    <m/>
    <m/>
    <m/>
    <m/>
    <m/>
    <m/>
    <m/>
    <m/>
  </r>
  <r>
    <s v="Monsieur"/>
    <s v="BOSCHMANS"/>
    <s v="Franck"/>
    <n v="57"/>
    <m/>
    <s v="Oyonnax"/>
    <d v="2025-06-27T00:00:00"/>
    <d v="2025-07-30T00:00:00"/>
    <d v="2025-08-18T00:00:00"/>
    <d v="2026-02-14T00:00:00"/>
    <m/>
    <m/>
    <m/>
    <m/>
    <m/>
    <m/>
    <m/>
    <m/>
    <m/>
    <s v="Fin DD"/>
    <m/>
    <x v="0"/>
    <d v="2026-02-11T00:00:00"/>
    <m/>
    <m/>
    <m/>
    <m/>
    <m/>
    <m/>
    <m/>
    <m/>
    <m/>
    <m/>
    <m/>
    <m/>
    <m/>
    <m/>
    <m/>
  </r>
  <r>
    <s v="Madame"/>
    <s v="BASSI"/>
    <s v="Stephanie"/>
    <n v="47"/>
    <m/>
    <s v="Nantua"/>
    <d v="2025-05-12T00:00:00"/>
    <d v="2025-07-31T00:00:00"/>
    <d v="2025-07-31T00:00:00"/>
    <d v="2026-01-27T00:00:00"/>
    <m/>
    <m/>
    <m/>
    <m/>
    <m/>
    <m/>
    <m/>
    <m/>
    <m/>
    <s v="autre"/>
    <m/>
    <x v="0"/>
    <m/>
    <m/>
    <m/>
    <m/>
    <m/>
    <m/>
    <m/>
    <m/>
    <m/>
    <m/>
    <m/>
    <m/>
    <m/>
    <m/>
    <m/>
    <m/>
  </r>
  <r>
    <s v="Monsieur"/>
    <s v="AMMAR "/>
    <s v="Adam"/>
    <n v="34"/>
    <m/>
    <s v="Oyonnax"/>
    <d v="2026-04-02T00:00:00"/>
    <d v="2026-04-21T00:00:00"/>
    <m/>
    <m/>
    <m/>
    <m/>
    <m/>
    <m/>
    <m/>
    <m/>
    <m/>
    <m/>
    <m/>
    <s v="Réorientation"/>
    <s v="Sociale AAH"/>
    <x v="0"/>
    <d v="2026-04-03T00:00:00"/>
    <m/>
    <m/>
    <m/>
    <m/>
    <m/>
    <m/>
    <m/>
    <m/>
    <m/>
    <m/>
    <m/>
    <m/>
    <m/>
    <m/>
    <m/>
  </r>
  <r>
    <s v="Monsieur"/>
    <s v="TEKELI"/>
    <s v="Atilyahan"/>
    <n v="44"/>
    <m/>
    <s v="Oyonnax"/>
    <d v="2025-10-21T00:00:00"/>
    <d v="2025-11-19T00:00:00"/>
    <m/>
    <m/>
    <m/>
    <m/>
    <m/>
    <m/>
    <m/>
    <m/>
    <m/>
    <m/>
    <m/>
    <s v="Réorientation"/>
    <s v="BGE"/>
    <x v="0"/>
    <d v="2026-04-08T00:00:00"/>
    <m/>
    <m/>
    <m/>
    <m/>
    <m/>
    <m/>
    <m/>
    <m/>
    <m/>
    <m/>
    <m/>
    <m/>
    <m/>
    <m/>
    <m/>
  </r>
  <r>
    <s v="Monsieur"/>
    <s v="CLERMONT"/>
    <s v="CHRISTIAN"/>
    <n v="54"/>
    <m/>
    <s v="Nantua"/>
    <d v="2025-12-08T00:00:00"/>
    <d v="2025-12-29T00:00:00"/>
    <m/>
    <m/>
    <m/>
    <m/>
    <m/>
    <m/>
    <m/>
    <m/>
    <m/>
    <m/>
    <m/>
    <s v="autre"/>
    <m/>
    <x v="0"/>
    <d v="2026-04-07T00:00:00"/>
    <m/>
    <m/>
    <m/>
    <m/>
    <m/>
    <m/>
    <m/>
    <m/>
    <m/>
    <m/>
    <m/>
    <m/>
    <m/>
    <m/>
    <m/>
  </r>
  <r>
    <s v="Monsieur"/>
    <s v="GELAJ"/>
    <s v="Bekim"/>
    <n v="34"/>
    <m/>
    <s v="Oyonnax"/>
    <d v="2025-10-21T00:00:00"/>
    <d v="2025-11-19T00:00:00"/>
    <d v="2025-12-17T00:00:00"/>
    <d v="2026-06-15T00:00:00"/>
    <m/>
    <m/>
    <m/>
    <s v="fle"/>
    <m/>
    <m/>
    <m/>
    <m/>
    <m/>
    <s v="autre"/>
    <m/>
    <x v="0"/>
    <d v="2026-04-07T00:00:00"/>
    <n v="1"/>
    <m/>
    <m/>
    <m/>
    <m/>
    <m/>
    <m/>
    <m/>
    <m/>
    <m/>
    <m/>
    <m/>
    <m/>
    <m/>
    <m/>
  </r>
  <r>
    <s v="Monsieur"/>
    <s v="ONCU"/>
    <s v="ONDER"/>
    <n v="38"/>
    <m/>
    <s v="Nantua"/>
    <d v="2025-07-01T00:00:00"/>
    <d v="2025-12-03T00:00:00"/>
    <m/>
    <m/>
    <m/>
    <m/>
    <m/>
    <m/>
    <m/>
    <m/>
    <m/>
    <m/>
    <m/>
    <s v="autre"/>
    <m/>
    <x v="0"/>
    <d v="2026-04-07T00:00:00"/>
    <m/>
    <m/>
    <m/>
    <m/>
    <m/>
    <m/>
    <m/>
    <m/>
    <m/>
    <m/>
    <m/>
    <m/>
    <m/>
    <m/>
    <m/>
  </r>
  <r>
    <s v="Monsieur"/>
    <s v="SULTANKHEL"/>
    <s v="SAMIULLAH"/>
    <m/>
    <m/>
    <s v="Oyonnax"/>
    <d v="2025-07-25T00:00:00"/>
    <d v="2025-12-15T00:00:00"/>
    <m/>
    <m/>
    <m/>
    <m/>
    <m/>
    <m/>
    <m/>
    <m/>
    <m/>
    <m/>
    <m/>
    <s v="autre"/>
    <m/>
    <x v="0"/>
    <d v="2026-04-07T00:00:00"/>
    <m/>
    <m/>
    <m/>
    <m/>
    <m/>
    <m/>
    <m/>
    <m/>
    <m/>
    <m/>
    <m/>
    <m/>
    <m/>
    <m/>
    <m/>
  </r>
  <r>
    <s v="Monsieur"/>
    <s v="ROSELL"/>
    <s v="Thibault"/>
    <n v="41"/>
    <m/>
    <s v="Oyonnax"/>
    <d v="2025-06-12T00:00:00"/>
    <d v="2025-08-06T00:00:00"/>
    <d v="2025-08-27T00:00:00"/>
    <d v="2026-02-23T00:00:00"/>
    <m/>
    <m/>
    <m/>
    <s v="SANTE"/>
    <m/>
    <m/>
    <m/>
    <m/>
    <m/>
    <s v="autre"/>
    <m/>
    <x v="0"/>
    <d v="2026-04-07T00:00:00"/>
    <n v="1"/>
    <m/>
    <m/>
    <m/>
    <m/>
    <m/>
    <m/>
    <m/>
    <m/>
    <m/>
    <m/>
    <m/>
    <m/>
    <m/>
    <m/>
  </r>
  <r>
    <s v="Madame"/>
    <s v="NUNES GOUVEIA"/>
    <s v="SABRINA"/>
    <n v="37"/>
    <m/>
    <s v="Oyonnax"/>
    <d v="2025-12-22T00:00:00"/>
    <d v="2026-01-19T00:00:00"/>
    <m/>
    <m/>
    <m/>
    <m/>
    <m/>
    <m/>
    <m/>
    <m/>
    <m/>
    <m/>
    <m/>
    <s v="autre"/>
    <m/>
    <x v="0"/>
    <d v="2026-04-07T00:00:00"/>
    <m/>
    <m/>
    <m/>
    <m/>
    <m/>
    <m/>
    <m/>
    <m/>
    <m/>
    <m/>
    <m/>
    <m/>
    <m/>
    <m/>
    <m/>
  </r>
  <r>
    <s v="Monsieur"/>
    <s v="MEHALLEL"/>
    <s v="Salim"/>
    <n v="57"/>
    <m/>
    <s v="Oyonnax"/>
    <d v="2025-06-11T00:00:00"/>
    <d v="2025-09-01T00:00:00"/>
    <d v="2025-07-28T00:00:00"/>
    <d v="2026-01-24T00:00:00"/>
    <m/>
    <m/>
    <m/>
    <s v="SANTE"/>
    <s v="MOBILITE"/>
    <m/>
    <m/>
    <m/>
    <m/>
    <s v="Réorientation"/>
    <s v="Social freins+"/>
    <x v="0"/>
    <d v="2026-04-08T00:00:00"/>
    <n v="1"/>
    <m/>
    <m/>
    <m/>
    <m/>
    <m/>
    <m/>
    <m/>
    <m/>
    <m/>
    <m/>
    <m/>
    <m/>
    <m/>
    <m/>
  </r>
  <r>
    <s v="Madame"/>
    <s v="OZDEMIR"/>
    <s v="Emine"/>
    <n v="47"/>
    <m/>
    <s v="Oyonnax"/>
    <d v="2025-06-27T00:00:00"/>
    <d v="2025-09-15T00:00:00"/>
    <d v="2025-10-07T00:00:00"/>
    <d v="2026-04-05T00:00:00"/>
    <m/>
    <m/>
    <m/>
    <s v="fle"/>
    <m/>
    <m/>
    <m/>
    <m/>
    <m/>
    <s v="autre"/>
    <m/>
    <x v="0"/>
    <d v="2026-04-07T00:00:00"/>
    <n v="1"/>
    <m/>
    <m/>
    <m/>
    <m/>
    <m/>
    <m/>
    <m/>
    <m/>
    <m/>
    <m/>
    <m/>
    <m/>
    <m/>
    <m/>
  </r>
  <r>
    <s v="Monsieur"/>
    <s v="ONCUL"/>
    <s v="Samet"/>
    <n v="32"/>
    <m/>
    <s v="Oyonnax"/>
    <d v="2025-08-28T00:00:00"/>
    <d v="2025-09-24T00:00:00"/>
    <d v="2026-01-21T00:00:00"/>
    <d v="2026-07-20T00:00:00"/>
    <m/>
    <m/>
    <m/>
    <m/>
    <m/>
    <m/>
    <m/>
    <m/>
    <m/>
    <s v="autre"/>
    <m/>
    <x v="0"/>
    <d v="2026-04-07T00:00:00"/>
    <m/>
    <m/>
    <m/>
    <m/>
    <m/>
    <m/>
    <m/>
    <m/>
    <m/>
    <m/>
    <m/>
    <m/>
    <m/>
    <m/>
    <m/>
  </r>
  <r>
    <s v="Madame"/>
    <s v="ANNOUR ALI// ABDALLAH  ABDRAMANE "/>
    <s v="MARIAM"/>
    <n v="51"/>
    <m/>
    <s v="Oyonnax"/>
    <d v="2025-12-22T00:00:00"/>
    <d v="2026-01-19T00:00:00"/>
    <d v="2026-01-19T00:00:00"/>
    <d v="1900-06-28T00:00:00"/>
    <m/>
    <m/>
    <m/>
    <s v="fle++"/>
    <s v="sante"/>
    <m/>
    <m/>
    <m/>
    <n v="1"/>
    <s v="Réorientation"/>
    <s v="Social freins+"/>
    <x v="0"/>
    <d v="2026-04-07T00:00:00"/>
    <n v="1"/>
    <m/>
    <m/>
    <m/>
    <m/>
    <m/>
    <n v="1"/>
    <m/>
    <m/>
    <n v="1"/>
    <m/>
    <m/>
    <m/>
    <m/>
    <m/>
  </r>
  <r>
    <s v="Monsieur"/>
    <s v="GONNETAN"/>
    <s v="PIERRE"/>
    <n v="34"/>
    <m/>
    <s v="Nantua"/>
    <d v="2025-12-08T00:00:00"/>
    <d v="2025-12-29T00:00:00"/>
    <d v="2025-12-19T00:00:00"/>
    <d v="2026-06-17T00:00:00"/>
    <m/>
    <m/>
    <m/>
    <s v="SANTE"/>
    <m/>
    <m/>
    <m/>
    <m/>
    <m/>
    <s v="Fin DD"/>
    <m/>
    <x v="0"/>
    <d v="2026-03-10T00:00:00"/>
    <n v="1"/>
    <m/>
    <m/>
    <m/>
    <m/>
    <m/>
    <m/>
    <m/>
    <m/>
    <m/>
    <m/>
    <m/>
    <m/>
    <m/>
    <m/>
  </r>
  <r>
    <s v="Madame"/>
    <s v="LIEU"/>
    <s v="Ophelie-kim"/>
    <n v="29"/>
    <m/>
    <s v="Oyonnax"/>
    <d v="2025-05-28T00:00:00"/>
    <d v="2026-01-19T00:00:00"/>
    <m/>
    <m/>
    <m/>
    <m/>
    <m/>
    <m/>
    <m/>
    <m/>
    <m/>
    <m/>
    <m/>
    <s v="Réorientation"/>
    <s v="FT acc pro"/>
    <x v="1"/>
    <d v="2026-04-16T00:00:00"/>
    <m/>
    <m/>
    <m/>
    <m/>
    <m/>
    <m/>
    <m/>
    <m/>
    <m/>
    <m/>
    <m/>
    <m/>
    <m/>
    <m/>
    <m/>
  </r>
  <r>
    <s v="Monsieur"/>
    <s v="EL-HAMDI"/>
    <s v="Mourad"/>
    <n v="43"/>
    <m/>
    <s v="Oyonnax"/>
    <d v="2025-06-04T00:00:00"/>
    <d v="2025-09-01T00:00:00"/>
    <d v="2025-10-22T00:00:00"/>
    <d v="2026-04-20T00:00:00"/>
    <m/>
    <m/>
    <m/>
    <m/>
    <m/>
    <m/>
    <n v="5"/>
    <m/>
    <m/>
    <s v="autre"/>
    <m/>
    <x v="0"/>
    <s v="01/05/206"/>
    <n v="1"/>
    <m/>
    <m/>
    <m/>
    <m/>
    <m/>
    <m/>
    <m/>
    <m/>
    <m/>
    <m/>
    <m/>
    <m/>
    <m/>
    <m/>
  </r>
  <r>
    <s v="Madame"/>
    <s v="JEBARI "/>
    <s v="Naoual"/>
    <n v="37"/>
    <m/>
    <s v="Oyonnax"/>
    <d v="2026-04-13T00:00:00"/>
    <d v="2026-04-28T00:00:00"/>
    <m/>
    <m/>
    <m/>
    <m/>
    <m/>
    <m/>
    <m/>
    <m/>
    <m/>
    <m/>
    <m/>
    <s v="Réorientation"/>
    <s v="FT acc pro"/>
    <x v="1"/>
    <d v="2026-04-28T00:00:00"/>
    <m/>
    <m/>
    <m/>
    <m/>
    <m/>
    <m/>
    <m/>
    <m/>
    <m/>
    <m/>
    <m/>
    <m/>
    <m/>
    <m/>
    <m/>
  </r>
  <r>
    <s v="Monsieur"/>
    <s v="BANDATIA"/>
    <s v="ULRICH"/>
    <n v="26"/>
    <m/>
    <s v="Oyonnax"/>
    <d v="2026-01-07T00:00:00"/>
    <d v="2026-01-27T00:00:00"/>
    <d v="2026-01-27T00:00:00"/>
    <d v="2026-07-26T00:00:00"/>
    <m/>
    <m/>
    <m/>
    <s v="SANTE"/>
    <s v="MOBILITE"/>
    <m/>
    <n v="1"/>
    <m/>
    <m/>
    <s v="Déménagement"/>
    <m/>
    <x v="0"/>
    <d v="2026-05-07T00:00:00"/>
    <n v="1"/>
    <m/>
    <m/>
    <m/>
    <m/>
    <m/>
    <m/>
    <m/>
    <m/>
    <m/>
    <m/>
    <m/>
    <m/>
    <m/>
    <m/>
  </r>
  <r>
    <s v="Madame"/>
    <s v="VENOT"/>
    <s v="Emilie"/>
    <n v="28"/>
    <m/>
    <s v="Oyonnax"/>
    <d v="2025-05-13T00:00:00"/>
    <d v="2025-09-02T00:00:00"/>
    <d v="2025-09-24T00:00:00"/>
    <d v="2026-03-23T00:00:00"/>
    <m/>
    <m/>
    <m/>
    <s v="GARDE ENFANT"/>
    <s v="MOBILITE"/>
    <m/>
    <m/>
    <m/>
    <n v="1"/>
    <m/>
    <m/>
    <x v="0"/>
    <m/>
    <n v="1"/>
    <m/>
    <m/>
    <m/>
    <m/>
    <m/>
    <m/>
    <m/>
    <m/>
    <m/>
    <m/>
    <m/>
    <m/>
    <m/>
    <m/>
  </r>
  <r>
    <s v="Madame"/>
    <s v="RIVIERE"/>
    <s v="Cindy"/>
    <n v="32"/>
    <m/>
    <s v="Nantua"/>
    <d v="2025-06-03T00:00:00"/>
    <d v="2025-09-03T00:00:00"/>
    <d v="2025-09-29T00:00:00"/>
    <d v="2026-03-28T00:00:00"/>
    <m/>
    <m/>
    <m/>
    <m/>
    <m/>
    <m/>
    <n v="1"/>
    <n v="1"/>
    <m/>
    <s v="Positive"/>
    <s v="BGE"/>
    <x v="4"/>
    <d v="2026-05-12T00:00:00"/>
    <n v="1"/>
    <m/>
    <m/>
    <m/>
    <m/>
    <m/>
    <m/>
    <m/>
    <m/>
    <m/>
    <m/>
    <m/>
    <m/>
    <m/>
    <m/>
  </r>
  <r>
    <s v="Madame"/>
    <s v="KHAROUNI"/>
    <s v="Kaïna"/>
    <n v="29"/>
    <m/>
    <s v="Oyonnax"/>
    <d v="2025-09-05T00:00:00"/>
    <d v="2025-09-30T00:00:00"/>
    <d v="2025-09-30T00:00:00"/>
    <d v="2026-03-29T00:00:00"/>
    <m/>
    <m/>
    <m/>
    <s v="GARDE ENFANTS"/>
    <m/>
    <m/>
    <n v="1"/>
    <n v="1"/>
    <n v="1"/>
    <s v="Positive"/>
    <s v="FT acc pro"/>
    <x v="1"/>
    <d v="2026-05-12T00:00:00"/>
    <n v="1"/>
    <m/>
    <m/>
    <m/>
    <m/>
    <m/>
    <m/>
    <m/>
    <m/>
    <m/>
    <m/>
    <m/>
    <m/>
    <m/>
    <m/>
  </r>
  <r>
    <s v="Madame"/>
    <s v="OZCAN"/>
    <s v="Kamile"/>
    <n v="61"/>
    <m/>
    <s v="Oyonnax"/>
    <d v="2025-06-27T00:00:00"/>
    <d v="2025-09-10T00:00:00"/>
    <d v="2025-10-22T00:00:00"/>
    <d v="2026-04-20T00:00:00"/>
    <m/>
    <m/>
    <m/>
    <s v="FLE +++"/>
    <s v="MOBILITE/SANTE"/>
    <m/>
    <m/>
    <m/>
    <m/>
    <s v="Renonciation RSA"/>
    <m/>
    <x v="0"/>
    <d v="2026-05-13T00:00:00"/>
    <n v="1"/>
    <m/>
    <m/>
    <m/>
    <m/>
    <m/>
    <m/>
    <m/>
    <m/>
    <m/>
    <m/>
    <m/>
    <m/>
    <m/>
    <m/>
  </r>
  <r>
    <s v="Madame"/>
    <s v="ROCHELLE"/>
    <s v="PATRICIA"/>
    <n v="55"/>
    <m/>
    <s v="Oyonnax"/>
    <d v="2025-09-10T00:00:00"/>
    <d v="2025-12-10T00:00:00"/>
    <d v="2025-12-10T00:00:00"/>
    <d v="2026-06-08T00:00:00"/>
    <m/>
    <m/>
    <m/>
    <s v="sans domicile fixe"/>
    <m/>
    <m/>
    <n v="4"/>
    <m/>
    <m/>
    <s v="Réorientation"/>
    <s v="Social freins+"/>
    <x v="0"/>
    <d v="2026-05-13T00:00:00"/>
    <n v="1"/>
    <m/>
    <m/>
    <m/>
    <m/>
    <m/>
    <m/>
    <m/>
    <m/>
    <m/>
    <m/>
    <m/>
    <m/>
    <m/>
    <m/>
  </r>
  <r>
    <s v="Monsieur"/>
    <s v="BERTHET-BONDET"/>
    <s v="Franck"/>
    <n v="41"/>
    <m/>
    <s v="Oyonnax"/>
    <d v="2025-06-27T00:00:00"/>
    <d v="2025-08-06T00:00:00"/>
    <d v="2025-08-27T00:00:00"/>
    <d v="2026-02-23T00:00:00"/>
    <m/>
    <m/>
    <m/>
    <m/>
    <m/>
    <m/>
    <m/>
    <m/>
    <m/>
    <s v="autre"/>
    <m/>
    <x v="0"/>
    <d v="2026-04-24T00:00:00"/>
    <m/>
    <m/>
    <m/>
    <m/>
    <m/>
    <m/>
    <m/>
    <m/>
    <m/>
    <m/>
    <m/>
    <m/>
    <m/>
    <m/>
    <m/>
  </r>
  <r>
    <s v="Monsieur"/>
    <s v="DERRIEN"/>
    <s v="BRYCE"/>
    <n v="35"/>
    <m/>
    <s v="Nantua"/>
    <d v="2026-01-13T00:00:00"/>
    <d v="2026-01-27T00:00:00"/>
    <m/>
    <m/>
    <m/>
    <m/>
    <m/>
    <m/>
    <m/>
    <m/>
    <m/>
    <m/>
    <m/>
    <s v="autre"/>
    <m/>
    <x v="0"/>
    <d v="2026-05-12T00:00:00"/>
    <m/>
    <m/>
    <m/>
    <m/>
    <m/>
    <m/>
    <m/>
    <m/>
    <m/>
    <m/>
    <m/>
    <m/>
    <m/>
    <m/>
    <m/>
  </r>
  <r>
    <s v="Madame"/>
    <s v="BRASSART"/>
    <s v="Cindy"/>
    <n v="31"/>
    <m/>
    <s v="Nantua"/>
    <d v="2025-04-23T00:00:00"/>
    <d v="2025-08-20T00:00:00"/>
    <d v="2025-08-20T00:00:00"/>
    <d v="2026-02-16T00:00:00"/>
    <m/>
    <m/>
    <m/>
    <s v="mobilite "/>
    <s v="garde enfant"/>
    <m/>
    <m/>
    <m/>
    <m/>
    <s v="autre"/>
    <m/>
    <x v="0"/>
    <d v="2026-05-01T00:00:00"/>
    <n v="1"/>
    <m/>
    <m/>
    <m/>
    <m/>
    <m/>
    <m/>
    <m/>
    <m/>
    <m/>
    <m/>
    <m/>
    <m/>
    <m/>
    <m/>
  </r>
  <r>
    <s v="Monsieur"/>
    <s v="DUBOT"/>
    <s v="Sébastien"/>
    <n v="51"/>
    <m/>
    <s v="Nantua"/>
    <d v="2025-06-30T00:00:00"/>
    <d v="2025-08-04T00:00:00"/>
    <d v="2025-08-21T00:00:00"/>
    <d v="2026-02-17T00:00:00"/>
    <m/>
    <m/>
    <m/>
    <m/>
    <m/>
    <m/>
    <m/>
    <m/>
    <m/>
    <s v="autre"/>
    <m/>
    <x v="0"/>
    <d v="2026-05-01T00:00:00"/>
    <n v="1"/>
    <m/>
    <m/>
    <m/>
    <m/>
    <m/>
    <m/>
    <m/>
    <m/>
    <m/>
    <m/>
    <m/>
    <m/>
    <m/>
    <m/>
  </r>
  <r>
    <s v="Monsieur"/>
    <s v="EL JABBAR"/>
    <s v="Anass"/>
    <n v="33"/>
    <m/>
    <s v="Oyonnax"/>
    <d v="2025-04-28T00:00:00"/>
    <d v="2025-08-13T00:00:00"/>
    <m/>
    <m/>
    <m/>
    <m/>
    <m/>
    <m/>
    <m/>
    <m/>
    <m/>
    <m/>
    <m/>
    <s v="Fin DD"/>
    <m/>
    <x v="0"/>
    <d v="2025-10-23T00:00:00"/>
    <m/>
    <m/>
    <m/>
    <m/>
    <m/>
    <m/>
    <m/>
    <m/>
    <m/>
    <m/>
    <m/>
    <m/>
    <m/>
    <m/>
    <m/>
  </r>
  <r>
    <s v="Monsieur"/>
    <s v="OZER"/>
    <s v="Ismaïl"/>
    <n v="33"/>
    <m/>
    <s v="Oyonnax"/>
    <d v="2025-04-22T00:00:00"/>
    <d v="2025-08-13T00:00:00"/>
    <m/>
    <m/>
    <m/>
    <m/>
    <m/>
    <m/>
    <m/>
    <m/>
    <m/>
    <m/>
    <m/>
    <s v="Fin DD"/>
    <m/>
    <x v="0"/>
    <d v="2025-11-14T00:00:00"/>
    <m/>
    <m/>
    <m/>
    <m/>
    <m/>
    <m/>
    <m/>
    <m/>
    <m/>
    <m/>
    <m/>
    <m/>
    <m/>
    <m/>
    <m/>
  </r>
  <r>
    <s v="Monsieur"/>
    <s v="COLOMBEL"/>
    <s v="Mickael"/>
    <n v="38"/>
    <m/>
    <s v="Oyonnax"/>
    <d v="2025-04-28T00:00:00"/>
    <d v="2025-08-12T00:00:00"/>
    <d v="2025-08-12T00:00:00"/>
    <d v="2026-02-08T00:00:00"/>
    <m/>
    <m/>
    <m/>
    <s v="mobilite"/>
    <m/>
    <m/>
    <m/>
    <m/>
    <m/>
    <s v="autre"/>
    <m/>
    <x v="0"/>
    <d v="2026-03-24T00:00:00"/>
    <n v="1"/>
    <m/>
    <m/>
    <m/>
    <m/>
    <m/>
    <m/>
    <m/>
    <m/>
    <m/>
    <m/>
    <m/>
    <m/>
    <m/>
    <m/>
  </r>
  <r>
    <s v="Monsieur"/>
    <s v="KARIAM"/>
    <s v="Omar"/>
    <n v="49"/>
    <m/>
    <s v="Oyonnax"/>
    <d v="2025-06-27T00:00:00"/>
    <d v="2025-08-04T00:00:00"/>
    <m/>
    <m/>
    <m/>
    <m/>
    <m/>
    <m/>
    <m/>
    <m/>
    <m/>
    <m/>
    <m/>
    <s v="Fin DD"/>
    <m/>
    <x v="0"/>
    <d v="2025-11-14T00:00:00"/>
    <m/>
    <m/>
    <m/>
    <m/>
    <m/>
    <m/>
    <m/>
    <m/>
    <m/>
    <m/>
    <m/>
    <m/>
    <m/>
    <m/>
    <m/>
  </r>
  <r>
    <s v="Madame"/>
    <s v="BEN EMBARECK"/>
    <s v="Wassila"/>
    <n v="32"/>
    <m/>
    <s v="Oyonnax"/>
    <d v="2025-06-27T00:00:00"/>
    <d v="2025-09-09T00:00:00"/>
    <m/>
    <m/>
    <m/>
    <m/>
    <m/>
    <m/>
    <m/>
    <m/>
    <m/>
    <m/>
    <m/>
    <s v="Fin DD"/>
    <m/>
    <x v="0"/>
    <d v="2025-09-01T00:00:00"/>
    <m/>
    <m/>
    <m/>
    <m/>
    <m/>
    <m/>
    <m/>
    <m/>
    <m/>
    <m/>
    <m/>
    <m/>
    <m/>
    <m/>
    <m/>
  </r>
  <r>
    <s v="Monsieur"/>
    <s v="OZER"/>
    <s v="Ismaïl"/>
    <n v="33"/>
    <m/>
    <s v="Oyonnax"/>
    <d v="2025-04-22T00:00:00"/>
    <d v="2025-08-13T00:00:00"/>
    <m/>
    <m/>
    <m/>
    <m/>
    <m/>
    <m/>
    <m/>
    <m/>
    <m/>
    <m/>
    <m/>
    <s v="Fin DD"/>
    <m/>
    <x v="0"/>
    <d v="2025-11-14T00:00:00"/>
    <m/>
    <m/>
    <m/>
    <m/>
    <m/>
    <m/>
    <m/>
    <m/>
    <m/>
    <m/>
    <m/>
    <m/>
    <m/>
    <m/>
    <m/>
  </r>
  <r>
    <s v="Monsieur"/>
    <s v="MAADOUR"/>
    <s v="Anas"/>
    <n v="25"/>
    <m/>
    <s v="Oyonnax"/>
    <d v="2025-05-12T00:00:00"/>
    <d v="2025-09-02T00:00:00"/>
    <m/>
    <m/>
    <m/>
    <m/>
    <m/>
    <m/>
    <m/>
    <m/>
    <m/>
    <m/>
    <m/>
    <s v="Fin DD"/>
    <m/>
    <x v="0"/>
    <d v="2025-11-14T00:00:00"/>
    <m/>
    <m/>
    <m/>
    <m/>
    <m/>
    <m/>
    <m/>
    <m/>
    <m/>
    <m/>
    <m/>
    <m/>
    <m/>
    <m/>
    <m/>
  </r>
  <r>
    <s v="Madame"/>
    <s v="BAYIRTEPE"/>
    <s v="Gulsah"/>
    <n v="45"/>
    <m/>
    <s v="Oyonnax"/>
    <d v="2025-05-16T00:00:00"/>
    <d v="2025-09-02T00:00:00"/>
    <m/>
    <m/>
    <m/>
    <m/>
    <m/>
    <m/>
    <m/>
    <m/>
    <m/>
    <m/>
    <m/>
    <s v="Fin DD"/>
    <m/>
    <x v="0"/>
    <d v="2026-04-30T00:00:00"/>
    <m/>
    <m/>
    <m/>
    <m/>
    <m/>
    <m/>
    <m/>
    <m/>
    <m/>
    <m/>
    <m/>
    <m/>
    <m/>
    <m/>
    <m/>
  </r>
  <r>
    <s v="Monsieur"/>
    <s v="SMAAL"/>
    <s v="Samir"/>
    <n v="49"/>
    <m/>
    <s v="Oyonnax"/>
    <d v="2025-06-27T00:00:00"/>
    <d v="2005-09-08T00:00:00"/>
    <d v="2025-08-28T00:00:00"/>
    <d v="2026-02-24T00:00:00"/>
    <m/>
    <m/>
    <m/>
    <m/>
    <m/>
    <m/>
    <n v="1"/>
    <m/>
    <m/>
    <s v="Fin DD"/>
    <m/>
    <x v="0"/>
    <d v="2026-03-30T00:00:00"/>
    <n v="1"/>
    <m/>
    <m/>
    <m/>
    <m/>
    <m/>
    <m/>
    <m/>
    <m/>
    <m/>
    <m/>
    <m/>
    <m/>
    <m/>
    <m/>
  </r>
  <r>
    <s v="Monsieur"/>
    <s v="LEANG DATH"/>
    <s v="Benoît"/>
    <n v="26"/>
    <m/>
    <s v="Oyonnax"/>
    <d v="2025-07-07T00:00:00"/>
    <d v="2025-07-22T00:00:00"/>
    <d v="2025-07-22T00:00:00"/>
    <d v="2026-01-18T00:00:00"/>
    <m/>
    <m/>
    <m/>
    <s v="mobilité"/>
    <m/>
    <m/>
    <n v="2"/>
    <m/>
    <n v="1"/>
    <s v="Positive"/>
    <s v="FT acc pro"/>
    <x v="5"/>
    <d v="2026-05-25T00:00:00"/>
    <n v="1"/>
    <m/>
    <m/>
    <m/>
    <m/>
    <m/>
    <m/>
    <m/>
    <m/>
    <m/>
    <m/>
    <m/>
    <m/>
    <m/>
    <m/>
  </r>
  <r>
    <s v="Monsieur"/>
    <s v="DIABY"/>
    <s v=" MAMADOU"/>
    <n v="55"/>
    <m/>
    <s v="Oyonnax"/>
    <d v="2026-02-04T00:00:00"/>
    <d v="2026-02-23T00:00:00"/>
    <d v="2026-02-23T00:00:00"/>
    <d v="2026-08-22T00:00:00"/>
    <m/>
    <m/>
    <m/>
    <s v="mobilite"/>
    <m/>
    <m/>
    <m/>
    <m/>
    <m/>
    <s v="autre"/>
    <m/>
    <x v="0"/>
    <d v="2026-06-01T00:00:00"/>
    <m/>
    <m/>
    <m/>
    <m/>
    <m/>
    <m/>
    <m/>
    <m/>
    <m/>
    <m/>
    <m/>
    <m/>
    <m/>
    <m/>
    <m/>
  </r>
  <r>
    <s v="Madame"/>
    <s v="OULAKBIR"/>
    <s v="Touria"/>
    <n v="44"/>
    <m/>
    <s v="Oyonnax"/>
    <d v="2025-04-23T00:00:00"/>
    <d v="2025-10-15T00:00:00"/>
    <d v="2025-10-15T00:00:00"/>
    <d v="2026-04-13T00:00:00"/>
    <m/>
    <m/>
    <m/>
    <m/>
    <m/>
    <m/>
    <n v="1"/>
    <m/>
    <m/>
    <s v="Positive"/>
    <s v="FT acc pro"/>
    <x v="0"/>
    <d v="2026-05-27T00:00:00"/>
    <n v="1"/>
    <m/>
    <m/>
    <m/>
    <m/>
    <m/>
    <m/>
    <m/>
    <m/>
    <m/>
    <m/>
    <m/>
    <m/>
    <m/>
    <m/>
  </r>
  <r>
    <s v="Monsieur"/>
    <s v="GOUROUVIN"/>
    <s v="Gabriel"/>
    <n v="33"/>
    <m/>
    <s v="Oyonnax"/>
    <d v="2026-01-22T00:00:00"/>
    <d v="2026-02-10T00:00:00"/>
    <m/>
    <m/>
    <m/>
    <m/>
    <m/>
    <m/>
    <m/>
    <m/>
    <m/>
    <m/>
    <m/>
    <s v="autre"/>
    <m/>
    <x v="0"/>
    <d v="2026-05-12T00:00:00"/>
    <m/>
    <m/>
    <m/>
    <m/>
    <m/>
    <m/>
    <m/>
    <m/>
    <m/>
    <m/>
    <m/>
    <m/>
    <m/>
    <m/>
    <m/>
  </r>
  <r>
    <s v="Monsieur"/>
    <s v="HASANI"/>
    <s v="Gazmend"/>
    <n v="26"/>
    <m/>
    <s v="Oyonnax"/>
    <d v="2025-08-27T00:00:00"/>
    <d v="2025-09-22T00:00:00"/>
    <m/>
    <m/>
    <m/>
    <m/>
    <m/>
    <m/>
    <m/>
    <m/>
    <m/>
    <m/>
    <m/>
    <s v="autre"/>
    <m/>
    <x v="0"/>
    <d v="2025-12-10T00:00:00"/>
    <m/>
    <m/>
    <m/>
    <m/>
    <m/>
    <m/>
    <m/>
    <m/>
    <m/>
    <m/>
    <m/>
    <m/>
    <m/>
    <m/>
    <m/>
  </r>
  <r>
    <s v="Monsieur"/>
    <s v="CHERIFI "/>
    <s v="HAMZA"/>
    <n v="32"/>
    <m/>
    <s v="Oyonnax"/>
    <d v="2026-01-05T00:00:00"/>
    <d v="2026-01-26T00:00:00"/>
    <d v="2026-02-09T00:00:00"/>
    <d v="2026-08-08T00:00:00"/>
    <m/>
    <m/>
    <m/>
    <m/>
    <m/>
    <m/>
    <m/>
    <m/>
    <m/>
    <s v="autre"/>
    <m/>
    <x v="0"/>
    <d v="2026-05-01T00:00:00"/>
    <m/>
    <m/>
    <m/>
    <m/>
    <m/>
    <m/>
    <m/>
    <m/>
    <m/>
    <m/>
    <m/>
    <m/>
    <m/>
    <m/>
    <m/>
  </r>
  <r>
    <s v="Madame"/>
    <s v="MUTLU"/>
    <s v="Mualla"/>
    <n v="51"/>
    <m/>
    <s v="Oyonnax"/>
    <d v="2025-06-27T00:00:00"/>
    <d v="2025-09-01T00:00:00"/>
    <d v="2025-09-10T00:00:00"/>
    <d v="2026-03-09T00:00:00"/>
    <s v="Renouvellement"/>
    <m/>
    <m/>
    <s v="FLE +++"/>
    <s v="MOBILITE"/>
    <m/>
    <n v="4"/>
    <m/>
    <n v="1"/>
    <s v="Réorientation"/>
    <s v="Social freins+"/>
    <x v="0"/>
    <d v="2026-06-09T00:00:00"/>
    <n v="1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eau croisé dynamique8" cacheId="0" dataOnRows="1" applyNumberFormats="0" applyBorderFormats="0" applyFontFormats="0" applyPatternFormats="0" applyAlignmentFormats="0" applyWidthHeightFormats="1" dataCaption="Bilan de parcours + démarches " updatedVersion="6" minRefreshableVersion="3" useAutoFormatting="1" itemPrintTitles="1" createdVersion="6" indent="0" outline="1" outlineData="1" multipleFieldFilters="0">
  <location ref="E19:F33" firstHeaderRow="1" firstDataRow="1" firstDataCol="1"/>
  <pivotFields count="19"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</pivotFields>
  <rowFields count="1">
    <field x="-2"/>
  </rowFields>
  <row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rowItems>
  <colItems count="1">
    <i/>
  </colItems>
  <dataFields count="14">
    <dataField name="Nombre de 1er mois" fld="2" subtotal="count" baseField="0" baseItem="0"/>
    <dataField name="Nombre de 2e mois" fld="3" subtotal="count" baseField="0" baseItem="0"/>
    <dataField name="Nombre de 3e mois" fld="4" subtotal="count" baseField="0" baseItem="0"/>
    <dataField name="Nombre de 4e mois" fld="5" subtotal="count" baseField="0" baseItem="0"/>
    <dataField name="Nombre de 5e mois" fld="6" subtotal="count" baseField="0" baseItem="0"/>
    <dataField name="Nombre de 6e mois" fld="7" subtotal="count" baseField="0" baseItem="0"/>
    <dataField name="Nombre de demande" fld="8" subtotal="count" baseField="0" baseItem="0"/>
    <dataField name="Nombre de Renouvellement" fld="10" subtotal="count" baseField="0" baseItem="0"/>
    <dataField name="Nombre de 8e mois" fld="11" subtotal="count" baseField="0" baseItem="0"/>
    <dataField name="Nombre de 9e mois" fld="12" subtotal="count" baseField="0" baseItem="0"/>
    <dataField name="Nombre de 11e mois" fld="14" subtotal="count" baseField="0" baseItem="0"/>
    <dataField name="Nombre de 10e mois" fld="13" subtotal="count" baseField="0" baseItem="0"/>
    <dataField name="Nombre de 12e mois" fld="15" subtotal="count" baseField="0" baseItem="0"/>
    <dataField name="Nombre de Préco Réo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eau croisé dynamique6" cacheId="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D37:F61" firstHeaderRow="0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3"/>
        <item x="6"/>
        <item x="4"/>
        <item x="5"/>
        <item x="2"/>
        <item x="1"/>
        <item x="0"/>
        <item t="default"/>
      </items>
    </pivotField>
    <pivotField axis="axisRow" dataField="1" showAll="0">
      <items count="10">
        <item x="4"/>
        <item x="7"/>
        <item x="3"/>
        <item x="6"/>
        <item x="1"/>
        <item x="5"/>
        <item x="8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9"/>
    <field x="20"/>
  </rowFields>
  <rowItems count="24">
    <i>
      <x/>
    </i>
    <i r="1">
      <x v="4"/>
    </i>
    <i r="1">
      <x v="8"/>
    </i>
    <i>
      <x v="1"/>
    </i>
    <i r="1">
      <x v="8"/>
    </i>
    <i>
      <x v="2"/>
    </i>
    <i r="1">
      <x v="8"/>
    </i>
    <i>
      <x v="3"/>
    </i>
    <i r="1">
      <x v="1"/>
    </i>
    <i r="1">
      <x v="2"/>
    </i>
    <i>
      <x v="4"/>
    </i>
    <i r="1">
      <x v="8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MOTIF de la REO" fld="20" subtotal="count" baseField="0" baseItem="0"/>
    <dataField name="Nombre de Motif de sortie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eau croisé dynamique9" cacheId="1" dataOnRows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2:B48" firstHeaderRow="1" firstDataRow="1" firstDataCol="1"/>
  <pivotFields count="29"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14" showAll="0"/>
  </pivotFields>
  <rowFields count="1">
    <field x="-2"/>
  </rowFields>
  <row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rowItems>
  <colItems count="1">
    <i/>
  </colItems>
  <dataFields count="16">
    <dataField name="Somme de 1ER RDV" fld="2" baseField="0" baseItem="0"/>
    <dataField name="Somme de 2EME" fld="3" baseField="0" baseItem="0"/>
    <dataField name="Nombre de 1er mois" fld="4" subtotal="count" baseField="0" baseItem="0"/>
    <dataField name="Nombre de 2e mois" fld="5" subtotal="count" baseField="0" baseItem="0"/>
    <dataField name="Nombre de 3e mois" fld="6" subtotal="count" baseField="0" baseItem="0"/>
    <dataField name="Nombre de 4e mois" fld="7" subtotal="count" baseField="0" baseItem="0"/>
    <dataField name="Nombre de 5e mois" fld="8" subtotal="count" baseField="0" baseItem="0"/>
    <dataField name="Nombre de 6e mois" fld="9" subtotal="count" baseField="0" baseItem="0"/>
    <dataField name="Nombre de 7e mois" fld="10" subtotal="count" baseField="0" baseItem="0"/>
    <dataField name="Nombre de 8e mois" fld="11" subtotal="count" baseField="0" baseItem="0"/>
    <dataField name="Nombre de 9e mois" fld="12" subtotal="count" baseField="0" baseItem="0"/>
    <dataField name="Nombre de 10e mois" fld="13" subtotal="count" baseField="0" baseItem="0"/>
    <dataField name="Nombre de 11e mois" fld="14" subtotal="count" baseField="0" baseItem="0"/>
    <dataField name="Nombre de 12e mois" fld="15" subtotal="count" baseField="0" baseItem="0"/>
    <dataField name="Nombre de Dde etude de situation." fld="16" subtotal="count" baseField="0" baseItem="0"/>
    <dataField name="Nombre de date de la demande 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leau croisé dynamique1" cacheId="4" dataOnRows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1:B8" firstHeaderRow="1" firstDataRow="1" firstDataCol="1"/>
  <pivotFields count="40"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Moyenne de âge" fld="3" subtotal="average" baseField="0" baseItem="1"/>
    <dataField name="Nombre de CONTRAT ENGAGEMENT SIGNE" fld="8" subtotal="count" baseField="0" baseItem="0"/>
    <dataField name="Nombre de BILAN PARCOURS (7eme mois)" fld="10" subtotal="count" baseField="0" baseItem="0"/>
    <dataField name="Somme de PMSMP" fld="18" baseField="0" baseItem="0"/>
    <dataField name="Nombre de H/F" fld="0" subtotal="count" baseField="0" baseItem="0"/>
    <dataField name="Nombre de Saisie FSE" fld="23" subtotal="count" baseField="0" baseItem="0"/>
    <dataField name="Nombre de AIDE FINANCIERE 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leau croisé dynamique2" cacheId="3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rowHeaderCaption="i">
  <location ref="A10:C27" firstHeaderRow="1" firstDataRow="1" firstDataCol="0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m="1" x="4"/>
        <item x="2"/>
        <item x="1"/>
        <item x="0"/>
        <item t="default"/>
      </items>
    </pivotField>
    <pivotField showAll="0">
      <items count="10">
        <item x="4"/>
        <item x="7"/>
        <item x="3"/>
        <item x="6"/>
        <item x="1"/>
        <item x="5"/>
        <item x="8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leau croisé dynamique3" cacheId="6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E10:F17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2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mbre de types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leau croisé dynamique7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C1:D5" firstHeaderRow="1" firstDataRow="1" firstDataCol="1"/>
  <pivotFields count="1">
    <pivotField axis="axisRow" dataField="1" showAll="0">
      <items count="4">
        <item x="1"/>
        <item x="2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H/F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XFD547"/>
  <sheetViews>
    <sheetView zoomScaleNormal="100" workbookViewId="0">
      <pane xSplit="5" ySplit="12" topLeftCell="F68" activePane="bottomRight" state="frozen"/>
      <selection pane="topRight" activeCell="G1" sqref="G1"/>
      <selection pane="bottomLeft" activeCell="A8" sqref="A8"/>
      <selection pane="bottomRight" activeCell="A79" sqref="A79:XFD79"/>
    </sheetView>
  </sheetViews>
  <sheetFormatPr baseColWidth="10" defaultColWidth="11.42578125" defaultRowHeight="15"/>
  <cols>
    <col min="1" max="1" width="5.140625" style="57" customWidth="1"/>
    <col min="2" max="2" width="12.42578125" style="53" bestFit="1" customWidth="1"/>
    <col min="3" max="3" width="23.28515625" style="145" bestFit="1" customWidth="1"/>
    <col min="4" max="4" width="12.42578125" style="146" bestFit="1" customWidth="1"/>
    <col min="5" max="5" width="9" style="124" bestFit="1" customWidth="1"/>
    <col min="6" max="6" width="9.85546875" style="147" customWidth="1"/>
    <col min="7" max="7" width="11.42578125" style="56" customWidth="1"/>
    <col min="8" max="8" width="12.42578125" style="145" bestFit="1" customWidth="1"/>
    <col min="9" max="9" width="11.140625" style="145" customWidth="1"/>
    <col min="10" max="10" width="13.7109375" style="148" customWidth="1"/>
    <col min="11" max="11" width="13.7109375" style="149" customWidth="1"/>
    <col min="12" max="12" width="17.7109375" style="149" bestFit="1" customWidth="1"/>
    <col min="13" max="13" width="13.7109375" style="145" customWidth="1"/>
    <col min="14" max="14" width="13.7109375" style="149" customWidth="1"/>
    <col min="15" max="15" width="18" style="145" customWidth="1"/>
    <col min="16" max="16" width="15.28515625" style="145" bestFit="1" customWidth="1"/>
    <col min="17" max="17" width="15.28515625" style="145" customWidth="1"/>
    <col min="18" max="19" width="25.140625" style="145" customWidth="1"/>
    <col min="20" max="20" width="8.5703125" style="53" customWidth="1"/>
    <col min="21" max="21" width="15.28515625" style="126" bestFit="1" customWidth="1"/>
    <col min="22" max="22" width="19" style="53" bestFit="1" customWidth="1"/>
    <col min="23" max="23" width="21.7109375" style="53" customWidth="1"/>
    <col min="24" max="25" width="13.42578125" style="53" customWidth="1"/>
    <col min="26" max="39" width="9" style="53" customWidth="1"/>
    <col min="40" max="40" width="86.7109375" style="57" bestFit="1" customWidth="1"/>
    <col min="41" max="41" width="8.42578125" style="124" customWidth="1"/>
    <col min="42" max="16384" width="11.42578125" style="53"/>
  </cols>
  <sheetData>
    <row r="1" spans="1:51" ht="17.45" customHeight="1" thickBot="1">
      <c r="A1" s="59"/>
      <c r="B1" s="59"/>
      <c r="C1" s="116"/>
      <c r="D1" s="117"/>
      <c r="E1" s="118"/>
      <c r="F1" s="117"/>
      <c r="G1" s="120"/>
      <c r="H1" s="323"/>
      <c r="I1" s="197"/>
      <c r="J1" s="121"/>
      <c r="K1" s="122"/>
      <c r="L1" s="122"/>
      <c r="M1" s="197" t="s">
        <v>701</v>
      </c>
      <c r="N1" s="122"/>
      <c r="O1" s="119"/>
      <c r="P1" s="119"/>
      <c r="Q1" s="119"/>
      <c r="R1" s="123"/>
      <c r="S1" s="123"/>
      <c r="T1" s="119"/>
      <c r="U1" s="123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</row>
    <row r="2" spans="1:51" ht="18.75">
      <c r="A2" s="60"/>
      <c r="B2" s="527" t="s">
        <v>65</v>
      </c>
      <c r="C2" s="528"/>
      <c r="D2" s="528"/>
      <c r="E2" s="528"/>
      <c r="F2" s="528"/>
      <c r="G2" s="528"/>
      <c r="H2" s="528"/>
      <c r="I2" s="529"/>
      <c r="J2" s="325"/>
      <c r="K2" s="326" t="s">
        <v>701</v>
      </c>
      <c r="L2" s="327"/>
      <c r="M2" s="197" t="s">
        <v>702</v>
      </c>
      <c r="N2" s="397"/>
      <c r="O2" s="327"/>
      <c r="P2" s="328"/>
      <c r="Q2" s="328"/>
      <c r="R2" s="328"/>
      <c r="S2" s="329"/>
      <c r="T2" s="125"/>
    </row>
    <row r="3" spans="1:51" ht="18.75">
      <c r="A3" s="60"/>
      <c r="B3" s="530" t="s">
        <v>796</v>
      </c>
      <c r="C3" s="531"/>
      <c r="D3" s="531"/>
      <c r="E3" s="531"/>
      <c r="F3" s="531"/>
      <c r="G3" s="531"/>
      <c r="H3" s="531"/>
      <c r="I3" s="532"/>
      <c r="J3" s="330"/>
      <c r="K3" s="533" t="s">
        <v>702</v>
      </c>
      <c r="L3" s="534"/>
      <c r="M3" s="534"/>
      <c r="N3" s="534"/>
      <c r="O3" s="534"/>
      <c r="P3" s="534"/>
      <c r="Q3" s="534"/>
      <c r="R3" s="534"/>
      <c r="S3" s="535"/>
      <c r="T3" s="125"/>
    </row>
    <row r="4" spans="1:51" ht="19.5" thickBot="1">
      <c r="A4" s="60"/>
      <c r="B4" s="536" t="s">
        <v>631</v>
      </c>
      <c r="C4" s="537"/>
      <c r="D4" s="537"/>
      <c r="E4" s="537"/>
      <c r="F4" s="537"/>
      <c r="G4" s="537"/>
      <c r="H4" s="537"/>
      <c r="I4" s="538"/>
      <c r="J4" s="331"/>
      <c r="K4" s="539" t="s">
        <v>703</v>
      </c>
      <c r="L4" s="540"/>
      <c r="M4" s="540"/>
      <c r="N4" s="540"/>
      <c r="O4" s="540"/>
      <c r="P4" s="540"/>
      <c r="Q4" s="540"/>
      <c r="R4" s="540"/>
      <c r="S4" s="541"/>
      <c r="T4" s="125"/>
    </row>
    <row r="5" spans="1:51" ht="16.899999999999999" customHeight="1">
      <c r="A5" s="543"/>
      <c r="B5" s="543"/>
      <c r="C5" s="543"/>
      <c r="D5" s="543"/>
      <c r="E5" s="543"/>
      <c r="F5" s="543"/>
      <c r="G5" s="120"/>
      <c r="H5" s="323"/>
      <c r="I5" s="198"/>
      <c r="J5" s="127"/>
      <c r="K5" s="128"/>
      <c r="L5" s="128"/>
      <c r="O5" s="120"/>
      <c r="P5" s="120"/>
      <c r="Q5" s="120"/>
      <c r="R5" s="120"/>
      <c r="S5" s="120"/>
      <c r="U5" s="129"/>
      <c r="V5" s="542"/>
      <c r="W5" s="542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</row>
    <row r="6" spans="1:51" ht="16.899999999999999" customHeight="1">
      <c r="A6" s="61" t="s">
        <v>467</v>
      </c>
      <c r="B6" s="130"/>
      <c r="C6" s="131"/>
      <c r="D6" s="132"/>
      <c r="E6" s="133"/>
      <c r="F6" s="134"/>
      <c r="G6" s="120"/>
      <c r="H6" s="324"/>
      <c r="I6" s="248"/>
      <c r="J6" s="249"/>
      <c r="K6" s="249"/>
      <c r="L6" s="250"/>
      <c r="O6" s="251"/>
      <c r="P6" s="251"/>
      <c r="Q6" s="246"/>
      <c r="R6" s="247"/>
      <c r="S6" s="120"/>
      <c r="T6" s="135"/>
      <c r="U6" s="129"/>
      <c r="V6" s="135"/>
      <c r="W6" s="252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6"/>
      <c r="AL6" s="196"/>
      <c r="AM6" s="196"/>
    </row>
    <row r="7" spans="1:51" ht="37.15" customHeight="1">
      <c r="A7" s="61"/>
      <c r="B7" s="195"/>
      <c r="C7" s="484" t="s">
        <v>1042</v>
      </c>
      <c r="D7" s="483">
        <f>SUM(A13:A543)</f>
        <v>66</v>
      </c>
      <c r="E7" s="133"/>
      <c r="F7" s="134"/>
      <c r="G7" s="120"/>
      <c r="H7" s="120"/>
      <c r="I7" s="248"/>
      <c r="J7" s="249"/>
      <c r="K7" s="249"/>
      <c r="L7" s="250"/>
      <c r="O7" s="251"/>
      <c r="P7" s="251"/>
      <c r="Q7" s="246"/>
      <c r="R7" s="247"/>
      <c r="S7" s="120"/>
      <c r="T7" s="194"/>
      <c r="U7" s="569" t="s">
        <v>795</v>
      </c>
      <c r="V7" s="569"/>
      <c r="W7" s="569"/>
      <c r="X7" s="569"/>
      <c r="Y7" s="253"/>
      <c r="Z7" s="196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</row>
    <row r="8" spans="1:51" ht="16.899999999999999" customHeight="1">
      <c r="A8" s="61"/>
      <c r="B8" s="195"/>
      <c r="C8" s="131"/>
      <c r="D8" s="132"/>
      <c r="E8" s="133"/>
      <c r="F8" s="134"/>
      <c r="G8" s="120"/>
      <c r="H8" s="120"/>
      <c r="I8" s="248"/>
      <c r="J8" s="249"/>
      <c r="K8" s="249"/>
      <c r="L8" s="250"/>
      <c r="O8" s="251"/>
      <c r="P8" s="251"/>
      <c r="Q8" s="246"/>
      <c r="R8" s="247"/>
      <c r="S8" s="120"/>
      <c r="T8" s="194"/>
      <c r="U8" s="570" t="s">
        <v>52</v>
      </c>
      <c r="V8" s="570"/>
      <c r="W8" s="570"/>
      <c r="X8" s="570"/>
      <c r="Y8" s="196"/>
      <c r="Z8" s="196"/>
      <c r="AA8" s="196"/>
      <c r="AB8" s="196"/>
      <c r="AC8" s="196"/>
      <c r="AD8" s="196"/>
      <c r="AE8" s="196"/>
      <c r="AF8" s="196"/>
      <c r="AG8" s="196"/>
      <c r="AH8" s="196"/>
      <c r="AI8" s="196"/>
      <c r="AJ8" s="196"/>
      <c r="AK8" s="196"/>
      <c r="AL8" s="196"/>
      <c r="AM8" s="196"/>
    </row>
    <row r="9" spans="1:51" ht="16.5">
      <c r="A9" s="61"/>
      <c r="B9" s="195"/>
      <c r="C9" s="131"/>
      <c r="D9" s="132"/>
      <c r="E9" s="133"/>
      <c r="F9" s="134"/>
      <c r="G9" s="120"/>
      <c r="H9" s="120"/>
      <c r="I9" s="120"/>
      <c r="J9" s="586" t="s">
        <v>538</v>
      </c>
      <c r="K9" s="587"/>
      <c r="L9" s="128"/>
      <c r="M9" s="602" t="s">
        <v>538</v>
      </c>
      <c r="N9" s="602"/>
      <c r="O9" s="590" t="s">
        <v>681</v>
      </c>
      <c r="P9" s="591"/>
      <c r="Q9" s="592"/>
      <c r="R9" s="120"/>
      <c r="S9" s="120"/>
      <c r="T9" s="194"/>
      <c r="U9" s="570"/>
      <c r="V9" s="570"/>
      <c r="W9" s="570"/>
      <c r="X9" s="570"/>
      <c r="Y9" s="196"/>
      <c r="Z9" s="196"/>
      <c r="AA9" s="196"/>
      <c r="AB9" s="196"/>
      <c r="AC9" s="196"/>
      <c r="AD9" s="196"/>
      <c r="AE9" s="196"/>
      <c r="AF9" s="196"/>
      <c r="AG9" s="196"/>
      <c r="AH9" s="196"/>
      <c r="AI9" s="196"/>
      <c r="AJ9" s="196"/>
      <c r="AK9" s="196"/>
      <c r="AL9" s="196"/>
      <c r="AM9" s="196"/>
    </row>
    <row r="10" spans="1:51" ht="16.899999999999999" customHeight="1" thickBot="1">
      <c r="A10" s="58"/>
      <c r="B10" s="136"/>
      <c r="C10" s="137"/>
      <c r="E10" s="138"/>
      <c r="F10" s="139"/>
      <c r="G10" s="120"/>
      <c r="H10" s="120"/>
      <c r="I10" s="120"/>
      <c r="J10" s="588"/>
      <c r="K10" s="589"/>
      <c r="L10" s="128"/>
      <c r="M10" s="602"/>
      <c r="N10" s="602"/>
      <c r="O10" s="593"/>
      <c r="P10" s="594"/>
      <c r="Q10" s="595"/>
      <c r="R10" s="120"/>
      <c r="S10" s="120"/>
      <c r="T10" s="136"/>
      <c r="U10" s="571"/>
      <c r="V10" s="571"/>
      <c r="W10" s="571"/>
      <c r="X10" s="571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</row>
    <row r="11" spans="1:51" ht="47.25" customHeight="1">
      <c r="B11" s="544" t="s">
        <v>1</v>
      </c>
      <c r="C11" s="565" t="s">
        <v>268</v>
      </c>
      <c r="D11" s="563" t="s">
        <v>269</v>
      </c>
      <c r="E11" s="545" t="s">
        <v>0</v>
      </c>
      <c r="F11" s="547" t="s">
        <v>2</v>
      </c>
      <c r="G11" s="549" t="s">
        <v>31</v>
      </c>
      <c r="H11" s="551" t="s">
        <v>32</v>
      </c>
      <c r="I11" s="553" t="s">
        <v>265</v>
      </c>
      <c r="J11" s="555" t="s">
        <v>481</v>
      </c>
      <c r="K11" s="557" t="s">
        <v>539</v>
      </c>
      <c r="L11" s="596" t="s">
        <v>759</v>
      </c>
      <c r="M11" s="600" t="s">
        <v>886</v>
      </c>
      <c r="N11" s="601" t="s">
        <v>887</v>
      </c>
      <c r="O11" s="559">
        <v>1</v>
      </c>
      <c r="P11" s="561">
        <v>2</v>
      </c>
      <c r="Q11" s="561" t="s">
        <v>59</v>
      </c>
      <c r="R11" s="567" t="s">
        <v>699</v>
      </c>
      <c r="S11" s="567" t="s">
        <v>700</v>
      </c>
      <c r="T11" s="576" t="s">
        <v>61</v>
      </c>
      <c r="U11" s="580" t="s">
        <v>3</v>
      </c>
      <c r="V11" s="578" t="s">
        <v>682</v>
      </c>
      <c r="W11" s="572" t="s">
        <v>48</v>
      </c>
      <c r="X11" s="572" t="s">
        <v>683</v>
      </c>
      <c r="Y11" s="574" t="s">
        <v>684</v>
      </c>
      <c r="Z11" s="584" t="s">
        <v>685</v>
      </c>
      <c r="AA11" s="605" t="s">
        <v>686</v>
      </c>
      <c r="AB11" s="605" t="s">
        <v>687</v>
      </c>
      <c r="AC11" s="605" t="s">
        <v>688</v>
      </c>
      <c r="AD11" s="584" t="s">
        <v>689</v>
      </c>
      <c r="AE11" s="582" t="s">
        <v>690</v>
      </c>
      <c r="AF11" s="582" t="s">
        <v>691</v>
      </c>
      <c r="AG11" s="582" t="s">
        <v>692</v>
      </c>
      <c r="AH11" s="582" t="s">
        <v>693</v>
      </c>
      <c r="AI11" s="582" t="s">
        <v>694</v>
      </c>
      <c r="AJ11" s="582" t="s">
        <v>695</v>
      </c>
      <c r="AK11" s="582" t="s">
        <v>696</v>
      </c>
      <c r="AL11" s="582" t="s">
        <v>697</v>
      </c>
      <c r="AM11" s="582" t="s">
        <v>698</v>
      </c>
      <c r="AN11" s="603" t="s">
        <v>469</v>
      </c>
      <c r="AO11" s="598" t="s">
        <v>468</v>
      </c>
    </row>
    <row r="12" spans="1:51" s="70" customFormat="1" ht="39.6" customHeight="1">
      <c r="A12" s="83"/>
      <c r="B12" s="544"/>
      <c r="C12" s="566"/>
      <c r="D12" s="564"/>
      <c r="E12" s="546"/>
      <c r="F12" s="548"/>
      <c r="G12" s="550"/>
      <c r="H12" s="552"/>
      <c r="I12" s="554"/>
      <c r="J12" s="556"/>
      <c r="K12" s="558"/>
      <c r="L12" s="597"/>
      <c r="M12" s="600"/>
      <c r="N12" s="601"/>
      <c r="O12" s="560"/>
      <c r="P12" s="562"/>
      <c r="Q12" s="562"/>
      <c r="R12" s="568"/>
      <c r="S12" s="568"/>
      <c r="T12" s="577"/>
      <c r="U12" s="581"/>
      <c r="V12" s="579"/>
      <c r="W12" s="573"/>
      <c r="X12" s="573"/>
      <c r="Y12" s="575"/>
      <c r="Z12" s="585"/>
      <c r="AA12" s="606"/>
      <c r="AB12" s="606"/>
      <c r="AC12" s="606"/>
      <c r="AD12" s="585"/>
      <c r="AE12" s="583"/>
      <c r="AF12" s="583"/>
      <c r="AG12" s="583"/>
      <c r="AH12" s="583"/>
      <c r="AI12" s="583"/>
      <c r="AJ12" s="583"/>
      <c r="AK12" s="583"/>
      <c r="AL12" s="583"/>
      <c r="AM12" s="583"/>
      <c r="AN12" s="604"/>
      <c r="AO12" s="599"/>
    </row>
    <row r="13" spans="1:51" s="55" customFormat="1" ht="18" customHeight="1">
      <c r="A13" s="254">
        <v>1</v>
      </c>
      <c r="B13" s="263" t="s">
        <v>266</v>
      </c>
      <c r="C13" s="279" t="s">
        <v>276</v>
      </c>
      <c r="D13" s="263" t="s">
        <v>277</v>
      </c>
      <c r="E13" s="164">
        <v>54</v>
      </c>
      <c r="F13" s="264"/>
      <c r="G13" s="161" t="s">
        <v>66</v>
      </c>
      <c r="H13" s="347">
        <v>45835</v>
      </c>
      <c r="I13" s="90">
        <v>45868</v>
      </c>
      <c r="J13" s="299">
        <v>45930</v>
      </c>
      <c r="K13" s="90">
        <f t="shared" ref="K13:K31" si="0">J13+180</f>
        <v>46110</v>
      </c>
      <c r="L13" s="333" t="s">
        <v>743</v>
      </c>
      <c r="M13" s="399">
        <v>46142</v>
      </c>
      <c r="N13" s="244">
        <f t="shared" ref="N13:N31" si="1">M13+180</f>
        <v>46322</v>
      </c>
      <c r="O13" s="263" t="s">
        <v>494</v>
      </c>
      <c r="P13" s="391" t="s">
        <v>503</v>
      </c>
      <c r="Q13" s="391"/>
      <c r="R13" s="161">
        <v>3</v>
      </c>
      <c r="S13" s="161">
        <v>2</v>
      </c>
      <c r="T13" s="263"/>
      <c r="U13" s="111"/>
      <c r="V13" s="266"/>
      <c r="W13" s="81"/>
      <c r="X13" s="81"/>
      <c r="Y13" s="436" t="s">
        <v>976</v>
      </c>
      <c r="Z13" s="81"/>
      <c r="AA13" s="81"/>
      <c r="AB13" s="81"/>
      <c r="AC13" s="81"/>
      <c r="AD13" s="81"/>
      <c r="AE13" s="81">
        <v>1</v>
      </c>
      <c r="AF13" s="81"/>
      <c r="AG13" s="81"/>
      <c r="AH13" s="81"/>
      <c r="AI13" s="81"/>
      <c r="AJ13" s="81"/>
      <c r="AK13" s="81"/>
      <c r="AL13" s="81"/>
      <c r="AM13" s="81" t="s">
        <v>862</v>
      </c>
      <c r="AN13" s="81" t="s">
        <v>847</v>
      </c>
      <c r="AO13" s="111"/>
      <c r="AP13" s="69"/>
      <c r="AQ13" s="69"/>
      <c r="AR13" s="69"/>
      <c r="AS13" s="69"/>
      <c r="AT13" s="69"/>
      <c r="AU13" s="69"/>
      <c r="AV13" s="69"/>
      <c r="AW13" s="69"/>
      <c r="AX13" s="69"/>
      <c r="AY13" s="69"/>
    </row>
    <row r="14" spans="1:51" s="55" customFormat="1" ht="18" customHeight="1">
      <c r="A14" s="254">
        <v>1</v>
      </c>
      <c r="B14" s="263" t="s">
        <v>266</v>
      </c>
      <c r="C14" s="161" t="s">
        <v>280</v>
      </c>
      <c r="D14" s="263" t="s">
        <v>281</v>
      </c>
      <c r="E14" s="164">
        <v>40</v>
      </c>
      <c r="F14" s="264"/>
      <c r="G14" s="161" t="s">
        <v>67</v>
      </c>
      <c r="H14" s="260">
        <v>45828</v>
      </c>
      <c r="I14" s="82">
        <v>45880</v>
      </c>
      <c r="J14" s="90">
        <v>45880</v>
      </c>
      <c r="K14" s="90">
        <f t="shared" si="0"/>
        <v>46060</v>
      </c>
      <c r="L14" s="244" t="s">
        <v>743</v>
      </c>
      <c r="M14" s="399">
        <v>46064</v>
      </c>
      <c r="N14" s="244">
        <f t="shared" si="1"/>
        <v>46244</v>
      </c>
      <c r="O14" s="263" t="s">
        <v>496</v>
      </c>
      <c r="P14" s="263" t="s">
        <v>495</v>
      </c>
      <c r="Q14" s="263"/>
      <c r="R14" s="265">
        <v>0</v>
      </c>
      <c r="S14" s="265"/>
      <c r="T14" s="263">
        <v>1</v>
      </c>
      <c r="U14" s="111"/>
      <c r="V14" s="266"/>
      <c r="W14" s="81"/>
      <c r="X14" s="81"/>
      <c r="Y14" s="436" t="s">
        <v>947</v>
      </c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81"/>
      <c r="AN14" s="81"/>
      <c r="AO14" s="111"/>
      <c r="AP14" s="69"/>
      <c r="AQ14" s="69"/>
      <c r="AR14" s="69"/>
      <c r="AS14" s="69"/>
      <c r="AT14" s="69"/>
      <c r="AU14" s="69"/>
      <c r="AV14" s="69"/>
      <c r="AW14" s="69"/>
      <c r="AX14" s="69"/>
      <c r="AY14" s="69"/>
    </row>
    <row r="15" spans="1:51" s="55" customFormat="1" ht="18" customHeight="1">
      <c r="A15" s="254">
        <v>1</v>
      </c>
      <c r="B15" s="263" t="s">
        <v>266</v>
      </c>
      <c r="C15" s="161" t="s">
        <v>309</v>
      </c>
      <c r="D15" s="263" t="s">
        <v>310</v>
      </c>
      <c r="E15" s="164">
        <v>26</v>
      </c>
      <c r="F15" s="264"/>
      <c r="G15" s="161" t="s">
        <v>66</v>
      </c>
      <c r="H15" s="163">
        <v>45805</v>
      </c>
      <c r="I15" s="176">
        <v>45894</v>
      </c>
      <c r="J15" s="101">
        <v>45929</v>
      </c>
      <c r="K15" s="90">
        <f t="shared" si="0"/>
        <v>46109</v>
      </c>
      <c r="L15" s="333"/>
      <c r="M15" s="400"/>
      <c r="N15" s="244">
        <f t="shared" si="1"/>
        <v>180</v>
      </c>
      <c r="O15" s="267" t="s">
        <v>496</v>
      </c>
      <c r="P15" s="267" t="s">
        <v>495</v>
      </c>
      <c r="Q15" s="267"/>
      <c r="R15" s="267"/>
      <c r="S15" s="267"/>
      <c r="T15" s="81"/>
      <c r="U15" s="111"/>
      <c r="V15" s="266"/>
      <c r="W15" s="81"/>
      <c r="X15" s="81"/>
      <c r="Y15" s="438" t="s">
        <v>1029</v>
      </c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 t="s">
        <v>880</v>
      </c>
      <c r="AO15" s="111">
        <v>1</v>
      </c>
      <c r="AP15" s="69"/>
      <c r="AQ15" s="69"/>
      <c r="AR15" s="69"/>
      <c r="AS15" s="69"/>
      <c r="AT15" s="69"/>
      <c r="AU15" s="69"/>
      <c r="AV15" s="69"/>
      <c r="AW15" s="69"/>
      <c r="AX15" s="69"/>
      <c r="AY15" s="69"/>
    </row>
    <row r="16" spans="1:51" s="55" customFormat="1" ht="18" customHeight="1">
      <c r="A16" s="254">
        <v>1</v>
      </c>
      <c r="B16" s="263" t="s">
        <v>266</v>
      </c>
      <c r="C16" s="161" t="s">
        <v>319</v>
      </c>
      <c r="D16" s="263" t="s">
        <v>320</v>
      </c>
      <c r="E16" s="164">
        <v>41</v>
      </c>
      <c r="F16" s="264"/>
      <c r="G16" s="161" t="s">
        <v>66</v>
      </c>
      <c r="H16" s="163">
        <v>45820</v>
      </c>
      <c r="I16" s="176">
        <v>45875</v>
      </c>
      <c r="J16" s="101">
        <v>45896</v>
      </c>
      <c r="K16" s="90">
        <f t="shared" si="0"/>
        <v>46076</v>
      </c>
      <c r="L16" s="333"/>
      <c r="M16" s="522"/>
      <c r="N16" s="333">
        <f t="shared" si="1"/>
        <v>180</v>
      </c>
      <c r="O16" s="267" t="s">
        <v>496</v>
      </c>
      <c r="P16" s="267" t="s">
        <v>495</v>
      </c>
      <c r="Q16" s="267"/>
      <c r="R16" s="267"/>
      <c r="S16" s="267"/>
      <c r="T16" s="81"/>
      <c r="U16" s="111"/>
      <c r="V16" s="266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 t="s">
        <v>881</v>
      </c>
      <c r="AO16" s="111">
        <v>1</v>
      </c>
      <c r="AP16" s="69"/>
      <c r="AQ16" s="69"/>
      <c r="AR16" s="69"/>
      <c r="AS16" s="69"/>
      <c r="AT16" s="69"/>
      <c r="AU16" s="69"/>
      <c r="AV16" s="69"/>
      <c r="AW16" s="69"/>
      <c r="AX16" s="69"/>
      <c r="AY16" s="69"/>
    </row>
    <row r="17" spans="1:97" ht="18" customHeight="1">
      <c r="A17" s="254">
        <v>1</v>
      </c>
      <c r="B17" s="76" t="s">
        <v>267</v>
      </c>
      <c r="C17" s="92" t="s">
        <v>323</v>
      </c>
      <c r="D17" s="76" t="s">
        <v>324</v>
      </c>
      <c r="E17" s="143">
        <v>29</v>
      </c>
      <c r="F17" s="259"/>
      <c r="G17" s="92" t="s">
        <v>67</v>
      </c>
      <c r="H17" s="80">
        <v>45771</v>
      </c>
      <c r="I17" s="82">
        <v>45895</v>
      </c>
      <c r="J17" s="100">
        <v>45901</v>
      </c>
      <c r="K17" s="82">
        <f t="shared" si="0"/>
        <v>46081</v>
      </c>
      <c r="L17" s="244" t="s">
        <v>743</v>
      </c>
      <c r="M17" s="399">
        <v>46114</v>
      </c>
      <c r="N17" s="244">
        <f t="shared" si="1"/>
        <v>46294</v>
      </c>
      <c r="O17" s="267" t="s">
        <v>63</v>
      </c>
      <c r="P17" s="267" t="s">
        <v>550</v>
      </c>
      <c r="Q17" s="267"/>
      <c r="R17" s="267">
        <v>6</v>
      </c>
      <c r="S17" s="267">
        <v>1</v>
      </c>
      <c r="T17" s="64"/>
      <c r="U17" s="110"/>
      <c r="V17" s="261"/>
      <c r="W17" s="64"/>
      <c r="X17" s="64"/>
      <c r="Y17" s="436" t="s">
        <v>941</v>
      </c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 t="s">
        <v>1082</v>
      </c>
      <c r="AO17" s="110"/>
      <c r="AP17" s="70"/>
      <c r="AQ17" s="70"/>
      <c r="AR17" s="70"/>
      <c r="AS17" s="70"/>
      <c r="AT17" s="70"/>
      <c r="AU17" s="70"/>
      <c r="AV17" s="70"/>
      <c r="AW17" s="70"/>
      <c r="AX17" s="70"/>
      <c r="AY17" s="70"/>
    </row>
    <row r="18" spans="1:97" s="55" customFormat="1" ht="29.25" customHeight="1">
      <c r="A18" s="254">
        <v>1</v>
      </c>
      <c r="B18" s="263" t="s">
        <v>266</v>
      </c>
      <c r="C18" s="161" t="s">
        <v>339</v>
      </c>
      <c r="D18" s="263" t="s">
        <v>340</v>
      </c>
      <c r="E18" s="164">
        <v>38</v>
      </c>
      <c r="F18" s="264"/>
      <c r="G18" s="161" t="s">
        <v>66</v>
      </c>
      <c r="H18" s="163">
        <v>45770</v>
      </c>
      <c r="I18" s="176">
        <v>45880</v>
      </c>
      <c r="J18" s="101">
        <v>45966</v>
      </c>
      <c r="K18" s="90">
        <f t="shared" si="0"/>
        <v>46146</v>
      </c>
      <c r="L18" s="333" t="s">
        <v>743</v>
      </c>
      <c r="M18" s="440">
        <v>46189</v>
      </c>
      <c r="N18" s="333">
        <f t="shared" si="1"/>
        <v>46369</v>
      </c>
      <c r="O18" s="267"/>
      <c r="P18" s="267"/>
      <c r="Q18" s="267"/>
      <c r="R18" s="267">
        <v>5</v>
      </c>
      <c r="S18" s="267"/>
      <c r="T18" s="81"/>
      <c r="U18" s="111"/>
      <c r="V18" s="266"/>
      <c r="W18" s="81"/>
      <c r="X18" s="81"/>
      <c r="Y18" s="441" t="s">
        <v>962</v>
      </c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 t="s">
        <v>862</v>
      </c>
      <c r="AN18" s="108" t="s">
        <v>1035</v>
      </c>
      <c r="AO18" s="111">
        <v>1</v>
      </c>
      <c r="AP18" s="69"/>
      <c r="AQ18" s="69"/>
      <c r="AR18" s="69"/>
      <c r="AS18" s="69"/>
      <c r="AT18" s="69"/>
      <c r="AU18" s="69"/>
      <c r="AV18" s="69"/>
      <c r="AW18" s="69"/>
      <c r="AX18" s="69"/>
      <c r="AY18" s="69"/>
    </row>
    <row r="19" spans="1:97" ht="20.100000000000001" customHeight="1">
      <c r="A19" s="254">
        <v>1</v>
      </c>
      <c r="B19" s="76" t="s">
        <v>266</v>
      </c>
      <c r="C19" s="92" t="s">
        <v>355</v>
      </c>
      <c r="D19" s="76" t="s">
        <v>356</v>
      </c>
      <c r="E19" s="143">
        <v>45</v>
      </c>
      <c r="F19" s="259"/>
      <c r="G19" s="92" t="s">
        <v>67</v>
      </c>
      <c r="H19" s="80">
        <v>45838</v>
      </c>
      <c r="I19" s="82">
        <v>45901</v>
      </c>
      <c r="J19" s="100">
        <v>45890</v>
      </c>
      <c r="K19" s="82">
        <f t="shared" si="0"/>
        <v>46070</v>
      </c>
      <c r="L19" s="244" t="s">
        <v>743</v>
      </c>
      <c r="M19" s="399">
        <v>46094</v>
      </c>
      <c r="N19" s="244">
        <f t="shared" si="1"/>
        <v>46274</v>
      </c>
      <c r="O19" s="267" t="s">
        <v>494</v>
      </c>
      <c r="P19" s="267"/>
      <c r="Q19" s="267"/>
      <c r="R19" s="267">
        <v>3</v>
      </c>
      <c r="S19" s="267"/>
      <c r="T19" s="64">
        <v>1</v>
      </c>
      <c r="U19" s="110"/>
      <c r="V19" s="261"/>
      <c r="W19" s="64"/>
      <c r="X19" s="64"/>
      <c r="Y19" s="436" t="s">
        <v>934</v>
      </c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 t="s">
        <v>603</v>
      </c>
      <c r="AO19" s="110"/>
      <c r="AP19" s="70"/>
      <c r="AQ19" s="70"/>
      <c r="AR19" s="70"/>
      <c r="AS19" s="70"/>
      <c r="AT19" s="70"/>
      <c r="AU19" s="70"/>
      <c r="AV19" s="70"/>
      <c r="AW19" s="70"/>
      <c r="AX19" s="70"/>
      <c r="AY19" s="70"/>
    </row>
    <row r="20" spans="1:97" s="54" customFormat="1" ht="19.5" customHeight="1">
      <c r="A20" s="254">
        <v>1</v>
      </c>
      <c r="B20" s="76" t="s">
        <v>267</v>
      </c>
      <c r="C20" s="92" t="s">
        <v>361</v>
      </c>
      <c r="D20" s="76" t="s">
        <v>360</v>
      </c>
      <c r="E20" s="143">
        <v>36</v>
      </c>
      <c r="F20" s="259"/>
      <c r="G20" s="92" t="s">
        <v>66</v>
      </c>
      <c r="H20" s="80">
        <v>45770</v>
      </c>
      <c r="I20" s="82">
        <v>45889</v>
      </c>
      <c r="J20" s="100">
        <v>45916</v>
      </c>
      <c r="K20" s="82">
        <f t="shared" si="0"/>
        <v>46096</v>
      </c>
      <c r="L20" s="244" t="s">
        <v>743</v>
      </c>
      <c r="M20" s="399">
        <v>46122</v>
      </c>
      <c r="N20" s="244">
        <f t="shared" si="1"/>
        <v>46302</v>
      </c>
      <c r="O20" s="276" t="s">
        <v>511</v>
      </c>
      <c r="P20" s="267" t="s">
        <v>500</v>
      </c>
      <c r="Q20" s="267" t="s">
        <v>494</v>
      </c>
      <c r="R20" s="267">
        <v>5</v>
      </c>
      <c r="S20" s="267"/>
      <c r="T20" s="64"/>
      <c r="U20" s="110"/>
      <c r="V20" s="261"/>
      <c r="W20" s="64"/>
      <c r="X20" s="64"/>
      <c r="Y20" s="436" t="s">
        <v>937</v>
      </c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 t="s">
        <v>604</v>
      </c>
      <c r="AO20" s="110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</row>
    <row r="21" spans="1:97" s="73" customFormat="1" ht="21" customHeight="1">
      <c r="A21" s="254">
        <v>1</v>
      </c>
      <c r="B21" s="263" t="s">
        <v>267</v>
      </c>
      <c r="C21" s="161" t="s">
        <v>369</v>
      </c>
      <c r="D21" s="263" t="s">
        <v>370</v>
      </c>
      <c r="E21" s="164">
        <v>51</v>
      </c>
      <c r="F21" s="264"/>
      <c r="G21" s="161" t="s">
        <v>66</v>
      </c>
      <c r="H21" s="163">
        <v>45845</v>
      </c>
      <c r="I21" s="176">
        <v>45894</v>
      </c>
      <c r="J21" s="101">
        <v>45859</v>
      </c>
      <c r="K21" s="90">
        <f t="shared" si="0"/>
        <v>46039</v>
      </c>
      <c r="L21" s="333" t="s">
        <v>743</v>
      </c>
      <c r="M21" s="399">
        <v>46111</v>
      </c>
      <c r="N21" s="244">
        <f t="shared" si="1"/>
        <v>46291</v>
      </c>
      <c r="O21" s="267" t="s">
        <v>63</v>
      </c>
      <c r="P21" s="267"/>
      <c r="Q21" s="267"/>
      <c r="R21" s="267">
        <v>7</v>
      </c>
      <c r="S21" s="267">
        <v>1</v>
      </c>
      <c r="T21" s="81"/>
      <c r="U21" s="111"/>
      <c r="V21" s="266"/>
      <c r="W21" s="81"/>
      <c r="X21" s="81"/>
      <c r="Y21" s="436" t="s">
        <v>945</v>
      </c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 t="s">
        <v>754</v>
      </c>
      <c r="AO21" s="111">
        <v>1</v>
      </c>
      <c r="AP21" s="69"/>
      <c r="AQ21" s="69"/>
      <c r="AR21" s="69"/>
      <c r="AS21" s="69"/>
      <c r="AT21" s="69"/>
      <c r="AU21" s="69"/>
      <c r="AV21" s="69"/>
      <c r="AW21" s="69"/>
      <c r="AX21" s="69"/>
      <c r="AY21" s="69"/>
    </row>
    <row r="22" spans="1:97" s="73" customFormat="1" ht="18.95" customHeight="1">
      <c r="A22" s="254">
        <v>1</v>
      </c>
      <c r="B22" s="263" t="s">
        <v>266</v>
      </c>
      <c r="C22" s="161" t="s">
        <v>462</v>
      </c>
      <c r="D22" s="263" t="s">
        <v>371</v>
      </c>
      <c r="E22" s="164">
        <v>28</v>
      </c>
      <c r="F22" s="264"/>
      <c r="G22" s="161" t="s">
        <v>66</v>
      </c>
      <c r="H22" s="163">
        <v>45789</v>
      </c>
      <c r="I22" s="90">
        <v>45894</v>
      </c>
      <c r="J22" s="101">
        <v>45902</v>
      </c>
      <c r="K22" s="90">
        <f t="shared" si="0"/>
        <v>46082</v>
      </c>
      <c r="L22" s="333" t="s">
        <v>743</v>
      </c>
      <c r="M22" s="399">
        <v>46163</v>
      </c>
      <c r="N22" s="244">
        <f t="shared" si="1"/>
        <v>46343</v>
      </c>
      <c r="O22" s="267" t="s">
        <v>63</v>
      </c>
      <c r="P22" s="267"/>
      <c r="Q22" s="267"/>
      <c r="R22" s="267">
        <v>7</v>
      </c>
      <c r="S22" s="267">
        <v>2</v>
      </c>
      <c r="T22" s="81">
        <v>1</v>
      </c>
      <c r="U22" s="111"/>
      <c r="V22" s="266"/>
      <c r="W22" s="81"/>
      <c r="X22" s="81"/>
      <c r="Y22" s="436" t="s">
        <v>223</v>
      </c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 t="s">
        <v>799</v>
      </c>
      <c r="AO22" s="111"/>
      <c r="AP22" s="69"/>
      <c r="AQ22" s="69"/>
      <c r="AR22" s="69"/>
      <c r="AS22" s="69"/>
      <c r="AT22" s="69"/>
      <c r="AU22" s="69"/>
      <c r="AV22" s="69"/>
      <c r="AW22" s="69"/>
      <c r="AX22" s="69"/>
      <c r="AY22" s="69"/>
    </row>
    <row r="23" spans="1:97" s="70" customFormat="1" ht="15.6" customHeight="1">
      <c r="A23" s="254">
        <v>1</v>
      </c>
      <c r="B23" s="281" t="s">
        <v>267</v>
      </c>
      <c r="C23" s="282" t="s">
        <v>457</v>
      </c>
      <c r="D23" s="281" t="s">
        <v>458</v>
      </c>
      <c r="E23" s="283">
        <v>44</v>
      </c>
      <c r="F23" s="259"/>
      <c r="G23" s="92" t="s">
        <v>67</v>
      </c>
      <c r="H23" s="284">
        <v>45854</v>
      </c>
      <c r="I23" s="82">
        <v>45925</v>
      </c>
      <c r="J23" s="100">
        <v>45925</v>
      </c>
      <c r="K23" s="82">
        <f t="shared" si="0"/>
        <v>46105</v>
      </c>
      <c r="L23" s="244" t="s">
        <v>743</v>
      </c>
      <c r="M23" s="399">
        <v>46125</v>
      </c>
      <c r="N23" s="244">
        <f t="shared" si="1"/>
        <v>46305</v>
      </c>
      <c r="O23" s="267" t="s">
        <v>551</v>
      </c>
      <c r="P23" s="267" t="s">
        <v>63</v>
      </c>
      <c r="Q23" s="267"/>
      <c r="R23" s="267">
        <v>3</v>
      </c>
      <c r="S23" s="267"/>
      <c r="T23" s="64">
        <v>4</v>
      </c>
      <c r="U23" s="110"/>
      <c r="V23" s="261"/>
      <c r="W23" s="64"/>
      <c r="X23" s="64"/>
      <c r="Y23" s="436" t="s">
        <v>944</v>
      </c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 t="s">
        <v>624</v>
      </c>
      <c r="AO23" s="110"/>
    </row>
    <row r="24" spans="1:97" s="57" customFormat="1" ht="18.600000000000001" customHeight="1">
      <c r="A24" s="254">
        <v>1</v>
      </c>
      <c r="B24" s="76" t="s">
        <v>267</v>
      </c>
      <c r="C24" s="92" t="s">
        <v>384</v>
      </c>
      <c r="D24" s="76" t="s">
        <v>385</v>
      </c>
      <c r="E24" s="143">
        <v>33</v>
      </c>
      <c r="F24" s="259"/>
      <c r="G24" s="92" t="s">
        <v>67</v>
      </c>
      <c r="H24" s="80">
        <v>45847</v>
      </c>
      <c r="I24" s="82">
        <v>45860</v>
      </c>
      <c r="J24" s="100">
        <v>45880</v>
      </c>
      <c r="K24" s="82">
        <f t="shared" si="0"/>
        <v>46060</v>
      </c>
      <c r="L24" s="244" t="s">
        <v>743</v>
      </c>
      <c r="M24" s="399">
        <v>46063</v>
      </c>
      <c r="N24" s="244">
        <f t="shared" si="1"/>
        <v>46243</v>
      </c>
      <c r="O24" s="267" t="s">
        <v>680</v>
      </c>
      <c r="P24" s="267" t="s">
        <v>495</v>
      </c>
      <c r="Q24" s="267"/>
      <c r="R24" s="267">
        <v>5</v>
      </c>
      <c r="S24" s="267"/>
      <c r="T24" s="64"/>
      <c r="U24" s="110"/>
      <c r="V24" s="261"/>
      <c r="W24" s="64"/>
      <c r="X24" s="64"/>
      <c r="Y24" s="436" t="s">
        <v>235</v>
      </c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 t="s">
        <v>609</v>
      </c>
      <c r="AO24" s="110"/>
      <c r="AP24" s="70"/>
      <c r="AQ24" s="70"/>
      <c r="AR24" s="70"/>
      <c r="AS24" s="70"/>
      <c r="AT24" s="70"/>
      <c r="AU24" s="70"/>
      <c r="AV24" s="70"/>
      <c r="AW24" s="70"/>
      <c r="AX24" s="70"/>
      <c r="AY24" s="70"/>
    </row>
    <row r="25" spans="1:97" s="73" customFormat="1" ht="27.75" customHeight="1">
      <c r="A25" s="254">
        <v>1</v>
      </c>
      <c r="B25" s="263" t="s">
        <v>266</v>
      </c>
      <c r="C25" s="161" t="s">
        <v>391</v>
      </c>
      <c r="D25" s="263" t="s">
        <v>392</v>
      </c>
      <c r="E25" s="164">
        <v>39</v>
      </c>
      <c r="F25" s="264"/>
      <c r="G25" s="161" t="s">
        <v>66</v>
      </c>
      <c r="H25" s="163">
        <v>45845</v>
      </c>
      <c r="I25" s="176">
        <v>45859</v>
      </c>
      <c r="J25" s="101">
        <v>45859</v>
      </c>
      <c r="K25" s="90">
        <f t="shared" si="0"/>
        <v>46039</v>
      </c>
      <c r="L25" s="333" t="s">
        <v>743</v>
      </c>
      <c r="M25" s="440">
        <v>46113</v>
      </c>
      <c r="N25" s="333">
        <f t="shared" si="1"/>
        <v>46293</v>
      </c>
      <c r="O25" s="267" t="s">
        <v>495</v>
      </c>
      <c r="P25" s="267"/>
      <c r="Q25" s="267"/>
      <c r="R25" s="267">
        <v>1</v>
      </c>
      <c r="S25" s="267">
        <v>1</v>
      </c>
      <c r="T25" s="81"/>
      <c r="U25" s="111"/>
      <c r="V25" s="266"/>
      <c r="W25" s="81"/>
      <c r="X25" s="81"/>
      <c r="Y25" s="441" t="s">
        <v>991</v>
      </c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108" t="s">
        <v>855</v>
      </c>
      <c r="AO25" s="111"/>
      <c r="AP25" s="69"/>
      <c r="AQ25" s="69"/>
      <c r="AR25" s="69"/>
      <c r="AS25" s="69"/>
      <c r="AT25" s="69"/>
      <c r="AU25" s="69"/>
      <c r="AV25" s="69"/>
      <c r="AW25" s="69"/>
      <c r="AX25" s="69"/>
      <c r="AY25" s="69"/>
    </row>
    <row r="26" spans="1:97" s="73" customFormat="1" ht="20.100000000000001" customHeight="1">
      <c r="A26" s="254">
        <v>1</v>
      </c>
      <c r="B26" s="263" t="s">
        <v>267</v>
      </c>
      <c r="C26" s="161" t="s">
        <v>402</v>
      </c>
      <c r="D26" s="263" t="s">
        <v>404</v>
      </c>
      <c r="E26" s="164">
        <v>39</v>
      </c>
      <c r="F26" s="264"/>
      <c r="G26" s="161" t="s">
        <v>66</v>
      </c>
      <c r="H26" s="163">
        <v>45849</v>
      </c>
      <c r="I26" s="176">
        <v>45915</v>
      </c>
      <c r="J26" s="101">
        <v>45945</v>
      </c>
      <c r="K26" s="90">
        <f t="shared" si="0"/>
        <v>46125</v>
      </c>
      <c r="L26" s="333" t="s">
        <v>743</v>
      </c>
      <c r="M26" s="399">
        <v>46132</v>
      </c>
      <c r="N26" s="244">
        <f t="shared" si="1"/>
        <v>46312</v>
      </c>
      <c r="O26" s="267"/>
      <c r="P26" s="267"/>
      <c r="Q26" s="267"/>
      <c r="R26" s="267"/>
      <c r="S26" s="267"/>
      <c r="T26" s="81"/>
      <c r="U26" s="111"/>
      <c r="V26" s="266"/>
      <c r="W26" s="81"/>
      <c r="X26" s="81"/>
      <c r="Y26" s="436" t="s">
        <v>982</v>
      </c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 t="s">
        <v>613</v>
      </c>
      <c r="AO26" s="111"/>
      <c r="AP26" s="69"/>
      <c r="AQ26" s="69"/>
      <c r="AR26" s="69"/>
      <c r="AS26" s="69"/>
      <c r="AT26" s="69"/>
      <c r="AU26" s="69"/>
      <c r="AV26" s="69"/>
      <c r="AW26" s="69"/>
      <c r="AX26" s="69"/>
      <c r="AY26" s="69"/>
    </row>
    <row r="27" spans="1:97" s="57" customFormat="1" ht="20.100000000000001" customHeight="1">
      <c r="A27" s="254">
        <v>1</v>
      </c>
      <c r="B27" s="76" t="s">
        <v>267</v>
      </c>
      <c r="C27" s="92" t="s">
        <v>883</v>
      </c>
      <c r="D27" s="76" t="s">
        <v>407</v>
      </c>
      <c r="E27" s="143">
        <v>50</v>
      </c>
      <c r="F27" s="259"/>
      <c r="G27" s="92" t="s">
        <v>66</v>
      </c>
      <c r="H27" s="80">
        <v>45835</v>
      </c>
      <c r="I27" s="82">
        <v>45915</v>
      </c>
      <c r="J27" s="100">
        <v>45937</v>
      </c>
      <c r="K27" s="82">
        <f t="shared" si="0"/>
        <v>46117</v>
      </c>
      <c r="L27" s="244" t="s">
        <v>743</v>
      </c>
      <c r="M27" s="399">
        <v>46162</v>
      </c>
      <c r="N27" s="244">
        <f t="shared" si="1"/>
        <v>46342</v>
      </c>
      <c r="O27" s="267" t="s">
        <v>500</v>
      </c>
      <c r="P27" s="267"/>
      <c r="Q27" s="267"/>
      <c r="R27" s="267">
        <v>5</v>
      </c>
      <c r="S27" s="267">
        <v>1</v>
      </c>
      <c r="T27" s="64"/>
      <c r="U27" s="110"/>
      <c r="V27" s="261"/>
      <c r="W27" s="64"/>
      <c r="X27" s="64"/>
      <c r="Y27" s="436" t="s">
        <v>953</v>
      </c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 t="s">
        <v>616</v>
      </c>
      <c r="AO27" s="110"/>
      <c r="AP27" s="70"/>
      <c r="AQ27" s="70"/>
      <c r="AR27" s="70"/>
      <c r="AS27" s="70"/>
      <c r="AT27" s="70"/>
      <c r="AU27" s="70"/>
      <c r="AV27" s="70"/>
      <c r="AW27" s="70"/>
      <c r="AX27" s="70"/>
      <c r="AY27" s="70"/>
    </row>
    <row r="28" spans="1:97" s="57" customFormat="1" ht="20.100000000000001" customHeight="1">
      <c r="A28" s="254">
        <v>1</v>
      </c>
      <c r="B28" s="76" t="s">
        <v>267</v>
      </c>
      <c r="C28" s="277" t="s">
        <v>563</v>
      </c>
      <c r="D28" s="76" t="s">
        <v>410</v>
      </c>
      <c r="E28" s="143">
        <v>40</v>
      </c>
      <c r="F28" s="259"/>
      <c r="G28" s="92" t="s">
        <v>66</v>
      </c>
      <c r="H28" s="80">
        <v>45820</v>
      </c>
      <c r="I28" s="82">
        <v>45915</v>
      </c>
      <c r="J28" s="100">
        <v>45915</v>
      </c>
      <c r="K28" s="82">
        <f t="shared" si="0"/>
        <v>46095</v>
      </c>
      <c r="L28" s="244" t="s">
        <v>743</v>
      </c>
      <c r="M28" s="399">
        <v>46115</v>
      </c>
      <c r="N28" s="244">
        <f t="shared" si="1"/>
        <v>46295</v>
      </c>
      <c r="O28" s="267" t="s">
        <v>64</v>
      </c>
      <c r="P28" s="267"/>
      <c r="Q28" s="267"/>
      <c r="R28" s="267">
        <v>4</v>
      </c>
      <c r="S28" s="267">
        <v>1</v>
      </c>
      <c r="T28" s="64">
        <v>1</v>
      </c>
      <c r="U28" s="110"/>
      <c r="V28" s="261"/>
      <c r="W28" s="64"/>
      <c r="X28" s="64"/>
      <c r="Y28" s="436" t="s">
        <v>922</v>
      </c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 t="s">
        <v>858</v>
      </c>
      <c r="AN28" s="64" t="s">
        <v>617</v>
      </c>
      <c r="AO28" s="110"/>
      <c r="AP28" s="70"/>
      <c r="AQ28" s="70"/>
      <c r="AR28" s="70"/>
      <c r="AS28" s="70"/>
      <c r="AT28" s="70"/>
      <c r="AU28" s="70"/>
      <c r="AV28" s="70"/>
      <c r="AW28" s="70"/>
      <c r="AX28" s="70"/>
      <c r="AY28" s="70"/>
    </row>
    <row r="29" spans="1:97" s="73" customFormat="1" ht="16.5" customHeight="1">
      <c r="A29" s="254">
        <v>1</v>
      </c>
      <c r="B29" s="263" t="s">
        <v>266</v>
      </c>
      <c r="C29" s="161" t="s">
        <v>422</v>
      </c>
      <c r="D29" s="263" t="s">
        <v>423</v>
      </c>
      <c r="E29" s="164">
        <v>28</v>
      </c>
      <c r="F29" s="264"/>
      <c r="G29" s="161" t="s">
        <v>66</v>
      </c>
      <c r="H29" s="163">
        <v>45770</v>
      </c>
      <c r="I29" s="347">
        <v>45901</v>
      </c>
      <c r="J29" s="101">
        <v>45901</v>
      </c>
      <c r="K29" s="90">
        <f t="shared" si="0"/>
        <v>46081</v>
      </c>
      <c r="L29" s="333" t="s">
        <v>743</v>
      </c>
      <c r="M29" s="399">
        <v>46132</v>
      </c>
      <c r="N29" s="244">
        <f t="shared" si="1"/>
        <v>46312</v>
      </c>
      <c r="O29" s="267" t="s">
        <v>500</v>
      </c>
      <c r="P29" s="267"/>
      <c r="Q29" s="267"/>
      <c r="R29" s="267"/>
      <c r="S29" s="267"/>
      <c r="T29" s="81"/>
      <c r="U29" s="111"/>
      <c r="V29" s="266"/>
      <c r="W29" s="81"/>
      <c r="X29" s="81"/>
      <c r="Y29" s="436" t="s">
        <v>995</v>
      </c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 t="s">
        <v>619</v>
      </c>
      <c r="AO29" s="111"/>
      <c r="AP29" s="69"/>
      <c r="AQ29" s="69"/>
      <c r="AR29" s="69"/>
      <c r="AS29" s="69"/>
      <c r="AT29" s="69"/>
      <c r="AU29" s="69"/>
      <c r="AV29" s="69"/>
      <c r="AW29" s="69"/>
      <c r="AX29" s="69"/>
      <c r="AY29" s="69"/>
    </row>
    <row r="30" spans="1:97" s="57" customFormat="1" ht="17.100000000000001" customHeight="1">
      <c r="A30" s="254">
        <v>1</v>
      </c>
      <c r="B30" s="76" t="s">
        <v>266</v>
      </c>
      <c r="C30" s="279" t="s">
        <v>466</v>
      </c>
      <c r="D30" s="76" t="s">
        <v>424</v>
      </c>
      <c r="E30" s="143">
        <v>39</v>
      </c>
      <c r="F30" s="259"/>
      <c r="G30" s="92" t="s">
        <v>66</v>
      </c>
      <c r="H30" s="80">
        <v>45835</v>
      </c>
      <c r="I30" s="82">
        <v>45880</v>
      </c>
      <c r="J30" s="100">
        <v>45973</v>
      </c>
      <c r="K30" s="82">
        <f t="shared" si="0"/>
        <v>46153</v>
      </c>
      <c r="L30" s="244" t="s">
        <v>743</v>
      </c>
      <c r="M30" s="403">
        <v>46168</v>
      </c>
      <c r="N30" s="244">
        <f t="shared" si="1"/>
        <v>46348</v>
      </c>
      <c r="O30" s="267" t="s">
        <v>500</v>
      </c>
      <c r="P30" s="267" t="s">
        <v>494</v>
      </c>
      <c r="Q30" s="267"/>
      <c r="R30" s="267">
        <v>9</v>
      </c>
      <c r="S30" s="267"/>
      <c r="T30" s="64"/>
      <c r="U30" s="110"/>
      <c r="V30" s="261"/>
      <c r="W30" s="64"/>
      <c r="X30" s="64"/>
      <c r="Y30" s="436" t="s">
        <v>974</v>
      </c>
      <c r="Z30" s="64"/>
      <c r="AA30" s="64"/>
      <c r="AB30" s="64"/>
      <c r="AC30" s="64"/>
      <c r="AD30" s="64"/>
      <c r="AE30" s="64">
        <v>1</v>
      </c>
      <c r="AF30" s="64"/>
      <c r="AG30" s="64"/>
      <c r="AH30" s="64"/>
      <c r="AI30" s="64"/>
      <c r="AJ30" s="64"/>
      <c r="AK30" s="64"/>
      <c r="AL30" s="64"/>
      <c r="AM30" s="64" t="s">
        <v>862</v>
      </c>
      <c r="AN30" s="64" t="s">
        <v>798</v>
      </c>
      <c r="AO30" s="110"/>
      <c r="AP30" s="70"/>
      <c r="AQ30" s="70"/>
      <c r="AR30" s="70"/>
      <c r="AS30" s="70"/>
      <c r="AT30" s="70"/>
      <c r="AU30" s="70"/>
      <c r="AV30" s="70"/>
      <c r="AW30" s="70"/>
      <c r="AX30" s="70"/>
      <c r="AY30" s="70"/>
    </row>
    <row r="31" spans="1:97" s="395" customFormat="1" ht="16.5" customHeight="1">
      <c r="A31" s="393">
        <v>0</v>
      </c>
      <c r="B31" s="304" t="s">
        <v>267</v>
      </c>
      <c r="C31" s="305" t="s">
        <v>429</v>
      </c>
      <c r="D31" s="304" t="s">
        <v>430</v>
      </c>
      <c r="E31" s="306">
        <v>36</v>
      </c>
      <c r="F31" s="307"/>
      <c r="G31" s="305" t="s">
        <v>67</v>
      </c>
      <c r="H31" s="308">
        <v>45831</v>
      </c>
      <c r="I31" s="310">
        <v>38603</v>
      </c>
      <c r="J31" s="309">
        <v>45902</v>
      </c>
      <c r="K31" s="310">
        <f t="shared" si="0"/>
        <v>46082</v>
      </c>
      <c r="L31" s="311" t="s">
        <v>748</v>
      </c>
      <c r="M31" s="433"/>
      <c r="N31" s="311">
        <f t="shared" si="1"/>
        <v>180</v>
      </c>
      <c r="O31" s="394" t="s">
        <v>64</v>
      </c>
      <c r="P31" s="312" t="s">
        <v>494</v>
      </c>
      <c r="Q31" s="312"/>
      <c r="R31" s="312"/>
      <c r="S31" s="312"/>
      <c r="T31" s="313">
        <v>1</v>
      </c>
      <c r="U31" s="314"/>
      <c r="V31" s="315"/>
      <c r="W31" s="313"/>
      <c r="X31" s="313"/>
      <c r="Y31" s="436" t="s">
        <v>927</v>
      </c>
      <c r="Z31" s="313"/>
      <c r="AA31" s="313"/>
      <c r="AB31" s="313"/>
      <c r="AC31" s="313"/>
      <c r="AD31" s="313"/>
      <c r="AE31" s="313"/>
      <c r="AF31" s="313"/>
      <c r="AG31" s="313"/>
      <c r="AH31" s="313"/>
      <c r="AI31" s="313"/>
      <c r="AJ31" s="313"/>
      <c r="AK31" s="313"/>
      <c r="AL31" s="313"/>
      <c r="AM31" s="313"/>
      <c r="AN31" s="313" t="s">
        <v>491</v>
      </c>
      <c r="AO31" s="314"/>
      <c r="AP31" s="316"/>
      <c r="AQ31" s="316"/>
      <c r="AR31" s="316"/>
      <c r="AS31" s="316"/>
      <c r="AT31" s="316"/>
      <c r="AU31" s="316"/>
      <c r="AV31" s="316"/>
      <c r="AW31" s="316"/>
      <c r="AX31" s="316"/>
      <c r="AY31" s="316"/>
    </row>
    <row r="32" spans="1:97" s="72" customFormat="1" ht="33" customHeight="1">
      <c r="A32" s="383">
        <v>0</v>
      </c>
      <c r="B32" s="268" t="s">
        <v>266</v>
      </c>
      <c r="C32" s="485" t="s">
        <v>540</v>
      </c>
      <c r="D32" s="268" t="s">
        <v>442</v>
      </c>
      <c r="E32" s="270">
        <v>38</v>
      </c>
      <c r="F32" s="271"/>
      <c r="G32" s="269" t="s">
        <v>66</v>
      </c>
      <c r="H32" s="272">
        <v>45846</v>
      </c>
      <c r="I32" s="353">
        <v>45853</v>
      </c>
      <c r="J32" s="102">
        <v>45996</v>
      </c>
      <c r="K32" s="103">
        <f t="shared" ref="K32:K38" si="2">J32+180</f>
        <v>46176</v>
      </c>
      <c r="L32" s="317" t="s">
        <v>743</v>
      </c>
      <c r="M32" s="402">
        <v>46206</v>
      </c>
      <c r="N32" s="317">
        <f t="shared" ref="N32:N38" si="3">M32+180</f>
        <v>46386</v>
      </c>
      <c r="O32" s="274" t="s">
        <v>551</v>
      </c>
      <c r="P32" s="274" t="s">
        <v>494</v>
      </c>
      <c r="Q32" s="274"/>
      <c r="R32" s="274"/>
      <c r="S32" s="274"/>
      <c r="T32" s="71"/>
      <c r="U32" s="112"/>
      <c r="V32" s="275"/>
      <c r="W32" s="71"/>
      <c r="X32" s="71"/>
      <c r="Y32" s="486" t="s">
        <v>969</v>
      </c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388" t="s">
        <v>1043</v>
      </c>
      <c r="AO32" s="112"/>
    </row>
    <row r="33" spans="1:51" s="72" customFormat="1" ht="18" customHeight="1">
      <c r="A33" s="383">
        <v>0</v>
      </c>
      <c r="B33" s="507" t="s">
        <v>266</v>
      </c>
      <c r="C33" s="508" t="s">
        <v>493</v>
      </c>
      <c r="D33" s="507" t="s">
        <v>362</v>
      </c>
      <c r="E33" s="509">
        <v>25</v>
      </c>
      <c r="F33" s="510"/>
      <c r="G33" s="269" t="s">
        <v>66</v>
      </c>
      <c r="H33" s="511">
        <v>45905</v>
      </c>
      <c r="I33" s="273">
        <v>45930</v>
      </c>
      <c r="J33" s="102">
        <v>45951</v>
      </c>
      <c r="K33" s="103">
        <f t="shared" si="2"/>
        <v>46131</v>
      </c>
      <c r="L33" s="317" t="s">
        <v>743</v>
      </c>
      <c r="M33" s="512">
        <v>46104</v>
      </c>
      <c r="N33" s="317">
        <f t="shared" si="3"/>
        <v>46284</v>
      </c>
      <c r="O33" s="274" t="s">
        <v>555</v>
      </c>
      <c r="P33" s="274" t="s">
        <v>494</v>
      </c>
      <c r="Q33" s="274"/>
      <c r="R33" s="274">
        <v>1</v>
      </c>
      <c r="S33" s="274">
        <v>1</v>
      </c>
      <c r="T33" s="71"/>
      <c r="U33" s="112"/>
      <c r="V33" s="275"/>
      <c r="W33" s="71"/>
      <c r="X33" s="71"/>
      <c r="Y33" s="486" t="s">
        <v>964</v>
      </c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 t="s">
        <v>642</v>
      </c>
      <c r="AO33" s="112"/>
    </row>
    <row r="34" spans="1:51" s="73" customFormat="1" ht="16.5" customHeight="1">
      <c r="A34" s="254">
        <v>1</v>
      </c>
      <c r="B34" s="263" t="s">
        <v>267</v>
      </c>
      <c r="C34" s="161" t="s">
        <v>515</v>
      </c>
      <c r="D34" s="263" t="s">
        <v>478</v>
      </c>
      <c r="E34" s="164">
        <v>37</v>
      </c>
      <c r="F34" s="264"/>
      <c r="G34" s="161" t="s">
        <v>520</v>
      </c>
      <c r="H34" s="163">
        <v>45810</v>
      </c>
      <c r="I34" s="90">
        <v>45929</v>
      </c>
      <c r="J34" s="101">
        <v>45951</v>
      </c>
      <c r="K34" s="90">
        <f t="shared" si="2"/>
        <v>46131</v>
      </c>
      <c r="L34" s="333" t="s">
        <v>743</v>
      </c>
      <c r="M34" s="440">
        <v>46134</v>
      </c>
      <c r="N34" s="333">
        <f t="shared" si="3"/>
        <v>46314</v>
      </c>
      <c r="O34" s="276" t="s">
        <v>64</v>
      </c>
      <c r="P34" s="267" t="s">
        <v>494</v>
      </c>
      <c r="Q34" s="267"/>
      <c r="R34" s="267">
        <v>1</v>
      </c>
      <c r="S34" s="267">
        <v>2</v>
      </c>
      <c r="T34" s="81">
        <v>1</v>
      </c>
      <c r="U34" s="111"/>
      <c r="V34" s="266"/>
      <c r="W34" s="81"/>
      <c r="X34" s="81"/>
      <c r="Y34" s="441" t="s">
        <v>975</v>
      </c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 t="s">
        <v>870</v>
      </c>
      <c r="AO34" s="111"/>
      <c r="AP34" s="69"/>
      <c r="AQ34" s="69"/>
      <c r="AR34" s="69"/>
      <c r="AS34" s="69"/>
      <c r="AT34" s="69"/>
      <c r="AU34" s="69"/>
      <c r="AV34" s="69"/>
      <c r="AW34" s="69"/>
      <c r="AX34" s="69"/>
      <c r="AY34" s="69"/>
    </row>
    <row r="35" spans="1:51" s="57" customFormat="1" ht="16.5" customHeight="1">
      <c r="A35" s="254">
        <v>1</v>
      </c>
      <c r="B35" s="76" t="s">
        <v>267</v>
      </c>
      <c r="C35" s="92" t="s">
        <v>516</v>
      </c>
      <c r="D35" s="76" t="s">
        <v>517</v>
      </c>
      <c r="E35" s="143">
        <v>32</v>
      </c>
      <c r="F35" s="259"/>
      <c r="G35" s="92" t="s">
        <v>520</v>
      </c>
      <c r="H35" s="80">
        <v>45936</v>
      </c>
      <c r="I35" s="82">
        <v>45952</v>
      </c>
      <c r="J35" s="100">
        <v>45980</v>
      </c>
      <c r="K35" s="82">
        <f t="shared" si="2"/>
        <v>46160</v>
      </c>
      <c r="L35" s="244" t="s">
        <v>743</v>
      </c>
      <c r="M35" s="399">
        <v>46171</v>
      </c>
      <c r="N35" s="244">
        <f t="shared" si="3"/>
        <v>46351</v>
      </c>
      <c r="O35" s="276" t="s">
        <v>64</v>
      </c>
      <c r="P35" s="267"/>
      <c r="Q35" s="267"/>
      <c r="R35" s="267">
        <v>3</v>
      </c>
      <c r="S35" s="267">
        <v>1</v>
      </c>
      <c r="T35" s="64">
        <v>1</v>
      </c>
      <c r="U35" s="110"/>
      <c r="V35" s="261"/>
      <c r="W35" s="81"/>
      <c r="X35" s="81"/>
      <c r="Y35" s="436" t="s">
        <v>970</v>
      </c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81" t="s">
        <v>862</v>
      </c>
      <c r="AN35" s="64"/>
      <c r="AO35" s="110"/>
      <c r="AP35" s="70"/>
      <c r="AQ35" s="70"/>
      <c r="AR35" s="70"/>
      <c r="AS35" s="70"/>
      <c r="AT35" s="70"/>
      <c r="AU35" s="70"/>
      <c r="AV35" s="70"/>
      <c r="AW35" s="70"/>
      <c r="AX35" s="70"/>
      <c r="AY35" s="70"/>
    </row>
    <row r="36" spans="1:51" s="52" customFormat="1" ht="15" customHeight="1">
      <c r="A36" s="352">
        <v>1</v>
      </c>
      <c r="B36" s="161" t="s">
        <v>267</v>
      </c>
      <c r="C36" s="161" t="s">
        <v>570</v>
      </c>
      <c r="D36" s="161" t="s">
        <v>571</v>
      </c>
      <c r="E36" s="164">
        <v>34</v>
      </c>
      <c r="G36" s="161" t="s">
        <v>66</v>
      </c>
      <c r="H36" s="521">
        <v>46013</v>
      </c>
      <c r="I36" s="90">
        <v>46041</v>
      </c>
      <c r="J36" s="101">
        <v>46041</v>
      </c>
      <c r="K36" s="90">
        <f t="shared" si="2"/>
        <v>46221</v>
      </c>
      <c r="L36" s="333" t="s">
        <v>743</v>
      </c>
      <c r="M36" s="440">
        <v>46222</v>
      </c>
      <c r="N36" s="333">
        <f t="shared" si="3"/>
        <v>46402</v>
      </c>
      <c r="O36" s="239" t="s">
        <v>593</v>
      </c>
      <c r="P36" s="239" t="s">
        <v>494</v>
      </c>
      <c r="Q36" s="239"/>
      <c r="S36" s="51"/>
      <c r="T36" s="52">
        <v>1</v>
      </c>
      <c r="U36" s="111"/>
      <c r="V36" s="266"/>
      <c r="W36" s="81"/>
      <c r="X36" s="81"/>
      <c r="Y36" s="441" t="s">
        <v>985</v>
      </c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52" t="s">
        <v>884</v>
      </c>
      <c r="AO36" s="175"/>
      <c r="AP36" s="258"/>
    </row>
    <row r="37" spans="1:51" s="52" customFormat="1" ht="15" customHeight="1">
      <c r="A37" s="352">
        <v>1</v>
      </c>
      <c r="B37" s="161" t="s">
        <v>266</v>
      </c>
      <c r="C37" s="161" t="s">
        <v>579</v>
      </c>
      <c r="D37" s="161" t="s">
        <v>843</v>
      </c>
      <c r="E37" s="164">
        <v>47</v>
      </c>
      <c r="G37" s="161" t="s">
        <v>66</v>
      </c>
      <c r="H37" s="336">
        <v>46029</v>
      </c>
      <c r="I37" s="90">
        <v>46048</v>
      </c>
      <c r="J37" s="101">
        <v>46126</v>
      </c>
      <c r="K37" s="82">
        <f t="shared" si="2"/>
        <v>46306</v>
      </c>
      <c r="L37" s="333"/>
      <c r="M37" s="399"/>
      <c r="N37" s="244">
        <f t="shared" si="3"/>
        <v>180</v>
      </c>
      <c r="O37" s="239"/>
      <c r="P37" s="239"/>
      <c r="Q37" s="239"/>
      <c r="S37" s="51"/>
      <c r="U37" s="111"/>
      <c r="V37" s="266"/>
      <c r="W37" s="81"/>
      <c r="X37" s="81"/>
      <c r="Y37" s="436" t="s">
        <v>998</v>
      </c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52" t="s">
        <v>803</v>
      </c>
      <c r="AP37" s="258"/>
    </row>
    <row r="38" spans="1:51" s="320" customFormat="1" ht="15" customHeight="1">
      <c r="A38" s="390">
        <v>0</v>
      </c>
      <c r="B38" s="305" t="s">
        <v>266</v>
      </c>
      <c r="C38" s="305" t="s">
        <v>584</v>
      </c>
      <c r="D38" s="305" t="s">
        <v>585</v>
      </c>
      <c r="E38" s="306">
        <v>35</v>
      </c>
      <c r="G38" s="305" t="s">
        <v>66</v>
      </c>
      <c r="H38" s="322">
        <v>46036</v>
      </c>
      <c r="I38" s="310">
        <v>46050</v>
      </c>
      <c r="J38" s="309">
        <v>46050</v>
      </c>
      <c r="K38" s="310">
        <f t="shared" si="2"/>
        <v>46230</v>
      </c>
      <c r="L38" s="311"/>
      <c r="M38" s="401"/>
      <c r="N38" s="417">
        <f t="shared" si="3"/>
        <v>180</v>
      </c>
      <c r="O38" s="318"/>
      <c r="P38" s="318"/>
      <c r="Q38" s="318"/>
      <c r="R38" s="320">
        <v>4</v>
      </c>
      <c r="S38" s="319">
        <v>4</v>
      </c>
      <c r="U38" s="314"/>
      <c r="V38" s="315"/>
      <c r="W38" s="313"/>
      <c r="X38" s="313"/>
      <c r="Y38" s="436" t="s">
        <v>990</v>
      </c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  <c r="AK38" s="313"/>
      <c r="AL38" s="313"/>
      <c r="AM38" s="81"/>
      <c r="AN38" s="320" t="s">
        <v>857</v>
      </c>
      <c r="AP38" s="321"/>
    </row>
    <row r="39" spans="1:51" s="115" customFormat="1" ht="15" customHeight="1">
      <c r="A39" s="352">
        <v>1</v>
      </c>
      <c r="B39" s="92" t="s">
        <v>267</v>
      </c>
      <c r="C39" s="92" t="s">
        <v>659</v>
      </c>
      <c r="D39" s="92" t="s">
        <v>660</v>
      </c>
      <c r="E39" s="143">
        <v>41</v>
      </c>
      <c r="G39" s="92" t="s">
        <v>66</v>
      </c>
      <c r="H39" s="290">
        <v>46062</v>
      </c>
      <c r="I39" s="82">
        <v>46080</v>
      </c>
      <c r="J39" s="100">
        <v>46080</v>
      </c>
      <c r="K39" s="82">
        <f t="shared" ref="K39:K45" si="4">J39+180</f>
        <v>46260</v>
      </c>
      <c r="L39" s="244"/>
      <c r="M39" s="399"/>
      <c r="N39" s="244">
        <f t="shared" ref="N39:N45" si="5">M39+180</f>
        <v>180</v>
      </c>
      <c r="O39" s="239" t="s">
        <v>550</v>
      </c>
      <c r="P39" s="239" t="s">
        <v>494</v>
      </c>
      <c r="Q39" s="239"/>
      <c r="R39" s="94">
        <v>2</v>
      </c>
      <c r="S39" s="51">
        <v>1</v>
      </c>
      <c r="T39" s="52"/>
      <c r="U39" s="111"/>
      <c r="V39" s="261"/>
      <c r="W39" s="81"/>
      <c r="X39" s="81"/>
      <c r="Y39" s="436" t="s">
        <v>992</v>
      </c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81" t="s">
        <v>862</v>
      </c>
      <c r="AN39" s="115" t="s">
        <v>802</v>
      </c>
      <c r="AO39" s="94"/>
      <c r="AP39" s="256"/>
    </row>
    <row r="40" spans="1:51" s="52" customFormat="1" ht="15" customHeight="1">
      <c r="A40" s="335">
        <v>1</v>
      </c>
      <c r="B40" s="161" t="s">
        <v>266</v>
      </c>
      <c r="C40" s="161" t="s">
        <v>825</v>
      </c>
      <c r="D40" s="164" t="s">
        <v>822</v>
      </c>
      <c r="E40" s="143">
        <v>55</v>
      </c>
      <c r="F40" s="161"/>
      <c r="G40" s="92" t="s">
        <v>67</v>
      </c>
      <c r="H40" s="90">
        <v>46114</v>
      </c>
      <c r="I40" s="101">
        <v>46133</v>
      </c>
      <c r="J40" s="101">
        <v>46133</v>
      </c>
      <c r="K40" s="82">
        <f t="shared" si="4"/>
        <v>46313</v>
      </c>
      <c r="L40" s="333"/>
      <c r="M40" s="399"/>
      <c r="N40" s="244">
        <f t="shared" si="5"/>
        <v>180</v>
      </c>
      <c r="O40" s="239" t="s">
        <v>494</v>
      </c>
      <c r="P40" s="239"/>
      <c r="Q40" s="239"/>
      <c r="R40" s="52">
        <v>1</v>
      </c>
      <c r="S40" s="51"/>
      <c r="U40" s="111"/>
      <c r="V40" s="266"/>
      <c r="W40" s="81"/>
      <c r="X40" s="81"/>
      <c r="Y40" s="436" t="s">
        <v>997</v>
      </c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52" t="s">
        <v>801</v>
      </c>
      <c r="AP40" s="258"/>
    </row>
    <row r="41" spans="1:51" s="52" customFormat="1" ht="15" customHeight="1">
      <c r="A41" s="335">
        <v>1</v>
      </c>
      <c r="B41" s="92" t="s">
        <v>267</v>
      </c>
      <c r="C41" s="161" t="s">
        <v>806</v>
      </c>
      <c r="D41" s="161" t="s">
        <v>807</v>
      </c>
      <c r="E41" s="143">
        <v>53</v>
      </c>
      <c r="G41" s="92" t="s">
        <v>66</v>
      </c>
      <c r="H41" s="336">
        <v>46090</v>
      </c>
      <c r="I41" s="82">
        <v>46112</v>
      </c>
      <c r="J41" s="101">
        <v>46128</v>
      </c>
      <c r="K41" s="82">
        <f t="shared" si="4"/>
        <v>46308</v>
      </c>
      <c r="L41" s="333"/>
      <c r="M41" s="408"/>
      <c r="N41" s="244">
        <f t="shared" si="5"/>
        <v>180</v>
      </c>
      <c r="O41" s="239" t="s">
        <v>494</v>
      </c>
      <c r="P41" s="239"/>
      <c r="Q41" s="239"/>
      <c r="R41" s="52">
        <v>2</v>
      </c>
      <c r="S41" s="51"/>
      <c r="U41" s="111"/>
      <c r="V41" s="266"/>
      <c r="W41" s="81"/>
      <c r="X41" s="81"/>
      <c r="Y41" s="436" t="s">
        <v>999</v>
      </c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P41" s="258"/>
    </row>
    <row r="42" spans="1:51" s="141" customFormat="1" ht="16.5" customHeight="1">
      <c r="A42" s="161">
        <v>1</v>
      </c>
      <c r="B42" s="92" t="s">
        <v>267</v>
      </c>
      <c r="C42" s="92" t="s">
        <v>823</v>
      </c>
      <c r="D42" s="143" t="s">
        <v>824</v>
      </c>
      <c r="E42" s="143">
        <v>61</v>
      </c>
      <c r="F42" s="92"/>
      <c r="G42" s="92" t="s">
        <v>67</v>
      </c>
      <c r="H42" s="82">
        <v>46115</v>
      </c>
      <c r="I42" s="100">
        <v>46133</v>
      </c>
      <c r="J42" s="82">
        <v>46133</v>
      </c>
      <c r="K42" s="82">
        <f t="shared" si="4"/>
        <v>46313</v>
      </c>
      <c r="L42" s="239"/>
      <c r="M42" s="399"/>
      <c r="N42" s="244">
        <f t="shared" si="5"/>
        <v>180</v>
      </c>
      <c r="O42" s="92"/>
      <c r="P42" s="92"/>
      <c r="Q42" s="92"/>
      <c r="R42" s="143">
        <v>2</v>
      </c>
      <c r="S42" s="115"/>
      <c r="T42" s="92"/>
      <c r="U42" s="290"/>
      <c r="V42" s="82"/>
      <c r="Y42" s="436" t="s">
        <v>1004</v>
      </c>
      <c r="AM42" s="81"/>
      <c r="AN42" s="364"/>
      <c r="AO42" s="363"/>
    </row>
    <row r="43" spans="1:51" s="358" customFormat="1" ht="15" customHeight="1">
      <c r="A43" s="161">
        <v>1</v>
      </c>
      <c r="B43" s="161" t="s">
        <v>266</v>
      </c>
      <c r="C43" s="161" t="s">
        <v>830</v>
      </c>
      <c r="D43" s="161" t="s">
        <v>831</v>
      </c>
      <c r="E43" s="143">
        <v>56</v>
      </c>
      <c r="G43" s="92" t="s">
        <v>66</v>
      </c>
      <c r="H43" s="380">
        <v>46121</v>
      </c>
      <c r="I43" s="100">
        <v>46140</v>
      </c>
      <c r="J43" s="82">
        <v>46140</v>
      </c>
      <c r="K43" s="82">
        <f t="shared" si="4"/>
        <v>46320</v>
      </c>
      <c r="L43" s="239"/>
      <c r="M43" s="399"/>
      <c r="N43" s="244">
        <f t="shared" si="5"/>
        <v>180</v>
      </c>
      <c r="O43" s="92" t="s">
        <v>663</v>
      </c>
      <c r="P43" s="92"/>
      <c r="Q43" s="92"/>
      <c r="R43" s="143">
        <v>7</v>
      </c>
      <c r="S43" s="115">
        <v>1</v>
      </c>
      <c r="T43" s="92"/>
      <c r="U43" s="290"/>
      <c r="V43" s="82"/>
      <c r="W43" s="360"/>
      <c r="X43" s="360"/>
      <c r="Y43" s="436" t="s">
        <v>1003</v>
      </c>
      <c r="Z43" s="361">
        <v>1</v>
      </c>
      <c r="AA43" s="361"/>
      <c r="AB43" s="361"/>
      <c r="AC43" s="361"/>
      <c r="AD43" s="361"/>
      <c r="AE43" s="361">
        <v>1</v>
      </c>
      <c r="AF43" s="361"/>
      <c r="AG43" s="361"/>
      <c r="AH43" s="361"/>
      <c r="AI43" s="361"/>
      <c r="AJ43" s="361"/>
      <c r="AK43" s="361"/>
      <c r="AL43" s="361"/>
      <c r="AM43" s="81"/>
      <c r="AO43" s="359"/>
      <c r="AP43" s="362"/>
    </row>
    <row r="44" spans="1:51" s="115" customFormat="1" ht="15" customHeight="1">
      <c r="A44" s="161">
        <v>1</v>
      </c>
      <c r="B44" s="161" t="s">
        <v>266</v>
      </c>
      <c r="C44" s="161" t="s">
        <v>832</v>
      </c>
      <c r="D44" s="161" t="s">
        <v>833</v>
      </c>
      <c r="E44" s="143">
        <v>38</v>
      </c>
      <c r="F44" s="92"/>
      <c r="G44" s="92" t="s">
        <v>66</v>
      </c>
      <c r="H44" s="82">
        <v>46115</v>
      </c>
      <c r="I44" s="100">
        <v>46140</v>
      </c>
      <c r="J44" s="82">
        <v>46140</v>
      </c>
      <c r="K44" s="82">
        <f t="shared" si="4"/>
        <v>46320</v>
      </c>
      <c r="L44" s="239"/>
      <c r="M44" s="399"/>
      <c r="N44" s="244">
        <f t="shared" si="5"/>
        <v>180</v>
      </c>
      <c r="O44" s="92" t="s">
        <v>551</v>
      </c>
      <c r="P44" s="92" t="s">
        <v>494</v>
      </c>
      <c r="Q44" s="92"/>
      <c r="R44" s="143">
        <v>2</v>
      </c>
      <c r="T44" s="92"/>
      <c r="U44" s="290"/>
      <c r="V44" s="82"/>
      <c r="W44" s="81"/>
      <c r="X44" s="81"/>
      <c r="Y44" s="436" t="s">
        <v>1000</v>
      </c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81"/>
      <c r="AO44" s="94"/>
      <c r="AP44" s="256"/>
    </row>
    <row r="45" spans="1:51" s="115" customFormat="1" ht="15" customHeight="1">
      <c r="A45" s="161">
        <v>1</v>
      </c>
      <c r="B45" s="92" t="s">
        <v>267</v>
      </c>
      <c r="C45" s="161" t="s">
        <v>835</v>
      </c>
      <c r="D45" s="161" t="s">
        <v>834</v>
      </c>
      <c r="E45" s="143">
        <v>26</v>
      </c>
      <c r="F45" s="92"/>
      <c r="G45" s="92" t="s">
        <v>66</v>
      </c>
      <c r="H45" s="82">
        <v>46122</v>
      </c>
      <c r="I45" s="100">
        <v>46141</v>
      </c>
      <c r="J45" s="82">
        <v>46141</v>
      </c>
      <c r="K45" s="82">
        <f t="shared" si="4"/>
        <v>46321</v>
      </c>
      <c r="L45" s="239"/>
      <c r="M45" s="399"/>
      <c r="N45" s="244">
        <f t="shared" si="5"/>
        <v>180</v>
      </c>
      <c r="O45" s="92"/>
      <c r="P45" s="92"/>
      <c r="Q45" s="92"/>
      <c r="R45" s="143">
        <v>3</v>
      </c>
      <c r="S45" s="115">
        <v>1</v>
      </c>
      <c r="T45" s="92"/>
      <c r="U45" s="290"/>
      <c r="V45" s="82"/>
      <c r="W45" s="81"/>
      <c r="X45" s="81"/>
      <c r="Y45" s="436" t="s">
        <v>1005</v>
      </c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81"/>
      <c r="AO45" s="94"/>
      <c r="AP45" s="256"/>
    </row>
    <row r="46" spans="1:51" s="115" customFormat="1" ht="15" customHeight="1">
      <c r="A46" s="161">
        <v>1</v>
      </c>
      <c r="B46" s="161" t="s">
        <v>266</v>
      </c>
      <c r="C46" s="92" t="s">
        <v>850</v>
      </c>
      <c r="D46" s="161" t="s">
        <v>851</v>
      </c>
      <c r="E46" s="92">
        <v>45</v>
      </c>
      <c r="F46" s="92"/>
      <c r="G46" s="92" t="s">
        <v>67</v>
      </c>
      <c r="H46" s="82">
        <v>46139</v>
      </c>
      <c r="I46" s="100">
        <v>46154</v>
      </c>
      <c r="J46" s="82">
        <v>46154</v>
      </c>
      <c r="K46" s="82">
        <f>J46+180</f>
        <v>46334</v>
      </c>
      <c r="L46" s="239"/>
      <c r="M46" s="399"/>
      <c r="N46" s="244">
        <f t="shared" ref="N46:N53" si="6">M46+180</f>
        <v>180</v>
      </c>
      <c r="O46" s="92"/>
      <c r="P46" s="92"/>
      <c r="Q46" s="92"/>
      <c r="R46" s="143">
        <v>1</v>
      </c>
      <c r="S46" s="115">
        <v>1</v>
      </c>
      <c r="T46" s="92"/>
      <c r="U46" s="290"/>
      <c r="V46" s="82"/>
      <c r="W46" s="81"/>
      <c r="X46" s="81"/>
      <c r="Y46" s="436" t="s">
        <v>1001</v>
      </c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81"/>
      <c r="AN46" s="115" t="s">
        <v>907</v>
      </c>
      <c r="AO46" s="94"/>
      <c r="AP46" s="256"/>
    </row>
    <row r="47" spans="1:51" s="52" customFormat="1" ht="24">
      <c r="A47" s="161">
        <v>1</v>
      </c>
      <c r="B47" s="161" t="s">
        <v>266</v>
      </c>
      <c r="C47" s="161" t="s">
        <v>871</v>
      </c>
      <c r="D47" s="161" t="s">
        <v>1062</v>
      </c>
      <c r="E47" s="161">
        <v>33</v>
      </c>
      <c r="F47" s="161"/>
      <c r="G47" s="161" t="s">
        <v>66</v>
      </c>
      <c r="H47" s="90">
        <v>46168</v>
      </c>
      <c r="I47" s="101">
        <v>46185</v>
      </c>
      <c r="J47" s="90">
        <v>46220</v>
      </c>
      <c r="K47" s="90">
        <f>J47+180</f>
        <v>46400</v>
      </c>
      <c r="L47" s="239"/>
      <c r="M47" s="440"/>
      <c r="N47" s="333">
        <f t="shared" si="6"/>
        <v>180</v>
      </c>
      <c r="O47" s="161"/>
      <c r="P47" s="161"/>
      <c r="Q47" s="161"/>
      <c r="R47" s="164"/>
      <c r="T47" s="161"/>
      <c r="U47" s="336"/>
      <c r="V47" s="90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52" t="s">
        <v>1009</v>
      </c>
      <c r="AP47" s="258"/>
    </row>
    <row r="48" spans="1:51" s="115" customFormat="1" ht="15" customHeight="1">
      <c r="A48" s="161">
        <v>1</v>
      </c>
      <c r="B48" s="161" t="s">
        <v>267</v>
      </c>
      <c r="C48" s="92" t="s">
        <v>864</v>
      </c>
      <c r="D48" s="161" t="s">
        <v>865</v>
      </c>
      <c r="E48" s="92">
        <v>30</v>
      </c>
      <c r="F48" s="92"/>
      <c r="G48" s="92" t="s">
        <v>66</v>
      </c>
      <c r="H48" s="82">
        <v>46168</v>
      </c>
      <c r="I48" s="100">
        <v>46188</v>
      </c>
      <c r="J48" s="82">
        <v>46188</v>
      </c>
      <c r="K48" s="82">
        <f t="shared" ref="K48:K53" si="7">J48+180</f>
        <v>46368</v>
      </c>
      <c r="L48" s="239"/>
      <c r="M48" s="399"/>
      <c r="N48" s="244">
        <f t="shared" si="6"/>
        <v>180</v>
      </c>
      <c r="O48" s="92"/>
      <c r="P48" s="92"/>
      <c r="Q48" s="92"/>
      <c r="R48" s="143">
        <v>2</v>
      </c>
      <c r="S48" s="115">
        <v>1</v>
      </c>
      <c r="T48" s="92"/>
      <c r="U48" s="290"/>
      <c r="V48" s="82"/>
      <c r="W48" s="81"/>
      <c r="X48" s="81"/>
      <c r="Y48" s="81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81" t="s">
        <v>862</v>
      </c>
      <c r="AN48" s="115" t="s">
        <v>1036</v>
      </c>
      <c r="AO48" s="94"/>
      <c r="AP48" s="256"/>
    </row>
    <row r="49" spans="1:42" s="115" customFormat="1" ht="15" customHeight="1">
      <c r="A49" s="161">
        <v>1</v>
      </c>
      <c r="B49" s="161" t="s">
        <v>266</v>
      </c>
      <c r="C49" s="92" t="s">
        <v>866</v>
      </c>
      <c r="D49" s="161" t="s">
        <v>867</v>
      </c>
      <c r="E49" s="92">
        <v>27</v>
      </c>
      <c r="F49" s="92"/>
      <c r="G49" s="92" t="s">
        <v>66</v>
      </c>
      <c r="H49" s="82">
        <v>46168</v>
      </c>
      <c r="I49" s="100">
        <v>46185</v>
      </c>
      <c r="J49" s="82">
        <v>46185</v>
      </c>
      <c r="K49" s="82">
        <f t="shared" si="7"/>
        <v>46365</v>
      </c>
      <c r="L49" s="239"/>
      <c r="M49" s="399"/>
      <c r="N49" s="244">
        <f t="shared" si="6"/>
        <v>180</v>
      </c>
      <c r="O49" s="92" t="s">
        <v>496</v>
      </c>
      <c r="P49" s="92"/>
      <c r="Q49" s="92"/>
      <c r="R49" s="143"/>
      <c r="T49" s="92"/>
      <c r="U49" s="290"/>
      <c r="V49" s="82"/>
      <c r="W49" s="81"/>
      <c r="X49" s="81"/>
      <c r="Y49" s="438" t="s">
        <v>1065</v>
      </c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81"/>
      <c r="AO49" s="94"/>
      <c r="AP49" s="256"/>
    </row>
    <row r="50" spans="1:42" s="115" customFormat="1" ht="15" customHeight="1">
      <c r="A50" s="161">
        <v>1</v>
      </c>
      <c r="B50" s="161" t="s">
        <v>266</v>
      </c>
      <c r="C50" s="92" t="s">
        <v>868</v>
      </c>
      <c r="D50" s="161" t="s">
        <v>869</v>
      </c>
      <c r="E50" s="143">
        <v>45</v>
      </c>
      <c r="F50" s="92"/>
      <c r="G50" s="92" t="s">
        <v>66</v>
      </c>
      <c r="H50" s="82">
        <v>46168</v>
      </c>
      <c r="I50" s="100">
        <v>46189</v>
      </c>
      <c r="J50" s="82">
        <v>46206</v>
      </c>
      <c r="K50" s="82">
        <f t="shared" si="7"/>
        <v>46386</v>
      </c>
      <c r="L50" s="239"/>
      <c r="M50" s="399"/>
      <c r="N50" s="244">
        <f t="shared" si="6"/>
        <v>180</v>
      </c>
      <c r="O50" s="92"/>
      <c r="P50" s="92"/>
      <c r="Q50" s="92"/>
      <c r="R50" s="143"/>
      <c r="T50" s="92"/>
      <c r="U50" s="290"/>
      <c r="V50" s="82"/>
      <c r="W50" s="81"/>
      <c r="X50" s="81"/>
      <c r="Y50" s="81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81"/>
      <c r="AN50" s="115" t="s">
        <v>1034</v>
      </c>
      <c r="AO50" s="94"/>
      <c r="AP50" s="256"/>
    </row>
    <row r="51" spans="1:42" s="52" customFormat="1" ht="15" customHeight="1">
      <c r="A51" s="161">
        <v>1</v>
      </c>
      <c r="B51" s="161" t="s">
        <v>267</v>
      </c>
      <c r="C51" s="161" t="s">
        <v>872</v>
      </c>
      <c r="D51" s="161" t="s">
        <v>873</v>
      </c>
      <c r="E51" s="164">
        <v>32</v>
      </c>
      <c r="F51" s="161"/>
      <c r="G51" s="161" t="s">
        <v>66</v>
      </c>
      <c r="H51" s="90">
        <v>46149</v>
      </c>
      <c r="I51" s="101">
        <v>46160</v>
      </c>
      <c r="J51" s="90">
        <v>46176</v>
      </c>
      <c r="K51" s="90">
        <f t="shared" si="7"/>
        <v>46356</v>
      </c>
      <c r="L51" s="239"/>
      <c r="M51" s="440"/>
      <c r="N51" s="333">
        <f t="shared" si="6"/>
        <v>180</v>
      </c>
      <c r="O51" s="161"/>
      <c r="P51" s="161"/>
      <c r="Q51" s="161"/>
      <c r="R51" s="164">
        <v>1</v>
      </c>
      <c r="S51" s="52">
        <v>1</v>
      </c>
      <c r="T51" s="161"/>
      <c r="U51" s="336"/>
      <c r="V51" s="90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P51" s="258"/>
    </row>
    <row r="52" spans="1:42" s="52" customFormat="1" ht="15" customHeight="1">
      <c r="A52" s="161">
        <v>1</v>
      </c>
      <c r="B52" s="161" t="s">
        <v>266</v>
      </c>
      <c r="C52" s="161" t="s">
        <v>874</v>
      </c>
      <c r="D52" s="161" t="s">
        <v>875</v>
      </c>
      <c r="E52" s="164">
        <v>46</v>
      </c>
      <c r="F52" s="161"/>
      <c r="G52" s="161" t="s">
        <v>66</v>
      </c>
      <c r="H52" s="90">
        <v>46176</v>
      </c>
      <c r="I52" s="101">
        <v>46192</v>
      </c>
      <c r="J52" s="90">
        <v>46216</v>
      </c>
      <c r="K52" s="90">
        <f t="shared" si="7"/>
        <v>46396</v>
      </c>
      <c r="L52" s="239"/>
      <c r="M52" s="440"/>
      <c r="N52" s="333">
        <f t="shared" si="6"/>
        <v>180</v>
      </c>
      <c r="O52" s="161"/>
      <c r="P52" s="161"/>
      <c r="Q52" s="161"/>
      <c r="R52" s="164">
        <v>1</v>
      </c>
      <c r="S52" s="52">
        <v>1</v>
      </c>
      <c r="T52" s="161"/>
      <c r="U52" s="336"/>
      <c r="V52" s="90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 t="s">
        <v>1090</v>
      </c>
      <c r="AN52" s="52" t="s">
        <v>1008</v>
      </c>
      <c r="AP52" s="258"/>
    </row>
    <row r="53" spans="1:42" s="115" customFormat="1" ht="15" customHeight="1">
      <c r="A53" s="161">
        <v>1</v>
      </c>
      <c r="B53" s="161" t="s">
        <v>266</v>
      </c>
      <c r="C53" s="92" t="s">
        <v>876</v>
      </c>
      <c r="D53" s="161" t="s">
        <v>877</v>
      </c>
      <c r="E53" s="143">
        <v>39</v>
      </c>
      <c r="F53" s="92"/>
      <c r="G53" s="92" t="s">
        <v>66</v>
      </c>
      <c r="H53" s="82">
        <v>46176</v>
      </c>
      <c r="I53" s="100">
        <v>46196</v>
      </c>
      <c r="J53" s="82">
        <v>46196</v>
      </c>
      <c r="K53" s="82">
        <f t="shared" si="7"/>
        <v>46376</v>
      </c>
      <c r="L53" s="239"/>
      <c r="M53" s="399"/>
      <c r="N53" s="244">
        <f t="shared" si="6"/>
        <v>180</v>
      </c>
      <c r="O53" s="92" t="s">
        <v>496</v>
      </c>
      <c r="P53" s="92"/>
      <c r="Q53" s="92"/>
      <c r="R53" s="143"/>
      <c r="T53" s="92"/>
      <c r="U53" s="290"/>
      <c r="V53" s="82"/>
      <c r="W53" s="81"/>
      <c r="X53" s="81"/>
      <c r="Y53" s="438" t="s">
        <v>1064</v>
      </c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81"/>
      <c r="AO53" s="94"/>
      <c r="AP53" s="256"/>
    </row>
    <row r="54" spans="1:42" s="320" customFormat="1" ht="15" customHeight="1">
      <c r="A54" s="305">
        <v>0</v>
      </c>
      <c r="B54" s="305" t="s">
        <v>266</v>
      </c>
      <c r="C54" s="305" t="s">
        <v>889</v>
      </c>
      <c r="D54" s="305" t="s">
        <v>890</v>
      </c>
      <c r="E54" s="306"/>
      <c r="F54" s="305"/>
      <c r="G54" s="305" t="s">
        <v>66</v>
      </c>
      <c r="H54" s="310">
        <v>46176</v>
      </c>
      <c r="I54" s="309">
        <v>46195</v>
      </c>
      <c r="J54" s="310"/>
      <c r="K54" s="310"/>
      <c r="L54" s="318"/>
      <c r="M54" s="432"/>
      <c r="N54" s="311"/>
      <c r="O54" s="305"/>
      <c r="P54" s="305"/>
      <c r="Q54" s="305"/>
      <c r="R54" s="306"/>
      <c r="T54" s="305"/>
      <c r="U54" s="322"/>
      <c r="V54" s="310"/>
      <c r="W54" s="313"/>
      <c r="X54" s="313"/>
      <c r="Y54" s="313"/>
      <c r="Z54" s="313"/>
      <c r="AA54" s="313"/>
      <c r="AB54" s="313"/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20" t="s">
        <v>1028</v>
      </c>
      <c r="AP54" s="321"/>
    </row>
    <row r="55" spans="1:42" s="320" customFormat="1" ht="15" customHeight="1">
      <c r="A55" s="305">
        <v>0</v>
      </c>
      <c r="B55" s="305" t="s">
        <v>266</v>
      </c>
      <c r="C55" s="305" t="s">
        <v>891</v>
      </c>
      <c r="D55" s="305" t="s">
        <v>892</v>
      </c>
      <c r="E55" s="306">
        <v>34</v>
      </c>
      <c r="F55" s="305"/>
      <c r="G55" s="305" t="s">
        <v>66</v>
      </c>
      <c r="H55" s="310">
        <v>46176</v>
      </c>
      <c r="I55" s="309">
        <v>46205</v>
      </c>
      <c r="J55" s="310">
        <v>46205</v>
      </c>
      <c r="K55" s="310">
        <f>J55+180</f>
        <v>46385</v>
      </c>
      <c r="L55" s="318"/>
      <c r="M55" s="432"/>
      <c r="N55" s="311"/>
      <c r="O55" s="305"/>
      <c r="P55" s="305"/>
      <c r="Q55" s="305"/>
      <c r="R55" s="306">
        <v>1</v>
      </c>
      <c r="T55" s="305"/>
      <c r="U55" s="322"/>
      <c r="V55" s="310"/>
      <c r="W55" s="313"/>
      <c r="X55" s="313"/>
      <c r="Y55" s="313"/>
      <c r="Z55" s="313"/>
      <c r="AA55" s="313"/>
      <c r="AB55" s="313"/>
      <c r="AC55" s="313"/>
      <c r="AD55" s="313"/>
      <c r="AE55" s="313"/>
      <c r="AF55" s="313"/>
      <c r="AG55" s="313"/>
      <c r="AH55" s="313"/>
      <c r="AI55" s="313"/>
      <c r="AJ55" s="313"/>
      <c r="AK55" s="313"/>
      <c r="AL55" s="313"/>
      <c r="AM55" s="313"/>
      <c r="AP55" s="321"/>
    </row>
    <row r="56" spans="1:42" s="115" customFormat="1" ht="15" customHeight="1">
      <c r="A56" s="161">
        <v>1</v>
      </c>
      <c r="B56" s="161" t="s">
        <v>266</v>
      </c>
      <c r="C56" s="92" t="s">
        <v>893</v>
      </c>
      <c r="D56" s="161" t="s">
        <v>894</v>
      </c>
      <c r="E56" s="143">
        <v>37</v>
      </c>
      <c r="F56" s="92"/>
      <c r="G56" s="161" t="s">
        <v>66</v>
      </c>
      <c r="H56" s="82">
        <v>46176</v>
      </c>
      <c r="I56" s="100">
        <v>46191</v>
      </c>
      <c r="J56" s="82">
        <v>46191</v>
      </c>
      <c r="K56" s="82">
        <f>J56+180</f>
        <v>46371</v>
      </c>
      <c r="L56" s="239"/>
      <c r="M56" s="399"/>
      <c r="N56" s="244"/>
      <c r="O56" s="92"/>
      <c r="P56" s="92"/>
      <c r="Q56" s="92"/>
      <c r="R56" s="143"/>
      <c r="T56" s="92"/>
      <c r="U56" s="290"/>
      <c r="V56" s="82"/>
      <c r="W56" s="81"/>
      <c r="X56" s="81"/>
      <c r="Y56" s="81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81"/>
      <c r="AO56" s="94"/>
      <c r="AP56" s="256"/>
    </row>
    <row r="57" spans="1:42" s="52" customFormat="1" ht="15" customHeight="1">
      <c r="A57" s="161">
        <v>1</v>
      </c>
      <c r="B57" s="161" t="s">
        <v>267</v>
      </c>
      <c r="C57" s="161" t="s">
        <v>895</v>
      </c>
      <c r="D57" s="161" t="s">
        <v>896</v>
      </c>
      <c r="E57" s="164">
        <v>58</v>
      </c>
      <c r="F57" s="161"/>
      <c r="G57" s="161" t="s">
        <v>66</v>
      </c>
      <c r="H57" s="90">
        <v>46176</v>
      </c>
      <c r="I57" s="101">
        <v>46205</v>
      </c>
      <c r="J57" s="90"/>
      <c r="K57" s="90"/>
      <c r="L57" s="239"/>
      <c r="M57" s="440"/>
      <c r="N57" s="333"/>
      <c r="O57" s="161"/>
      <c r="P57" s="161"/>
      <c r="Q57" s="161"/>
      <c r="R57" s="164"/>
      <c r="T57" s="161"/>
      <c r="U57" s="336"/>
      <c r="V57" s="90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52" t="s">
        <v>1061</v>
      </c>
      <c r="AP57" s="258"/>
    </row>
    <row r="58" spans="1:42" s="115" customFormat="1" ht="15" customHeight="1">
      <c r="A58" s="161">
        <v>1</v>
      </c>
      <c r="B58" s="92" t="s">
        <v>266</v>
      </c>
      <c r="C58" s="161" t="s">
        <v>897</v>
      </c>
      <c r="D58" s="143" t="s">
        <v>898</v>
      </c>
      <c r="E58" s="161">
        <v>53</v>
      </c>
      <c r="F58" s="92"/>
      <c r="G58" s="161" t="s">
        <v>67</v>
      </c>
      <c r="H58" s="80">
        <v>46191</v>
      </c>
      <c r="I58" s="176">
        <v>46209</v>
      </c>
      <c r="J58" s="82">
        <v>46209</v>
      </c>
      <c r="K58" s="82">
        <f>J58+180</f>
        <v>46389</v>
      </c>
      <c r="L58" s="239"/>
      <c r="M58" s="399"/>
      <c r="N58" s="244"/>
      <c r="O58" s="92" t="s">
        <v>551</v>
      </c>
      <c r="P58" s="92"/>
      <c r="Q58" s="92"/>
      <c r="R58" s="143">
        <v>1</v>
      </c>
      <c r="T58" s="92"/>
      <c r="U58" s="290"/>
      <c r="V58" s="82"/>
      <c r="W58" s="81"/>
      <c r="X58" s="81"/>
      <c r="Y58" s="81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81"/>
      <c r="AO58" s="94"/>
      <c r="AP58" s="256"/>
    </row>
    <row r="59" spans="1:42" s="115" customFormat="1" ht="15" customHeight="1">
      <c r="A59" s="161">
        <v>1</v>
      </c>
      <c r="B59" s="92" t="s">
        <v>267</v>
      </c>
      <c r="C59" s="161" t="s">
        <v>1033</v>
      </c>
      <c r="D59" s="143" t="s">
        <v>901</v>
      </c>
      <c r="E59" s="161">
        <v>52</v>
      </c>
      <c r="F59" s="92"/>
      <c r="G59" s="161" t="s">
        <v>66</v>
      </c>
      <c r="H59" s="80">
        <v>46191</v>
      </c>
      <c r="I59" s="176">
        <v>46212</v>
      </c>
      <c r="J59" s="82">
        <v>46212</v>
      </c>
      <c r="K59" s="82">
        <f>J59+180</f>
        <v>46392</v>
      </c>
      <c r="L59" s="239"/>
      <c r="M59" s="399"/>
      <c r="N59" s="244"/>
      <c r="O59" s="92" t="s">
        <v>494</v>
      </c>
      <c r="P59" s="92"/>
      <c r="Q59" s="92"/>
      <c r="R59" s="143"/>
      <c r="T59" s="92"/>
      <c r="U59" s="290"/>
      <c r="V59" s="82"/>
      <c r="W59" s="81"/>
      <c r="X59" s="81"/>
      <c r="Y59" s="81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81"/>
      <c r="AN59" s="115" t="s">
        <v>1098</v>
      </c>
      <c r="AO59" s="94"/>
      <c r="AP59" s="256"/>
    </row>
    <row r="60" spans="1:42" s="115" customFormat="1" ht="15" customHeight="1">
      <c r="A60" s="160">
        <v>1</v>
      </c>
      <c r="B60" s="92" t="s">
        <v>267</v>
      </c>
      <c r="C60" s="161" t="s">
        <v>908</v>
      </c>
      <c r="D60" s="143" t="s">
        <v>909</v>
      </c>
      <c r="E60" s="161">
        <v>33</v>
      </c>
      <c r="F60" s="92"/>
      <c r="G60" s="161" t="s">
        <v>66</v>
      </c>
      <c r="H60" s="82">
        <v>46195</v>
      </c>
      <c r="I60" s="100">
        <v>46212</v>
      </c>
      <c r="J60" s="82">
        <v>46212</v>
      </c>
      <c r="K60" s="82">
        <f>J60+180</f>
        <v>46392</v>
      </c>
      <c r="L60" s="239"/>
      <c r="M60" s="399"/>
      <c r="N60" s="244"/>
      <c r="O60" s="92" t="s">
        <v>494</v>
      </c>
      <c r="P60" s="92"/>
      <c r="Q60" s="92"/>
      <c r="R60" s="143"/>
      <c r="T60" s="92"/>
      <c r="U60" s="290"/>
      <c r="V60" s="82"/>
      <c r="W60" s="81"/>
      <c r="X60" s="81"/>
      <c r="Y60" s="81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81"/>
      <c r="AO60" s="94"/>
      <c r="AP60" s="256"/>
    </row>
    <row r="61" spans="1:42" s="115" customFormat="1" ht="15" customHeight="1">
      <c r="A61" s="160">
        <v>1</v>
      </c>
      <c r="B61" s="92" t="s">
        <v>267</v>
      </c>
      <c r="C61" s="161" t="s">
        <v>911</v>
      </c>
      <c r="D61" s="143" t="s">
        <v>912</v>
      </c>
      <c r="E61" s="161">
        <v>46</v>
      </c>
      <c r="F61" s="92"/>
      <c r="G61" s="161" t="s">
        <v>66</v>
      </c>
      <c r="H61" s="82">
        <v>46196</v>
      </c>
      <c r="I61" s="100">
        <v>46212</v>
      </c>
      <c r="J61" s="82">
        <v>46212</v>
      </c>
      <c r="K61" s="82">
        <f>J61+180</f>
        <v>46392</v>
      </c>
      <c r="L61" s="239"/>
      <c r="M61" s="399"/>
      <c r="N61" s="244"/>
      <c r="O61" s="92"/>
      <c r="P61" s="92"/>
      <c r="Q61" s="92"/>
      <c r="R61" s="143">
        <v>1</v>
      </c>
      <c r="S61" s="115">
        <v>1</v>
      </c>
      <c r="T61" s="92"/>
      <c r="U61" s="290"/>
      <c r="V61" s="82"/>
      <c r="W61" s="81"/>
      <c r="X61" s="81"/>
      <c r="Y61" s="81"/>
      <c r="Z61" s="64"/>
      <c r="AA61" s="64"/>
      <c r="AB61" s="64"/>
      <c r="AC61" s="64"/>
      <c r="AD61" s="64"/>
      <c r="AE61" s="64">
        <v>1</v>
      </c>
      <c r="AF61" s="64"/>
      <c r="AG61" s="64"/>
      <c r="AH61" s="64"/>
      <c r="AI61" s="64"/>
      <c r="AJ61" s="64"/>
      <c r="AK61" s="64"/>
      <c r="AL61" s="64"/>
      <c r="AM61" s="81" t="s">
        <v>862</v>
      </c>
      <c r="AN61" s="115" t="s">
        <v>1092</v>
      </c>
      <c r="AO61" s="94"/>
      <c r="AP61" s="256"/>
    </row>
    <row r="62" spans="1:42" s="320" customFormat="1" ht="15" customHeight="1">
      <c r="A62" s="305">
        <v>0</v>
      </c>
      <c r="B62" s="305" t="s">
        <v>266</v>
      </c>
      <c r="C62" s="305" t="s">
        <v>1011</v>
      </c>
      <c r="D62" s="305" t="s">
        <v>1010</v>
      </c>
      <c r="E62" s="306"/>
      <c r="F62" s="305"/>
      <c r="G62" s="305"/>
      <c r="H62" s="310">
        <v>46205</v>
      </c>
      <c r="I62" s="309">
        <v>46227</v>
      </c>
      <c r="J62" s="310"/>
      <c r="K62" s="310"/>
      <c r="L62" s="318"/>
      <c r="M62" s="432"/>
      <c r="N62" s="311"/>
      <c r="O62" s="305"/>
      <c r="P62" s="305"/>
      <c r="Q62" s="305"/>
      <c r="R62" s="306"/>
      <c r="T62" s="305"/>
      <c r="U62" s="322"/>
      <c r="V62" s="310"/>
      <c r="W62" s="313"/>
      <c r="X62" s="313"/>
      <c r="Y62" s="313"/>
      <c r="Z62" s="313"/>
      <c r="AA62" s="313"/>
      <c r="AB62" s="313"/>
      <c r="AC62" s="313"/>
      <c r="AD62" s="313"/>
      <c r="AE62" s="313"/>
      <c r="AF62" s="313"/>
      <c r="AG62" s="313"/>
      <c r="AH62" s="313"/>
      <c r="AI62" s="313"/>
      <c r="AJ62" s="313"/>
      <c r="AK62" s="313"/>
      <c r="AL62" s="313"/>
      <c r="AM62" s="313"/>
      <c r="AP62" s="321"/>
    </row>
    <row r="63" spans="1:42" s="115" customFormat="1" ht="15" customHeight="1">
      <c r="A63" s="161">
        <v>1</v>
      </c>
      <c r="B63" s="161" t="s">
        <v>267</v>
      </c>
      <c r="C63" s="161" t="s">
        <v>1012</v>
      </c>
      <c r="D63" s="161" t="s">
        <v>1013</v>
      </c>
      <c r="E63" s="143">
        <v>38</v>
      </c>
      <c r="F63" s="92"/>
      <c r="G63" s="92" t="s">
        <v>66</v>
      </c>
      <c r="H63" s="82">
        <v>46205</v>
      </c>
      <c r="I63" s="100">
        <v>46219</v>
      </c>
      <c r="J63" s="82">
        <v>46219</v>
      </c>
      <c r="K63" s="82">
        <f t="shared" ref="K63:K80" si="8">J63+180</f>
        <v>46399</v>
      </c>
      <c r="L63" s="239"/>
      <c r="M63" s="399"/>
      <c r="N63" s="244"/>
      <c r="O63" s="92"/>
      <c r="P63" s="92"/>
      <c r="Q63" s="92"/>
      <c r="R63" s="143"/>
      <c r="T63" s="92"/>
      <c r="U63" s="290"/>
      <c r="V63" s="82"/>
      <c r="W63" s="81"/>
      <c r="X63" s="81"/>
      <c r="Y63" s="81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81"/>
      <c r="AO63" s="94"/>
      <c r="AP63" s="256"/>
    </row>
    <row r="64" spans="1:42" s="320" customFormat="1" ht="15" customHeight="1">
      <c r="A64" s="305">
        <v>0</v>
      </c>
      <c r="B64" s="305" t="s">
        <v>267</v>
      </c>
      <c r="C64" s="305" t="s">
        <v>1016</v>
      </c>
      <c r="D64" s="305" t="s">
        <v>1017</v>
      </c>
      <c r="E64" s="306">
        <v>36</v>
      </c>
      <c r="F64" s="305"/>
      <c r="G64" s="305" t="s">
        <v>66</v>
      </c>
      <c r="H64" s="310">
        <v>46205</v>
      </c>
      <c r="I64" s="309">
        <v>46227</v>
      </c>
      <c r="J64" s="310"/>
      <c r="K64" s="310"/>
      <c r="L64" s="318"/>
      <c r="M64" s="432"/>
      <c r="N64" s="311"/>
      <c r="O64" s="305"/>
      <c r="P64" s="305"/>
      <c r="Q64" s="305"/>
      <c r="R64" s="306"/>
      <c r="T64" s="305"/>
      <c r="U64" s="322"/>
      <c r="V64" s="310"/>
      <c r="W64" s="313"/>
      <c r="X64" s="313"/>
      <c r="Y64" s="313"/>
      <c r="Z64" s="313"/>
      <c r="AA64" s="313"/>
      <c r="AB64" s="313"/>
      <c r="AC64" s="313"/>
      <c r="AD64" s="313"/>
      <c r="AE64" s="313"/>
      <c r="AF64" s="313"/>
      <c r="AG64" s="313"/>
      <c r="AH64" s="313"/>
      <c r="AI64" s="313"/>
      <c r="AJ64" s="313"/>
      <c r="AK64" s="313"/>
      <c r="AL64" s="313"/>
      <c r="AM64" s="313"/>
      <c r="AN64" s="320" t="s">
        <v>1100</v>
      </c>
      <c r="AP64" s="321"/>
    </row>
    <row r="65" spans="1:42" s="115" customFormat="1" ht="15" customHeight="1">
      <c r="A65" s="161">
        <v>1</v>
      </c>
      <c r="B65" s="161" t="s">
        <v>267</v>
      </c>
      <c r="C65" s="161" t="s">
        <v>1018</v>
      </c>
      <c r="D65" s="161" t="s">
        <v>1019</v>
      </c>
      <c r="E65" s="143">
        <v>41</v>
      </c>
      <c r="F65" s="92"/>
      <c r="G65" s="92" t="s">
        <v>67</v>
      </c>
      <c r="H65" s="82">
        <v>46205</v>
      </c>
      <c r="I65" s="100">
        <v>46225</v>
      </c>
      <c r="J65" s="82">
        <v>46225</v>
      </c>
      <c r="K65" s="82">
        <f t="shared" si="8"/>
        <v>46405</v>
      </c>
      <c r="L65" s="239"/>
      <c r="M65" s="399"/>
      <c r="N65" s="244"/>
      <c r="O65" s="92"/>
      <c r="P65" s="92"/>
      <c r="Q65" s="92"/>
      <c r="R65" s="143"/>
      <c r="T65" s="92"/>
      <c r="U65" s="290"/>
      <c r="V65" s="82"/>
      <c r="W65" s="81"/>
      <c r="X65" s="81"/>
      <c r="Y65" s="81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81"/>
      <c r="AO65" s="94"/>
      <c r="AP65" s="256"/>
    </row>
    <row r="66" spans="1:42" s="115" customFormat="1" ht="15" customHeight="1">
      <c r="A66" s="161">
        <v>1</v>
      </c>
      <c r="B66" s="161" t="s">
        <v>267</v>
      </c>
      <c r="C66" s="161" t="s">
        <v>1020</v>
      </c>
      <c r="D66" s="161" t="s">
        <v>1021</v>
      </c>
      <c r="E66" s="143">
        <v>44</v>
      </c>
      <c r="F66" s="92"/>
      <c r="G66" s="92" t="s">
        <v>66</v>
      </c>
      <c r="H66" s="82">
        <v>46205</v>
      </c>
      <c r="I66" s="100">
        <v>46219</v>
      </c>
      <c r="J66" s="82">
        <v>46219</v>
      </c>
      <c r="K66" s="82">
        <f t="shared" si="8"/>
        <v>46399</v>
      </c>
      <c r="L66" s="239"/>
      <c r="M66" s="399"/>
      <c r="N66" s="244"/>
      <c r="O66" s="92" t="s">
        <v>496</v>
      </c>
      <c r="P66" s="92" t="s">
        <v>1055</v>
      </c>
      <c r="Q66" s="92"/>
      <c r="R66" s="143"/>
      <c r="T66" s="92"/>
      <c r="U66" s="290"/>
      <c r="V66" s="82"/>
      <c r="W66" s="81"/>
      <c r="X66" s="81"/>
      <c r="Y66" s="81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81"/>
      <c r="AO66" s="94"/>
      <c r="AP66" s="256"/>
    </row>
    <row r="67" spans="1:42" s="115" customFormat="1" ht="15" customHeight="1">
      <c r="A67" s="161">
        <v>1</v>
      </c>
      <c r="B67" s="161" t="s">
        <v>267</v>
      </c>
      <c r="C67" s="161" t="s">
        <v>1023</v>
      </c>
      <c r="D67" s="161" t="s">
        <v>1022</v>
      </c>
      <c r="E67" s="143">
        <v>49</v>
      </c>
      <c r="F67" s="92"/>
      <c r="G67" s="92" t="s">
        <v>66</v>
      </c>
      <c r="H67" s="82">
        <v>46209</v>
      </c>
      <c r="I67" s="100">
        <v>46226</v>
      </c>
      <c r="J67" s="82">
        <v>46226</v>
      </c>
      <c r="K67" s="82">
        <f t="shared" si="8"/>
        <v>46406</v>
      </c>
      <c r="L67" s="239"/>
      <c r="M67" s="399"/>
      <c r="N67" s="244"/>
      <c r="O67" s="92" t="s">
        <v>63</v>
      </c>
      <c r="P67" s="92"/>
      <c r="Q67" s="92"/>
      <c r="R67" s="143"/>
      <c r="T67" s="92"/>
      <c r="U67" s="290"/>
      <c r="V67" s="82"/>
      <c r="W67" s="81"/>
      <c r="X67" s="81"/>
      <c r="Y67" s="81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81"/>
      <c r="AO67" s="94"/>
      <c r="AP67" s="256"/>
    </row>
    <row r="68" spans="1:42" s="115" customFormat="1" ht="15" customHeight="1">
      <c r="A68" s="161">
        <v>1</v>
      </c>
      <c r="B68" s="161" t="s">
        <v>267</v>
      </c>
      <c r="C68" s="161" t="s">
        <v>1024</v>
      </c>
      <c r="D68" s="161" t="s">
        <v>1025</v>
      </c>
      <c r="E68" s="143">
        <v>62</v>
      </c>
      <c r="F68" s="92"/>
      <c r="G68" s="92" t="s">
        <v>66</v>
      </c>
      <c r="H68" s="82">
        <v>46209</v>
      </c>
      <c r="I68" s="100">
        <v>46226</v>
      </c>
      <c r="J68" s="82"/>
      <c r="K68" s="82"/>
      <c r="L68" s="239"/>
      <c r="M68" s="399"/>
      <c r="N68" s="244"/>
      <c r="O68" s="92"/>
      <c r="P68" s="92"/>
      <c r="Q68" s="92"/>
      <c r="R68" s="143"/>
      <c r="T68" s="92"/>
      <c r="U68" s="290"/>
      <c r="V68" s="82"/>
      <c r="W68" s="81"/>
      <c r="X68" s="81"/>
      <c r="Y68" s="81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81"/>
      <c r="AN68" s="115" t="s">
        <v>1072</v>
      </c>
      <c r="AO68" s="94"/>
      <c r="AP68" s="256"/>
    </row>
    <row r="69" spans="1:42" s="320" customFormat="1" ht="15" customHeight="1">
      <c r="A69" s="305">
        <v>0</v>
      </c>
      <c r="B69" s="305" t="s">
        <v>267</v>
      </c>
      <c r="C69" s="305" t="s">
        <v>1026</v>
      </c>
      <c r="D69" s="305" t="s">
        <v>1027</v>
      </c>
      <c r="E69" s="306">
        <v>31</v>
      </c>
      <c r="F69" s="305"/>
      <c r="G69" s="305" t="s">
        <v>66</v>
      </c>
      <c r="H69" s="310">
        <v>46209</v>
      </c>
      <c r="I69" s="309">
        <v>46226</v>
      </c>
      <c r="J69" s="310"/>
      <c r="K69" s="310"/>
      <c r="L69" s="318"/>
      <c r="M69" s="432"/>
      <c r="N69" s="311"/>
      <c r="O69" s="305"/>
      <c r="P69" s="305"/>
      <c r="Q69" s="305"/>
      <c r="R69" s="306"/>
      <c r="T69" s="305"/>
      <c r="U69" s="322"/>
      <c r="V69" s="310"/>
      <c r="W69" s="313"/>
      <c r="X69" s="313"/>
      <c r="Y69" s="313"/>
      <c r="Z69" s="313"/>
      <c r="AA69" s="313"/>
      <c r="AB69" s="313"/>
      <c r="AC69" s="313"/>
      <c r="AD69" s="313"/>
      <c r="AE69" s="313"/>
      <c r="AF69" s="313"/>
      <c r="AG69" s="313"/>
      <c r="AH69" s="313"/>
      <c r="AI69" s="313"/>
      <c r="AJ69" s="313"/>
      <c r="AK69" s="313"/>
      <c r="AL69" s="313"/>
      <c r="AM69" s="313"/>
      <c r="AN69" s="320" t="s">
        <v>1070</v>
      </c>
      <c r="AP69" s="321"/>
    </row>
    <row r="70" spans="1:42" s="115" customFormat="1" ht="15" customHeight="1">
      <c r="A70" s="161">
        <v>1</v>
      </c>
      <c r="B70" s="161" t="s">
        <v>267</v>
      </c>
      <c r="C70" s="161" t="s">
        <v>1030</v>
      </c>
      <c r="D70" s="161" t="s">
        <v>1071</v>
      </c>
      <c r="E70" s="143">
        <v>26</v>
      </c>
      <c r="F70" s="92"/>
      <c r="G70" s="92" t="s">
        <v>66</v>
      </c>
      <c r="H70" s="82">
        <v>46210</v>
      </c>
      <c r="I70" s="100">
        <v>46226</v>
      </c>
      <c r="J70" s="82">
        <v>46226</v>
      </c>
      <c r="K70" s="82">
        <f t="shared" si="8"/>
        <v>46406</v>
      </c>
      <c r="L70" s="239"/>
      <c r="M70" s="399"/>
      <c r="N70" s="244"/>
      <c r="O70" s="92"/>
      <c r="P70" s="92"/>
      <c r="Q70" s="92"/>
      <c r="R70" s="143"/>
      <c r="T70" s="92"/>
      <c r="U70" s="290"/>
      <c r="V70" s="82"/>
      <c r="W70" s="81"/>
      <c r="X70" s="81"/>
      <c r="Y70" s="81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81"/>
      <c r="AO70" s="94"/>
      <c r="AP70" s="256"/>
    </row>
    <row r="71" spans="1:42" s="115" customFormat="1" ht="15" customHeight="1">
      <c r="A71" s="161">
        <v>1</v>
      </c>
      <c r="B71" s="161" t="s">
        <v>267</v>
      </c>
      <c r="C71" s="161" t="s">
        <v>1031</v>
      </c>
      <c r="D71" s="161" t="s">
        <v>1032</v>
      </c>
      <c r="E71" s="143">
        <v>46</v>
      </c>
      <c r="F71" s="92"/>
      <c r="G71" s="92" t="s">
        <v>66</v>
      </c>
      <c r="H71" s="82">
        <v>46210</v>
      </c>
      <c r="I71" s="100">
        <v>46226</v>
      </c>
      <c r="J71" s="82">
        <v>46226</v>
      </c>
      <c r="K71" s="82">
        <f t="shared" si="8"/>
        <v>46406</v>
      </c>
      <c r="L71" s="239"/>
      <c r="M71" s="399"/>
      <c r="N71" s="244"/>
      <c r="O71" s="92"/>
      <c r="P71" s="92"/>
      <c r="Q71" s="92"/>
      <c r="R71" s="143"/>
      <c r="T71" s="92"/>
      <c r="U71" s="290"/>
      <c r="V71" s="82"/>
      <c r="W71" s="81"/>
      <c r="X71" s="81"/>
      <c r="Y71" s="81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81"/>
      <c r="AO71" s="94"/>
      <c r="AP71" s="256"/>
    </row>
    <row r="72" spans="1:42" s="115" customFormat="1" ht="15" customHeight="1">
      <c r="A72" s="161">
        <v>1</v>
      </c>
      <c r="B72" s="161" t="s">
        <v>267</v>
      </c>
      <c r="C72" s="161" t="s">
        <v>1037</v>
      </c>
      <c r="D72" s="161" t="s">
        <v>1038</v>
      </c>
      <c r="E72" s="161">
        <v>46</v>
      </c>
      <c r="F72" s="161"/>
      <c r="G72" s="161" t="s">
        <v>66</v>
      </c>
      <c r="H72" s="176">
        <v>46213</v>
      </c>
      <c r="I72" s="176">
        <v>46231</v>
      </c>
      <c r="J72" s="82">
        <v>46244</v>
      </c>
      <c r="K72" s="82"/>
      <c r="L72" s="239"/>
      <c r="M72" s="399"/>
      <c r="N72" s="244"/>
      <c r="O72" s="92"/>
      <c r="P72" s="92"/>
      <c r="Q72" s="92"/>
      <c r="R72" s="143"/>
      <c r="T72" s="92"/>
      <c r="U72" s="290"/>
      <c r="V72" s="82"/>
      <c r="W72" s="81"/>
      <c r="X72" s="81"/>
      <c r="Y72" s="81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81"/>
      <c r="AN72" s="115" t="s">
        <v>1081</v>
      </c>
      <c r="AO72" s="94"/>
      <c r="AP72" s="256"/>
    </row>
    <row r="73" spans="1:42" s="115" customFormat="1" ht="15" customHeight="1">
      <c r="A73" s="161">
        <v>1</v>
      </c>
      <c r="B73" s="161" t="s">
        <v>267</v>
      </c>
      <c r="C73" s="161" t="s">
        <v>1039</v>
      </c>
      <c r="D73" s="161" t="s">
        <v>1040</v>
      </c>
      <c r="E73" s="161">
        <v>26</v>
      </c>
      <c r="F73" s="161"/>
      <c r="G73" s="161" t="s">
        <v>66</v>
      </c>
      <c r="H73" s="176">
        <v>46213</v>
      </c>
      <c r="I73" s="176">
        <v>46231</v>
      </c>
      <c r="J73" s="82">
        <v>46244</v>
      </c>
      <c r="K73" s="82"/>
      <c r="L73" s="239"/>
      <c r="M73" s="399"/>
      <c r="N73" s="244"/>
      <c r="O73" s="92"/>
      <c r="P73" s="92"/>
      <c r="Q73" s="92"/>
      <c r="R73" s="143"/>
      <c r="T73" s="92"/>
      <c r="U73" s="290"/>
      <c r="V73" s="82"/>
      <c r="W73" s="81"/>
      <c r="X73" s="81"/>
      <c r="Y73" s="81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81"/>
      <c r="AN73" s="115" t="s">
        <v>1081</v>
      </c>
      <c r="AO73" s="94"/>
      <c r="AP73" s="256"/>
    </row>
    <row r="74" spans="1:42" s="115" customFormat="1" ht="15" customHeight="1">
      <c r="A74" s="161">
        <v>1</v>
      </c>
      <c r="B74" s="161" t="s">
        <v>266</v>
      </c>
      <c r="C74" s="161" t="s">
        <v>1044</v>
      </c>
      <c r="D74" s="161" t="s">
        <v>409</v>
      </c>
      <c r="E74" s="143">
        <v>46</v>
      </c>
      <c r="F74" s="92"/>
      <c r="G74" s="92" t="s">
        <v>66</v>
      </c>
      <c r="H74" s="82">
        <v>46216</v>
      </c>
      <c r="I74" s="100">
        <v>46218</v>
      </c>
      <c r="J74" s="82">
        <v>46218</v>
      </c>
      <c r="K74" s="82">
        <f t="shared" si="8"/>
        <v>46398</v>
      </c>
      <c r="L74" s="239"/>
      <c r="M74" s="399"/>
      <c r="N74" s="244"/>
      <c r="O74" s="92"/>
      <c r="P74" s="92"/>
      <c r="Q74" s="92"/>
      <c r="R74" s="143"/>
      <c r="T74" s="92"/>
      <c r="U74" s="290"/>
      <c r="V74" s="82"/>
      <c r="W74" s="81"/>
      <c r="X74" s="81"/>
      <c r="Y74" s="438" t="s">
        <v>1073</v>
      </c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81"/>
      <c r="AN74" s="115" t="s">
        <v>1081</v>
      </c>
      <c r="AO74" s="94"/>
      <c r="AP74" s="256"/>
    </row>
    <row r="75" spans="1:42" s="115" customFormat="1" ht="15" customHeight="1">
      <c r="A75" s="161">
        <v>1</v>
      </c>
      <c r="B75" s="161" t="s">
        <v>266</v>
      </c>
      <c r="C75" s="161" t="s">
        <v>1046</v>
      </c>
      <c r="D75" s="161" t="s">
        <v>1045</v>
      </c>
      <c r="E75" s="161">
        <v>54</v>
      </c>
      <c r="F75" s="161"/>
      <c r="G75" s="176" t="s">
        <v>66</v>
      </c>
      <c r="H75" s="176">
        <v>46216</v>
      </c>
      <c r="I75" s="176">
        <v>46232</v>
      </c>
      <c r="J75" s="176">
        <v>46232</v>
      </c>
      <c r="K75" s="82">
        <f t="shared" si="8"/>
        <v>46412</v>
      </c>
      <c r="L75" s="161"/>
      <c r="M75" s="399"/>
      <c r="N75" s="244"/>
      <c r="O75" s="92" t="s">
        <v>496</v>
      </c>
      <c r="P75" s="92" t="s">
        <v>63</v>
      </c>
      <c r="Q75" s="92"/>
      <c r="R75" s="143"/>
      <c r="T75" s="92"/>
      <c r="U75" s="290"/>
      <c r="V75" s="82"/>
      <c r="W75" s="81"/>
      <c r="X75" s="81"/>
      <c r="Y75" s="81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81"/>
      <c r="AO75" s="94"/>
      <c r="AP75" s="256"/>
    </row>
    <row r="76" spans="1:42" s="115" customFormat="1" ht="15" customHeight="1">
      <c r="A76" s="161">
        <v>1</v>
      </c>
      <c r="B76" s="161" t="s">
        <v>267</v>
      </c>
      <c r="C76" s="161" t="s">
        <v>1074</v>
      </c>
      <c r="D76" s="143" t="s">
        <v>1047</v>
      </c>
      <c r="E76" s="92">
        <v>53</v>
      </c>
      <c r="F76" s="92"/>
      <c r="G76" s="82" t="s">
        <v>66</v>
      </c>
      <c r="H76" s="100">
        <v>46216</v>
      </c>
      <c r="I76" s="176">
        <v>46231</v>
      </c>
      <c r="J76" s="176">
        <v>46233</v>
      </c>
      <c r="K76" s="82">
        <f t="shared" si="8"/>
        <v>46413</v>
      </c>
      <c r="L76" s="143"/>
      <c r="M76" s="399"/>
      <c r="N76" s="244"/>
      <c r="O76" s="92" t="s">
        <v>1083</v>
      </c>
      <c r="P76" s="92" t="s">
        <v>495</v>
      </c>
      <c r="Q76" s="92"/>
      <c r="R76" s="143"/>
      <c r="T76" s="92"/>
      <c r="U76" s="290"/>
      <c r="V76" s="82"/>
      <c r="W76" s="81"/>
      <c r="X76" s="81"/>
      <c r="Y76" s="81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81"/>
      <c r="AO76" s="94"/>
      <c r="AP76" s="256"/>
    </row>
    <row r="77" spans="1:42" s="320" customFormat="1" ht="15" customHeight="1">
      <c r="A77" s="305">
        <v>0</v>
      </c>
      <c r="B77" s="305" t="s">
        <v>266</v>
      </c>
      <c r="C77" s="305" t="s">
        <v>1050</v>
      </c>
      <c r="D77" s="305" t="s">
        <v>1051</v>
      </c>
      <c r="E77" s="305">
        <v>51</v>
      </c>
      <c r="F77" s="305"/>
      <c r="G77" s="520" t="s">
        <v>66</v>
      </c>
      <c r="H77" s="520">
        <v>46216</v>
      </c>
      <c r="I77" s="520">
        <v>46231</v>
      </c>
      <c r="J77" s="305"/>
      <c r="K77" s="310"/>
      <c r="L77" s="305"/>
      <c r="M77" s="432"/>
      <c r="N77" s="311"/>
      <c r="O77" s="305"/>
      <c r="P77" s="305"/>
      <c r="Q77" s="305"/>
      <c r="R77" s="306"/>
      <c r="T77" s="305"/>
      <c r="U77" s="322"/>
      <c r="V77" s="310"/>
      <c r="W77" s="313"/>
      <c r="X77" s="313"/>
      <c r="Y77" s="313"/>
      <c r="Z77" s="313"/>
      <c r="AA77" s="313"/>
      <c r="AB77" s="313"/>
      <c r="AC77" s="313"/>
      <c r="AD77" s="313"/>
      <c r="AE77" s="313"/>
      <c r="AF77" s="313"/>
      <c r="AG77" s="313"/>
      <c r="AH77" s="313"/>
      <c r="AI77" s="313"/>
      <c r="AJ77" s="313"/>
      <c r="AK77" s="313"/>
      <c r="AL77" s="313"/>
      <c r="AM77" s="313"/>
      <c r="AN77" s="320" t="s">
        <v>1081</v>
      </c>
      <c r="AP77" s="321"/>
    </row>
    <row r="78" spans="1:42" s="115" customFormat="1" ht="15" customHeight="1">
      <c r="A78" s="161">
        <v>1</v>
      </c>
      <c r="B78" s="161" t="s">
        <v>266</v>
      </c>
      <c r="C78" s="161" t="s">
        <v>1048</v>
      </c>
      <c r="D78" s="143" t="s">
        <v>1049</v>
      </c>
      <c r="E78" s="92">
        <v>62</v>
      </c>
      <c r="F78" s="92"/>
      <c r="G78" s="82" t="s">
        <v>66</v>
      </c>
      <c r="H78" s="100">
        <v>46216</v>
      </c>
      <c r="I78" s="176">
        <v>46231</v>
      </c>
      <c r="J78" s="176">
        <v>46231</v>
      </c>
      <c r="K78" s="82">
        <f t="shared" si="8"/>
        <v>46411</v>
      </c>
      <c r="L78" s="143"/>
      <c r="M78" s="399"/>
      <c r="N78" s="244"/>
      <c r="O78" s="92"/>
      <c r="P78" s="92"/>
      <c r="Q78" s="92"/>
      <c r="R78" s="143"/>
      <c r="T78" s="92"/>
      <c r="U78" s="290"/>
      <c r="V78" s="82"/>
      <c r="W78" s="81"/>
      <c r="X78" s="81"/>
      <c r="Y78" s="81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81"/>
      <c r="AO78" s="94"/>
      <c r="AP78" s="256"/>
    </row>
    <row r="79" spans="1:42" s="320" customFormat="1" ht="15" customHeight="1">
      <c r="A79" s="305">
        <v>0</v>
      </c>
      <c r="B79" s="305" t="s">
        <v>267</v>
      </c>
      <c r="C79" s="305" t="s">
        <v>1053</v>
      </c>
      <c r="D79" s="305" t="s">
        <v>1052</v>
      </c>
      <c r="E79" s="305">
        <v>52</v>
      </c>
      <c r="F79" s="305"/>
      <c r="G79" s="520" t="s">
        <v>66</v>
      </c>
      <c r="H79" s="520">
        <v>46218</v>
      </c>
      <c r="I79" s="520">
        <v>46231</v>
      </c>
      <c r="J79" s="305"/>
      <c r="K79" s="310"/>
      <c r="L79" s="305"/>
      <c r="M79" s="432"/>
      <c r="N79" s="311"/>
      <c r="O79" s="305"/>
      <c r="P79" s="305"/>
      <c r="Q79" s="305"/>
      <c r="R79" s="306"/>
      <c r="T79" s="305"/>
      <c r="U79" s="322"/>
      <c r="V79" s="310"/>
      <c r="W79" s="313"/>
      <c r="X79" s="313"/>
      <c r="Y79" s="313"/>
      <c r="Z79" s="313"/>
      <c r="AA79" s="313"/>
      <c r="AB79" s="313"/>
      <c r="AC79" s="313"/>
      <c r="AD79" s="313"/>
      <c r="AE79" s="313"/>
      <c r="AF79" s="313"/>
      <c r="AG79" s="313"/>
      <c r="AH79" s="313"/>
      <c r="AI79" s="313"/>
      <c r="AJ79" s="313"/>
      <c r="AK79" s="313"/>
      <c r="AL79" s="313"/>
      <c r="AM79" s="313"/>
      <c r="AN79" s="320" t="s">
        <v>1084</v>
      </c>
      <c r="AP79" s="321"/>
    </row>
    <row r="80" spans="1:42" s="115" customFormat="1" ht="15" customHeight="1">
      <c r="A80" s="161">
        <v>1</v>
      </c>
      <c r="B80" s="161" t="s">
        <v>267</v>
      </c>
      <c r="C80" s="161" t="s">
        <v>1075</v>
      </c>
      <c r="D80" s="143" t="s">
        <v>1054</v>
      </c>
      <c r="E80" s="92">
        <v>31</v>
      </c>
      <c r="F80" s="92"/>
      <c r="G80" s="82" t="s">
        <v>66</v>
      </c>
      <c r="H80" s="100">
        <v>46218</v>
      </c>
      <c r="I80" s="176">
        <v>46231</v>
      </c>
      <c r="J80" s="176">
        <v>46233</v>
      </c>
      <c r="K80" s="82">
        <f t="shared" si="8"/>
        <v>46413</v>
      </c>
      <c r="L80" s="143"/>
      <c r="M80" s="399"/>
      <c r="N80" s="244"/>
      <c r="O80" s="92"/>
      <c r="P80" s="92"/>
      <c r="Q80" s="92"/>
      <c r="R80" s="143"/>
      <c r="T80" s="92"/>
      <c r="U80" s="290"/>
      <c r="V80" s="82"/>
      <c r="W80" s="81"/>
      <c r="X80" s="81"/>
      <c r="Y80" s="81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81"/>
      <c r="AO80" s="94"/>
      <c r="AP80" s="256"/>
    </row>
    <row r="81" spans="1:16384" s="115" customFormat="1" ht="15" customHeight="1">
      <c r="A81" s="161">
        <v>1</v>
      </c>
      <c r="B81" s="161" t="s">
        <v>267</v>
      </c>
      <c r="C81" s="161" t="s">
        <v>1056</v>
      </c>
      <c r="D81" s="161" t="s">
        <v>1057</v>
      </c>
      <c r="E81" s="161">
        <v>26</v>
      </c>
      <c r="F81" s="161"/>
      <c r="G81" s="176" t="s">
        <v>67</v>
      </c>
      <c r="H81" s="176">
        <v>46219</v>
      </c>
      <c r="I81" s="176">
        <v>46231</v>
      </c>
      <c r="J81" s="161"/>
      <c r="K81" s="161"/>
      <c r="L81" s="161"/>
      <c r="M81" s="399"/>
      <c r="N81" s="244"/>
      <c r="O81" s="92"/>
      <c r="P81" s="92"/>
      <c r="Q81" s="92"/>
      <c r="R81" s="143"/>
      <c r="T81" s="92"/>
      <c r="U81" s="290"/>
      <c r="V81" s="82"/>
      <c r="W81" s="81"/>
      <c r="X81" s="81"/>
      <c r="Y81" s="81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81"/>
      <c r="AO81" s="94"/>
      <c r="AP81" s="256"/>
    </row>
    <row r="82" spans="1:16384" s="460" customFormat="1">
      <c r="A82" s="161">
        <v>1</v>
      </c>
      <c r="B82" s="161" t="s">
        <v>267</v>
      </c>
      <c r="C82" s="161" t="s">
        <v>1058</v>
      </c>
      <c r="D82" s="143" t="s">
        <v>1059</v>
      </c>
      <c r="E82" s="92">
        <v>50</v>
      </c>
      <c r="F82" s="92"/>
      <c r="G82" s="82" t="s">
        <v>67</v>
      </c>
      <c r="H82" s="100">
        <v>46219</v>
      </c>
      <c r="I82" s="176">
        <v>46231</v>
      </c>
      <c r="J82" s="161" t="s">
        <v>1091</v>
      </c>
      <c r="K82" s="161"/>
      <c r="L82" s="143"/>
      <c r="M82" s="404"/>
      <c r="N82" s="461"/>
      <c r="O82" s="462"/>
      <c r="P82" s="462"/>
      <c r="Q82" s="462"/>
      <c r="R82" s="463"/>
      <c r="S82" s="464"/>
      <c r="T82" s="78"/>
      <c r="U82" s="465"/>
      <c r="V82" s="463"/>
      <c r="W82" s="466"/>
      <c r="X82" s="466"/>
      <c r="Y82" s="466"/>
      <c r="Z82" s="467"/>
      <c r="AA82" s="467"/>
      <c r="AB82" s="467"/>
      <c r="AC82" s="467"/>
      <c r="AD82" s="467"/>
      <c r="AE82" s="467"/>
      <c r="AF82" s="467"/>
      <c r="AG82" s="467"/>
      <c r="AH82" s="467"/>
      <c r="AI82" s="467"/>
      <c r="AJ82" s="467"/>
      <c r="AK82" s="467"/>
      <c r="AL82" s="467"/>
      <c r="AM82" s="467"/>
      <c r="AN82" s="460" t="s">
        <v>1081</v>
      </c>
      <c r="AO82" s="463"/>
      <c r="AP82" s="468"/>
    </row>
    <row r="83" spans="1:16384" s="481" customFormat="1" ht="21.6" customHeight="1">
      <c r="A83" s="161">
        <v>1</v>
      </c>
      <c r="B83" s="161" t="s">
        <v>267</v>
      </c>
      <c r="C83" s="161" t="s">
        <v>1076</v>
      </c>
      <c r="D83" s="161" t="s">
        <v>1077</v>
      </c>
      <c r="E83" s="161">
        <v>40</v>
      </c>
      <c r="F83" s="161"/>
      <c r="G83" s="176" t="s">
        <v>66</v>
      </c>
      <c r="H83" s="176">
        <v>46230</v>
      </c>
      <c r="I83" s="176">
        <v>46261</v>
      </c>
      <c r="J83" s="161"/>
      <c r="K83" s="457"/>
      <c r="L83" s="244"/>
      <c r="M83" s="399"/>
      <c r="N83" s="244"/>
      <c r="O83" s="457"/>
      <c r="P83" s="457"/>
      <c r="Q83" s="457"/>
      <c r="R83" s="457"/>
      <c r="S83" s="457"/>
      <c r="T83" s="457"/>
      <c r="U83" s="457"/>
      <c r="V83" s="457"/>
      <c r="W83" s="457"/>
      <c r="X83" s="457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457"/>
      <c r="AN83" s="457" t="s">
        <v>1101</v>
      </c>
      <c r="AO83" s="457"/>
      <c r="AP83" s="457"/>
    </row>
    <row r="84" spans="1:16384" s="669" customFormat="1" ht="14.25">
      <c r="A84" s="305">
        <v>0</v>
      </c>
      <c r="B84" s="305" t="s">
        <v>266</v>
      </c>
      <c r="C84" s="305" t="s">
        <v>1078</v>
      </c>
      <c r="D84" s="306" t="s">
        <v>1079</v>
      </c>
      <c r="E84" s="305">
        <v>28</v>
      </c>
      <c r="F84" s="305"/>
      <c r="G84" s="310" t="s">
        <v>66</v>
      </c>
      <c r="H84" s="309">
        <v>46230</v>
      </c>
      <c r="I84" s="520">
        <v>46261</v>
      </c>
      <c r="J84" s="305"/>
      <c r="K84" s="667"/>
      <c r="L84" s="667"/>
      <c r="M84" s="668"/>
      <c r="N84" s="667"/>
      <c r="O84" s="668"/>
      <c r="P84" s="668"/>
      <c r="Q84" s="668"/>
      <c r="R84" s="668"/>
      <c r="S84" s="668"/>
      <c r="U84" s="670"/>
      <c r="AN84" s="671" t="s">
        <v>1099</v>
      </c>
      <c r="AO84" s="668"/>
    </row>
    <row r="85" spans="1:16384" s="458" customFormat="1" ht="14.25">
      <c r="A85" s="161">
        <v>1</v>
      </c>
      <c r="B85" s="161" t="s">
        <v>266</v>
      </c>
      <c r="C85" s="161" t="s">
        <v>325</v>
      </c>
      <c r="D85" s="161" t="s">
        <v>1080</v>
      </c>
      <c r="E85" s="161">
        <v>48</v>
      </c>
      <c r="F85" s="161"/>
      <c r="G85" s="176" t="s">
        <v>66</v>
      </c>
      <c r="H85" s="176">
        <v>46230</v>
      </c>
      <c r="I85" s="176">
        <v>46258</v>
      </c>
      <c r="J85" s="161"/>
      <c r="K85" s="144"/>
      <c r="L85" s="144"/>
      <c r="M85" s="113"/>
      <c r="N85" s="144"/>
      <c r="O85" s="113"/>
      <c r="P85" s="113"/>
      <c r="Q85" s="113"/>
      <c r="R85" s="113"/>
      <c r="S85" s="113"/>
      <c r="U85" s="459"/>
      <c r="AN85" s="409"/>
      <c r="AO85" s="113"/>
    </row>
    <row r="86" spans="1:16384" s="458" customFormat="1" ht="14.25">
      <c r="A86" s="161">
        <v>1</v>
      </c>
      <c r="B86" s="161" t="s">
        <v>266</v>
      </c>
      <c r="C86" s="161" t="s">
        <v>1085</v>
      </c>
      <c r="D86" s="161" t="s">
        <v>1086</v>
      </c>
      <c r="E86" s="161">
        <v>30</v>
      </c>
      <c r="F86" s="161"/>
      <c r="G86" s="176" t="s">
        <v>66</v>
      </c>
      <c r="H86" s="176">
        <v>46258</v>
      </c>
      <c r="I86" s="176">
        <v>46279</v>
      </c>
      <c r="J86" s="94"/>
      <c r="K86" s="144"/>
      <c r="L86" s="144"/>
      <c r="M86" s="113"/>
      <c r="N86" s="144"/>
      <c r="O86" s="113"/>
      <c r="P86" s="113"/>
      <c r="Q86" s="113"/>
      <c r="R86" s="113"/>
      <c r="S86" s="113"/>
      <c r="U86" s="459"/>
      <c r="AN86" s="409"/>
      <c r="AO86" s="113"/>
    </row>
    <row r="87" spans="1:16384" s="458" customFormat="1" ht="14.25">
      <c r="A87" s="161">
        <v>1</v>
      </c>
      <c r="B87" s="161" t="s">
        <v>267</v>
      </c>
      <c r="C87" s="161" t="s">
        <v>1087</v>
      </c>
      <c r="D87" s="161" t="s">
        <v>1088</v>
      </c>
      <c r="E87" s="161">
        <v>57</v>
      </c>
      <c r="F87" s="161"/>
      <c r="G87" s="176" t="s">
        <v>67</v>
      </c>
      <c r="H87" s="176">
        <v>46252</v>
      </c>
      <c r="I87" s="176">
        <v>46266</v>
      </c>
      <c r="J87" s="94"/>
      <c r="K87" s="144"/>
      <c r="L87" s="144"/>
      <c r="M87" s="113"/>
      <c r="N87" s="144"/>
      <c r="O87" s="113"/>
      <c r="P87" s="113"/>
      <c r="Q87" s="113"/>
      <c r="R87" s="113"/>
      <c r="S87" s="113"/>
      <c r="U87" s="459"/>
      <c r="AN87" s="409" t="s">
        <v>1093</v>
      </c>
      <c r="AO87" s="113"/>
    </row>
    <row r="88" spans="1:16384" s="458" customFormat="1" ht="14.25">
      <c r="A88" s="161">
        <v>1</v>
      </c>
      <c r="B88" s="161" t="s">
        <v>267</v>
      </c>
      <c r="C88" s="161" t="s">
        <v>1076</v>
      </c>
      <c r="D88" s="161" t="s">
        <v>1089</v>
      </c>
      <c r="E88" s="161">
        <v>40</v>
      </c>
      <c r="F88" s="161"/>
      <c r="G88" s="176" t="s">
        <v>66</v>
      </c>
      <c r="H88" s="176"/>
      <c r="I88" s="176">
        <v>46273</v>
      </c>
      <c r="J88" s="161"/>
      <c r="K88" s="161"/>
      <c r="L88" s="161"/>
      <c r="M88" s="161"/>
      <c r="N88" s="161"/>
      <c r="O88" s="161"/>
      <c r="P88" s="176"/>
      <c r="Q88" s="176"/>
      <c r="R88" s="176"/>
      <c r="S88" s="161"/>
      <c r="T88" s="161"/>
      <c r="U88" s="161"/>
      <c r="V88" s="161"/>
      <c r="W88" s="161"/>
      <c r="X88" s="161"/>
      <c r="Y88" s="176"/>
      <c r="Z88" s="176"/>
      <c r="AA88" s="176"/>
      <c r="AB88" s="161"/>
      <c r="AC88" s="161"/>
      <c r="AD88" s="161"/>
      <c r="AE88" s="161"/>
      <c r="AF88" s="161"/>
      <c r="AG88" s="161"/>
      <c r="AH88" s="176"/>
      <c r="AI88" s="176"/>
      <c r="AJ88" s="176"/>
      <c r="AK88" s="161"/>
      <c r="AL88" s="161"/>
      <c r="AM88" s="161"/>
      <c r="AN88" s="161"/>
      <c r="AO88" s="161"/>
      <c r="AP88" s="161"/>
      <c r="AQ88" s="176"/>
      <c r="AR88" s="176"/>
      <c r="AS88" s="176"/>
      <c r="AT88" s="161"/>
      <c r="AU88" s="161"/>
      <c r="AV88" s="161"/>
      <c r="AW88" s="161"/>
      <c r="AX88" s="161"/>
      <c r="AY88" s="161"/>
      <c r="AZ88" s="176"/>
      <c r="BA88" s="176"/>
      <c r="BB88" s="176"/>
      <c r="BC88" s="161"/>
      <c r="BD88" s="161"/>
      <c r="BE88" s="161"/>
      <c r="BF88" s="161"/>
      <c r="BG88" s="161"/>
      <c r="BH88" s="161"/>
      <c r="BI88" s="176"/>
      <c r="BJ88" s="176"/>
      <c r="BK88" s="176"/>
      <c r="BL88" s="161"/>
      <c r="BM88" s="161"/>
      <c r="BN88" s="161"/>
      <c r="BO88" s="161"/>
      <c r="BP88" s="161"/>
      <c r="BQ88" s="161"/>
      <c r="BR88" s="176"/>
      <c r="BS88" s="176"/>
      <c r="BT88" s="176"/>
      <c r="BU88" s="161"/>
      <c r="BV88" s="161"/>
      <c r="BW88" s="161"/>
      <c r="BX88" s="161"/>
      <c r="BY88" s="161"/>
      <c r="BZ88" s="161"/>
      <c r="CA88" s="176"/>
      <c r="CB88" s="176"/>
      <c r="CC88" s="176"/>
      <c r="CD88" s="161"/>
      <c r="CE88" s="161"/>
      <c r="CF88" s="161"/>
      <c r="CG88" s="161"/>
      <c r="CH88" s="161"/>
      <c r="CI88" s="161"/>
      <c r="CJ88" s="176"/>
      <c r="CK88" s="176"/>
      <c r="CL88" s="176"/>
      <c r="CM88" s="161"/>
      <c r="CN88" s="161"/>
      <c r="CO88" s="161"/>
      <c r="CP88" s="161"/>
      <c r="CQ88" s="161"/>
      <c r="CR88" s="161"/>
      <c r="CS88" s="176"/>
      <c r="CT88" s="176"/>
      <c r="CU88" s="176"/>
      <c r="CV88" s="161"/>
      <c r="CW88" s="161"/>
      <c r="CX88" s="161"/>
      <c r="CY88" s="161"/>
      <c r="CZ88" s="161"/>
      <c r="DA88" s="161"/>
      <c r="DB88" s="176"/>
      <c r="DC88" s="176"/>
      <c r="DD88" s="176"/>
      <c r="DE88" s="161"/>
      <c r="DF88" s="161"/>
      <c r="DG88" s="161"/>
      <c r="DH88" s="161"/>
      <c r="DI88" s="161"/>
      <c r="DJ88" s="161"/>
      <c r="DK88" s="176"/>
      <c r="DL88" s="176"/>
      <c r="DM88" s="176"/>
      <c r="DN88" s="161"/>
      <c r="DO88" s="161"/>
      <c r="DP88" s="161"/>
      <c r="DQ88" s="161"/>
      <c r="DR88" s="161"/>
      <c r="DS88" s="161"/>
      <c r="DT88" s="176"/>
      <c r="DU88" s="176"/>
      <c r="DV88" s="176"/>
      <c r="DW88" s="161"/>
      <c r="DX88" s="161"/>
      <c r="DY88" s="161"/>
      <c r="DZ88" s="161"/>
      <c r="EA88" s="161"/>
      <c r="EB88" s="161"/>
      <c r="EC88" s="176"/>
      <c r="ED88" s="176"/>
      <c r="EE88" s="176"/>
      <c r="EF88" s="161"/>
      <c r="EG88" s="161"/>
      <c r="EH88" s="161"/>
      <c r="EI88" s="161"/>
      <c r="EJ88" s="161"/>
      <c r="EK88" s="161"/>
      <c r="EL88" s="176"/>
      <c r="EM88" s="176"/>
      <c r="EN88" s="176"/>
      <c r="EO88" s="161"/>
      <c r="EP88" s="161"/>
      <c r="EQ88" s="161"/>
      <c r="ER88" s="161"/>
      <c r="ES88" s="161"/>
      <c r="ET88" s="161"/>
      <c r="EU88" s="176"/>
      <c r="EV88" s="176"/>
      <c r="EW88" s="176"/>
      <c r="EX88" s="161"/>
      <c r="EY88" s="161"/>
      <c r="EZ88" s="161"/>
      <c r="FA88" s="161"/>
      <c r="FB88" s="161"/>
      <c r="FC88" s="161"/>
      <c r="FD88" s="176"/>
      <c r="FE88" s="176"/>
      <c r="FF88" s="176"/>
      <c r="FG88" s="161"/>
      <c r="FH88" s="161"/>
      <c r="FI88" s="161"/>
      <c r="FJ88" s="161"/>
      <c r="FK88" s="161"/>
      <c r="FL88" s="161"/>
      <c r="FM88" s="176"/>
      <c r="FN88" s="176"/>
      <c r="FO88" s="176"/>
      <c r="FP88" s="161"/>
      <c r="FQ88" s="161"/>
      <c r="FR88" s="161"/>
      <c r="FS88" s="161"/>
      <c r="FT88" s="161"/>
      <c r="FU88" s="161"/>
      <c r="FV88" s="176"/>
      <c r="FW88" s="176"/>
      <c r="FX88" s="176"/>
      <c r="FY88" s="161"/>
      <c r="FZ88" s="161"/>
      <c r="GA88" s="161"/>
      <c r="GB88" s="161"/>
      <c r="GC88" s="161"/>
      <c r="GD88" s="161"/>
      <c r="GE88" s="176"/>
      <c r="GF88" s="176"/>
      <c r="GG88" s="176"/>
      <c r="GH88" s="161"/>
      <c r="GI88" s="161"/>
      <c r="GJ88" s="161"/>
      <c r="GK88" s="161"/>
      <c r="GL88" s="161"/>
      <c r="GM88" s="161"/>
      <c r="GN88" s="176"/>
      <c r="GO88" s="176"/>
      <c r="GP88" s="176"/>
      <c r="GQ88" s="161"/>
      <c r="GR88" s="161"/>
      <c r="GS88" s="161"/>
      <c r="GT88" s="161"/>
      <c r="GU88" s="161"/>
      <c r="GV88" s="161"/>
      <c r="GW88" s="176"/>
      <c r="GX88" s="176"/>
      <c r="GY88" s="176"/>
      <c r="GZ88" s="161"/>
      <c r="HA88" s="161"/>
      <c r="HB88" s="161"/>
      <c r="HC88" s="161"/>
      <c r="HD88" s="161"/>
      <c r="HE88" s="161"/>
      <c r="HF88" s="176"/>
      <c r="HG88" s="176"/>
      <c r="HH88" s="176"/>
      <c r="HI88" s="161"/>
      <c r="HJ88" s="161"/>
      <c r="HK88" s="161"/>
      <c r="HL88" s="161"/>
      <c r="HM88" s="161"/>
      <c r="HN88" s="161"/>
      <c r="HO88" s="176"/>
      <c r="HP88" s="176"/>
      <c r="HQ88" s="176"/>
      <c r="HR88" s="161"/>
      <c r="HS88" s="161"/>
      <c r="HT88" s="161"/>
      <c r="HU88" s="161"/>
      <c r="HV88" s="161"/>
      <c r="HW88" s="161"/>
      <c r="HX88" s="176"/>
      <c r="HY88" s="176"/>
      <c r="HZ88" s="176"/>
      <c r="IA88" s="161"/>
      <c r="IB88" s="161"/>
      <c r="IC88" s="161"/>
      <c r="ID88" s="161"/>
      <c r="IE88" s="161"/>
      <c r="IF88" s="161"/>
      <c r="IG88" s="176"/>
      <c r="IH88" s="176"/>
      <c r="II88" s="176"/>
      <c r="IJ88" s="161"/>
      <c r="IK88" s="161"/>
      <c r="IL88" s="161"/>
      <c r="IM88" s="161"/>
      <c r="IN88" s="161"/>
      <c r="IO88" s="161"/>
      <c r="IP88" s="176"/>
      <c r="IQ88" s="176"/>
      <c r="IR88" s="176"/>
      <c r="IS88" s="161"/>
      <c r="IT88" s="161"/>
      <c r="IU88" s="161"/>
      <c r="IV88" s="161"/>
      <c r="IW88" s="161"/>
      <c r="IX88" s="161"/>
      <c r="IY88" s="176"/>
      <c r="IZ88" s="176"/>
      <c r="JA88" s="176"/>
      <c r="JB88" s="161"/>
      <c r="JC88" s="161"/>
      <c r="JD88" s="161"/>
      <c r="JE88" s="161"/>
      <c r="JF88" s="161"/>
      <c r="JG88" s="161"/>
      <c r="JH88" s="176"/>
      <c r="JI88" s="176"/>
      <c r="JJ88" s="176"/>
      <c r="JK88" s="161"/>
      <c r="JL88" s="161"/>
      <c r="JM88" s="161"/>
      <c r="JN88" s="161"/>
      <c r="JO88" s="161"/>
      <c r="JP88" s="161"/>
      <c r="JQ88" s="176"/>
      <c r="JR88" s="176"/>
      <c r="JS88" s="176"/>
      <c r="JT88" s="161"/>
      <c r="JU88" s="161"/>
      <c r="JV88" s="161"/>
      <c r="JW88" s="161"/>
      <c r="JX88" s="161"/>
      <c r="JY88" s="161"/>
      <c r="JZ88" s="176"/>
      <c r="KA88" s="176"/>
      <c r="KB88" s="176"/>
      <c r="KC88" s="161"/>
      <c r="KD88" s="161"/>
      <c r="KE88" s="161"/>
      <c r="KF88" s="161"/>
      <c r="KG88" s="161"/>
      <c r="KH88" s="161"/>
      <c r="KI88" s="176"/>
      <c r="KJ88" s="176"/>
      <c r="KK88" s="176"/>
      <c r="KL88" s="161"/>
      <c r="KM88" s="161"/>
      <c r="KN88" s="161"/>
      <c r="KO88" s="161"/>
      <c r="KP88" s="161"/>
      <c r="KQ88" s="161"/>
      <c r="KR88" s="176"/>
      <c r="KS88" s="176"/>
      <c r="KT88" s="176"/>
      <c r="KU88" s="161"/>
      <c r="KV88" s="161"/>
      <c r="KW88" s="161"/>
      <c r="KX88" s="161"/>
      <c r="KY88" s="161"/>
      <c r="KZ88" s="161"/>
      <c r="LA88" s="176"/>
      <c r="LB88" s="176"/>
      <c r="LC88" s="176"/>
      <c r="LD88" s="161"/>
      <c r="LE88" s="161"/>
      <c r="LF88" s="161"/>
      <c r="LG88" s="161"/>
      <c r="LH88" s="161"/>
      <c r="LI88" s="161"/>
      <c r="LJ88" s="176"/>
      <c r="LK88" s="176"/>
      <c r="LL88" s="176"/>
      <c r="LM88" s="161"/>
      <c r="LN88" s="161"/>
      <c r="LO88" s="161"/>
      <c r="LP88" s="161"/>
      <c r="LQ88" s="161"/>
      <c r="LR88" s="161"/>
      <c r="LS88" s="176"/>
      <c r="LT88" s="176"/>
      <c r="LU88" s="176"/>
      <c r="LV88" s="161"/>
      <c r="LW88" s="161"/>
      <c r="LX88" s="161"/>
      <c r="LY88" s="161"/>
      <c r="LZ88" s="161"/>
      <c r="MA88" s="161"/>
      <c r="MB88" s="176"/>
      <c r="MC88" s="176"/>
      <c r="MD88" s="176"/>
      <c r="ME88" s="161"/>
      <c r="MF88" s="161"/>
      <c r="MG88" s="161"/>
      <c r="MH88" s="161"/>
      <c r="MI88" s="161"/>
      <c r="MJ88" s="161"/>
      <c r="MK88" s="176"/>
      <c r="ML88" s="176"/>
      <c r="MM88" s="176"/>
      <c r="MN88" s="161"/>
      <c r="MO88" s="161"/>
      <c r="MP88" s="161"/>
      <c r="MQ88" s="161"/>
      <c r="MR88" s="161"/>
      <c r="MS88" s="161"/>
      <c r="MT88" s="176"/>
      <c r="MU88" s="176"/>
      <c r="MV88" s="176"/>
      <c r="MW88" s="161"/>
      <c r="MX88" s="161"/>
      <c r="MY88" s="161"/>
      <c r="MZ88" s="161"/>
      <c r="NA88" s="161"/>
      <c r="NB88" s="161"/>
      <c r="NC88" s="176"/>
      <c r="ND88" s="176"/>
      <c r="NE88" s="176"/>
      <c r="NF88" s="161"/>
      <c r="NG88" s="161"/>
      <c r="NH88" s="161"/>
      <c r="NI88" s="161"/>
      <c r="NJ88" s="161"/>
      <c r="NK88" s="161"/>
      <c r="NL88" s="176"/>
      <c r="NM88" s="176"/>
      <c r="NN88" s="176"/>
      <c r="NO88" s="161"/>
      <c r="NP88" s="161"/>
      <c r="NQ88" s="161"/>
      <c r="NR88" s="161"/>
      <c r="NS88" s="161"/>
      <c r="NT88" s="161"/>
      <c r="NU88" s="176"/>
      <c r="NV88" s="176"/>
      <c r="NW88" s="176"/>
      <c r="NX88" s="161"/>
      <c r="NY88" s="161"/>
      <c r="NZ88" s="161"/>
      <c r="OA88" s="161"/>
      <c r="OB88" s="161"/>
      <c r="OC88" s="161"/>
      <c r="OD88" s="176"/>
      <c r="OE88" s="176"/>
      <c r="OF88" s="176"/>
      <c r="OG88" s="161"/>
      <c r="OH88" s="161"/>
      <c r="OI88" s="161"/>
      <c r="OJ88" s="161"/>
      <c r="OK88" s="161"/>
      <c r="OL88" s="161"/>
      <c r="OM88" s="176"/>
      <c r="ON88" s="176"/>
      <c r="OO88" s="176"/>
      <c r="OP88" s="161"/>
      <c r="OQ88" s="161"/>
      <c r="OR88" s="161"/>
      <c r="OS88" s="161"/>
      <c r="OT88" s="161"/>
      <c r="OU88" s="161"/>
      <c r="OV88" s="176"/>
      <c r="OW88" s="176"/>
      <c r="OX88" s="176"/>
      <c r="OY88" s="161"/>
      <c r="OZ88" s="161"/>
      <c r="PA88" s="161"/>
      <c r="PB88" s="161"/>
      <c r="PC88" s="161"/>
      <c r="PD88" s="161"/>
      <c r="PE88" s="176"/>
      <c r="PF88" s="176"/>
      <c r="PG88" s="176"/>
      <c r="PH88" s="161"/>
      <c r="PI88" s="161"/>
      <c r="PJ88" s="161"/>
      <c r="PK88" s="161"/>
      <c r="PL88" s="161"/>
      <c r="PM88" s="161"/>
      <c r="PN88" s="176"/>
      <c r="PO88" s="176"/>
      <c r="PP88" s="176"/>
      <c r="PQ88" s="161"/>
      <c r="PR88" s="161"/>
      <c r="PS88" s="161"/>
      <c r="PT88" s="161"/>
      <c r="PU88" s="161"/>
      <c r="PV88" s="161"/>
      <c r="PW88" s="176"/>
      <c r="PX88" s="176"/>
      <c r="PY88" s="176"/>
      <c r="PZ88" s="161"/>
      <c r="QA88" s="161"/>
      <c r="QB88" s="161"/>
      <c r="QC88" s="161"/>
      <c r="QD88" s="161"/>
      <c r="QE88" s="161"/>
      <c r="QF88" s="176"/>
      <c r="QG88" s="176"/>
      <c r="QH88" s="176"/>
      <c r="QI88" s="161"/>
      <c r="QJ88" s="161"/>
      <c r="QK88" s="161"/>
      <c r="QL88" s="161"/>
      <c r="QM88" s="161"/>
      <c r="QN88" s="161"/>
      <c r="QO88" s="176"/>
      <c r="QP88" s="176"/>
      <c r="QQ88" s="176"/>
      <c r="QR88" s="161"/>
      <c r="QS88" s="161"/>
      <c r="QT88" s="161"/>
      <c r="QU88" s="161"/>
      <c r="QV88" s="161"/>
      <c r="QW88" s="161"/>
      <c r="QX88" s="176"/>
      <c r="QY88" s="176"/>
      <c r="QZ88" s="176"/>
      <c r="RA88" s="161"/>
      <c r="RB88" s="161"/>
      <c r="RC88" s="161"/>
      <c r="RD88" s="161"/>
      <c r="RE88" s="161"/>
      <c r="RF88" s="161"/>
      <c r="RG88" s="176"/>
      <c r="RH88" s="176"/>
      <c r="RI88" s="176"/>
      <c r="RJ88" s="161"/>
      <c r="RK88" s="161"/>
      <c r="RL88" s="161"/>
      <c r="RM88" s="161"/>
      <c r="RN88" s="161"/>
      <c r="RO88" s="161"/>
      <c r="RP88" s="176"/>
      <c r="RQ88" s="176"/>
      <c r="RR88" s="176"/>
      <c r="RS88" s="161"/>
      <c r="RT88" s="161"/>
      <c r="RU88" s="161"/>
      <c r="RV88" s="161"/>
      <c r="RW88" s="161"/>
      <c r="RX88" s="161"/>
      <c r="RY88" s="176"/>
      <c r="RZ88" s="176"/>
      <c r="SA88" s="176"/>
      <c r="SB88" s="161"/>
      <c r="SC88" s="161"/>
      <c r="SD88" s="161"/>
      <c r="SE88" s="161"/>
      <c r="SF88" s="161"/>
      <c r="SG88" s="161"/>
      <c r="SH88" s="176"/>
      <c r="SI88" s="176"/>
      <c r="SJ88" s="176"/>
      <c r="SK88" s="161"/>
      <c r="SL88" s="161"/>
      <c r="SM88" s="161"/>
      <c r="SN88" s="161"/>
      <c r="SO88" s="161"/>
      <c r="SP88" s="161"/>
      <c r="SQ88" s="176"/>
      <c r="SR88" s="176"/>
      <c r="SS88" s="176"/>
      <c r="ST88" s="161"/>
      <c r="SU88" s="161"/>
      <c r="SV88" s="161"/>
      <c r="SW88" s="161"/>
      <c r="SX88" s="161"/>
      <c r="SY88" s="161"/>
      <c r="SZ88" s="176"/>
      <c r="TA88" s="176"/>
      <c r="TB88" s="176"/>
      <c r="TC88" s="161"/>
      <c r="TD88" s="161"/>
      <c r="TE88" s="161"/>
      <c r="TF88" s="161"/>
      <c r="TG88" s="161"/>
      <c r="TH88" s="161"/>
      <c r="TI88" s="176"/>
      <c r="TJ88" s="176"/>
      <c r="TK88" s="176"/>
      <c r="TL88" s="161"/>
      <c r="TM88" s="161"/>
      <c r="TN88" s="161"/>
      <c r="TO88" s="161"/>
      <c r="TP88" s="161"/>
      <c r="TQ88" s="161"/>
      <c r="TR88" s="176"/>
      <c r="TS88" s="176"/>
      <c r="TT88" s="176"/>
      <c r="TU88" s="161"/>
      <c r="TV88" s="161"/>
      <c r="TW88" s="161"/>
      <c r="TX88" s="161"/>
      <c r="TY88" s="161"/>
      <c r="TZ88" s="161"/>
      <c r="UA88" s="176"/>
      <c r="UB88" s="176"/>
      <c r="UC88" s="176"/>
      <c r="UD88" s="161"/>
      <c r="UE88" s="161"/>
      <c r="UF88" s="161"/>
      <c r="UG88" s="161"/>
      <c r="UH88" s="161"/>
      <c r="UI88" s="161"/>
      <c r="UJ88" s="176"/>
      <c r="UK88" s="176"/>
      <c r="UL88" s="176"/>
      <c r="UM88" s="161"/>
      <c r="UN88" s="161"/>
      <c r="UO88" s="161"/>
      <c r="UP88" s="161"/>
      <c r="UQ88" s="161"/>
      <c r="UR88" s="161"/>
      <c r="US88" s="176"/>
      <c r="UT88" s="176"/>
      <c r="UU88" s="176"/>
      <c r="UV88" s="161"/>
      <c r="UW88" s="161"/>
      <c r="UX88" s="161"/>
      <c r="UY88" s="161"/>
      <c r="UZ88" s="161"/>
      <c r="VA88" s="161"/>
      <c r="VB88" s="176"/>
      <c r="VC88" s="176"/>
      <c r="VD88" s="176"/>
      <c r="VE88" s="161"/>
      <c r="VF88" s="161"/>
      <c r="VG88" s="161"/>
      <c r="VH88" s="161"/>
      <c r="VI88" s="161"/>
      <c r="VJ88" s="161"/>
      <c r="VK88" s="176"/>
      <c r="VL88" s="176"/>
      <c r="VM88" s="176"/>
      <c r="VN88" s="161"/>
      <c r="VO88" s="161"/>
      <c r="VP88" s="161"/>
      <c r="VQ88" s="161"/>
      <c r="VR88" s="161"/>
      <c r="VS88" s="161"/>
      <c r="VT88" s="176"/>
      <c r="VU88" s="176"/>
      <c r="VV88" s="176"/>
      <c r="VW88" s="161"/>
      <c r="VX88" s="161"/>
      <c r="VY88" s="161"/>
      <c r="VZ88" s="161"/>
      <c r="WA88" s="161"/>
      <c r="WB88" s="161"/>
      <c r="WC88" s="176"/>
      <c r="WD88" s="176"/>
      <c r="WE88" s="176"/>
      <c r="WF88" s="161"/>
      <c r="WG88" s="161"/>
      <c r="WH88" s="161"/>
      <c r="WI88" s="161"/>
      <c r="WJ88" s="161"/>
      <c r="WK88" s="161"/>
      <c r="WL88" s="176"/>
      <c r="WM88" s="176"/>
      <c r="WN88" s="176"/>
      <c r="WO88" s="161"/>
      <c r="WP88" s="161"/>
      <c r="WQ88" s="161"/>
      <c r="WR88" s="161"/>
      <c r="WS88" s="161"/>
      <c r="WT88" s="161"/>
      <c r="WU88" s="176"/>
      <c r="WV88" s="176"/>
      <c r="WW88" s="176"/>
      <c r="WX88" s="161"/>
      <c r="WY88" s="161"/>
      <c r="WZ88" s="161"/>
      <c r="XA88" s="161"/>
      <c r="XB88" s="161"/>
      <c r="XC88" s="161"/>
      <c r="XD88" s="176"/>
      <c r="XE88" s="176"/>
      <c r="XF88" s="176"/>
      <c r="XG88" s="161"/>
      <c r="XH88" s="161"/>
      <c r="XI88" s="161"/>
      <c r="XJ88" s="161"/>
      <c r="XK88" s="161"/>
      <c r="XL88" s="161"/>
      <c r="XM88" s="176"/>
      <c r="XN88" s="176"/>
      <c r="XO88" s="176"/>
      <c r="XP88" s="161"/>
      <c r="XQ88" s="161"/>
      <c r="XR88" s="161"/>
      <c r="XS88" s="161"/>
      <c r="XT88" s="161"/>
      <c r="XU88" s="161"/>
      <c r="XV88" s="176"/>
      <c r="XW88" s="176"/>
      <c r="XX88" s="176"/>
      <c r="XY88" s="161"/>
      <c r="XZ88" s="161"/>
      <c r="YA88" s="161"/>
      <c r="YB88" s="161"/>
      <c r="YC88" s="161"/>
      <c r="YD88" s="161"/>
      <c r="YE88" s="176"/>
      <c r="YF88" s="176"/>
      <c r="YG88" s="176"/>
      <c r="YH88" s="161"/>
      <c r="YI88" s="161"/>
      <c r="YJ88" s="161"/>
      <c r="YK88" s="161"/>
      <c r="YL88" s="161"/>
      <c r="YM88" s="161"/>
      <c r="YN88" s="176"/>
      <c r="YO88" s="176"/>
      <c r="YP88" s="176"/>
      <c r="YQ88" s="161"/>
      <c r="YR88" s="161"/>
      <c r="YS88" s="161"/>
      <c r="YT88" s="161"/>
      <c r="YU88" s="161"/>
      <c r="YV88" s="161"/>
      <c r="YW88" s="176"/>
      <c r="YX88" s="176"/>
      <c r="YY88" s="176"/>
      <c r="YZ88" s="161"/>
      <c r="ZA88" s="161"/>
      <c r="ZB88" s="161"/>
      <c r="ZC88" s="161"/>
      <c r="ZD88" s="161"/>
      <c r="ZE88" s="161"/>
      <c r="ZF88" s="176"/>
      <c r="ZG88" s="176"/>
      <c r="ZH88" s="176"/>
      <c r="ZI88" s="161"/>
      <c r="ZJ88" s="161"/>
      <c r="ZK88" s="161"/>
      <c r="ZL88" s="161"/>
      <c r="ZM88" s="161"/>
      <c r="ZN88" s="161"/>
      <c r="ZO88" s="176"/>
      <c r="ZP88" s="176"/>
      <c r="ZQ88" s="176"/>
      <c r="ZR88" s="161"/>
      <c r="ZS88" s="161"/>
      <c r="ZT88" s="161"/>
      <c r="ZU88" s="161"/>
      <c r="ZV88" s="161"/>
      <c r="ZW88" s="161"/>
      <c r="ZX88" s="176"/>
      <c r="ZY88" s="176"/>
      <c r="ZZ88" s="176"/>
      <c r="AAA88" s="161"/>
      <c r="AAB88" s="161"/>
      <c r="AAC88" s="161"/>
      <c r="AAD88" s="161"/>
      <c r="AAE88" s="161"/>
      <c r="AAF88" s="161"/>
      <c r="AAG88" s="176"/>
      <c r="AAH88" s="176"/>
      <c r="AAI88" s="176"/>
      <c r="AAJ88" s="161"/>
      <c r="AAK88" s="161"/>
      <c r="AAL88" s="161"/>
      <c r="AAM88" s="161"/>
      <c r="AAN88" s="161"/>
      <c r="AAO88" s="161"/>
      <c r="AAP88" s="176"/>
      <c r="AAQ88" s="176"/>
      <c r="AAR88" s="176"/>
      <c r="AAS88" s="161"/>
      <c r="AAT88" s="161"/>
      <c r="AAU88" s="161"/>
      <c r="AAV88" s="161"/>
      <c r="AAW88" s="161"/>
      <c r="AAX88" s="161"/>
      <c r="AAY88" s="176"/>
      <c r="AAZ88" s="176"/>
      <c r="ABA88" s="176"/>
      <c r="ABB88" s="161"/>
      <c r="ABC88" s="161"/>
      <c r="ABD88" s="161"/>
      <c r="ABE88" s="161"/>
      <c r="ABF88" s="161"/>
      <c r="ABG88" s="161"/>
      <c r="ABH88" s="176"/>
      <c r="ABI88" s="176"/>
      <c r="ABJ88" s="176"/>
      <c r="ABK88" s="161"/>
      <c r="ABL88" s="161"/>
      <c r="ABM88" s="161"/>
      <c r="ABN88" s="161"/>
      <c r="ABO88" s="161"/>
      <c r="ABP88" s="161"/>
      <c r="ABQ88" s="176"/>
      <c r="ABR88" s="176"/>
      <c r="ABS88" s="176"/>
      <c r="ABT88" s="161"/>
      <c r="ABU88" s="161"/>
      <c r="ABV88" s="161"/>
      <c r="ABW88" s="161"/>
      <c r="ABX88" s="161"/>
      <c r="ABY88" s="161"/>
      <c r="ABZ88" s="176"/>
      <c r="ACA88" s="176"/>
      <c r="ACB88" s="176"/>
      <c r="ACC88" s="161"/>
      <c r="ACD88" s="161"/>
      <c r="ACE88" s="161"/>
      <c r="ACF88" s="161"/>
      <c r="ACG88" s="161"/>
      <c r="ACH88" s="161"/>
      <c r="ACI88" s="176"/>
      <c r="ACJ88" s="176"/>
      <c r="ACK88" s="176"/>
      <c r="ACL88" s="161"/>
      <c r="ACM88" s="161"/>
      <c r="ACN88" s="161"/>
      <c r="ACO88" s="161"/>
      <c r="ACP88" s="161"/>
      <c r="ACQ88" s="161"/>
      <c r="ACR88" s="176"/>
      <c r="ACS88" s="176"/>
      <c r="ACT88" s="176"/>
      <c r="ACU88" s="161"/>
      <c r="ACV88" s="161"/>
      <c r="ACW88" s="161"/>
      <c r="ACX88" s="161"/>
      <c r="ACY88" s="161"/>
      <c r="ACZ88" s="161"/>
      <c r="ADA88" s="176"/>
      <c r="ADB88" s="176"/>
      <c r="ADC88" s="176"/>
      <c r="ADD88" s="161"/>
      <c r="ADE88" s="161"/>
      <c r="ADF88" s="161"/>
      <c r="ADG88" s="161"/>
      <c r="ADH88" s="161"/>
      <c r="ADI88" s="161"/>
      <c r="ADJ88" s="176"/>
      <c r="ADK88" s="176"/>
      <c r="ADL88" s="176"/>
      <c r="ADM88" s="161"/>
      <c r="ADN88" s="161"/>
      <c r="ADO88" s="161"/>
      <c r="ADP88" s="161"/>
      <c r="ADQ88" s="161"/>
      <c r="ADR88" s="161"/>
      <c r="ADS88" s="176"/>
      <c r="ADT88" s="176"/>
      <c r="ADU88" s="176"/>
      <c r="ADV88" s="161"/>
      <c r="ADW88" s="161"/>
      <c r="ADX88" s="161"/>
      <c r="ADY88" s="161"/>
      <c r="ADZ88" s="161"/>
      <c r="AEA88" s="161"/>
      <c r="AEB88" s="176"/>
      <c r="AEC88" s="176"/>
      <c r="AED88" s="176"/>
      <c r="AEE88" s="161"/>
      <c r="AEF88" s="161"/>
      <c r="AEG88" s="161"/>
      <c r="AEH88" s="161"/>
      <c r="AEI88" s="161"/>
      <c r="AEJ88" s="161"/>
      <c r="AEK88" s="176"/>
      <c r="AEL88" s="176"/>
      <c r="AEM88" s="176"/>
      <c r="AEN88" s="161"/>
      <c r="AEO88" s="161"/>
      <c r="AEP88" s="161"/>
      <c r="AEQ88" s="161"/>
      <c r="AER88" s="161"/>
      <c r="AES88" s="161"/>
      <c r="AET88" s="176"/>
      <c r="AEU88" s="176"/>
      <c r="AEV88" s="176"/>
      <c r="AEW88" s="161"/>
      <c r="AEX88" s="161"/>
      <c r="AEY88" s="161"/>
      <c r="AEZ88" s="161"/>
      <c r="AFA88" s="161"/>
      <c r="AFB88" s="161"/>
      <c r="AFC88" s="176"/>
      <c r="AFD88" s="176"/>
      <c r="AFE88" s="176"/>
      <c r="AFF88" s="161"/>
      <c r="AFG88" s="161"/>
      <c r="AFH88" s="161"/>
      <c r="AFI88" s="161"/>
      <c r="AFJ88" s="161"/>
      <c r="AFK88" s="161"/>
      <c r="AFL88" s="176"/>
      <c r="AFM88" s="176"/>
      <c r="AFN88" s="176"/>
      <c r="AFO88" s="161"/>
      <c r="AFP88" s="161"/>
      <c r="AFQ88" s="161"/>
      <c r="AFR88" s="161"/>
      <c r="AFS88" s="161"/>
      <c r="AFT88" s="161"/>
      <c r="AFU88" s="176"/>
      <c r="AFV88" s="176"/>
      <c r="AFW88" s="176"/>
      <c r="AFX88" s="161"/>
      <c r="AFY88" s="161"/>
      <c r="AFZ88" s="161"/>
      <c r="AGA88" s="161"/>
      <c r="AGB88" s="161"/>
      <c r="AGC88" s="161"/>
      <c r="AGD88" s="176"/>
      <c r="AGE88" s="176"/>
      <c r="AGF88" s="176"/>
      <c r="AGG88" s="161"/>
      <c r="AGH88" s="161"/>
      <c r="AGI88" s="161"/>
      <c r="AGJ88" s="161"/>
      <c r="AGK88" s="161"/>
      <c r="AGL88" s="161"/>
      <c r="AGM88" s="176"/>
      <c r="AGN88" s="176"/>
      <c r="AGO88" s="176"/>
      <c r="AGP88" s="161"/>
      <c r="AGQ88" s="161"/>
      <c r="AGR88" s="161"/>
      <c r="AGS88" s="161"/>
      <c r="AGT88" s="161"/>
      <c r="AGU88" s="161"/>
      <c r="AGV88" s="176"/>
      <c r="AGW88" s="176"/>
      <c r="AGX88" s="176"/>
      <c r="AGY88" s="161"/>
      <c r="AGZ88" s="161"/>
      <c r="AHA88" s="161"/>
      <c r="AHB88" s="161"/>
      <c r="AHC88" s="161"/>
      <c r="AHD88" s="161"/>
      <c r="AHE88" s="176"/>
      <c r="AHF88" s="176"/>
      <c r="AHG88" s="176"/>
      <c r="AHH88" s="161"/>
      <c r="AHI88" s="161"/>
      <c r="AHJ88" s="161"/>
      <c r="AHK88" s="161"/>
      <c r="AHL88" s="161"/>
      <c r="AHM88" s="161"/>
      <c r="AHN88" s="176"/>
      <c r="AHO88" s="176"/>
      <c r="AHP88" s="176"/>
      <c r="AHQ88" s="161"/>
      <c r="AHR88" s="161"/>
      <c r="AHS88" s="161"/>
      <c r="AHT88" s="161"/>
      <c r="AHU88" s="161"/>
      <c r="AHV88" s="161"/>
      <c r="AHW88" s="176"/>
      <c r="AHX88" s="176"/>
      <c r="AHY88" s="176"/>
      <c r="AHZ88" s="161"/>
      <c r="AIA88" s="161"/>
      <c r="AIB88" s="161"/>
      <c r="AIC88" s="161"/>
      <c r="AID88" s="161"/>
      <c r="AIE88" s="161"/>
      <c r="AIF88" s="176"/>
      <c r="AIG88" s="176"/>
      <c r="AIH88" s="176"/>
      <c r="AII88" s="161"/>
      <c r="AIJ88" s="161"/>
      <c r="AIK88" s="161"/>
      <c r="AIL88" s="161"/>
      <c r="AIM88" s="161"/>
      <c r="AIN88" s="161"/>
      <c r="AIO88" s="176"/>
      <c r="AIP88" s="176"/>
      <c r="AIQ88" s="176"/>
      <c r="AIR88" s="161"/>
      <c r="AIS88" s="161"/>
      <c r="AIT88" s="161"/>
      <c r="AIU88" s="161"/>
      <c r="AIV88" s="161"/>
      <c r="AIW88" s="161"/>
      <c r="AIX88" s="176"/>
      <c r="AIY88" s="176"/>
      <c r="AIZ88" s="176"/>
      <c r="AJA88" s="161"/>
      <c r="AJB88" s="161"/>
      <c r="AJC88" s="161"/>
      <c r="AJD88" s="161"/>
      <c r="AJE88" s="161"/>
      <c r="AJF88" s="161"/>
      <c r="AJG88" s="176"/>
      <c r="AJH88" s="176"/>
      <c r="AJI88" s="176"/>
      <c r="AJJ88" s="161"/>
      <c r="AJK88" s="161"/>
      <c r="AJL88" s="161"/>
      <c r="AJM88" s="161"/>
      <c r="AJN88" s="161"/>
      <c r="AJO88" s="161"/>
      <c r="AJP88" s="176"/>
      <c r="AJQ88" s="176"/>
      <c r="AJR88" s="176"/>
      <c r="AJS88" s="161"/>
      <c r="AJT88" s="161"/>
      <c r="AJU88" s="161"/>
      <c r="AJV88" s="161"/>
      <c r="AJW88" s="161"/>
      <c r="AJX88" s="161"/>
      <c r="AJY88" s="176"/>
      <c r="AJZ88" s="176"/>
      <c r="AKA88" s="176"/>
      <c r="AKB88" s="161"/>
      <c r="AKC88" s="161"/>
      <c r="AKD88" s="161"/>
      <c r="AKE88" s="161"/>
      <c r="AKF88" s="161"/>
      <c r="AKG88" s="161"/>
      <c r="AKH88" s="176"/>
      <c r="AKI88" s="176"/>
      <c r="AKJ88" s="176"/>
      <c r="AKK88" s="161"/>
      <c r="AKL88" s="161"/>
      <c r="AKM88" s="161"/>
      <c r="AKN88" s="161"/>
      <c r="AKO88" s="161"/>
      <c r="AKP88" s="161"/>
      <c r="AKQ88" s="176"/>
      <c r="AKR88" s="176"/>
      <c r="AKS88" s="176"/>
      <c r="AKT88" s="161"/>
      <c r="AKU88" s="161"/>
      <c r="AKV88" s="161"/>
      <c r="AKW88" s="161"/>
      <c r="AKX88" s="161"/>
      <c r="AKY88" s="161"/>
      <c r="AKZ88" s="176"/>
      <c r="ALA88" s="176"/>
      <c r="ALB88" s="176"/>
      <c r="ALC88" s="161"/>
      <c r="ALD88" s="161"/>
      <c r="ALE88" s="161"/>
      <c r="ALF88" s="161"/>
      <c r="ALG88" s="161"/>
      <c r="ALH88" s="161"/>
      <c r="ALI88" s="176"/>
      <c r="ALJ88" s="176"/>
      <c r="ALK88" s="176"/>
      <c r="ALL88" s="161"/>
      <c r="ALM88" s="161"/>
      <c r="ALN88" s="161"/>
      <c r="ALO88" s="161"/>
      <c r="ALP88" s="161"/>
      <c r="ALQ88" s="161"/>
      <c r="ALR88" s="176"/>
      <c r="ALS88" s="176"/>
      <c r="ALT88" s="176"/>
      <c r="ALU88" s="161"/>
      <c r="ALV88" s="161"/>
      <c r="ALW88" s="161"/>
      <c r="ALX88" s="161"/>
      <c r="ALY88" s="161"/>
      <c r="ALZ88" s="161"/>
      <c r="AMA88" s="176"/>
      <c r="AMB88" s="176"/>
      <c r="AMC88" s="176"/>
      <c r="AMD88" s="161"/>
      <c r="AME88" s="161"/>
      <c r="AMF88" s="161"/>
      <c r="AMG88" s="161"/>
      <c r="AMH88" s="161"/>
      <c r="AMI88" s="161"/>
      <c r="AMJ88" s="176"/>
      <c r="AMK88" s="176"/>
      <c r="AML88" s="176"/>
      <c r="AMM88" s="161"/>
      <c r="AMN88" s="161"/>
      <c r="AMO88" s="161"/>
      <c r="AMP88" s="161"/>
      <c r="AMQ88" s="161"/>
      <c r="AMR88" s="161"/>
      <c r="AMS88" s="176"/>
      <c r="AMT88" s="176"/>
      <c r="AMU88" s="176"/>
      <c r="AMV88" s="161"/>
      <c r="AMW88" s="161"/>
      <c r="AMX88" s="161"/>
      <c r="AMY88" s="161"/>
      <c r="AMZ88" s="161"/>
      <c r="ANA88" s="161"/>
      <c r="ANB88" s="176"/>
      <c r="ANC88" s="176"/>
      <c r="AND88" s="176"/>
      <c r="ANE88" s="161"/>
      <c r="ANF88" s="161"/>
      <c r="ANG88" s="161"/>
      <c r="ANH88" s="161"/>
      <c r="ANI88" s="161"/>
      <c r="ANJ88" s="161"/>
      <c r="ANK88" s="176"/>
      <c r="ANL88" s="176"/>
      <c r="ANM88" s="176"/>
      <c r="ANN88" s="161"/>
      <c r="ANO88" s="161"/>
      <c r="ANP88" s="161"/>
      <c r="ANQ88" s="161"/>
      <c r="ANR88" s="161"/>
      <c r="ANS88" s="161"/>
      <c r="ANT88" s="176"/>
      <c r="ANU88" s="176"/>
      <c r="ANV88" s="176"/>
      <c r="ANW88" s="161"/>
      <c r="ANX88" s="161"/>
      <c r="ANY88" s="161"/>
      <c r="ANZ88" s="161"/>
      <c r="AOA88" s="161"/>
      <c r="AOB88" s="161"/>
      <c r="AOC88" s="176"/>
      <c r="AOD88" s="176"/>
      <c r="AOE88" s="176"/>
      <c r="AOF88" s="161"/>
      <c r="AOG88" s="161"/>
      <c r="AOH88" s="161"/>
      <c r="AOI88" s="161"/>
      <c r="AOJ88" s="161"/>
      <c r="AOK88" s="161"/>
      <c r="AOL88" s="176"/>
      <c r="AOM88" s="176"/>
      <c r="AON88" s="176"/>
      <c r="AOO88" s="161"/>
      <c r="AOP88" s="161"/>
      <c r="AOQ88" s="161"/>
      <c r="AOR88" s="161"/>
      <c r="AOS88" s="161"/>
      <c r="AOT88" s="161"/>
      <c r="AOU88" s="176"/>
      <c r="AOV88" s="176"/>
      <c r="AOW88" s="176"/>
      <c r="AOX88" s="161"/>
      <c r="AOY88" s="161"/>
      <c r="AOZ88" s="161"/>
      <c r="APA88" s="161"/>
      <c r="APB88" s="161"/>
      <c r="APC88" s="161"/>
      <c r="APD88" s="176"/>
      <c r="APE88" s="176"/>
      <c r="APF88" s="176"/>
      <c r="APG88" s="161"/>
      <c r="APH88" s="161"/>
      <c r="API88" s="161"/>
      <c r="APJ88" s="161"/>
      <c r="APK88" s="161"/>
      <c r="APL88" s="161"/>
      <c r="APM88" s="176"/>
      <c r="APN88" s="176"/>
      <c r="APO88" s="176"/>
      <c r="APP88" s="161"/>
      <c r="APQ88" s="161"/>
      <c r="APR88" s="161"/>
      <c r="APS88" s="161"/>
      <c r="APT88" s="161"/>
      <c r="APU88" s="161"/>
      <c r="APV88" s="176"/>
      <c r="APW88" s="176"/>
      <c r="APX88" s="176"/>
      <c r="APY88" s="161"/>
      <c r="APZ88" s="161"/>
      <c r="AQA88" s="161"/>
      <c r="AQB88" s="161"/>
      <c r="AQC88" s="161"/>
      <c r="AQD88" s="161"/>
      <c r="AQE88" s="176"/>
      <c r="AQF88" s="176"/>
      <c r="AQG88" s="176"/>
      <c r="AQH88" s="161"/>
      <c r="AQI88" s="161"/>
      <c r="AQJ88" s="161"/>
      <c r="AQK88" s="161"/>
      <c r="AQL88" s="161"/>
      <c r="AQM88" s="161"/>
      <c r="AQN88" s="176"/>
      <c r="AQO88" s="176"/>
      <c r="AQP88" s="176"/>
      <c r="AQQ88" s="161"/>
      <c r="AQR88" s="161"/>
      <c r="AQS88" s="161"/>
      <c r="AQT88" s="161"/>
      <c r="AQU88" s="161"/>
      <c r="AQV88" s="161"/>
      <c r="AQW88" s="176"/>
      <c r="AQX88" s="176"/>
      <c r="AQY88" s="176"/>
      <c r="AQZ88" s="161"/>
      <c r="ARA88" s="161"/>
      <c r="ARB88" s="161"/>
      <c r="ARC88" s="161"/>
      <c r="ARD88" s="161"/>
      <c r="ARE88" s="161"/>
      <c r="ARF88" s="176"/>
      <c r="ARG88" s="176"/>
      <c r="ARH88" s="176"/>
      <c r="ARI88" s="161"/>
      <c r="ARJ88" s="161"/>
      <c r="ARK88" s="161"/>
      <c r="ARL88" s="161"/>
      <c r="ARM88" s="161"/>
      <c r="ARN88" s="161"/>
      <c r="ARO88" s="176"/>
      <c r="ARP88" s="176"/>
      <c r="ARQ88" s="176"/>
      <c r="ARR88" s="161"/>
      <c r="ARS88" s="161"/>
      <c r="ART88" s="161"/>
      <c r="ARU88" s="161"/>
      <c r="ARV88" s="161"/>
      <c r="ARW88" s="161"/>
      <c r="ARX88" s="176"/>
      <c r="ARY88" s="176"/>
      <c r="ARZ88" s="176"/>
      <c r="ASA88" s="161"/>
      <c r="ASB88" s="161"/>
      <c r="ASC88" s="161"/>
      <c r="ASD88" s="161"/>
      <c r="ASE88" s="161"/>
      <c r="ASF88" s="161"/>
      <c r="ASG88" s="176"/>
      <c r="ASH88" s="176"/>
      <c r="ASI88" s="176"/>
      <c r="ASJ88" s="161"/>
      <c r="ASK88" s="161"/>
      <c r="ASL88" s="161"/>
      <c r="ASM88" s="161"/>
      <c r="ASN88" s="161"/>
      <c r="ASO88" s="161"/>
      <c r="ASP88" s="176"/>
      <c r="ASQ88" s="176"/>
      <c r="ASR88" s="176"/>
      <c r="ASS88" s="161"/>
      <c r="AST88" s="161"/>
      <c r="ASU88" s="161"/>
      <c r="ASV88" s="161"/>
      <c r="ASW88" s="161"/>
      <c r="ASX88" s="161"/>
      <c r="ASY88" s="176"/>
      <c r="ASZ88" s="176"/>
      <c r="ATA88" s="176"/>
      <c r="ATB88" s="161"/>
      <c r="ATC88" s="161"/>
      <c r="ATD88" s="161"/>
      <c r="ATE88" s="161"/>
      <c r="ATF88" s="161"/>
      <c r="ATG88" s="161"/>
      <c r="ATH88" s="176"/>
      <c r="ATI88" s="176"/>
      <c r="ATJ88" s="176"/>
      <c r="ATK88" s="161"/>
      <c r="ATL88" s="161"/>
      <c r="ATM88" s="161"/>
      <c r="ATN88" s="161"/>
      <c r="ATO88" s="161"/>
      <c r="ATP88" s="161"/>
      <c r="ATQ88" s="176"/>
      <c r="ATR88" s="176"/>
      <c r="ATS88" s="176"/>
      <c r="ATT88" s="161"/>
      <c r="ATU88" s="161"/>
      <c r="ATV88" s="161"/>
      <c r="ATW88" s="161"/>
      <c r="ATX88" s="161"/>
      <c r="ATY88" s="161"/>
      <c r="ATZ88" s="176"/>
      <c r="AUA88" s="176"/>
      <c r="AUB88" s="176"/>
      <c r="AUC88" s="161"/>
      <c r="AUD88" s="161"/>
      <c r="AUE88" s="161"/>
      <c r="AUF88" s="161"/>
      <c r="AUG88" s="161"/>
      <c r="AUH88" s="161"/>
      <c r="AUI88" s="176"/>
      <c r="AUJ88" s="176"/>
      <c r="AUK88" s="176"/>
      <c r="AUL88" s="161"/>
      <c r="AUM88" s="161"/>
      <c r="AUN88" s="161"/>
      <c r="AUO88" s="161"/>
      <c r="AUP88" s="161"/>
      <c r="AUQ88" s="161"/>
      <c r="AUR88" s="176"/>
      <c r="AUS88" s="176"/>
      <c r="AUT88" s="176"/>
      <c r="AUU88" s="161"/>
      <c r="AUV88" s="161"/>
      <c r="AUW88" s="161"/>
      <c r="AUX88" s="161"/>
      <c r="AUY88" s="161"/>
      <c r="AUZ88" s="161"/>
      <c r="AVA88" s="176"/>
      <c r="AVB88" s="176"/>
      <c r="AVC88" s="176"/>
      <c r="AVD88" s="161"/>
      <c r="AVE88" s="161"/>
      <c r="AVF88" s="161"/>
      <c r="AVG88" s="161"/>
      <c r="AVH88" s="161"/>
      <c r="AVI88" s="161"/>
      <c r="AVJ88" s="176"/>
      <c r="AVK88" s="176"/>
      <c r="AVL88" s="176"/>
      <c r="AVM88" s="161"/>
      <c r="AVN88" s="161"/>
      <c r="AVO88" s="161"/>
      <c r="AVP88" s="161"/>
      <c r="AVQ88" s="161"/>
      <c r="AVR88" s="161"/>
      <c r="AVS88" s="176"/>
      <c r="AVT88" s="176"/>
      <c r="AVU88" s="176"/>
      <c r="AVV88" s="161"/>
      <c r="AVW88" s="161"/>
      <c r="AVX88" s="161"/>
      <c r="AVY88" s="161"/>
      <c r="AVZ88" s="161"/>
      <c r="AWA88" s="161"/>
      <c r="AWB88" s="176"/>
      <c r="AWC88" s="176"/>
      <c r="AWD88" s="176"/>
      <c r="AWE88" s="161"/>
      <c r="AWF88" s="161"/>
      <c r="AWG88" s="161"/>
      <c r="AWH88" s="161"/>
      <c r="AWI88" s="161"/>
      <c r="AWJ88" s="161"/>
      <c r="AWK88" s="176"/>
      <c r="AWL88" s="176"/>
      <c r="AWM88" s="176"/>
      <c r="AWN88" s="161"/>
      <c r="AWO88" s="161"/>
      <c r="AWP88" s="161"/>
      <c r="AWQ88" s="161"/>
      <c r="AWR88" s="161"/>
      <c r="AWS88" s="161"/>
      <c r="AWT88" s="176"/>
      <c r="AWU88" s="176"/>
      <c r="AWV88" s="176"/>
      <c r="AWW88" s="161"/>
      <c r="AWX88" s="161"/>
      <c r="AWY88" s="161"/>
      <c r="AWZ88" s="161"/>
      <c r="AXA88" s="161"/>
      <c r="AXB88" s="161"/>
      <c r="AXC88" s="176"/>
      <c r="AXD88" s="176"/>
      <c r="AXE88" s="176"/>
      <c r="AXF88" s="161"/>
      <c r="AXG88" s="161"/>
      <c r="AXH88" s="161"/>
      <c r="AXI88" s="161"/>
      <c r="AXJ88" s="161"/>
      <c r="AXK88" s="161"/>
      <c r="AXL88" s="176"/>
      <c r="AXM88" s="176"/>
      <c r="AXN88" s="176"/>
      <c r="AXO88" s="161"/>
      <c r="AXP88" s="161"/>
      <c r="AXQ88" s="161"/>
      <c r="AXR88" s="161"/>
      <c r="AXS88" s="161"/>
      <c r="AXT88" s="161"/>
      <c r="AXU88" s="176"/>
      <c r="AXV88" s="176"/>
      <c r="AXW88" s="176"/>
      <c r="AXX88" s="161"/>
      <c r="AXY88" s="161"/>
      <c r="AXZ88" s="161"/>
      <c r="AYA88" s="161"/>
      <c r="AYB88" s="161"/>
      <c r="AYC88" s="161"/>
      <c r="AYD88" s="176"/>
      <c r="AYE88" s="176"/>
      <c r="AYF88" s="176"/>
      <c r="AYG88" s="161"/>
      <c r="AYH88" s="161"/>
      <c r="AYI88" s="161"/>
      <c r="AYJ88" s="161"/>
      <c r="AYK88" s="161"/>
      <c r="AYL88" s="161"/>
      <c r="AYM88" s="176"/>
      <c r="AYN88" s="176"/>
      <c r="AYO88" s="176"/>
      <c r="AYP88" s="161"/>
      <c r="AYQ88" s="161"/>
      <c r="AYR88" s="161"/>
      <c r="AYS88" s="161"/>
      <c r="AYT88" s="161"/>
      <c r="AYU88" s="161"/>
      <c r="AYV88" s="176"/>
      <c r="AYW88" s="176"/>
      <c r="AYX88" s="176"/>
      <c r="AYY88" s="161"/>
      <c r="AYZ88" s="161"/>
      <c r="AZA88" s="161"/>
      <c r="AZB88" s="161"/>
      <c r="AZC88" s="161"/>
      <c r="AZD88" s="161"/>
      <c r="AZE88" s="176"/>
      <c r="AZF88" s="176"/>
      <c r="AZG88" s="176"/>
      <c r="AZH88" s="161"/>
      <c r="AZI88" s="161"/>
      <c r="AZJ88" s="161"/>
      <c r="AZK88" s="161"/>
      <c r="AZL88" s="161"/>
      <c r="AZM88" s="161"/>
      <c r="AZN88" s="176"/>
      <c r="AZO88" s="176"/>
      <c r="AZP88" s="176"/>
      <c r="AZQ88" s="161"/>
      <c r="AZR88" s="161"/>
      <c r="AZS88" s="161"/>
      <c r="AZT88" s="161"/>
      <c r="AZU88" s="161"/>
      <c r="AZV88" s="161"/>
      <c r="AZW88" s="176"/>
      <c r="AZX88" s="176"/>
      <c r="AZY88" s="176"/>
      <c r="AZZ88" s="161"/>
      <c r="BAA88" s="161"/>
      <c r="BAB88" s="161"/>
      <c r="BAC88" s="161"/>
      <c r="BAD88" s="161"/>
      <c r="BAE88" s="161"/>
      <c r="BAF88" s="176"/>
      <c r="BAG88" s="176"/>
      <c r="BAH88" s="176"/>
      <c r="BAI88" s="161"/>
      <c r="BAJ88" s="161"/>
      <c r="BAK88" s="161"/>
      <c r="BAL88" s="161"/>
      <c r="BAM88" s="161"/>
      <c r="BAN88" s="161"/>
      <c r="BAO88" s="176"/>
      <c r="BAP88" s="176"/>
      <c r="BAQ88" s="176"/>
      <c r="BAR88" s="161"/>
      <c r="BAS88" s="161"/>
      <c r="BAT88" s="161"/>
      <c r="BAU88" s="161"/>
      <c r="BAV88" s="161"/>
      <c r="BAW88" s="161"/>
      <c r="BAX88" s="176"/>
      <c r="BAY88" s="176"/>
      <c r="BAZ88" s="176"/>
      <c r="BBA88" s="161"/>
      <c r="BBB88" s="161"/>
      <c r="BBC88" s="161"/>
      <c r="BBD88" s="161"/>
      <c r="BBE88" s="161"/>
      <c r="BBF88" s="161"/>
      <c r="BBG88" s="176"/>
      <c r="BBH88" s="176"/>
      <c r="BBI88" s="176"/>
      <c r="BBJ88" s="161"/>
      <c r="BBK88" s="161"/>
      <c r="BBL88" s="161"/>
      <c r="BBM88" s="161"/>
      <c r="BBN88" s="161"/>
      <c r="BBO88" s="161"/>
      <c r="BBP88" s="176"/>
      <c r="BBQ88" s="176"/>
      <c r="BBR88" s="176"/>
      <c r="BBS88" s="161"/>
      <c r="BBT88" s="161"/>
      <c r="BBU88" s="161"/>
      <c r="BBV88" s="161"/>
      <c r="BBW88" s="161"/>
      <c r="BBX88" s="161"/>
      <c r="BBY88" s="176"/>
      <c r="BBZ88" s="176"/>
      <c r="BCA88" s="176"/>
      <c r="BCB88" s="161"/>
      <c r="BCC88" s="161"/>
      <c r="BCD88" s="161"/>
      <c r="BCE88" s="161"/>
      <c r="BCF88" s="161"/>
      <c r="BCG88" s="161"/>
      <c r="BCH88" s="176"/>
      <c r="BCI88" s="176"/>
      <c r="BCJ88" s="176"/>
      <c r="BCK88" s="161"/>
      <c r="BCL88" s="161"/>
      <c r="BCM88" s="161"/>
      <c r="BCN88" s="161"/>
      <c r="BCO88" s="161"/>
      <c r="BCP88" s="161"/>
      <c r="BCQ88" s="176"/>
      <c r="BCR88" s="176"/>
      <c r="BCS88" s="176"/>
      <c r="BCT88" s="161"/>
      <c r="BCU88" s="161"/>
      <c r="BCV88" s="161"/>
      <c r="BCW88" s="161"/>
      <c r="BCX88" s="161"/>
      <c r="BCY88" s="161"/>
      <c r="BCZ88" s="176"/>
      <c r="BDA88" s="176"/>
      <c r="BDB88" s="176"/>
      <c r="BDC88" s="161"/>
      <c r="BDD88" s="161"/>
      <c r="BDE88" s="161"/>
      <c r="BDF88" s="161"/>
      <c r="BDG88" s="161"/>
      <c r="BDH88" s="161"/>
      <c r="BDI88" s="176"/>
      <c r="BDJ88" s="176"/>
      <c r="BDK88" s="176"/>
      <c r="BDL88" s="161"/>
      <c r="BDM88" s="161"/>
      <c r="BDN88" s="161"/>
      <c r="BDO88" s="161"/>
      <c r="BDP88" s="161"/>
      <c r="BDQ88" s="161"/>
      <c r="BDR88" s="176"/>
      <c r="BDS88" s="176"/>
      <c r="BDT88" s="176"/>
      <c r="BDU88" s="161"/>
      <c r="BDV88" s="161"/>
      <c r="BDW88" s="161"/>
      <c r="BDX88" s="161"/>
      <c r="BDY88" s="161"/>
      <c r="BDZ88" s="161"/>
      <c r="BEA88" s="176"/>
      <c r="BEB88" s="176"/>
      <c r="BEC88" s="176"/>
      <c r="BED88" s="161"/>
      <c r="BEE88" s="161"/>
      <c r="BEF88" s="161"/>
      <c r="BEG88" s="161"/>
      <c r="BEH88" s="161"/>
      <c r="BEI88" s="161"/>
      <c r="BEJ88" s="176"/>
      <c r="BEK88" s="176"/>
      <c r="BEL88" s="176"/>
      <c r="BEM88" s="161"/>
      <c r="BEN88" s="161"/>
      <c r="BEO88" s="161"/>
      <c r="BEP88" s="161"/>
      <c r="BEQ88" s="161"/>
      <c r="BER88" s="161"/>
      <c r="BES88" s="176"/>
      <c r="BET88" s="176"/>
      <c r="BEU88" s="176"/>
      <c r="BEV88" s="161"/>
      <c r="BEW88" s="161"/>
      <c r="BEX88" s="161"/>
      <c r="BEY88" s="161"/>
      <c r="BEZ88" s="161"/>
      <c r="BFA88" s="161"/>
      <c r="BFB88" s="176"/>
      <c r="BFC88" s="176"/>
      <c r="BFD88" s="176"/>
      <c r="BFE88" s="161"/>
      <c r="BFF88" s="161"/>
      <c r="BFG88" s="161"/>
      <c r="BFH88" s="161"/>
      <c r="BFI88" s="161"/>
      <c r="BFJ88" s="161"/>
      <c r="BFK88" s="176"/>
      <c r="BFL88" s="176"/>
      <c r="BFM88" s="176"/>
      <c r="BFN88" s="161"/>
      <c r="BFO88" s="161"/>
      <c r="BFP88" s="161"/>
      <c r="BFQ88" s="161"/>
      <c r="BFR88" s="161"/>
      <c r="BFS88" s="161"/>
      <c r="BFT88" s="176"/>
      <c r="BFU88" s="176"/>
      <c r="BFV88" s="176"/>
      <c r="BFW88" s="161"/>
      <c r="BFX88" s="161"/>
      <c r="BFY88" s="161"/>
      <c r="BFZ88" s="161"/>
      <c r="BGA88" s="161"/>
      <c r="BGB88" s="161"/>
      <c r="BGC88" s="176"/>
      <c r="BGD88" s="176"/>
      <c r="BGE88" s="176"/>
      <c r="BGF88" s="161"/>
      <c r="BGG88" s="161"/>
      <c r="BGH88" s="161"/>
      <c r="BGI88" s="161"/>
      <c r="BGJ88" s="161"/>
      <c r="BGK88" s="161"/>
      <c r="BGL88" s="176"/>
      <c r="BGM88" s="176"/>
      <c r="BGN88" s="176"/>
      <c r="BGO88" s="161"/>
      <c r="BGP88" s="161"/>
      <c r="BGQ88" s="161"/>
      <c r="BGR88" s="161"/>
      <c r="BGS88" s="161"/>
      <c r="BGT88" s="161"/>
      <c r="BGU88" s="176"/>
      <c r="BGV88" s="176"/>
      <c r="BGW88" s="176"/>
      <c r="BGX88" s="161"/>
      <c r="BGY88" s="161"/>
      <c r="BGZ88" s="161"/>
      <c r="BHA88" s="161"/>
      <c r="BHB88" s="161"/>
      <c r="BHC88" s="161"/>
      <c r="BHD88" s="176"/>
      <c r="BHE88" s="176"/>
      <c r="BHF88" s="176"/>
      <c r="BHG88" s="161"/>
      <c r="BHH88" s="161"/>
      <c r="BHI88" s="161"/>
      <c r="BHJ88" s="161"/>
      <c r="BHK88" s="161"/>
      <c r="BHL88" s="161"/>
      <c r="BHM88" s="176"/>
      <c r="BHN88" s="176"/>
      <c r="BHO88" s="176"/>
      <c r="BHP88" s="161"/>
      <c r="BHQ88" s="161"/>
      <c r="BHR88" s="161"/>
      <c r="BHS88" s="161"/>
      <c r="BHT88" s="161"/>
      <c r="BHU88" s="161"/>
      <c r="BHV88" s="176"/>
      <c r="BHW88" s="176"/>
      <c r="BHX88" s="176"/>
      <c r="BHY88" s="161"/>
      <c r="BHZ88" s="161"/>
      <c r="BIA88" s="161"/>
      <c r="BIB88" s="161"/>
      <c r="BIC88" s="161"/>
      <c r="BID88" s="161"/>
      <c r="BIE88" s="176"/>
      <c r="BIF88" s="176"/>
      <c r="BIG88" s="176"/>
      <c r="BIH88" s="161"/>
      <c r="BII88" s="161"/>
      <c r="BIJ88" s="161"/>
      <c r="BIK88" s="161"/>
      <c r="BIL88" s="161"/>
      <c r="BIM88" s="161"/>
      <c r="BIN88" s="176"/>
      <c r="BIO88" s="176"/>
      <c r="BIP88" s="176"/>
      <c r="BIQ88" s="161"/>
      <c r="BIR88" s="161"/>
      <c r="BIS88" s="161"/>
      <c r="BIT88" s="161"/>
      <c r="BIU88" s="161"/>
      <c r="BIV88" s="161"/>
      <c r="BIW88" s="176"/>
      <c r="BIX88" s="176"/>
      <c r="BIY88" s="176"/>
      <c r="BIZ88" s="161"/>
      <c r="BJA88" s="161"/>
      <c r="BJB88" s="161"/>
      <c r="BJC88" s="161"/>
      <c r="BJD88" s="161"/>
      <c r="BJE88" s="161"/>
      <c r="BJF88" s="176"/>
      <c r="BJG88" s="176"/>
      <c r="BJH88" s="176"/>
      <c r="BJI88" s="161"/>
      <c r="BJJ88" s="161"/>
      <c r="BJK88" s="161"/>
      <c r="BJL88" s="161"/>
      <c r="BJM88" s="161"/>
      <c r="BJN88" s="161"/>
      <c r="BJO88" s="176"/>
      <c r="BJP88" s="176"/>
      <c r="BJQ88" s="176"/>
      <c r="BJR88" s="161"/>
      <c r="BJS88" s="161"/>
      <c r="BJT88" s="161"/>
      <c r="BJU88" s="161"/>
      <c r="BJV88" s="161"/>
      <c r="BJW88" s="161"/>
      <c r="BJX88" s="176"/>
      <c r="BJY88" s="176"/>
      <c r="BJZ88" s="176"/>
      <c r="BKA88" s="161"/>
      <c r="BKB88" s="161"/>
      <c r="BKC88" s="161"/>
      <c r="BKD88" s="161"/>
      <c r="BKE88" s="161"/>
      <c r="BKF88" s="161"/>
      <c r="BKG88" s="176"/>
      <c r="BKH88" s="176"/>
      <c r="BKI88" s="176"/>
      <c r="BKJ88" s="161"/>
      <c r="BKK88" s="161"/>
      <c r="BKL88" s="161"/>
      <c r="BKM88" s="161"/>
      <c r="BKN88" s="161"/>
      <c r="BKO88" s="161"/>
      <c r="BKP88" s="176"/>
      <c r="BKQ88" s="176"/>
      <c r="BKR88" s="176"/>
      <c r="BKS88" s="161"/>
      <c r="BKT88" s="161"/>
      <c r="BKU88" s="161"/>
      <c r="BKV88" s="161"/>
      <c r="BKW88" s="161"/>
      <c r="BKX88" s="161"/>
      <c r="BKY88" s="176"/>
      <c r="BKZ88" s="176"/>
      <c r="BLA88" s="176"/>
      <c r="BLB88" s="161"/>
      <c r="BLC88" s="161"/>
      <c r="BLD88" s="161"/>
      <c r="BLE88" s="161"/>
      <c r="BLF88" s="161"/>
      <c r="BLG88" s="161"/>
      <c r="BLH88" s="176"/>
      <c r="BLI88" s="176"/>
      <c r="BLJ88" s="176"/>
      <c r="BLK88" s="161"/>
      <c r="BLL88" s="161"/>
      <c r="BLM88" s="161"/>
      <c r="BLN88" s="161"/>
      <c r="BLO88" s="161"/>
      <c r="BLP88" s="161"/>
      <c r="BLQ88" s="176"/>
      <c r="BLR88" s="176"/>
      <c r="BLS88" s="176"/>
      <c r="BLT88" s="161"/>
      <c r="BLU88" s="161"/>
      <c r="BLV88" s="161"/>
      <c r="BLW88" s="161"/>
      <c r="BLX88" s="161"/>
      <c r="BLY88" s="161"/>
      <c r="BLZ88" s="176"/>
      <c r="BMA88" s="176"/>
      <c r="BMB88" s="176"/>
      <c r="BMC88" s="161"/>
      <c r="BMD88" s="161"/>
      <c r="BME88" s="161"/>
      <c r="BMF88" s="161"/>
      <c r="BMG88" s="161"/>
      <c r="BMH88" s="161"/>
      <c r="BMI88" s="176"/>
      <c r="BMJ88" s="176"/>
      <c r="BMK88" s="176"/>
      <c r="BML88" s="161"/>
      <c r="BMM88" s="161"/>
      <c r="BMN88" s="161"/>
      <c r="BMO88" s="161"/>
      <c r="BMP88" s="161"/>
      <c r="BMQ88" s="161"/>
      <c r="BMR88" s="176"/>
      <c r="BMS88" s="176"/>
      <c r="BMT88" s="176"/>
      <c r="BMU88" s="161"/>
      <c r="BMV88" s="161"/>
      <c r="BMW88" s="161"/>
      <c r="BMX88" s="161"/>
      <c r="BMY88" s="161"/>
      <c r="BMZ88" s="161"/>
      <c r="BNA88" s="176"/>
      <c r="BNB88" s="176"/>
      <c r="BNC88" s="176"/>
      <c r="BND88" s="161"/>
      <c r="BNE88" s="161"/>
      <c r="BNF88" s="161"/>
      <c r="BNG88" s="161"/>
      <c r="BNH88" s="161"/>
      <c r="BNI88" s="161"/>
      <c r="BNJ88" s="176"/>
      <c r="BNK88" s="176"/>
      <c r="BNL88" s="176"/>
      <c r="BNM88" s="161"/>
      <c r="BNN88" s="161"/>
      <c r="BNO88" s="161"/>
      <c r="BNP88" s="161"/>
      <c r="BNQ88" s="161"/>
      <c r="BNR88" s="161"/>
      <c r="BNS88" s="176"/>
      <c r="BNT88" s="176"/>
      <c r="BNU88" s="176"/>
      <c r="BNV88" s="161"/>
      <c r="BNW88" s="161"/>
      <c r="BNX88" s="161"/>
      <c r="BNY88" s="161"/>
      <c r="BNZ88" s="161"/>
      <c r="BOA88" s="161"/>
      <c r="BOB88" s="176"/>
      <c r="BOC88" s="176"/>
      <c r="BOD88" s="176"/>
      <c r="BOE88" s="161"/>
      <c r="BOF88" s="161"/>
      <c r="BOG88" s="161"/>
      <c r="BOH88" s="161"/>
      <c r="BOI88" s="161"/>
      <c r="BOJ88" s="161"/>
      <c r="BOK88" s="176"/>
      <c r="BOL88" s="176"/>
      <c r="BOM88" s="176"/>
      <c r="BON88" s="161"/>
      <c r="BOO88" s="161"/>
      <c r="BOP88" s="161"/>
      <c r="BOQ88" s="161"/>
      <c r="BOR88" s="161"/>
      <c r="BOS88" s="161"/>
      <c r="BOT88" s="176"/>
      <c r="BOU88" s="176"/>
      <c r="BOV88" s="176"/>
      <c r="BOW88" s="161"/>
      <c r="BOX88" s="161"/>
      <c r="BOY88" s="161"/>
      <c r="BOZ88" s="161"/>
      <c r="BPA88" s="161"/>
      <c r="BPB88" s="161"/>
      <c r="BPC88" s="176"/>
      <c r="BPD88" s="176"/>
      <c r="BPE88" s="176"/>
      <c r="BPF88" s="161"/>
      <c r="BPG88" s="161"/>
      <c r="BPH88" s="161"/>
      <c r="BPI88" s="161"/>
      <c r="BPJ88" s="161"/>
      <c r="BPK88" s="161"/>
      <c r="BPL88" s="176"/>
      <c r="BPM88" s="176"/>
      <c r="BPN88" s="176"/>
      <c r="BPO88" s="161"/>
      <c r="BPP88" s="161"/>
      <c r="BPQ88" s="161"/>
      <c r="BPR88" s="161"/>
      <c r="BPS88" s="161"/>
      <c r="BPT88" s="161"/>
      <c r="BPU88" s="176"/>
      <c r="BPV88" s="176"/>
      <c r="BPW88" s="176"/>
      <c r="BPX88" s="161"/>
      <c r="BPY88" s="161"/>
      <c r="BPZ88" s="161"/>
      <c r="BQA88" s="161"/>
      <c r="BQB88" s="161"/>
      <c r="BQC88" s="161"/>
      <c r="BQD88" s="176"/>
      <c r="BQE88" s="176"/>
      <c r="BQF88" s="176"/>
      <c r="BQG88" s="161"/>
      <c r="BQH88" s="161"/>
      <c r="BQI88" s="161"/>
      <c r="BQJ88" s="161"/>
      <c r="BQK88" s="161"/>
      <c r="BQL88" s="161"/>
      <c r="BQM88" s="176"/>
      <c r="BQN88" s="176"/>
      <c r="BQO88" s="176"/>
      <c r="BQP88" s="161"/>
      <c r="BQQ88" s="161"/>
      <c r="BQR88" s="161"/>
      <c r="BQS88" s="161"/>
      <c r="BQT88" s="161"/>
      <c r="BQU88" s="161"/>
      <c r="BQV88" s="176"/>
      <c r="BQW88" s="176"/>
      <c r="BQX88" s="176"/>
      <c r="BQY88" s="161"/>
      <c r="BQZ88" s="161"/>
      <c r="BRA88" s="161"/>
      <c r="BRB88" s="161"/>
      <c r="BRC88" s="161"/>
      <c r="BRD88" s="161"/>
      <c r="BRE88" s="176"/>
      <c r="BRF88" s="176"/>
      <c r="BRG88" s="176"/>
      <c r="BRH88" s="161"/>
      <c r="BRI88" s="161"/>
      <c r="BRJ88" s="161"/>
      <c r="BRK88" s="161"/>
      <c r="BRL88" s="161"/>
      <c r="BRM88" s="161"/>
      <c r="BRN88" s="176"/>
      <c r="BRO88" s="176"/>
      <c r="BRP88" s="176"/>
      <c r="BRQ88" s="161"/>
      <c r="BRR88" s="161"/>
      <c r="BRS88" s="161"/>
      <c r="BRT88" s="161"/>
      <c r="BRU88" s="161"/>
      <c r="BRV88" s="161"/>
      <c r="BRW88" s="176"/>
      <c r="BRX88" s="176"/>
      <c r="BRY88" s="176"/>
      <c r="BRZ88" s="161"/>
      <c r="BSA88" s="161"/>
      <c r="BSB88" s="161"/>
      <c r="BSC88" s="161"/>
      <c r="BSD88" s="161"/>
      <c r="BSE88" s="161"/>
      <c r="BSF88" s="176"/>
      <c r="BSG88" s="176"/>
      <c r="BSH88" s="176"/>
      <c r="BSI88" s="161"/>
      <c r="BSJ88" s="161"/>
      <c r="BSK88" s="161"/>
      <c r="BSL88" s="161"/>
      <c r="BSM88" s="161"/>
      <c r="BSN88" s="161"/>
      <c r="BSO88" s="176"/>
      <c r="BSP88" s="176"/>
      <c r="BSQ88" s="176"/>
      <c r="BSR88" s="161"/>
      <c r="BSS88" s="161"/>
      <c r="BST88" s="161"/>
      <c r="BSU88" s="161"/>
      <c r="BSV88" s="161"/>
      <c r="BSW88" s="161"/>
      <c r="BSX88" s="176"/>
      <c r="BSY88" s="176"/>
      <c r="BSZ88" s="176"/>
      <c r="BTA88" s="161"/>
      <c r="BTB88" s="161"/>
      <c r="BTC88" s="161"/>
      <c r="BTD88" s="161"/>
      <c r="BTE88" s="161"/>
      <c r="BTF88" s="161"/>
      <c r="BTG88" s="176"/>
      <c r="BTH88" s="176"/>
      <c r="BTI88" s="176"/>
      <c r="BTJ88" s="161"/>
      <c r="BTK88" s="161"/>
      <c r="BTL88" s="161"/>
      <c r="BTM88" s="161"/>
      <c r="BTN88" s="161"/>
      <c r="BTO88" s="161"/>
      <c r="BTP88" s="176"/>
      <c r="BTQ88" s="176"/>
      <c r="BTR88" s="176"/>
      <c r="BTS88" s="161"/>
      <c r="BTT88" s="161"/>
      <c r="BTU88" s="161"/>
      <c r="BTV88" s="161"/>
      <c r="BTW88" s="161"/>
      <c r="BTX88" s="161"/>
      <c r="BTY88" s="176"/>
      <c r="BTZ88" s="176"/>
      <c r="BUA88" s="176"/>
      <c r="BUB88" s="161"/>
      <c r="BUC88" s="161"/>
      <c r="BUD88" s="161"/>
      <c r="BUE88" s="161"/>
      <c r="BUF88" s="161"/>
      <c r="BUG88" s="161"/>
      <c r="BUH88" s="176"/>
      <c r="BUI88" s="176"/>
      <c r="BUJ88" s="176"/>
      <c r="BUK88" s="161"/>
      <c r="BUL88" s="161"/>
      <c r="BUM88" s="161"/>
      <c r="BUN88" s="161"/>
      <c r="BUO88" s="161"/>
      <c r="BUP88" s="161"/>
      <c r="BUQ88" s="176"/>
      <c r="BUR88" s="176"/>
      <c r="BUS88" s="176"/>
      <c r="BUT88" s="161"/>
      <c r="BUU88" s="161"/>
      <c r="BUV88" s="161"/>
      <c r="BUW88" s="161"/>
      <c r="BUX88" s="161"/>
      <c r="BUY88" s="161"/>
      <c r="BUZ88" s="176"/>
      <c r="BVA88" s="176"/>
      <c r="BVB88" s="176"/>
      <c r="BVC88" s="161"/>
      <c r="BVD88" s="161"/>
      <c r="BVE88" s="161"/>
      <c r="BVF88" s="161"/>
      <c r="BVG88" s="161"/>
      <c r="BVH88" s="161"/>
      <c r="BVI88" s="176"/>
      <c r="BVJ88" s="176"/>
      <c r="BVK88" s="176"/>
      <c r="BVL88" s="161"/>
      <c r="BVM88" s="161"/>
      <c r="BVN88" s="161"/>
      <c r="BVO88" s="161"/>
      <c r="BVP88" s="161"/>
      <c r="BVQ88" s="161"/>
      <c r="BVR88" s="176"/>
      <c r="BVS88" s="176"/>
      <c r="BVT88" s="176"/>
      <c r="BVU88" s="161"/>
      <c r="BVV88" s="161"/>
      <c r="BVW88" s="161"/>
      <c r="BVX88" s="161"/>
      <c r="BVY88" s="161"/>
      <c r="BVZ88" s="161"/>
      <c r="BWA88" s="176"/>
      <c r="BWB88" s="176"/>
      <c r="BWC88" s="176"/>
      <c r="BWD88" s="161"/>
      <c r="BWE88" s="161"/>
      <c r="BWF88" s="161"/>
      <c r="BWG88" s="161"/>
      <c r="BWH88" s="161"/>
      <c r="BWI88" s="161"/>
      <c r="BWJ88" s="176"/>
      <c r="BWK88" s="176"/>
      <c r="BWL88" s="176"/>
      <c r="BWM88" s="161"/>
      <c r="BWN88" s="161"/>
      <c r="BWO88" s="161"/>
      <c r="BWP88" s="161"/>
      <c r="BWQ88" s="161"/>
      <c r="BWR88" s="161"/>
      <c r="BWS88" s="176"/>
      <c r="BWT88" s="176"/>
      <c r="BWU88" s="176"/>
      <c r="BWV88" s="161"/>
      <c r="BWW88" s="161"/>
      <c r="BWX88" s="161"/>
      <c r="BWY88" s="161"/>
      <c r="BWZ88" s="161"/>
      <c r="BXA88" s="161"/>
      <c r="BXB88" s="176"/>
      <c r="BXC88" s="176"/>
      <c r="BXD88" s="176"/>
      <c r="BXE88" s="161"/>
      <c r="BXF88" s="161"/>
      <c r="BXG88" s="161"/>
      <c r="BXH88" s="161"/>
      <c r="BXI88" s="161"/>
      <c r="BXJ88" s="161"/>
      <c r="BXK88" s="176"/>
      <c r="BXL88" s="176"/>
      <c r="BXM88" s="176"/>
      <c r="BXN88" s="161"/>
      <c r="BXO88" s="161"/>
      <c r="BXP88" s="161"/>
      <c r="BXQ88" s="161"/>
      <c r="BXR88" s="161"/>
      <c r="BXS88" s="161"/>
      <c r="BXT88" s="176"/>
      <c r="BXU88" s="176"/>
      <c r="BXV88" s="176"/>
      <c r="BXW88" s="161"/>
      <c r="BXX88" s="161"/>
      <c r="BXY88" s="161"/>
      <c r="BXZ88" s="161"/>
      <c r="BYA88" s="161"/>
      <c r="BYB88" s="161"/>
      <c r="BYC88" s="176"/>
      <c r="BYD88" s="176"/>
      <c r="BYE88" s="176"/>
      <c r="BYF88" s="161"/>
      <c r="BYG88" s="161"/>
      <c r="BYH88" s="161"/>
      <c r="BYI88" s="161"/>
      <c r="BYJ88" s="161"/>
      <c r="BYK88" s="161"/>
      <c r="BYL88" s="176"/>
      <c r="BYM88" s="176"/>
      <c r="BYN88" s="176"/>
      <c r="BYO88" s="161"/>
      <c r="BYP88" s="161"/>
      <c r="BYQ88" s="161"/>
      <c r="BYR88" s="161"/>
      <c r="BYS88" s="161"/>
      <c r="BYT88" s="161"/>
      <c r="BYU88" s="176"/>
      <c r="BYV88" s="176"/>
      <c r="BYW88" s="176"/>
      <c r="BYX88" s="161"/>
      <c r="BYY88" s="161"/>
      <c r="BYZ88" s="161"/>
      <c r="BZA88" s="161"/>
      <c r="BZB88" s="161"/>
      <c r="BZC88" s="161"/>
      <c r="BZD88" s="176"/>
      <c r="BZE88" s="176"/>
      <c r="BZF88" s="176"/>
      <c r="BZG88" s="161"/>
      <c r="BZH88" s="161"/>
      <c r="BZI88" s="161"/>
      <c r="BZJ88" s="161"/>
      <c r="BZK88" s="161"/>
      <c r="BZL88" s="161"/>
      <c r="BZM88" s="176"/>
      <c r="BZN88" s="176"/>
      <c r="BZO88" s="176"/>
      <c r="BZP88" s="161"/>
      <c r="BZQ88" s="161"/>
      <c r="BZR88" s="161"/>
      <c r="BZS88" s="161"/>
      <c r="BZT88" s="161"/>
      <c r="BZU88" s="161"/>
      <c r="BZV88" s="176"/>
      <c r="BZW88" s="176"/>
      <c r="BZX88" s="176"/>
      <c r="BZY88" s="161"/>
      <c r="BZZ88" s="161"/>
      <c r="CAA88" s="161"/>
      <c r="CAB88" s="161"/>
      <c r="CAC88" s="161"/>
      <c r="CAD88" s="161"/>
      <c r="CAE88" s="176"/>
      <c r="CAF88" s="176"/>
      <c r="CAG88" s="176"/>
      <c r="CAH88" s="161"/>
      <c r="CAI88" s="161"/>
      <c r="CAJ88" s="161"/>
      <c r="CAK88" s="161"/>
      <c r="CAL88" s="161"/>
      <c r="CAM88" s="161"/>
      <c r="CAN88" s="176"/>
      <c r="CAO88" s="176"/>
      <c r="CAP88" s="176"/>
      <c r="CAQ88" s="161"/>
      <c r="CAR88" s="161"/>
      <c r="CAS88" s="161"/>
      <c r="CAT88" s="161"/>
      <c r="CAU88" s="161"/>
      <c r="CAV88" s="161"/>
      <c r="CAW88" s="176"/>
      <c r="CAX88" s="176"/>
      <c r="CAY88" s="176"/>
      <c r="CAZ88" s="161"/>
      <c r="CBA88" s="161"/>
      <c r="CBB88" s="161"/>
      <c r="CBC88" s="161"/>
      <c r="CBD88" s="161"/>
      <c r="CBE88" s="161"/>
      <c r="CBF88" s="176"/>
      <c r="CBG88" s="176"/>
      <c r="CBH88" s="176"/>
      <c r="CBI88" s="161"/>
      <c r="CBJ88" s="161"/>
      <c r="CBK88" s="161"/>
      <c r="CBL88" s="161"/>
      <c r="CBM88" s="161"/>
      <c r="CBN88" s="161"/>
      <c r="CBO88" s="176"/>
      <c r="CBP88" s="176"/>
      <c r="CBQ88" s="176"/>
      <c r="CBR88" s="161"/>
      <c r="CBS88" s="161"/>
      <c r="CBT88" s="161"/>
      <c r="CBU88" s="161"/>
      <c r="CBV88" s="161"/>
      <c r="CBW88" s="161"/>
      <c r="CBX88" s="176"/>
      <c r="CBY88" s="176"/>
      <c r="CBZ88" s="176"/>
      <c r="CCA88" s="161"/>
      <c r="CCB88" s="161"/>
      <c r="CCC88" s="161"/>
      <c r="CCD88" s="161"/>
      <c r="CCE88" s="161"/>
      <c r="CCF88" s="161"/>
      <c r="CCG88" s="176"/>
      <c r="CCH88" s="176"/>
      <c r="CCI88" s="176"/>
      <c r="CCJ88" s="161"/>
      <c r="CCK88" s="161"/>
      <c r="CCL88" s="161"/>
      <c r="CCM88" s="161"/>
      <c r="CCN88" s="161"/>
      <c r="CCO88" s="161"/>
      <c r="CCP88" s="176"/>
      <c r="CCQ88" s="176"/>
      <c r="CCR88" s="176"/>
      <c r="CCS88" s="161"/>
      <c r="CCT88" s="161"/>
      <c r="CCU88" s="161"/>
      <c r="CCV88" s="161"/>
      <c r="CCW88" s="161"/>
      <c r="CCX88" s="161"/>
      <c r="CCY88" s="176"/>
      <c r="CCZ88" s="176"/>
      <c r="CDA88" s="176"/>
      <c r="CDB88" s="161"/>
      <c r="CDC88" s="161"/>
      <c r="CDD88" s="161"/>
      <c r="CDE88" s="161"/>
      <c r="CDF88" s="161"/>
      <c r="CDG88" s="161"/>
      <c r="CDH88" s="176"/>
      <c r="CDI88" s="176"/>
      <c r="CDJ88" s="176"/>
      <c r="CDK88" s="161"/>
      <c r="CDL88" s="161"/>
      <c r="CDM88" s="161"/>
      <c r="CDN88" s="161"/>
      <c r="CDO88" s="161"/>
      <c r="CDP88" s="161"/>
      <c r="CDQ88" s="176"/>
      <c r="CDR88" s="176"/>
      <c r="CDS88" s="176"/>
      <c r="CDT88" s="161"/>
      <c r="CDU88" s="161"/>
      <c r="CDV88" s="161"/>
      <c r="CDW88" s="161"/>
      <c r="CDX88" s="161"/>
      <c r="CDY88" s="161"/>
      <c r="CDZ88" s="176"/>
      <c r="CEA88" s="176"/>
      <c r="CEB88" s="176"/>
      <c r="CEC88" s="161"/>
      <c r="CED88" s="161"/>
      <c r="CEE88" s="161"/>
      <c r="CEF88" s="161"/>
      <c r="CEG88" s="161"/>
      <c r="CEH88" s="161"/>
      <c r="CEI88" s="176"/>
      <c r="CEJ88" s="176"/>
      <c r="CEK88" s="176"/>
      <c r="CEL88" s="161"/>
      <c r="CEM88" s="161"/>
      <c r="CEN88" s="161"/>
      <c r="CEO88" s="161"/>
      <c r="CEP88" s="161"/>
      <c r="CEQ88" s="161"/>
      <c r="CER88" s="176"/>
      <c r="CES88" s="176"/>
      <c r="CET88" s="176"/>
      <c r="CEU88" s="161"/>
      <c r="CEV88" s="161"/>
      <c r="CEW88" s="161"/>
      <c r="CEX88" s="161"/>
      <c r="CEY88" s="161"/>
      <c r="CEZ88" s="161"/>
      <c r="CFA88" s="176"/>
      <c r="CFB88" s="176"/>
      <c r="CFC88" s="176"/>
      <c r="CFD88" s="161"/>
      <c r="CFE88" s="161"/>
      <c r="CFF88" s="161"/>
      <c r="CFG88" s="161"/>
      <c r="CFH88" s="161"/>
      <c r="CFI88" s="161"/>
      <c r="CFJ88" s="176"/>
      <c r="CFK88" s="176"/>
      <c r="CFL88" s="176"/>
      <c r="CFM88" s="161"/>
      <c r="CFN88" s="161"/>
      <c r="CFO88" s="161"/>
      <c r="CFP88" s="161"/>
      <c r="CFQ88" s="161"/>
      <c r="CFR88" s="161"/>
      <c r="CFS88" s="176"/>
      <c r="CFT88" s="176"/>
      <c r="CFU88" s="176"/>
      <c r="CFV88" s="161"/>
      <c r="CFW88" s="161"/>
      <c r="CFX88" s="161"/>
      <c r="CFY88" s="161"/>
      <c r="CFZ88" s="161"/>
      <c r="CGA88" s="161"/>
      <c r="CGB88" s="176"/>
      <c r="CGC88" s="176"/>
      <c r="CGD88" s="176"/>
      <c r="CGE88" s="161"/>
      <c r="CGF88" s="161"/>
      <c r="CGG88" s="161"/>
      <c r="CGH88" s="161"/>
      <c r="CGI88" s="161"/>
      <c r="CGJ88" s="161"/>
      <c r="CGK88" s="176"/>
      <c r="CGL88" s="176"/>
      <c r="CGM88" s="176"/>
      <c r="CGN88" s="161"/>
      <c r="CGO88" s="161"/>
      <c r="CGP88" s="161"/>
      <c r="CGQ88" s="161"/>
      <c r="CGR88" s="161"/>
      <c r="CGS88" s="161"/>
      <c r="CGT88" s="176"/>
      <c r="CGU88" s="176"/>
      <c r="CGV88" s="176"/>
      <c r="CGW88" s="161"/>
      <c r="CGX88" s="161"/>
      <c r="CGY88" s="161"/>
      <c r="CGZ88" s="161"/>
      <c r="CHA88" s="161"/>
      <c r="CHB88" s="161"/>
      <c r="CHC88" s="176"/>
      <c r="CHD88" s="176"/>
      <c r="CHE88" s="176"/>
      <c r="CHF88" s="161"/>
      <c r="CHG88" s="161"/>
      <c r="CHH88" s="161"/>
      <c r="CHI88" s="161"/>
      <c r="CHJ88" s="161"/>
      <c r="CHK88" s="161"/>
      <c r="CHL88" s="176"/>
      <c r="CHM88" s="176"/>
      <c r="CHN88" s="176"/>
      <c r="CHO88" s="161"/>
      <c r="CHP88" s="161"/>
      <c r="CHQ88" s="161"/>
      <c r="CHR88" s="161"/>
      <c r="CHS88" s="161"/>
      <c r="CHT88" s="161"/>
      <c r="CHU88" s="176"/>
      <c r="CHV88" s="176"/>
      <c r="CHW88" s="176"/>
      <c r="CHX88" s="161"/>
      <c r="CHY88" s="161"/>
      <c r="CHZ88" s="161"/>
      <c r="CIA88" s="161"/>
      <c r="CIB88" s="161"/>
      <c r="CIC88" s="161"/>
      <c r="CID88" s="176"/>
      <c r="CIE88" s="176"/>
      <c r="CIF88" s="176"/>
      <c r="CIG88" s="161"/>
      <c r="CIH88" s="161"/>
      <c r="CII88" s="161"/>
      <c r="CIJ88" s="161"/>
      <c r="CIK88" s="161"/>
      <c r="CIL88" s="161"/>
      <c r="CIM88" s="176"/>
      <c r="CIN88" s="176"/>
      <c r="CIO88" s="176"/>
      <c r="CIP88" s="161"/>
      <c r="CIQ88" s="161"/>
      <c r="CIR88" s="161"/>
      <c r="CIS88" s="161"/>
      <c r="CIT88" s="161"/>
      <c r="CIU88" s="161"/>
      <c r="CIV88" s="176"/>
      <c r="CIW88" s="176"/>
      <c r="CIX88" s="176"/>
      <c r="CIY88" s="161"/>
      <c r="CIZ88" s="161"/>
      <c r="CJA88" s="161"/>
      <c r="CJB88" s="161"/>
      <c r="CJC88" s="161"/>
      <c r="CJD88" s="161"/>
      <c r="CJE88" s="176"/>
      <c r="CJF88" s="176"/>
      <c r="CJG88" s="176"/>
      <c r="CJH88" s="161"/>
      <c r="CJI88" s="161"/>
      <c r="CJJ88" s="161"/>
      <c r="CJK88" s="161"/>
      <c r="CJL88" s="161"/>
      <c r="CJM88" s="161"/>
      <c r="CJN88" s="176"/>
      <c r="CJO88" s="176"/>
      <c r="CJP88" s="176"/>
      <c r="CJQ88" s="161"/>
      <c r="CJR88" s="161"/>
      <c r="CJS88" s="161"/>
      <c r="CJT88" s="161"/>
      <c r="CJU88" s="161"/>
      <c r="CJV88" s="161"/>
      <c r="CJW88" s="176"/>
      <c r="CJX88" s="176"/>
      <c r="CJY88" s="176"/>
      <c r="CJZ88" s="161"/>
      <c r="CKA88" s="161"/>
      <c r="CKB88" s="161"/>
      <c r="CKC88" s="161"/>
      <c r="CKD88" s="161"/>
      <c r="CKE88" s="161"/>
      <c r="CKF88" s="176"/>
      <c r="CKG88" s="176"/>
      <c r="CKH88" s="176"/>
      <c r="CKI88" s="161"/>
      <c r="CKJ88" s="161"/>
      <c r="CKK88" s="161"/>
      <c r="CKL88" s="161"/>
      <c r="CKM88" s="161"/>
      <c r="CKN88" s="161"/>
      <c r="CKO88" s="176"/>
      <c r="CKP88" s="176"/>
      <c r="CKQ88" s="176"/>
      <c r="CKR88" s="161"/>
      <c r="CKS88" s="161"/>
      <c r="CKT88" s="161"/>
      <c r="CKU88" s="161"/>
      <c r="CKV88" s="161"/>
      <c r="CKW88" s="161"/>
      <c r="CKX88" s="176"/>
      <c r="CKY88" s="176"/>
      <c r="CKZ88" s="176"/>
      <c r="CLA88" s="161"/>
      <c r="CLB88" s="161"/>
      <c r="CLC88" s="161"/>
      <c r="CLD88" s="161"/>
      <c r="CLE88" s="161"/>
      <c r="CLF88" s="161"/>
      <c r="CLG88" s="176"/>
      <c r="CLH88" s="176"/>
      <c r="CLI88" s="176"/>
      <c r="CLJ88" s="161"/>
      <c r="CLK88" s="161"/>
      <c r="CLL88" s="161"/>
      <c r="CLM88" s="161"/>
      <c r="CLN88" s="161"/>
      <c r="CLO88" s="161"/>
      <c r="CLP88" s="176"/>
      <c r="CLQ88" s="176"/>
      <c r="CLR88" s="176"/>
      <c r="CLS88" s="161"/>
      <c r="CLT88" s="161"/>
      <c r="CLU88" s="161"/>
      <c r="CLV88" s="161"/>
      <c r="CLW88" s="161"/>
      <c r="CLX88" s="161"/>
      <c r="CLY88" s="176"/>
      <c r="CLZ88" s="176"/>
      <c r="CMA88" s="176"/>
      <c r="CMB88" s="161"/>
      <c r="CMC88" s="161"/>
      <c r="CMD88" s="161"/>
      <c r="CME88" s="161"/>
      <c r="CMF88" s="161"/>
      <c r="CMG88" s="161"/>
      <c r="CMH88" s="176"/>
      <c r="CMI88" s="176"/>
      <c r="CMJ88" s="176"/>
      <c r="CMK88" s="161"/>
      <c r="CML88" s="161"/>
      <c r="CMM88" s="161"/>
      <c r="CMN88" s="161"/>
      <c r="CMO88" s="161"/>
      <c r="CMP88" s="161"/>
      <c r="CMQ88" s="176"/>
      <c r="CMR88" s="176"/>
      <c r="CMS88" s="176"/>
      <c r="CMT88" s="161"/>
      <c r="CMU88" s="161"/>
      <c r="CMV88" s="161"/>
      <c r="CMW88" s="161"/>
      <c r="CMX88" s="161"/>
      <c r="CMY88" s="161"/>
      <c r="CMZ88" s="176"/>
      <c r="CNA88" s="176"/>
      <c r="CNB88" s="176"/>
      <c r="CNC88" s="161"/>
      <c r="CND88" s="161"/>
      <c r="CNE88" s="161"/>
      <c r="CNF88" s="161"/>
      <c r="CNG88" s="161"/>
      <c r="CNH88" s="161"/>
      <c r="CNI88" s="176"/>
      <c r="CNJ88" s="176"/>
      <c r="CNK88" s="176"/>
      <c r="CNL88" s="161"/>
      <c r="CNM88" s="161"/>
      <c r="CNN88" s="161"/>
      <c r="CNO88" s="161"/>
      <c r="CNP88" s="161"/>
      <c r="CNQ88" s="161"/>
      <c r="CNR88" s="176"/>
      <c r="CNS88" s="176"/>
      <c r="CNT88" s="176"/>
      <c r="CNU88" s="161"/>
      <c r="CNV88" s="161"/>
      <c r="CNW88" s="161"/>
      <c r="CNX88" s="161"/>
      <c r="CNY88" s="161"/>
      <c r="CNZ88" s="161"/>
      <c r="COA88" s="176"/>
      <c r="COB88" s="176"/>
      <c r="COC88" s="176"/>
      <c r="COD88" s="161"/>
      <c r="COE88" s="161"/>
      <c r="COF88" s="161"/>
      <c r="COG88" s="161"/>
      <c r="COH88" s="161"/>
      <c r="COI88" s="161"/>
      <c r="COJ88" s="176"/>
      <c r="COK88" s="176"/>
      <c r="COL88" s="176"/>
      <c r="COM88" s="161"/>
      <c r="CON88" s="161"/>
      <c r="COO88" s="161"/>
      <c r="COP88" s="161"/>
      <c r="COQ88" s="161"/>
      <c r="COR88" s="161"/>
      <c r="COS88" s="176"/>
      <c r="COT88" s="176"/>
      <c r="COU88" s="176"/>
      <c r="COV88" s="161"/>
      <c r="COW88" s="161"/>
      <c r="COX88" s="161"/>
      <c r="COY88" s="161"/>
      <c r="COZ88" s="161"/>
      <c r="CPA88" s="161"/>
      <c r="CPB88" s="176"/>
      <c r="CPC88" s="176"/>
      <c r="CPD88" s="176"/>
      <c r="CPE88" s="161"/>
      <c r="CPF88" s="161"/>
      <c r="CPG88" s="161"/>
      <c r="CPH88" s="161"/>
      <c r="CPI88" s="161"/>
      <c r="CPJ88" s="161"/>
      <c r="CPK88" s="176"/>
      <c r="CPL88" s="176"/>
      <c r="CPM88" s="176"/>
      <c r="CPN88" s="161"/>
      <c r="CPO88" s="161"/>
      <c r="CPP88" s="161"/>
      <c r="CPQ88" s="161"/>
      <c r="CPR88" s="161"/>
      <c r="CPS88" s="161"/>
      <c r="CPT88" s="176"/>
      <c r="CPU88" s="176"/>
      <c r="CPV88" s="176"/>
      <c r="CPW88" s="161"/>
      <c r="CPX88" s="161"/>
      <c r="CPY88" s="161"/>
      <c r="CPZ88" s="161"/>
      <c r="CQA88" s="161"/>
      <c r="CQB88" s="161"/>
      <c r="CQC88" s="176"/>
      <c r="CQD88" s="176"/>
      <c r="CQE88" s="176"/>
      <c r="CQF88" s="161"/>
      <c r="CQG88" s="161"/>
      <c r="CQH88" s="161"/>
      <c r="CQI88" s="161"/>
      <c r="CQJ88" s="161"/>
      <c r="CQK88" s="161"/>
      <c r="CQL88" s="176"/>
      <c r="CQM88" s="176"/>
      <c r="CQN88" s="176"/>
      <c r="CQO88" s="161"/>
      <c r="CQP88" s="161"/>
      <c r="CQQ88" s="161"/>
      <c r="CQR88" s="161"/>
      <c r="CQS88" s="161"/>
      <c r="CQT88" s="161"/>
      <c r="CQU88" s="176"/>
      <c r="CQV88" s="176"/>
      <c r="CQW88" s="176"/>
      <c r="CQX88" s="161"/>
      <c r="CQY88" s="161"/>
      <c r="CQZ88" s="161"/>
      <c r="CRA88" s="161"/>
      <c r="CRB88" s="161"/>
      <c r="CRC88" s="161"/>
      <c r="CRD88" s="176"/>
      <c r="CRE88" s="176"/>
      <c r="CRF88" s="176"/>
      <c r="CRG88" s="161"/>
      <c r="CRH88" s="161"/>
      <c r="CRI88" s="161"/>
      <c r="CRJ88" s="161"/>
      <c r="CRK88" s="161"/>
      <c r="CRL88" s="161"/>
      <c r="CRM88" s="176"/>
      <c r="CRN88" s="176"/>
      <c r="CRO88" s="176"/>
      <c r="CRP88" s="161"/>
      <c r="CRQ88" s="161"/>
      <c r="CRR88" s="161"/>
      <c r="CRS88" s="161"/>
      <c r="CRT88" s="161"/>
      <c r="CRU88" s="161"/>
      <c r="CRV88" s="176"/>
      <c r="CRW88" s="176"/>
      <c r="CRX88" s="176"/>
      <c r="CRY88" s="161"/>
      <c r="CRZ88" s="161"/>
      <c r="CSA88" s="161"/>
      <c r="CSB88" s="161"/>
      <c r="CSC88" s="161"/>
      <c r="CSD88" s="161"/>
      <c r="CSE88" s="176"/>
      <c r="CSF88" s="176"/>
      <c r="CSG88" s="176"/>
      <c r="CSH88" s="161"/>
      <c r="CSI88" s="161"/>
      <c r="CSJ88" s="161"/>
      <c r="CSK88" s="161"/>
      <c r="CSL88" s="161"/>
      <c r="CSM88" s="161"/>
      <c r="CSN88" s="176"/>
      <c r="CSO88" s="176"/>
      <c r="CSP88" s="176"/>
      <c r="CSQ88" s="161"/>
      <c r="CSR88" s="161"/>
      <c r="CSS88" s="161"/>
      <c r="CST88" s="161"/>
      <c r="CSU88" s="161"/>
      <c r="CSV88" s="161"/>
      <c r="CSW88" s="176"/>
      <c r="CSX88" s="176"/>
      <c r="CSY88" s="176"/>
      <c r="CSZ88" s="161"/>
      <c r="CTA88" s="161"/>
      <c r="CTB88" s="161"/>
      <c r="CTC88" s="161"/>
      <c r="CTD88" s="161"/>
      <c r="CTE88" s="161"/>
      <c r="CTF88" s="176"/>
      <c r="CTG88" s="176"/>
      <c r="CTH88" s="176"/>
      <c r="CTI88" s="161"/>
      <c r="CTJ88" s="161"/>
      <c r="CTK88" s="161"/>
      <c r="CTL88" s="161"/>
      <c r="CTM88" s="161"/>
      <c r="CTN88" s="161"/>
      <c r="CTO88" s="176"/>
      <c r="CTP88" s="176"/>
      <c r="CTQ88" s="176"/>
      <c r="CTR88" s="161"/>
      <c r="CTS88" s="161"/>
      <c r="CTT88" s="161"/>
      <c r="CTU88" s="161"/>
      <c r="CTV88" s="161"/>
      <c r="CTW88" s="161"/>
      <c r="CTX88" s="176"/>
      <c r="CTY88" s="176"/>
      <c r="CTZ88" s="176"/>
      <c r="CUA88" s="161"/>
      <c r="CUB88" s="161"/>
      <c r="CUC88" s="161"/>
      <c r="CUD88" s="161"/>
      <c r="CUE88" s="161"/>
      <c r="CUF88" s="161"/>
      <c r="CUG88" s="176"/>
      <c r="CUH88" s="176"/>
      <c r="CUI88" s="176"/>
      <c r="CUJ88" s="161"/>
      <c r="CUK88" s="161"/>
      <c r="CUL88" s="161"/>
      <c r="CUM88" s="161"/>
      <c r="CUN88" s="161"/>
      <c r="CUO88" s="161"/>
      <c r="CUP88" s="176"/>
      <c r="CUQ88" s="176"/>
      <c r="CUR88" s="176"/>
      <c r="CUS88" s="161"/>
      <c r="CUT88" s="161"/>
      <c r="CUU88" s="161"/>
      <c r="CUV88" s="161"/>
      <c r="CUW88" s="161"/>
      <c r="CUX88" s="161"/>
      <c r="CUY88" s="176"/>
      <c r="CUZ88" s="176"/>
      <c r="CVA88" s="176"/>
      <c r="CVB88" s="161"/>
      <c r="CVC88" s="161"/>
      <c r="CVD88" s="161"/>
      <c r="CVE88" s="161"/>
      <c r="CVF88" s="161"/>
      <c r="CVG88" s="161"/>
      <c r="CVH88" s="176"/>
      <c r="CVI88" s="176"/>
      <c r="CVJ88" s="176"/>
      <c r="CVK88" s="161"/>
      <c r="CVL88" s="161"/>
      <c r="CVM88" s="161"/>
      <c r="CVN88" s="161"/>
      <c r="CVO88" s="161"/>
      <c r="CVP88" s="161"/>
      <c r="CVQ88" s="176"/>
      <c r="CVR88" s="176"/>
      <c r="CVS88" s="176"/>
      <c r="CVT88" s="161"/>
      <c r="CVU88" s="161"/>
      <c r="CVV88" s="161"/>
      <c r="CVW88" s="161"/>
      <c r="CVX88" s="161"/>
      <c r="CVY88" s="161"/>
      <c r="CVZ88" s="176"/>
      <c r="CWA88" s="176"/>
      <c r="CWB88" s="176"/>
      <c r="CWC88" s="161"/>
      <c r="CWD88" s="161"/>
      <c r="CWE88" s="161"/>
      <c r="CWF88" s="161"/>
      <c r="CWG88" s="161"/>
      <c r="CWH88" s="161"/>
      <c r="CWI88" s="176"/>
      <c r="CWJ88" s="176"/>
      <c r="CWK88" s="176"/>
      <c r="CWL88" s="161"/>
      <c r="CWM88" s="161"/>
      <c r="CWN88" s="161"/>
      <c r="CWO88" s="161"/>
      <c r="CWP88" s="161"/>
      <c r="CWQ88" s="161"/>
      <c r="CWR88" s="176"/>
      <c r="CWS88" s="176"/>
      <c r="CWT88" s="176"/>
      <c r="CWU88" s="161"/>
      <c r="CWV88" s="161"/>
      <c r="CWW88" s="161"/>
      <c r="CWX88" s="161"/>
      <c r="CWY88" s="161"/>
      <c r="CWZ88" s="161"/>
      <c r="CXA88" s="176"/>
      <c r="CXB88" s="176"/>
      <c r="CXC88" s="176"/>
      <c r="CXD88" s="161"/>
      <c r="CXE88" s="161"/>
      <c r="CXF88" s="161"/>
      <c r="CXG88" s="161"/>
      <c r="CXH88" s="161"/>
      <c r="CXI88" s="161"/>
      <c r="CXJ88" s="176"/>
      <c r="CXK88" s="176"/>
      <c r="CXL88" s="176"/>
      <c r="CXM88" s="161"/>
      <c r="CXN88" s="161"/>
      <c r="CXO88" s="161"/>
      <c r="CXP88" s="161"/>
      <c r="CXQ88" s="161"/>
      <c r="CXR88" s="161"/>
      <c r="CXS88" s="176"/>
      <c r="CXT88" s="176"/>
      <c r="CXU88" s="176"/>
      <c r="CXV88" s="161"/>
      <c r="CXW88" s="161"/>
      <c r="CXX88" s="161"/>
      <c r="CXY88" s="161"/>
      <c r="CXZ88" s="161"/>
      <c r="CYA88" s="161"/>
      <c r="CYB88" s="176"/>
      <c r="CYC88" s="176"/>
      <c r="CYD88" s="176"/>
      <c r="CYE88" s="161"/>
      <c r="CYF88" s="161"/>
      <c r="CYG88" s="161"/>
      <c r="CYH88" s="161"/>
      <c r="CYI88" s="161"/>
      <c r="CYJ88" s="161"/>
      <c r="CYK88" s="176"/>
      <c r="CYL88" s="176"/>
      <c r="CYM88" s="176"/>
      <c r="CYN88" s="161"/>
      <c r="CYO88" s="161"/>
      <c r="CYP88" s="161"/>
      <c r="CYQ88" s="161"/>
      <c r="CYR88" s="161"/>
      <c r="CYS88" s="161"/>
      <c r="CYT88" s="176"/>
      <c r="CYU88" s="176"/>
      <c r="CYV88" s="176"/>
      <c r="CYW88" s="161"/>
      <c r="CYX88" s="161"/>
      <c r="CYY88" s="161"/>
      <c r="CYZ88" s="161"/>
      <c r="CZA88" s="161"/>
      <c r="CZB88" s="161"/>
      <c r="CZC88" s="176"/>
      <c r="CZD88" s="176"/>
      <c r="CZE88" s="176"/>
      <c r="CZF88" s="161"/>
      <c r="CZG88" s="161"/>
      <c r="CZH88" s="161"/>
      <c r="CZI88" s="161"/>
      <c r="CZJ88" s="161"/>
      <c r="CZK88" s="161"/>
      <c r="CZL88" s="176"/>
      <c r="CZM88" s="176"/>
      <c r="CZN88" s="176"/>
      <c r="CZO88" s="161"/>
      <c r="CZP88" s="161"/>
      <c r="CZQ88" s="161"/>
      <c r="CZR88" s="161"/>
      <c r="CZS88" s="161"/>
      <c r="CZT88" s="161"/>
      <c r="CZU88" s="176"/>
      <c r="CZV88" s="176"/>
      <c r="CZW88" s="176"/>
      <c r="CZX88" s="161"/>
      <c r="CZY88" s="161"/>
      <c r="CZZ88" s="161"/>
      <c r="DAA88" s="161"/>
      <c r="DAB88" s="161"/>
      <c r="DAC88" s="161"/>
      <c r="DAD88" s="176"/>
      <c r="DAE88" s="176"/>
      <c r="DAF88" s="176"/>
      <c r="DAG88" s="161"/>
      <c r="DAH88" s="161"/>
      <c r="DAI88" s="161"/>
      <c r="DAJ88" s="161"/>
      <c r="DAK88" s="161"/>
      <c r="DAL88" s="161"/>
      <c r="DAM88" s="176"/>
      <c r="DAN88" s="176"/>
      <c r="DAO88" s="176"/>
      <c r="DAP88" s="161"/>
      <c r="DAQ88" s="161"/>
      <c r="DAR88" s="161"/>
      <c r="DAS88" s="161"/>
      <c r="DAT88" s="161"/>
      <c r="DAU88" s="161"/>
      <c r="DAV88" s="176"/>
      <c r="DAW88" s="176"/>
      <c r="DAX88" s="176"/>
      <c r="DAY88" s="161"/>
      <c r="DAZ88" s="161"/>
      <c r="DBA88" s="161"/>
      <c r="DBB88" s="161"/>
      <c r="DBC88" s="161"/>
      <c r="DBD88" s="161"/>
      <c r="DBE88" s="176"/>
      <c r="DBF88" s="176"/>
      <c r="DBG88" s="176"/>
      <c r="DBH88" s="161"/>
      <c r="DBI88" s="161"/>
      <c r="DBJ88" s="161"/>
      <c r="DBK88" s="161"/>
      <c r="DBL88" s="161"/>
      <c r="DBM88" s="161"/>
      <c r="DBN88" s="176"/>
      <c r="DBO88" s="176"/>
      <c r="DBP88" s="176"/>
      <c r="DBQ88" s="161"/>
      <c r="DBR88" s="161"/>
      <c r="DBS88" s="161"/>
      <c r="DBT88" s="161"/>
      <c r="DBU88" s="161"/>
      <c r="DBV88" s="161"/>
      <c r="DBW88" s="176"/>
      <c r="DBX88" s="176"/>
      <c r="DBY88" s="176"/>
      <c r="DBZ88" s="161"/>
      <c r="DCA88" s="161"/>
      <c r="DCB88" s="161"/>
      <c r="DCC88" s="161"/>
      <c r="DCD88" s="161"/>
      <c r="DCE88" s="161"/>
      <c r="DCF88" s="176"/>
      <c r="DCG88" s="176"/>
      <c r="DCH88" s="176"/>
      <c r="DCI88" s="161"/>
      <c r="DCJ88" s="161"/>
      <c r="DCK88" s="161"/>
      <c r="DCL88" s="161"/>
      <c r="DCM88" s="161"/>
      <c r="DCN88" s="161"/>
      <c r="DCO88" s="176"/>
      <c r="DCP88" s="176"/>
      <c r="DCQ88" s="176"/>
      <c r="DCR88" s="161"/>
      <c r="DCS88" s="161"/>
      <c r="DCT88" s="161"/>
      <c r="DCU88" s="161"/>
      <c r="DCV88" s="161"/>
      <c r="DCW88" s="161"/>
      <c r="DCX88" s="176"/>
      <c r="DCY88" s="176"/>
      <c r="DCZ88" s="176"/>
      <c r="DDA88" s="161"/>
      <c r="DDB88" s="161"/>
      <c r="DDC88" s="161"/>
      <c r="DDD88" s="161"/>
      <c r="DDE88" s="161"/>
      <c r="DDF88" s="161"/>
      <c r="DDG88" s="176"/>
      <c r="DDH88" s="176"/>
      <c r="DDI88" s="176"/>
      <c r="DDJ88" s="161"/>
      <c r="DDK88" s="161"/>
      <c r="DDL88" s="161"/>
      <c r="DDM88" s="161"/>
      <c r="DDN88" s="161"/>
      <c r="DDO88" s="161"/>
      <c r="DDP88" s="176"/>
      <c r="DDQ88" s="176"/>
      <c r="DDR88" s="176"/>
      <c r="DDS88" s="161"/>
      <c r="DDT88" s="161"/>
      <c r="DDU88" s="161"/>
      <c r="DDV88" s="161"/>
      <c r="DDW88" s="161"/>
      <c r="DDX88" s="161"/>
      <c r="DDY88" s="176"/>
      <c r="DDZ88" s="176"/>
      <c r="DEA88" s="176"/>
      <c r="DEB88" s="161"/>
      <c r="DEC88" s="161"/>
      <c r="DED88" s="161"/>
      <c r="DEE88" s="161"/>
      <c r="DEF88" s="161"/>
      <c r="DEG88" s="161"/>
      <c r="DEH88" s="176"/>
      <c r="DEI88" s="176"/>
      <c r="DEJ88" s="176"/>
      <c r="DEK88" s="161"/>
      <c r="DEL88" s="161"/>
      <c r="DEM88" s="161"/>
      <c r="DEN88" s="161"/>
      <c r="DEO88" s="161"/>
      <c r="DEP88" s="161"/>
      <c r="DEQ88" s="176"/>
      <c r="DER88" s="176"/>
      <c r="DES88" s="176"/>
      <c r="DET88" s="161"/>
      <c r="DEU88" s="161"/>
      <c r="DEV88" s="161"/>
      <c r="DEW88" s="161"/>
      <c r="DEX88" s="161"/>
      <c r="DEY88" s="161"/>
      <c r="DEZ88" s="176"/>
      <c r="DFA88" s="176"/>
      <c r="DFB88" s="176"/>
      <c r="DFC88" s="161"/>
      <c r="DFD88" s="161"/>
      <c r="DFE88" s="161"/>
      <c r="DFF88" s="161"/>
      <c r="DFG88" s="161"/>
      <c r="DFH88" s="161"/>
      <c r="DFI88" s="176"/>
      <c r="DFJ88" s="176"/>
      <c r="DFK88" s="176"/>
      <c r="DFL88" s="161"/>
      <c r="DFM88" s="161"/>
      <c r="DFN88" s="161"/>
      <c r="DFO88" s="161"/>
      <c r="DFP88" s="161"/>
      <c r="DFQ88" s="161"/>
      <c r="DFR88" s="176"/>
      <c r="DFS88" s="176"/>
      <c r="DFT88" s="176"/>
      <c r="DFU88" s="161"/>
      <c r="DFV88" s="161"/>
      <c r="DFW88" s="161"/>
      <c r="DFX88" s="161"/>
      <c r="DFY88" s="161"/>
      <c r="DFZ88" s="161"/>
      <c r="DGA88" s="176"/>
      <c r="DGB88" s="176"/>
      <c r="DGC88" s="176"/>
      <c r="DGD88" s="161"/>
      <c r="DGE88" s="161"/>
      <c r="DGF88" s="161"/>
      <c r="DGG88" s="161"/>
      <c r="DGH88" s="161"/>
      <c r="DGI88" s="161"/>
      <c r="DGJ88" s="176"/>
      <c r="DGK88" s="176"/>
      <c r="DGL88" s="176"/>
      <c r="DGM88" s="161"/>
      <c r="DGN88" s="161"/>
      <c r="DGO88" s="161"/>
      <c r="DGP88" s="161"/>
      <c r="DGQ88" s="161"/>
      <c r="DGR88" s="161"/>
      <c r="DGS88" s="176"/>
      <c r="DGT88" s="176"/>
      <c r="DGU88" s="176"/>
      <c r="DGV88" s="161"/>
      <c r="DGW88" s="161"/>
      <c r="DGX88" s="161"/>
      <c r="DGY88" s="161"/>
      <c r="DGZ88" s="161"/>
      <c r="DHA88" s="161"/>
      <c r="DHB88" s="176"/>
      <c r="DHC88" s="176"/>
      <c r="DHD88" s="176"/>
      <c r="DHE88" s="161"/>
      <c r="DHF88" s="161"/>
      <c r="DHG88" s="161"/>
      <c r="DHH88" s="161"/>
      <c r="DHI88" s="161"/>
      <c r="DHJ88" s="161"/>
      <c r="DHK88" s="176"/>
      <c r="DHL88" s="176"/>
      <c r="DHM88" s="176"/>
      <c r="DHN88" s="161"/>
      <c r="DHO88" s="161"/>
      <c r="DHP88" s="161"/>
      <c r="DHQ88" s="161"/>
      <c r="DHR88" s="161"/>
      <c r="DHS88" s="161"/>
      <c r="DHT88" s="176"/>
      <c r="DHU88" s="176"/>
      <c r="DHV88" s="176"/>
      <c r="DHW88" s="161"/>
      <c r="DHX88" s="161"/>
      <c r="DHY88" s="161"/>
      <c r="DHZ88" s="161"/>
      <c r="DIA88" s="161"/>
      <c r="DIB88" s="161"/>
      <c r="DIC88" s="176"/>
      <c r="DID88" s="176"/>
      <c r="DIE88" s="176"/>
      <c r="DIF88" s="161"/>
      <c r="DIG88" s="161"/>
      <c r="DIH88" s="161"/>
      <c r="DII88" s="161"/>
      <c r="DIJ88" s="161"/>
      <c r="DIK88" s="161"/>
      <c r="DIL88" s="176"/>
      <c r="DIM88" s="176"/>
      <c r="DIN88" s="176"/>
      <c r="DIO88" s="161"/>
      <c r="DIP88" s="161"/>
      <c r="DIQ88" s="161"/>
      <c r="DIR88" s="161"/>
      <c r="DIS88" s="161"/>
      <c r="DIT88" s="161"/>
      <c r="DIU88" s="176"/>
      <c r="DIV88" s="176"/>
      <c r="DIW88" s="176"/>
      <c r="DIX88" s="161"/>
      <c r="DIY88" s="161"/>
      <c r="DIZ88" s="161"/>
      <c r="DJA88" s="161"/>
      <c r="DJB88" s="161"/>
      <c r="DJC88" s="161"/>
      <c r="DJD88" s="176"/>
      <c r="DJE88" s="176"/>
      <c r="DJF88" s="176"/>
      <c r="DJG88" s="161"/>
      <c r="DJH88" s="161"/>
      <c r="DJI88" s="161"/>
      <c r="DJJ88" s="161"/>
      <c r="DJK88" s="161"/>
      <c r="DJL88" s="161"/>
      <c r="DJM88" s="176"/>
      <c r="DJN88" s="176"/>
      <c r="DJO88" s="176"/>
      <c r="DJP88" s="161"/>
      <c r="DJQ88" s="161"/>
      <c r="DJR88" s="161"/>
      <c r="DJS88" s="161"/>
      <c r="DJT88" s="161"/>
      <c r="DJU88" s="161"/>
      <c r="DJV88" s="176"/>
      <c r="DJW88" s="176"/>
      <c r="DJX88" s="176"/>
      <c r="DJY88" s="161"/>
      <c r="DJZ88" s="161"/>
      <c r="DKA88" s="161"/>
      <c r="DKB88" s="161"/>
      <c r="DKC88" s="161"/>
      <c r="DKD88" s="161"/>
      <c r="DKE88" s="176"/>
      <c r="DKF88" s="176"/>
      <c r="DKG88" s="176"/>
      <c r="DKH88" s="161"/>
      <c r="DKI88" s="161"/>
      <c r="DKJ88" s="161"/>
      <c r="DKK88" s="161"/>
      <c r="DKL88" s="161"/>
      <c r="DKM88" s="161"/>
      <c r="DKN88" s="176"/>
      <c r="DKO88" s="176"/>
      <c r="DKP88" s="176"/>
      <c r="DKQ88" s="161"/>
      <c r="DKR88" s="161"/>
      <c r="DKS88" s="161"/>
      <c r="DKT88" s="161"/>
      <c r="DKU88" s="161"/>
      <c r="DKV88" s="161"/>
      <c r="DKW88" s="176"/>
      <c r="DKX88" s="176"/>
      <c r="DKY88" s="176"/>
      <c r="DKZ88" s="161"/>
      <c r="DLA88" s="161"/>
      <c r="DLB88" s="161"/>
      <c r="DLC88" s="161"/>
      <c r="DLD88" s="161"/>
      <c r="DLE88" s="161"/>
      <c r="DLF88" s="176"/>
      <c r="DLG88" s="176"/>
      <c r="DLH88" s="176"/>
      <c r="DLI88" s="161"/>
      <c r="DLJ88" s="161"/>
      <c r="DLK88" s="161"/>
      <c r="DLL88" s="161"/>
      <c r="DLM88" s="161"/>
      <c r="DLN88" s="161"/>
      <c r="DLO88" s="176"/>
      <c r="DLP88" s="176"/>
      <c r="DLQ88" s="176"/>
      <c r="DLR88" s="161"/>
      <c r="DLS88" s="161"/>
      <c r="DLT88" s="161"/>
      <c r="DLU88" s="161"/>
      <c r="DLV88" s="161"/>
      <c r="DLW88" s="161"/>
      <c r="DLX88" s="176"/>
      <c r="DLY88" s="176"/>
      <c r="DLZ88" s="176"/>
      <c r="DMA88" s="161"/>
      <c r="DMB88" s="161"/>
      <c r="DMC88" s="161"/>
      <c r="DMD88" s="161"/>
      <c r="DME88" s="161"/>
      <c r="DMF88" s="161"/>
      <c r="DMG88" s="176"/>
      <c r="DMH88" s="176"/>
      <c r="DMI88" s="176"/>
      <c r="DMJ88" s="161"/>
      <c r="DMK88" s="161"/>
      <c r="DML88" s="161"/>
      <c r="DMM88" s="161"/>
      <c r="DMN88" s="161"/>
      <c r="DMO88" s="161"/>
      <c r="DMP88" s="176"/>
      <c r="DMQ88" s="176"/>
      <c r="DMR88" s="176"/>
      <c r="DMS88" s="161"/>
      <c r="DMT88" s="161"/>
      <c r="DMU88" s="161"/>
      <c r="DMV88" s="161"/>
      <c r="DMW88" s="161"/>
      <c r="DMX88" s="161"/>
      <c r="DMY88" s="176"/>
      <c r="DMZ88" s="176"/>
      <c r="DNA88" s="176"/>
      <c r="DNB88" s="161"/>
      <c r="DNC88" s="161"/>
      <c r="DND88" s="161"/>
      <c r="DNE88" s="161"/>
      <c r="DNF88" s="161"/>
      <c r="DNG88" s="161"/>
      <c r="DNH88" s="176"/>
      <c r="DNI88" s="176"/>
      <c r="DNJ88" s="176"/>
      <c r="DNK88" s="161"/>
      <c r="DNL88" s="161"/>
      <c r="DNM88" s="161"/>
      <c r="DNN88" s="161"/>
      <c r="DNO88" s="161"/>
      <c r="DNP88" s="161"/>
      <c r="DNQ88" s="176"/>
      <c r="DNR88" s="176"/>
      <c r="DNS88" s="176"/>
      <c r="DNT88" s="161"/>
      <c r="DNU88" s="161"/>
      <c r="DNV88" s="161"/>
      <c r="DNW88" s="161"/>
      <c r="DNX88" s="161"/>
      <c r="DNY88" s="161"/>
      <c r="DNZ88" s="176"/>
      <c r="DOA88" s="176"/>
      <c r="DOB88" s="176"/>
      <c r="DOC88" s="161"/>
      <c r="DOD88" s="161"/>
      <c r="DOE88" s="161"/>
      <c r="DOF88" s="161"/>
      <c r="DOG88" s="161"/>
      <c r="DOH88" s="161"/>
      <c r="DOI88" s="176"/>
      <c r="DOJ88" s="176"/>
      <c r="DOK88" s="176"/>
      <c r="DOL88" s="161"/>
      <c r="DOM88" s="161"/>
      <c r="DON88" s="161"/>
      <c r="DOO88" s="161"/>
      <c r="DOP88" s="161"/>
      <c r="DOQ88" s="161"/>
      <c r="DOR88" s="176"/>
      <c r="DOS88" s="176"/>
      <c r="DOT88" s="176"/>
      <c r="DOU88" s="161"/>
      <c r="DOV88" s="161"/>
      <c r="DOW88" s="161"/>
      <c r="DOX88" s="161"/>
      <c r="DOY88" s="161"/>
      <c r="DOZ88" s="161"/>
      <c r="DPA88" s="176"/>
      <c r="DPB88" s="176"/>
      <c r="DPC88" s="176"/>
      <c r="DPD88" s="161"/>
      <c r="DPE88" s="161"/>
      <c r="DPF88" s="161"/>
      <c r="DPG88" s="161"/>
      <c r="DPH88" s="161"/>
      <c r="DPI88" s="161"/>
      <c r="DPJ88" s="176"/>
      <c r="DPK88" s="176"/>
      <c r="DPL88" s="176"/>
      <c r="DPM88" s="161"/>
      <c r="DPN88" s="161"/>
      <c r="DPO88" s="161"/>
      <c r="DPP88" s="161"/>
      <c r="DPQ88" s="161"/>
      <c r="DPR88" s="161"/>
      <c r="DPS88" s="176"/>
      <c r="DPT88" s="176"/>
      <c r="DPU88" s="176"/>
      <c r="DPV88" s="161"/>
      <c r="DPW88" s="161"/>
      <c r="DPX88" s="161"/>
      <c r="DPY88" s="161"/>
      <c r="DPZ88" s="161"/>
      <c r="DQA88" s="161"/>
      <c r="DQB88" s="176"/>
      <c r="DQC88" s="176"/>
      <c r="DQD88" s="176"/>
      <c r="DQE88" s="161"/>
      <c r="DQF88" s="161"/>
      <c r="DQG88" s="161"/>
      <c r="DQH88" s="161"/>
      <c r="DQI88" s="161"/>
      <c r="DQJ88" s="161"/>
      <c r="DQK88" s="176"/>
      <c r="DQL88" s="176"/>
      <c r="DQM88" s="176"/>
      <c r="DQN88" s="161"/>
      <c r="DQO88" s="161"/>
      <c r="DQP88" s="161"/>
      <c r="DQQ88" s="161"/>
      <c r="DQR88" s="161"/>
      <c r="DQS88" s="161"/>
      <c r="DQT88" s="176"/>
      <c r="DQU88" s="176"/>
      <c r="DQV88" s="176"/>
      <c r="DQW88" s="161"/>
      <c r="DQX88" s="161"/>
      <c r="DQY88" s="161"/>
      <c r="DQZ88" s="161"/>
      <c r="DRA88" s="161"/>
      <c r="DRB88" s="161"/>
      <c r="DRC88" s="176"/>
      <c r="DRD88" s="176"/>
      <c r="DRE88" s="176"/>
      <c r="DRF88" s="161"/>
      <c r="DRG88" s="161"/>
      <c r="DRH88" s="161"/>
      <c r="DRI88" s="161"/>
      <c r="DRJ88" s="161"/>
      <c r="DRK88" s="161"/>
      <c r="DRL88" s="176"/>
      <c r="DRM88" s="176"/>
      <c r="DRN88" s="176"/>
      <c r="DRO88" s="161"/>
      <c r="DRP88" s="161"/>
      <c r="DRQ88" s="161"/>
      <c r="DRR88" s="161"/>
      <c r="DRS88" s="161"/>
      <c r="DRT88" s="161"/>
      <c r="DRU88" s="176"/>
      <c r="DRV88" s="176"/>
      <c r="DRW88" s="176"/>
      <c r="DRX88" s="161"/>
      <c r="DRY88" s="161"/>
      <c r="DRZ88" s="161"/>
      <c r="DSA88" s="161"/>
      <c r="DSB88" s="161"/>
      <c r="DSC88" s="161"/>
      <c r="DSD88" s="176"/>
      <c r="DSE88" s="176"/>
      <c r="DSF88" s="176"/>
      <c r="DSG88" s="161"/>
      <c r="DSH88" s="161"/>
      <c r="DSI88" s="161"/>
      <c r="DSJ88" s="161"/>
      <c r="DSK88" s="161"/>
      <c r="DSL88" s="161"/>
      <c r="DSM88" s="176"/>
      <c r="DSN88" s="176"/>
      <c r="DSO88" s="176"/>
      <c r="DSP88" s="161"/>
      <c r="DSQ88" s="161"/>
      <c r="DSR88" s="161"/>
      <c r="DSS88" s="161"/>
      <c r="DST88" s="161"/>
      <c r="DSU88" s="161"/>
      <c r="DSV88" s="176"/>
      <c r="DSW88" s="176"/>
      <c r="DSX88" s="176"/>
      <c r="DSY88" s="161"/>
      <c r="DSZ88" s="161"/>
      <c r="DTA88" s="161"/>
      <c r="DTB88" s="161"/>
      <c r="DTC88" s="161"/>
      <c r="DTD88" s="161"/>
      <c r="DTE88" s="176"/>
      <c r="DTF88" s="176"/>
      <c r="DTG88" s="176"/>
      <c r="DTH88" s="161"/>
      <c r="DTI88" s="161"/>
      <c r="DTJ88" s="161"/>
      <c r="DTK88" s="161"/>
      <c r="DTL88" s="161"/>
      <c r="DTM88" s="161"/>
      <c r="DTN88" s="176"/>
      <c r="DTO88" s="176"/>
      <c r="DTP88" s="176"/>
      <c r="DTQ88" s="161"/>
      <c r="DTR88" s="161"/>
      <c r="DTS88" s="161"/>
      <c r="DTT88" s="161"/>
      <c r="DTU88" s="161"/>
      <c r="DTV88" s="161"/>
      <c r="DTW88" s="176"/>
      <c r="DTX88" s="176"/>
      <c r="DTY88" s="176"/>
      <c r="DTZ88" s="161"/>
      <c r="DUA88" s="161"/>
      <c r="DUB88" s="161"/>
      <c r="DUC88" s="161"/>
      <c r="DUD88" s="161"/>
      <c r="DUE88" s="161"/>
      <c r="DUF88" s="176"/>
      <c r="DUG88" s="176"/>
      <c r="DUH88" s="176"/>
      <c r="DUI88" s="161"/>
      <c r="DUJ88" s="161"/>
      <c r="DUK88" s="161"/>
      <c r="DUL88" s="161"/>
      <c r="DUM88" s="161"/>
      <c r="DUN88" s="161"/>
      <c r="DUO88" s="176"/>
      <c r="DUP88" s="176"/>
      <c r="DUQ88" s="176"/>
      <c r="DUR88" s="161"/>
      <c r="DUS88" s="161"/>
      <c r="DUT88" s="161"/>
      <c r="DUU88" s="161"/>
      <c r="DUV88" s="161"/>
      <c r="DUW88" s="161"/>
      <c r="DUX88" s="176"/>
      <c r="DUY88" s="176"/>
      <c r="DUZ88" s="176"/>
      <c r="DVA88" s="161"/>
      <c r="DVB88" s="161"/>
      <c r="DVC88" s="161"/>
      <c r="DVD88" s="161"/>
      <c r="DVE88" s="161"/>
      <c r="DVF88" s="161"/>
      <c r="DVG88" s="176"/>
      <c r="DVH88" s="176"/>
      <c r="DVI88" s="176"/>
      <c r="DVJ88" s="161"/>
      <c r="DVK88" s="161"/>
      <c r="DVL88" s="161"/>
      <c r="DVM88" s="161"/>
      <c r="DVN88" s="161"/>
      <c r="DVO88" s="161"/>
      <c r="DVP88" s="176"/>
      <c r="DVQ88" s="176"/>
      <c r="DVR88" s="176"/>
      <c r="DVS88" s="161"/>
      <c r="DVT88" s="161"/>
      <c r="DVU88" s="161"/>
      <c r="DVV88" s="161"/>
      <c r="DVW88" s="161"/>
      <c r="DVX88" s="161"/>
      <c r="DVY88" s="176"/>
      <c r="DVZ88" s="176"/>
      <c r="DWA88" s="176"/>
      <c r="DWB88" s="161"/>
      <c r="DWC88" s="161"/>
      <c r="DWD88" s="161"/>
      <c r="DWE88" s="161"/>
      <c r="DWF88" s="161"/>
      <c r="DWG88" s="161"/>
      <c r="DWH88" s="176"/>
      <c r="DWI88" s="176"/>
      <c r="DWJ88" s="176"/>
      <c r="DWK88" s="161"/>
      <c r="DWL88" s="161"/>
      <c r="DWM88" s="161"/>
      <c r="DWN88" s="161"/>
      <c r="DWO88" s="161"/>
      <c r="DWP88" s="161"/>
      <c r="DWQ88" s="176"/>
      <c r="DWR88" s="176"/>
      <c r="DWS88" s="176"/>
      <c r="DWT88" s="161"/>
      <c r="DWU88" s="161"/>
      <c r="DWV88" s="161"/>
      <c r="DWW88" s="161"/>
      <c r="DWX88" s="161"/>
      <c r="DWY88" s="161"/>
      <c r="DWZ88" s="176"/>
      <c r="DXA88" s="176"/>
      <c r="DXB88" s="176"/>
      <c r="DXC88" s="161"/>
      <c r="DXD88" s="161"/>
      <c r="DXE88" s="161"/>
      <c r="DXF88" s="161"/>
      <c r="DXG88" s="161"/>
      <c r="DXH88" s="161"/>
      <c r="DXI88" s="176"/>
      <c r="DXJ88" s="176"/>
      <c r="DXK88" s="176"/>
      <c r="DXL88" s="161"/>
      <c r="DXM88" s="161"/>
      <c r="DXN88" s="161"/>
      <c r="DXO88" s="161"/>
      <c r="DXP88" s="161"/>
      <c r="DXQ88" s="161"/>
      <c r="DXR88" s="176"/>
      <c r="DXS88" s="176"/>
      <c r="DXT88" s="176"/>
      <c r="DXU88" s="161"/>
      <c r="DXV88" s="161"/>
      <c r="DXW88" s="161"/>
      <c r="DXX88" s="161"/>
      <c r="DXY88" s="161"/>
      <c r="DXZ88" s="161"/>
      <c r="DYA88" s="176"/>
      <c r="DYB88" s="176"/>
      <c r="DYC88" s="176"/>
      <c r="DYD88" s="161"/>
      <c r="DYE88" s="161"/>
      <c r="DYF88" s="161"/>
      <c r="DYG88" s="161"/>
      <c r="DYH88" s="161"/>
      <c r="DYI88" s="161"/>
      <c r="DYJ88" s="176"/>
      <c r="DYK88" s="176"/>
      <c r="DYL88" s="176"/>
      <c r="DYM88" s="161"/>
      <c r="DYN88" s="161"/>
      <c r="DYO88" s="161"/>
      <c r="DYP88" s="161"/>
      <c r="DYQ88" s="161"/>
      <c r="DYR88" s="161"/>
      <c r="DYS88" s="176"/>
      <c r="DYT88" s="176"/>
      <c r="DYU88" s="176"/>
      <c r="DYV88" s="161"/>
      <c r="DYW88" s="161"/>
      <c r="DYX88" s="161"/>
      <c r="DYY88" s="161"/>
      <c r="DYZ88" s="161"/>
      <c r="DZA88" s="161"/>
      <c r="DZB88" s="176"/>
      <c r="DZC88" s="176"/>
      <c r="DZD88" s="176"/>
      <c r="DZE88" s="161"/>
      <c r="DZF88" s="161"/>
      <c r="DZG88" s="161"/>
      <c r="DZH88" s="161"/>
      <c r="DZI88" s="161"/>
      <c r="DZJ88" s="161"/>
      <c r="DZK88" s="176"/>
      <c r="DZL88" s="176"/>
      <c r="DZM88" s="176"/>
      <c r="DZN88" s="161"/>
      <c r="DZO88" s="161"/>
      <c r="DZP88" s="161"/>
      <c r="DZQ88" s="161"/>
      <c r="DZR88" s="161"/>
      <c r="DZS88" s="161"/>
      <c r="DZT88" s="176"/>
      <c r="DZU88" s="176"/>
      <c r="DZV88" s="176"/>
      <c r="DZW88" s="161"/>
      <c r="DZX88" s="161"/>
      <c r="DZY88" s="161"/>
      <c r="DZZ88" s="161"/>
      <c r="EAA88" s="161"/>
      <c r="EAB88" s="161"/>
      <c r="EAC88" s="176"/>
      <c r="EAD88" s="176"/>
      <c r="EAE88" s="176"/>
      <c r="EAF88" s="161"/>
      <c r="EAG88" s="161"/>
      <c r="EAH88" s="161"/>
      <c r="EAI88" s="161"/>
      <c r="EAJ88" s="161"/>
      <c r="EAK88" s="161"/>
      <c r="EAL88" s="176"/>
      <c r="EAM88" s="176"/>
      <c r="EAN88" s="176"/>
      <c r="EAO88" s="161"/>
      <c r="EAP88" s="161"/>
      <c r="EAQ88" s="161"/>
      <c r="EAR88" s="161"/>
      <c r="EAS88" s="161"/>
      <c r="EAT88" s="161"/>
      <c r="EAU88" s="176"/>
      <c r="EAV88" s="176"/>
      <c r="EAW88" s="176"/>
      <c r="EAX88" s="161"/>
      <c r="EAY88" s="161"/>
      <c r="EAZ88" s="161"/>
      <c r="EBA88" s="161"/>
      <c r="EBB88" s="161"/>
      <c r="EBC88" s="161"/>
      <c r="EBD88" s="176"/>
      <c r="EBE88" s="176"/>
      <c r="EBF88" s="176"/>
      <c r="EBG88" s="161"/>
      <c r="EBH88" s="161"/>
      <c r="EBI88" s="161"/>
      <c r="EBJ88" s="161"/>
      <c r="EBK88" s="161"/>
      <c r="EBL88" s="161"/>
      <c r="EBM88" s="176"/>
      <c r="EBN88" s="176"/>
      <c r="EBO88" s="176"/>
      <c r="EBP88" s="161"/>
      <c r="EBQ88" s="161"/>
      <c r="EBR88" s="161"/>
      <c r="EBS88" s="161"/>
      <c r="EBT88" s="161"/>
      <c r="EBU88" s="161"/>
      <c r="EBV88" s="176"/>
      <c r="EBW88" s="176"/>
      <c r="EBX88" s="176"/>
      <c r="EBY88" s="161"/>
      <c r="EBZ88" s="161"/>
      <c r="ECA88" s="161"/>
      <c r="ECB88" s="161"/>
      <c r="ECC88" s="161"/>
      <c r="ECD88" s="161"/>
      <c r="ECE88" s="176"/>
      <c r="ECF88" s="176"/>
      <c r="ECG88" s="176"/>
      <c r="ECH88" s="161"/>
      <c r="ECI88" s="161"/>
      <c r="ECJ88" s="161"/>
      <c r="ECK88" s="161"/>
      <c r="ECL88" s="161"/>
      <c r="ECM88" s="161"/>
      <c r="ECN88" s="176"/>
      <c r="ECO88" s="176"/>
      <c r="ECP88" s="176"/>
      <c r="ECQ88" s="161"/>
      <c r="ECR88" s="161"/>
      <c r="ECS88" s="161"/>
      <c r="ECT88" s="161"/>
      <c r="ECU88" s="161"/>
      <c r="ECV88" s="161"/>
      <c r="ECW88" s="176"/>
      <c r="ECX88" s="176"/>
      <c r="ECY88" s="176"/>
      <c r="ECZ88" s="161"/>
      <c r="EDA88" s="161"/>
      <c r="EDB88" s="161"/>
      <c r="EDC88" s="161"/>
      <c r="EDD88" s="161"/>
      <c r="EDE88" s="161"/>
      <c r="EDF88" s="176"/>
      <c r="EDG88" s="176"/>
      <c r="EDH88" s="176"/>
      <c r="EDI88" s="161"/>
      <c r="EDJ88" s="161"/>
      <c r="EDK88" s="161"/>
      <c r="EDL88" s="161"/>
      <c r="EDM88" s="161"/>
      <c r="EDN88" s="161"/>
      <c r="EDO88" s="176"/>
      <c r="EDP88" s="176"/>
      <c r="EDQ88" s="176"/>
      <c r="EDR88" s="161"/>
      <c r="EDS88" s="161"/>
      <c r="EDT88" s="161"/>
      <c r="EDU88" s="161"/>
      <c r="EDV88" s="161"/>
      <c r="EDW88" s="161"/>
      <c r="EDX88" s="176"/>
      <c r="EDY88" s="176"/>
      <c r="EDZ88" s="176"/>
      <c r="EEA88" s="161"/>
      <c r="EEB88" s="161"/>
      <c r="EEC88" s="161"/>
      <c r="EED88" s="161"/>
      <c r="EEE88" s="161"/>
      <c r="EEF88" s="161"/>
      <c r="EEG88" s="176"/>
      <c r="EEH88" s="176"/>
      <c r="EEI88" s="176"/>
      <c r="EEJ88" s="161"/>
      <c r="EEK88" s="161"/>
      <c r="EEL88" s="161"/>
      <c r="EEM88" s="161"/>
      <c r="EEN88" s="161"/>
      <c r="EEO88" s="161"/>
      <c r="EEP88" s="176"/>
      <c r="EEQ88" s="176"/>
      <c r="EER88" s="176"/>
      <c r="EES88" s="161"/>
      <c r="EET88" s="161"/>
      <c r="EEU88" s="161"/>
      <c r="EEV88" s="161"/>
      <c r="EEW88" s="161"/>
      <c r="EEX88" s="161"/>
      <c r="EEY88" s="176"/>
      <c r="EEZ88" s="176"/>
      <c r="EFA88" s="176"/>
      <c r="EFB88" s="161"/>
      <c r="EFC88" s="161"/>
      <c r="EFD88" s="161"/>
      <c r="EFE88" s="161"/>
      <c r="EFF88" s="161"/>
      <c r="EFG88" s="161"/>
      <c r="EFH88" s="176"/>
      <c r="EFI88" s="176"/>
      <c r="EFJ88" s="176"/>
      <c r="EFK88" s="161"/>
      <c r="EFL88" s="161"/>
      <c r="EFM88" s="161"/>
      <c r="EFN88" s="161"/>
      <c r="EFO88" s="161"/>
      <c r="EFP88" s="161"/>
      <c r="EFQ88" s="176"/>
      <c r="EFR88" s="176"/>
      <c r="EFS88" s="176"/>
      <c r="EFT88" s="161"/>
      <c r="EFU88" s="161"/>
      <c r="EFV88" s="161"/>
      <c r="EFW88" s="161"/>
      <c r="EFX88" s="161"/>
      <c r="EFY88" s="161"/>
      <c r="EFZ88" s="176"/>
      <c r="EGA88" s="176"/>
      <c r="EGB88" s="176"/>
      <c r="EGC88" s="161"/>
      <c r="EGD88" s="161"/>
      <c r="EGE88" s="161"/>
      <c r="EGF88" s="161"/>
      <c r="EGG88" s="161"/>
      <c r="EGH88" s="161"/>
      <c r="EGI88" s="176"/>
      <c r="EGJ88" s="176"/>
      <c r="EGK88" s="176"/>
      <c r="EGL88" s="161"/>
      <c r="EGM88" s="161"/>
      <c r="EGN88" s="161"/>
      <c r="EGO88" s="161"/>
      <c r="EGP88" s="161"/>
      <c r="EGQ88" s="161"/>
      <c r="EGR88" s="176"/>
      <c r="EGS88" s="176"/>
      <c r="EGT88" s="176"/>
      <c r="EGU88" s="161"/>
      <c r="EGV88" s="161"/>
      <c r="EGW88" s="161"/>
      <c r="EGX88" s="161"/>
      <c r="EGY88" s="161"/>
      <c r="EGZ88" s="161"/>
      <c r="EHA88" s="176"/>
      <c r="EHB88" s="176"/>
      <c r="EHC88" s="176"/>
      <c r="EHD88" s="161"/>
      <c r="EHE88" s="161"/>
      <c r="EHF88" s="161"/>
      <c r="EHG88" s="161"/>
      <c r="EHH88" s="161"/>
      <c r="EHI88" s="161"/>
      <c r="EHJ88" s="176"/>
      <c r="EHK88" s="176"/>
      <c r="EHL88" s="176"/>
      <c r="EHM88" s="161"/>
      <c r="EHN88" s="161"/>
      <c r="EHO88" s="161"/>
      <c r="EHP88" s="161"/>
      <c r="EHQ88" s="161"/>
      <c r="EHR88" s="161"/>
      <c r="EHS88" s="176"/>
      <c r="EHT88" s="176"/>
      <c r="EHU88" s="176"/>
      <c r="EHV88" s="161"/>
      <c r="EHW88" s="161"/>
      <c r="EHX88" s="161"/>
      <c r="EHY88" s="161"/>
      <c r="EHZ88" s="161"/>
      <c r="EIA88" s="161"/>
      <c r="EIB88" s="176"/>
      <c r="EIC88" s="176"/>
      <c r="EID88" s="176"/>
      <c r="EIE88" s="161"/>
      <c r="EIF88" s="161"/>
      <c r="EIG88" s="161"/>
      <c r="EIH88" s="161"/>
      <c r="EII88" s="161"/>
      <c r="EIJ88" s="161"/>
      <c r="EIK88" s="176"/>
      <c r="EIL88" s="176"/>
      <c r="EIM88" s="176"/>
      <c r="EIN88" s="161"/>
      <c r="EIO88" s="161"/>
      <c r="EIP88" s="161"/>
      <c r="EIQ88" s="161"/>
      <c r="EIR88" s="161"/>
      <c r="EIS88" s="161"/>
      <c r="EIT88" s="176"/>
      <c r="EIU88" s="176"/>
      <c r="EIV88" s="176"/>
      <c r="EIW88" s="161"/>
      <c r="EIX88" s="161"/>
      <c r="EIY88" s="161"/>
      <c r="EIZ88" s="161"/>
      <c r="EJA88" s="161"/>
      <c r="EJB88" s="161"/>
      <c r="EJC88" s="176"/>
      <c r="EJD88" s="176"/>
      <c r="EJE88" s="176"/>
      <c r="EJF88" s="161"/>
      <c r="EJG88" s="161"/>
      <c r="EJH88" s="161"/>
      <c r="EJI88" s="161"/>
      <c r="EJJ88" s="161"/>
      <c r="EJK88" s="161"/>
      <c r="EJL88" s="176"/>
      <c r="EJM88" s="176"/>
      <c r="EJN88" s="176"/>
      <c r="EJO88" s="161"/>
      <c r="EJP88" s="161"/>
      <c r="EJQ88" s="161"/>
      <c r="EJR88" s="161"/>
      <c r="EJS88" s="161"/>
      <c r="EJT88" s="161"/>
      <c r="EJU88" s="176"/>
      <c r="EJV88" s="176"/>
      <c r="EJW88" s="176"/>
      <c r="EJX88" s="161"/>
      <c r="EJY88" s="161"/>
      <c r="EJZ88" s="161"/>
      <c r="EKA88" s="161"/>
      <c r="EKB88" s="161"/>
      <c r="EKC88" s="161"/>
      <c r="EKD88" s="176"/>
      <c r="EKE88" s="176"/>
      <c r="EKF88" s="176"/>
      <c r="EKG88" s="161"/>
      <c r="EKH88" s="161"/>
      <c r="EKI88" s="161"/>
      <c r="EKJ88" s="161"/>
      <c r="EKK88" s="161"/>
      <c r="EKL88" s="161"/>
      <c r="EKM88" s="176"/>
      <c r="EKN88" s="176"/>
      <c r="EKO88" s="176"/>
      <c r="EKP88" s="161"/>
      <c r="EKQ88" s="161"/>
      <c r="EKR88" s="161"/>
      <c r="EKS88" s="161"/>
      <c r="EKT88" s="161"/>
      <c r="EKU88" s="161"/>
      <c r="EKV88" s="176"/>
      <c r="EKW88" s="176"/>
      <c r="EKX88" s="176"/>
      <c r="EKY88" s="161"/>
      <c r="EKZ88" s="161"/>
      <c r="ELA88" s="161"/>
      <c r="ELB88" s="161"/>
      <c r="ELC88" s="161"/>
      <c r="ELD88" s="161"/>
      <c r="ELE88" s="176"/>
      <c r="ELF88" s="176"/>
      <c r="ELG88" s="176"/>
      <c r="ELH88" s="161"/>
      <c r="ELI88" s="161"/>
      <c r="ELJ88" s="161"/>
      <c r="ELK88" s="161"/>
      <c r="ELL88" s="161"/>
      <c r="ELM88" s="161"/>
      <c r="ELN88" s="176"/>
      <c r="ELO88" s="176"/>
      <c r="ELP88" s="176"/>
      <c r="ELQ88" s="161"/>
      <c r="ELR88" s="161"/>
      <c r="ELS88" s="161"/>
      <c r="ELT88" s="161"/>
      <c r="ELU88" s="161"/>
      <c r="ELV88" s="161"/>
      <c r="ELW88" s="176"/>
      <c r="ELX88" s="176"/>
      <c r="ELY88" s="176"/>
      <c r="ELZ88" s="161"/>
      <c r="EMA88" s="161"/>
      <c r="EMB88" s="161"/>
      <c r="EMC88" s="161"/>
      <c r="EMD88" s="161"/>
      <c r="EME88" s="161"/>
      <c r="EMF88" s="176"/>
      <c r="EMG88" s="176"/>
      <c r="EMH88" s="176"/>
      <c r="EMI88" s="161"/>
      <c r="EMJ88" s="161"/>
      <c r="EMK88" s="161"/>
      <c r="EML88" s="161"/>
      <c r="EMM88" s="161"/>
      <c r="EMN88" s="161"/>
      <c r="EMO88" s="176"/>
      <c r="EMP88" s="176"/>
      <c r="EMQ88" s="176"/>
      <c r="EMR88" s="161"/>
      <c r="EMS88" s="161"/>
      <c r="EMT88" s="161"/>
      <c r="EMU88" s="161"/>
      <c r="EMV88" s="161"/>
      <c r="EMW88" s="161"/>
      <c r="EMX88" s="176"/>
      <c r="EMY88" s="176"/>
      <c r="EMZ88" s="176"/>
      <c r="ENA88" s="161"/>
      <c r="ENB88" s="161"/>
      <c r="ENC88" s="161"/>
      <c r="END88" s="161"/>
      <c r="ENE88" s="161"/>
      <c r="ENF88" s="161"/>
      <c r="ENG88" s="176"/>
      <c r="ENH88" s="176"/>
      <c r="ENI88" s="176"/>
      <c r="ENJ88" s="161"/>
      <c r="ENK88" s="161"/>
      <c r="ENL88" s="161"/>
      <c r="ENM88" s="161"/>
      <c r="ENN88" s="161"/>
      <c r="ENO88" s="161"/>
      <c r="ENP88" s="176"/>
      <c r="ENQ88" s="176"/>
      <c r="ENR88" s="176"/>
      <c r="ENS88" s="161"/>
      <c r="ENT88" s="161"/>
      <c r="ENU88" s="161"/>
      <c r="ENV88" s="161"/>
      <c r="ENW88" s="161"/>
      <c r="ENX88" s="161"/>
      <c r="ENY88" s="176"/>
      <c r="ENZ88" s="176"/>
      <c r="EOA88" s="176"/>
      <c r="EOB88" s="161"/>
      <c r="EOC88" s="161"/>
      <c r="EOD88" s="161"/>
      <c r="EOE88" s="161"/>
      <c r="EOF88" s="161"/>
      <c r="EOG88" s="161"/>
      <c r="EOH88" s="176"/>
      <c r="EOI88" s="176"/>
      <c r="EOJ88" s="176"/>
      <c r="EOK88" s="161"/>
      <c r="EOL88" s="161"/>
      <c r="EOM88" s="161"/>
      <c r="EON88" s="161"/>
      <c r="EOO88" s="161"/>
      <c r="EOP88" s="161"/>
      <c r="EOQ88" s="176"/>
      <c r="EOR88" s="176"/>
      <c r="EOS88" s="176"/>
      <c r="EOT88" s="161"/>
      <c r="EOU88" s="161"/>
      <c r="EOV88" s="161"/>
      <c r="EOW88" s="161"/>
      <c r="EOX88" s="161"/>
      <c r="EOY88" s="161"/>
      <c r="EOZ88" s="176"/>
      <c r="EPA88" s="176"/>
      <c r="EPB88" s="176"/>
      <c r="EPC88" s="161"/>
      <c r="EPD88" s="161"/>
      <c r="EPE88" s="161"/>
      <c r="EPF88" s="161"/>
      <c r="EPG88" s="161"/>
      <c r="EPH88" s="161"/>
      <c r="EPI88" s="176"/>
      <c r="EPJ88" s="176"/>
      <c r="EPK88" s="176"/>
      <c r="EPL88" s="161"/>
      <c r="EPM88" s="161"/>
      <c r="EPN88" s="161"/>
      <c r="EPO88" s="161"/>
      <c r="EPP88" s="161"/>
      <c r="EPQ88" s="161"/>
      <c r="EPR88" s="176"/>
      <c r="EPS88" s="176"/>
      <c r="EPT88" s="176"/>
      <c r="EPU88" s="161"/>
      <c r="EPV88" s="161"/>
      <c r="EPW88" s="161"/>
      <c r="EPX88" s="161"/>
      <c r="EPY88" s="161"/>
      <c r="EPZ88" s="161"/>
      <c r="EQA88" s="176"/>
      <c r="EQB88" s="176"/>
      <c r="EQC88" s="176"/>
      <c r="EQD88" s="161"/>
      <c r="EQE88" s="161"/>
      <c r="EQF88" s="161"/>
      <c r="EQG88" s="161"/>
      <c r="EQH88" s="161"/>
      <c r="EQI88" s="161"/>
      <c r="EQJ88" s="176"/>
      <c r="EQK88" s="176"/>
      <c r="EQL88" s="176"/>
      <c r="EQM88" s="161"/>
      <c r="EQN88" s="161"/>
      <c r="EQO88" s="161"/>
      <c r="EQP88" s="161"/>
      <c r="EQQ88" s="161"/>
      <c r="EQR88" s="161"/>
      <c r="EQS88" s="176"/>
      <c r="EQT88" s="176"/>
      <c r="EQU88" s="176"/>
      <c r="EQV88" s="161"/>
      <c r="EQW88" s="161"/>
      <c r="EQX88" s="161"/>
      <c r="EQY88" s="161"/>
      <c r="EQZ88" s="161"/>
      <c r="ERA88" s="161"/>
      <c r="ERB88" s="176"/>
      <c r="ERC88" s="176"/>
      <c r="ERD88" s="176"/>
      <c r="ERE88" s="161"/>
      <c r="ERF88" s="161"/>
      <c r="ERG88" s="161"/>
      <c r="ERH88" s="161"/>
      <c r="ERI88" s="161"/>
      <c r="ERJ88" s="161"/>
      <c r="ERK88" s="176"/>
      <c r="ERL88" s="176"/>
      <c r="ERM88" s="176"/>
      <c r="ERN88" s="161"/>
      <c r="ERO88" s="161"/>
      <c r="ERP88" s="161"/>
      <c r="ERQ88" s="161"/>
      <c r="ERR88" s="161"/>
      <c r="ERS88" s="161"/>
      <c r="ERT88" s="176"/>
      <c r="ERU88" s="176"/>
      <c r="ERV88" s="176"/>
      <c r="ERW88" s="161"/>
      <c r="ERX88" s="161"/>
      <c r="ERY88" s="161"/>
      <c r="ERZ88" s="161"/>
      <c r="ESA88" s="161"/>
      <c r="ESB88" s="161"/>
      <c r="ESC88" s="176"/>
      <c r="ESD88" s="176"/>
      <c r="ESE88" s="176"/>
      <c r="ESF88" s="161"/>
      <c r="ESG88" s="161"/>
      <c r="ESH88" s="161"/>
      <c r="ESI88" s="161"/>
      <c r="ESJ88" s="161"/>
      <c r="ESK88" s="161"/>
      <c r="ESL88" s="176"/>
      <c r="ESM88" s="176"/>
      <c r="ESN88" s="176"/>
      <c r="ESO88" s="161"/>
      <c r="ESP88" s="161"/>
      <c r="ESQ88" s="161"/>
      <c r="ESR88" s="161"/>
      <c r="ESS88" s="161"/>
      <c r="EST88" s="161"/>
      <c r="ESU88" s="176"/>
      <c r="ESV88" s="176"/>
      <c r="ESW88" s="176"/>
      <c r="ESX88" s="161"/>
      <c r="ESY88" s="161"/>
      <c r="ESZ88" s="161"/>
      <c r="ETA88" s="161"/>
      <c r="ETB88" s="161"/>
      <c r="ETC88" s="161"/>
      <c r="ETD88" s="176"/>
      <c r="ETE88" s="176"/>
      <c r="ETF88" s="176"/>
      <c r="ETG88" s="161"/>
      <c r="ETH88" s="161"/>
      <c r="ETI88" s="161"/>
      <c r="ETJ88" s="161"/>
      <c r="ETK88" s="161"/>
      <c r="ETL88" s="161"/>
      <c r="ETM88" s="176"/>
      <c r="ETN88" s="176"/>
      <c r="ETO88" s="176"/>
      <c r="ETP88" s="161"/>
      <c r="ETQ88" s="161"/>
      <c r="ETR88" s="161"/>
      <c r="ETS88" s="161"/>
      <c r="ETT88" s="161"/>
      <c r="ETU88" s="161"/>
      <c r="ETV88" s="176"/>
      <c r="ETW88" s="176"/>
      <c r="ETX88" s="176"/>
      <c r="ETY88" s="161"/>
      <c r="ETZ88" s="161"/>
      <c r="EUA88" s="161"/>
      <c r="EUB88" s="161"/>
      <c r="EUC88" s="161"/>
      <c r="EUD88" s="161"/>
      <c r="EUE88" s="176"/>
      <c r="EUF88" s="176"/>
      <c r="EUG88" s="176"/>
      <c r="EUH88" s="161"/>
      <c r="EUI88" s="161"/>
      <c r="EUJ88" s="161"/>
      <c r="EUK88" s="161"/>
      <c r="EUL88" s="161"/>
      <c r="EUM88" s="161"/>
      <c r="EUN88" s="176"/>
      <c r="EUO88" s="176"/>
      <c r="EUP88" s="176"/>
      <c r="EUQ88" s="161"/>
      <c r="EUR88" s="161"/>
      <c r="EUS88" s="161"/>
      <c r="EUT88" s="161"/>
      <c r="EUU88" s="161"/>
      <c r="EUV88" s="161"/>
      <c r="EUW88" s="176"/>
      <c r="EUX88" s="176"/>
      <c r="EUY88" s="176"/>
      <c r="EUZ88" s="161"/>
      <c r="EVA88" s="161"/>
      <c r="EVB88" s="161"/>
      <c r="EVC88" s="161"/>
      <c r="EVD88" s="161"/>
      <c r="EVE88" s="161"/>
      <c r="EVF88" s="176"/>
      <c r="EVG88" s="176"/>
      <c r="EVH88" s="176"/>
      <c r="EVI88" s="161"/>
      <c r="EVJ88" s="161"/>
      <c r="EVK88" s="161"/>
      <c r="EVL88" s="161"/>
      <c r="EVM88" s="161"/>
      <c r="EVN88" s="161"/>
      <c r="EVO88" s="176"/>
      <c r="EVP88" s="176"/>
      <c r="EVQ88" s="176"/>
      <c r="EVR88" s="161"/>
      <c r="EVS88" s="161"/>
      <c r="EVT88" s="161"/>
      <c r="EVU88" s="161"/>
      <c r="EVV88" s="161"/>
      <c r="EVW88" s="161"/>
      <c r="EVX88" s="176"/>
      <c r="EVY88" s="176"/>
      <c r="EVZ88" s="176"/>
      <c r="EWA88" s="161"/>
      <c r="EWB88" s="161"/>
      <c r="EWC88" s="161"/>
      <c r="EWD88" s="161"/>
      <c r="EWE88" s="161"/>
      <c r="EWF88" s="161"/>
      <c r="EWG88" s="176"/>
      <c r="EWH88" s="176"/>
      <c r="EWI88" s="176"/>
      <c r="EWJ88" s="161"/>
      <c r="EWK88" s="161"/>
      <c r="EWL88" s="161"/>
      <c r="EWM88" s="161"/>
      <c r="EWN88" s="161"/>
      <c r="EWO88" s="161"/>
      <c r="EWP88" s="176"/>
      <c r="EWQ88" s="176"/>
      <c r="EWR88" s="176"/>
      <c r="EWS88" s="161"/>
      <c r="EWT88" s="161"/>
      <c r="EWU88" s="161"/>
      <c r="EWV88" s="161"/>
      <c r="EWW88" s="161"/>
      <c r="EWX88" s="161"/>
      <c r="EWY88" s="176"/>
      <c r="EWZ88" s="176"/>
      <c r="EXA88" s="176"/>
      <c r="EXB88" s="161"/>
      <c r="EXC88" s="161"/>
      <c r="EXD88" s="161"/>
      <c r="EXE88" s="161"/>
      <c r="EXF88" s="161"/>
      <c r="EXG88" s="161"/>
      <c r="EXH88" s="176"/>
      <c r="EXI88" s="176"/>
      <c r="EXJ88" s="176"/>
      <c r="EXK88" s="161"/>
      <c r="EXL88" s="161"/>
      <c r="EXM88" s="161"/>
      <c r="EXN88" s="161"/>
      <c r="EXO88" s="161"/>
      <c r="EXP88" s="161"/>
      <c r="EXQ88" s="176"/>
      <c r="EXR88" s="176"/>
      <c r="EXS88" s="176"/>
      <c r="EXT88" s="161"/>
      <c r="EXU88" s="161"/>
      <c r="EXV88" s="161"/>
      <c r="EXW88" s="161"/>
      <c r="EXX88" s="161"/>
      <c r="EXY88" s="161"/>
      <c r="EXZ88" s="176"/>
      <c r="EYA88" s="176"/>
      <c r="EYB88" s="176"/>
      <c r="EYC88" s="161"/>
      <c r="EYD88" s="161"/>
      <c r="EYE88" s="161"/>
      <c r="EYF88" s="161"/>
      <c r="EYG88" s="161"/>
      <c r="EYH88" s="161"/>
      <c r="EYI88" s="176"/>
      <c r="EYJ88" s="176"/>
      <c r="EYK88" s="176"/>
      <c r="EYL88" s="161"/>
      <c r="EYM88" s="161"/>
      <c r="EYN88" s="161"/>
      <c r="EYO88" s="161"/>
      <c r="EYP88" s="161"/>
      <c r="EYQ88" s="161"/>
      <c r="EYR88" s="176"/>
      <c r="EYS88" s="176"/>
      <c r="EYT88" s="176"/>
      <c r="EYU88" s="161"/>
      <c r="EYV88" s="161"/>
      <c r="EYW88" s="161"/>
      <c r="EYX88" s="161"/>
      <c r="EYY88" s="161"/>
      <c r="EYZ88" s="161"/>
      <c r="EZA88" s="176"/>
      <c r="EZB88" s="176"/>
      <c r="EZC88" s="176"/>
      <c r="EZD88" s="161"/>
      <c r="EZE88" s="161"/>
      <c r="EZF88" s="161"/>
      <c r="EZG88" s="161"/>
      <c r="EZH88" s="161"/>
      <c r="EZI88" s="161"/>
      <c r="EZJ88" s="176"/>
      <c r="EZK88" s="176"/>
      <c r="EZL88" s="176"/>
      <c r="EZM88" s="161"/>
      <c r="EZN88" s="161"/>
      <c r="EZO88" s="161"/>
      <c r="EZP88" s="161"/>
      <c r="EZQ88" s="161"/>
      <c r="EZR88" s="161"/>
      <c r="EZS88" s="176"/>
      <c r="EZT88" s="176"/>
      <c r="EZU88" s="176"/>
      <c r="EZV88" s="161"/>
      <c r="EZW88" s="161"/>
      <c r="EZX88" s="161"/>
      <c r="EZY88" s="161"/>
      <c r="EZZ88" s="161"/>
      <c r="FAA88" s="161"/>
      <c r="FAB88" s="176"/>
      <c r="FAC88" s="176"/>
      <c r="FAD88" s="176"/>
      <c r="FAE88" s="161"/>
      <c r="FAF88" s="161"/>
      <c r="FAG88" s="161"/>
      <c r="FAH88" s="161"/>
      <c r="FAI88" s="161"/>
      <c r="FAJ88" s="161"/>
      <c r="FAK88" s="176"/>
      <c r="FAL88" s="176"/>
      <c r="FAM88" s="176"/>
      <c r="FAN88" s="161"/>
      <c r="FAO88" s="161"/>
      <c r="FAP88" s="161"/>
      <c r="FAQ88" s="161"/>
      <c r="FAR88" s="161"/>
      <c r="FAS88" s="161"/>
      <c r="FAT88" s="176"/>
      <c r="FAU88" s="176"/>
      <c r="FAV88" s="176"/>
      <c r="FAW88" s="161"/>
      <c r="FAX88" s="161"/>
      <c r="FAY88" s="161"/>
      <c r="FAZ88" s="161"/>
      <c r="FBA88" s="161"/>
      <c r="FBB88" s="161"/>
      <c r="FBC88" s="176"/>
      <c r="FBD88" s="176"/>
      <c r="FBE88" s="176"/>
      <c r="FBF88" s="161"/>
      <c r="FBG88" s="161"/>
      <c r="FBH88" s="161"/>
      <c r="FBI88" s="161"/>
      <c r="FBJ88" s="161"/>
      <c r="FBK88" s="161"/>
      <c r="FBL88" s="176"/>
      <c r="FBM88" s="176"/>
      <c r="FBN88" s="176"/>
      <c r="FBO88" s="161"/>
      <c r="FBP88" s="161"/>
      <c r="FBQ88" s="161"/>
      <c r="FBR88" s="161"/>
      <c r="FBS88" s="161"/>
      <c r="FBT88" s="161"/>
      <c r="FBU88" s="176"/>
      <c r="FBV88" s="176"/>
      <c r="FBW88" s="176"/>
      <c r="FBX88" s="161"/>
      <c r="FBY88" s="161"/>
      <c r="FBZ88" s="161"/>
      <c r="FCA88" s="161"/>
      <c r="FCB88" s="161"/>
      <c r="FCC88" s="161"/>
      <c r="FCD88" s="176"/>
      <c r="FCE88" s="176"/>
      <c r="FCF88" s="176"/>
      <c r="FCG88" s="161"/>
      <c r="FCH88" s="161"/>
      <c r="FCI88" s="161"/>
      <c r="FCJ88" s="161"/>
      <c r="FCK88" s="161"/>
      <c r="FCL88" s="161"/>
      <c r="FCM88" s="176"/>
      <c r="FCN88" s="176"/>
      <c r="FCO88" s="176"/>
      <c r="FCP88" s="161"/>
      <c r="FCQ88" s="161"/>
      <c r="FCR88" s="161"/>
      <c r="FCS88" s="161"/>
      <c r="FCT88" s="161"/>
      <c r="FCU88" s="161"/>
      <c r="FCV88" s="176"/>
      <c r="FCW88" s="176"/>
      <c r="FCX88" s="176"/>
      <c r="FCY88" s="161"/>
      <c r="FCZ88" s="161"/>
      <c r="FDA88" s="161"/>
      <c r="FDB88" s="161"/>
      <c r="FDC88" s="161"/>
      <c r="FDD88" s="161"/>
      <c r="FDE88" s="176"/>
      <c r="FDF88" s="176"/>
      <c r="FDG88" s="176"/>
      <c r="FDH88" s="161"/>
      <c r="FDI88" s="161"/>
      <c r="FDJ88" s="161"/>
      <c r="FDK88" s="161"/>
      <c r="FDL88" s="161"/>
      <c r="FDM88" s="161"/>
      <c r="FDN88" s="176"/>
      <c r="FDO88" s="176"/>
      <c r="FDP88" s="176"/>
      <c r="FDQ88" s="161"/>
      <c r="FDR88" s="161"/>
      <c r="FDS88" s="161"/>
      <c r="FDT88" s="161"/>
      <c r="FDU88" s="161"/>
      <c r="FDV88" s="161"/>
      <c r="FDW88" s="176"/>
      <c r="FDX88" s="176"/>
      <c r="FDY88" s="176"/>
      <c r="FDZ88" s="161"/>
      <c r="FEA88" s="161"/>
      <c r="FEB88" s="161"/>
      <c r="FEC88" s="161"/>
      <c r="FED88" s="161"/>
      <c r="FEE88" s="161"/>
      <c r="FEF88" s="176"/>
      <c r="FEG88" s="176"/>
      <c r="FEH88" s="176"/>
      <c r="FEI88" s="161"/>
      <c r="FEJ88" s="161"/>
      <c r="FEK88" s="161"/>
      <c r="FEL88" s="161"/>
      <c r="FEM88" s="161"/>
      <c r="FEN88" s="161"/>
      <c r="FEO88" s="176"/>
      <c r="FEP88" s="176"/>
      <c r="FEQ88" s="176"/>
      <c r="FER88" s="161"/>
      <c r="FES88" s="161"/>
      <c r="FET88" s="161"/>
      <c r="FEU88" s="161"/>
      <c r="FEV88" s="161"/>
      <c r="FEW88" s="161"/>
      <c r="FEX88" s="176"/>
      <c r="FEY88" s="176"/>
      <c r="FEZ88" s="176"/>
      <c r="FFA88" s="161"/>
      <c r="FFB88" s="161"/>
      <c r="FFC88" s="161"/>
      <c r="FFD88" s="161"/>
      <c r="FFE88" s="161"/>
      <c r="FFF88" s="161"/>
      <c r="FFG88" s="176"/>
      <c r="FFH88" s="176"/>
      <c r="FFI88" s="176"/>
      <c r="FFJ88" s="161"/>
      <c r="FFK88" s="161"/>
      <c r="FFL88" s="161"/>
      <c r="FFM88" s="161"/>
      <c r="FFN88" s="161"/>
      <c r="FFO88" s="161"/>
      <c r="FFP88" s="176"/>
      <c r="FFQ88" s="176"/>
      <c r="FFR88" s="176"/>
      <c r="FFS88" s="161"/>
      <c r="FFT88" s="161"/>
      <c r="FFU88" s="161"/>
      <c r="FFV88" s="161"/>
      <c r="FFW88" s="161"/>
      <c r="FFX88" s="161"/>
      <c r="FFY88" s="176"/>
      <c r="FFZ88" s="176"/>
      <c r="FGA88" s="176"/>
      <c r="FGB88" s="161"/>
      <c r="FGC88" s="161"/>
      <c r="FGD88" s="161"/>
      <c r="FGE88" s="161"/>
      <c r="FGF88" s="161"/>
      <c r="FGG88" s="161"/>
      <c r="FGH88" s="176"/>
      <c r="FGI88" s="176"/>
      <c r="FGJ88" s="176"/>
      <c r="FGK88" s="161"/>
      <c r="FGL88" s="161"/>
      <c r="FGM88" s="161"/>
      <c r="FGN88" s="161"/>
      <c r="FGO88" s="161"/>
      <c r="FGP88" s="161"/>
      <c r="FGQ88" s="176"/>
      <c r="FGR88" s="176"/>
      <c r="FGS88" s="176"/>
      <c r="FGT88" s="161"/>
      <c r="FGU88" s="161"/>
      <c r="FGV88" s="161"/>
      <c r="FGW88" s="161"/>
      <c r="FGX88" s="161"/>
      <c r="FGY88" s="161"/>
      <c r="FGZ88" s="176"/>
      <c r="FHA88" s="176"/>
      <c r="FHB88" s="176"/>
      <c r="FHC88" s="161"/>
      <c r="FHD88" s="161"/>
      <c r="FHE88" s="161"/>
      <c r="FHF88" s="161"/>
      <c r="FHG88" s="161"/>
      <c r="FHH88" s="161"/>
      <c r="FHI88" s="176"/>
      <c r="FHJ88" s="176"/>
      <c r="FHK88" s="176"/>
      <c r="FHL88" s="161"/>
      <c r="FHM88" s="161"/>
      <c r="FHN88" s="161"/>
      <c r="FHO88" s="161"/>
      <c r="FHP88" s="161"/>
      <c r="FHQ88" s="161"/>
      <c r="FHR88" s="176"/>
      <c r="FHS88" s="176"/>
      <c r="FHT88" s="176"/>
      <c r="FHU88" s="161"/>
      <c r="FHV88" s="161"/>
      <c r="FHW88" s="161"/>
      <c r="FHX88" s="161"/>
      <c r="FHY88" s="161"/>
      <c r="FHZ88" s="161"/>
      <c r="FIA88" s="176"/>
      <c r="FIB88" s="176"/>
      <c r="FIC88" s="176"/>
      <c r="FID88" s="161"/>
      <c r="FIE88" s="161"/>
      <c r="FIF88" s="161"/>
      <c r="FIG88" s="161"/>
      <c r="FIH88" s="161"/>
      <c r="FII88" s="161"/>
      <c r="FIJ88" s="176"/>
      <c r="FIK88" s="176"/>
      <c r="FIL88" s="176"/>
      <c r="FIM88" s="161"/>
      <c r="FIN88" s="161"/>
      <c r="FIO88" s="161"/>
      <c r="FIP88" s="161"/>
      <c r="FIQ88" s="161"/>
      <c r="FIR88" s="161"/>
      <c r="FIS88" s="176"/>
      <c r="FIT88" s="176"/>
      <c r="FIU88" s="176"/>
      <c r="FIV88" s="161"/>
      <c r="FIW88" s="161"/>
      <c r="FIX88" s="161"/>
      <c r="FIY88" s="161"/>
      <c r="FIZ88" s="161"/>
      <c r="FJA88" s="161"/>
      <c r="FJB88" s="176"/>
      <c r="FJC88" s="176"/>
      <c r="FJD88" s="176"/>
      <c r="FJE88" s="161"/>
      <c r="FJF88" s="161"/>
      <c r="FJG88" s="161"/>
      <c r="FJH88" s="161"/>
      <c r="FJI88" s="161"/>
      <c r="FJJ88" s="161"/>
      <c r="FJK88" s="176"/>
      <c r="FJL88" s="176"/>
      <c r="FJM88" s="176"/>
      <c r="FJN88" s="161"/>
      <c r="FJO88" s="161"/>
      <c r="FJP88" s="161"/>
      <c r="FJQ88" s="161"/>
      <c r="FJR88" s="161"/>
      <c r="FJS88" s="161"/>
      <c r="FJT88" s="176"/>
      <c r="FJU88" s="176"/>
      <c r="FJV88" s="176"/>
      <c r="FJW88" s="161"/>
      <c r="FJX88" s="161"/>
      <c r="FJY88" s="161"/>
      <c r="FJZ88" s="161"/>
      <c r="FKA88" s="161"/>
      <c r="FKB88" s="161"/>
      <c r="FKC88" s="176"/>
      <c r="FKD88" s="176"/>
      <c r="FKE88" s="176"/>
      <c r="FKF88" s="161"/>
      <c r="FKG88" s="161"/>
      <c r="FKH88" s="161"/>
      <c r="FKI88" s="161"/>
      <c r="FKJ88" s="161"/>
      <c r="FKK88" s="161"/>
      <c r="FKL88" s="176"/>
      <c r="FKM88" s="176"/>
      <c r="FKN88" s="176"/>
      <c r="FKO88" s="161"/>
      <c r="FKP88" s="161"/>
      <c r="FKQ88" s="161"/>
      <c r="FKR88" s="161"/>
      <c r="FKS88" s="161"/>
      <c r="FKT88" s="161"/>
      <c r="FKU88" s="176"/>
      <c r="FKV88" s="176"/>
      <c r="FKW88" s="176"/>
      <c r="FKX88" s="161"/>
      <c r="FKY88" s="161"/>
      <c r="FKZ88" s="161"/>
      <c r="FLA88" s="161"/>
      <c r="FLB88" s="161"/>
      <c r="FLC88" s="161"/>
      <c r="FLD88" s="176"/>
      <c r="FLE88" s="176"/>
      <c r="FLF88" s="176"/>
      <c r="FLG88" s="161"/>
      <c r="FLH88" s="161"/>
      <c r="FLI88" s="161"/>
      <c r="FLJ88" s="161"/>
      <c r="FLK88" s="161"/>
      <c r="FLL88" s="161"/>
      <c r="FLM88" s="176"/>
      <c r="FLN88" s="176"/>
      <c r="FLO88" s="176"/>
      <c r="FLP88" s="161"/>
      <c r="FLQ88" s="161"/>
      <c r="FLR88" s="161"/>
      <c r="FLS88" s="161"/>
      <c r="FLT88" s="161"/>
      <c r="FLU88" s="161"/>
      <c r="FLV88" s="176"/>
      <c r="FLW88" s="176"/>
      <c r="FLX88" s="176"/>
      <c r="FLY88" s="161"/>
      <c r="FLZ88" s="161"/>
      <c r="FMA88" s="161"/>
      <c r="FMB88" s="161"/>
      <c r="FMC88" s="161"/>
      <c r="FMD88" s="161"/>
      <c r="FME88" s="176"/>
      <c r="FMF88" s="176"/>
      <c r="FMG88" s="176"/>
      <c r="FMH88" s="161"/>
      <c r="FMI88" s="161"/>
      <c r="FMJ88" s="161"/>
      <c r="FMK88" s="161"/>
      <c r="FML88" s="161"/>
      <c r="FMM88" s="161"/>
      <c r="FMN88" s="176"/>
      <c r="FMO88" s="176"/>
      <c r="FMP88" s="176"/>
      <c r="FMQ88" s="161"/>
      <c r="FMR88" s="161"/>
      <c r="FMS88" s="161"/>
      <c r="FMT88" s="161"/>
      <c r="FMU88" s="161"/>
      <c r="FMV88" s="161"/>
      <c r="FMW88" s="176"/>
      <c r="FMX88" s="176"/>
      <c r="FMY88" s="176"/>
      <c r="FMZ88" s="161"/>
      <c r="FNA88" s="161"/>
      <c r="FNB88" s="161"/>
      <c r="FNC88" s="161"/>
      <c r="FND88" s="161"/>
      <c r="FNE88" s="161"/>
      <c r="FNF88" s="176"/>
      <c r="FNG88" s="176"/>
      <c r="FNH88" s="176"/>
      <c r="FNI88" s="161"/>
      <c r="FNJ88" s="161"/>
      <c r="FNK88" s="161"/>
      <c r="FNL88" s="161"/>
      <c r="FNM88" s="161"/>
      <c r="FNN88" s="161"/>
      <c r="FNO88" s="176"/>
      <c r="FNP88" s="176"/>
      <c r="FNQ88" s="176"/>
      <c r="FNR88" s="161"/>
      <c r="FNS88" s="161"/>
      <c r="FNT88" s="161"/>
      <c r="FNU88" s="161"/>
      <c r="FNV88" s="161"/>
      <c r="FNW88" s="161"/>
      <c r="FNX88" s="176"/>
      <c r="FNY88" s="176"/>
      <c r="FNZ88" s="176"/>
      <c r="FOA88" s="161"/>
      <c r="FOB88" s="161"/>
      <c r="FOC88" s="161"/>
      <c r="FOD88" s="161"/>
      <c r="FOE88" s="161"/>
      <c r="FOF88" s="161"/>
      <c r="FOG88" s="176"/>
      <c r="FOH88" s="176"/>
      <c r="FOI88" s="176"/>
      <c r="FOJ88" s="161"/>
      <c r="FOK88" s="161"/>
      <c r="FOL88" s="161"/>
      <c r="FOM88" s="161"/>
      <c r="FON88" s="161"/>
      <c r="FOO88" s="161"/>
      <c r="FOP88" s="176"/>
      <c r="FOQ88" s="176"/>
      <c r="FOR88" s="176"/>
      <c r="FOS88" s="161"/>
      <c r="FOT88" s="161"/>
      <c r="FOU88" s="161"/>
      <c r="FOV88" s="161"/>
      <c r="FOW88" s="161"/>
      <c r="FOX88" s="161"/>
      <c r="FOY88" s="176"/>
      <c r="FOZ88" s="176"/>
      <c r="FPA88" s="176"/>
      <c r="FPB88" s="161"/>
      <c r="FPC88" s="161"/>
      <c r="FPD88" s="161"/>
      <c r="FPE88" s="161"/>
      <c r="FPF88" s="161"/>
      <c r="FPG88" s="161"/>
      <c r="FPH88" s="176"/>
      <c r="FPI88" s="176"/>
      <c r="FPJ88" s="176"/>
      <c r="FPK88" s="161"/>
      <c r="FPL88" s="161"/>
      <c r="FPM88" s="161"/>
      <c r="FPN88" s="161"/>
      <c r="FPO88" s="161"/>
      <c r="FPP88" s="161"/>
      <c r="FPQ88" s="176"/>
      <c r="FPR88" s="176"/>
      <c r="FPS88" s="176"/>
      <c r="FPT88" s="161"/>
      <c r="FPU88" s="161"/>
      <c r="FPV88" s="161"/>
      <c r="FPW88" s="161"/>
      <c r="FPX88" s="161"/>
      <c r="FPY88" s="161"/>
      <c r="FPZ88" s="176"/>
      <c r="FQA88" s="176"/>
      <c r="FQB88" s="176"/>
      <c r="FQC88" s="161"/>
      <c r="FQD88" s="161"/>
      <c r="FQE88" s="161"/>
      <c r="FQF88" s="161"/>
      <c r="FQG88" s="161"/>
      <c r="FQH88" s="161"/>
      <c r="FQI88" s="176"/>
      <c r="FQJ88" s="176"/>
      <c r="FQK88" s="176"/>
      <c r="FQL88" s="161"/>
      <c r="FQM88" s="161"/>
      <c r="FQN88" s="161"/>
      <c r="FQO88" s="161"/>
      <c r="FQP88" s="161"/>
      <c r="FQQ88" s="161"/>
      <c r="FQR88" s="176"/>
      <c r="FQS88" s="176"/>
      <c r="FQT88" s="176"/>
      <c r="FQU88" s="161"/>
      <c r="FQV88" s="161"/>
      <c r="FQW88" s="161"/>
      <c r="FQX88" s="161"/>
      <c r="FQY88" s="161"/>
      <c r="FQZ88" s="161"/>
      <c r="FRA88" s="176"/>
      <c r="FRB88" s="176"/>
      <c r="FRC88" s="176"/>
      <c r="FRD88" s="161"/>
      <c r="FRE88" s="161"/>
      <c r="FRF88" s="161"/>
      <c r="FRG88" s="161"/>
      <c r="FRH88" s="161"/>
      <c r="FRI88" s="161"/>
      <c r="FRJ88" s="176"/>
      <c r="FRK88" s="176"/>
      <c r="FRL88" s="176"/>
      <c r="FRM88" s="161"/>
      <c r="FRN88" s="161"/>
      <c r="FRO88" s="161"/>
      <c r="FRP88" s="161"/>
      <c r="FRQ88" s="161"/>
      <c r="FRR88" s="161"/>
      <c r="FRS88" s="176"/>
      <c r="FRT88" s="176"/>
      <c r="FRU88" s="176"/>
      <c r="FRV88" s="161"/>
      <c r="FRW88" s="161"/>
      <c r="FRX88" s="161"/>
      <c r="FRY88" s="161"/>
      <c r="FRZ88" s="161"/>
      <c r="FSA88" s="161"/>
      <c r="FSB88" s="176"/>
      <c r="FSC88" s="176"/>
      <c r="FSD88" s="176"/>
      <c r="FSE88" s="161"/>
      <c r="FSF88" s="161"/>
      <c r="FSG88" s="161"/>
      <c r="FSH88" s="161"/>
      <c r="FSI88" s="161"/>
      <c r="FSJ88" s="161"/>
      <c r="FSK88" s="176"/>
      <c r="FSL88" s="176"/>
      <c r="FSM88" s="176"/>
      <c r="FSN88" s="161"/>
      <c r="FSO88" s="161"/>
      <c r="FSP88" s="161"/>
      <c r="FSQ88" s="161"/>
      <c r="FSR88" s="161"/>
      <c r="FSS88" s="161"/>
      <c r="FST88" s="176"/>
      <c r="FSU88" s="176"/>
      <c r="FSV88" s="176"/>
      <c r="FSW88" s="161"/>
      <c r="FSX88" s="161"/>
      <c r="FSY88" s="161"/>
      <c r="FSZ88" s="161"/>
      <c r="FTA88" s="161"/>
      <c r="FTB88" s="161"/>
      <c r="FTC88" s="176"/>
      <c r="FTD88" s="176"/>
      <c r="FTE88" s="176"/>
      <c r="FTF88" s="161"/>
      <c r="FTG88" s="161"/>
      <c r="FTH88" s="161"/>
      <c r="FTI88" s="161"/>
      <c r="FTJ88" s="161"/>
      <c r="FTK88" s="161"/>
      <c r="FTL88" s="176"/>
      <c r="FTM88" s="176"/>
      <c r="FTN88" s="176"/>
      <c r="FTO88" s="161"/>
      <c r="FTP88" s="161"/>
      <c r="FTQ88" s="161"/>
      <c r="FTR88" s="161"/>
      <c r="FTS88" s="161"/>
      <c r="FTT88" s="161"/>
      <c r="FTU88" s="176"/>
      <c r="FTV88" s="176"/>
      <c r="FTW88" s="176"/>
      <c r="FTX88" s="161"/>
      <c r="FTY88" s="161"/>
      <c r="FTZ88" s="161"/>
      <c r="FUA88" s="161"/>
      <c r="FUB88" s="161"/>
      <c r="FUC88" s="161"/>
      <c r="FUD88" s="176"/>
      <c r="FUE88" s="176"/>
      <c r="FUF88" s="176"/>
      <c r="FUG88" s="161"/>
      <c r="FUH88" s="161"/>
      <c r="FUI88" s="161"/>
      <c r="FUJ88" s="161"/>
      <c r="FUK88" s="161"/>
      <c r="FUL88" s="161"/>
      <c r="FUM88" s="176"/>
      <c r="FUN88" s="176"/>
      <c r="FUO88" s="176"/>
      <c r="FUP88" s="161"/>
      <c r="FUQ88" s="161"/>
      <c r="FUR88" s="161"/>
      <c r="FUS88" s="161"/>
      <c r="FUT88" s="161"/>
      <c r="FUU88" s="161"/>
      <c r="FUV88" s="176"/>
      <c r="FUW88" s="176"/>
      <c r="FUX88" s="176"/>
      <c r="FUY88" s="161"/>
      <c r="FUZ88" s="161"/>
      <c r="FVA88" s="161"/>
      <c r="FVB88" s="161"/>
      <c r="FVC88" s="161"/>
      <c r="FVD88" s="161"/>
      <c r="FVE88" s="176"/>
      <c r="FVF88" s="176"/>
      <c r="FVG88" s="176"/>
      <c r="FVH88" s="161"/>
      <c r="FVI88" s="161"/>
      <c r="FVJ88" s="161"/>
      <c r="FVK88" s="161"/>
      <c r="FVL88" s="161"/>
      <c r="FVM88" s="161"/>
      <c r="FVN88" s="176"/>
      <c r="FVO88" s="176"/>
      <c r="FVP88" s="176"/>
      <c r="FVQ88" s="161"/>
      <c r="FVR88" s="161"/>
      <c r="FVS88" s="161"/>
      <c r="FVT88" s="161"/>
      <c r="FVU88" s="161"/>
      <c r="FVV88" s="161"/>
      <c r="FVW88" s="176"/>
      <c r="FVX88" s="176"/>
      <c r="FVY88" s="176"/>
      <c r="FVZ88" s="161"/>
      <c r="FWA88" s="161"/>
      <c r="FWB88" s="161"/>
      <c r="FWC88" s="161"/>
      <c r="FWD88" s="161"/>
      <c r="FWE88" s="161"/>
      <c r="FWF88" s="176"/>
      <c r="FWG88" s="176"/>
      <c r="FWH88" s="176"/>
      <c r="FWI88" s="161"/>
      <c r="FWJ88" s="161"/>
      <c r="FWK88" s="161"/>
      <c r="FWL88" s="161"/>
      <c r="FWM88" s="161"/>
      <c r="FWN88" s="161"/>
      <c r="FWO88" s="176"/>
      <c r="FWP88" s="176"/>
      <c r="FWQ88" s="176"/>
      <c r="FWR88" s="161"/>
      <c r="FWS88" s="161"/>
      <c r="FWT88" s="161"/>
      <c r="FWU88" s="161"/>
      <c r="FWV88" s="161"/>
      <c r="FWW88" s="161"/>
      <c r="FWX88" s="176"/>
      <c r="FWY88" s="176"/>
      <c r="FWZ88" s="176"/>
      <c r="FXA88" s="161"/>
      <c r="FXB88" s="161"/>
      <c r="FXC88" s="161"/>
      <c r="FXD88" s="161"/>
      <c r="FXE88" s="161"/>
      <c r="FXF88" s="161"/>
      <c r="FXG88" s="176"/>
      <c r="FXH88" s="176"/>
      <c r="FXI88" s="176"/>
      <c r="FXJ88" s="161"/>
      <c r="FXK88" s="161"/>
      <c r="FXL88" s="161"/>
      <c r="FXM88" s="161"/>
      <c r="FXN88" s="161"/>
      <c r="FXO88" s="161"/>
      <c r="FXP88" s="176"/>
      <c r="FXQ88" s="176"/>
      <c r="FXR88" s="176"/>
      <c r="FXS88" s="161"/>
      <c r="FXT88" s="161"/>
      <c r="FXU88" s="161"/>
      <c r="FXV88" s="161"/>
      <c r="FXW88" s="161"/>
      <c r="FXX88" s="161"/>
      <c r="FXY88" s="176"/>
      <c r="FXZ88" s="176"/>
      <c r="FYA88" s="176"/>
      <c r="FYB88" s="161"/>
      <c r="FYC88" s="161"/>
      <c r="FYD88" s="161"/>
      <c r="FYE88" s="161"/>
      <c r="FYF88" s="161"/>
      <c r="FYG88" s="161"/>
      <c r="FYH88" s="176"/>
      <c r="FYI88" s="176"/>
      <c r="FYJ88" s="176"/>
      <c r="FYK88" s="161"/>
      <c r="FYL88" s="161"/>
      <c r="FYM88" s="161"/>
      <c r="FYN88" s="161"/>
      <c r="FYO88" s="161"/>
      <c r="FYP88" s="161"/>
      <c r="FYQ88" s="176"/>
      <c r="FYR88" s="176"/>
      <c r="FYS88" s="176"/>
      <c r="FYT88" s="161"/>
      <c r="FYU88" s="161"/>
      <c r="FYV88" s="161"/>
      <c r="FYW88" s="161"/>
      <c r="FYX88" s="161"/>
      <c r="FYY88" s="161"/>
      <c r="FYZ88" s="176"/>
      <c r="FZA88" s="176"/>
      <c r="FZB88" s="176"/>
      <c r="FZC88" s="161"/>
      <c r="FZD88" s="161"/>
      <c r="FZE88" s="161"/>
      <c r="FZF88" s="161"/>
      <c r="FZG88" s="161"/>
      <c r="FZH88" s="161"/>
      <c r="FZI88" s="176"/>
      <c r="FZJ88" s="176"/>
      <c r="FZK88" s="176"/>
      <c r="FZL88" s="161"/>
      <c r="FZM88" s="161"/>
      <c r="FZN88" s="161"/>
      <c r="FZO88" s="161"/>
      <c r="FZP88" s="161"/>
      <c r="FZQ88" s="161"/>
      <c r="FZR88" s="176"/>
      <c r="FZS88" s="176"/>
      <c r="FZT88" s="176"/>
      <c r="FZU88" s="161"/>
      <c r="FZV88" s="161"/>
      <c r="FZW88" s="161"/>
      <c r="FZX88" s="161"/>
      <c r="FZY88" s="161"/>
      <c r="FZZ88" s="161"/>
      <c r="GAA88" s="176"/>
      <c r="GAB88" s="176"/>
      <c r="GAC88" s="176"/>
      <c r="GAD88" s="161"/>
      <c r="GAE88" s="161"/>
      <c r="GAF88" s="161"/>
      <c r="GAG88" s="161"/>
      <c r="GAH88" s="161"/>
      <c r="GAI88" s="161"/>
      <c r="GAJ88" s="176"/>
      <c r="GAK88" s="176"/>
      <c r="GAL88" s="176"/>
      <c r="GAM88" s="161"/>
      <c r="GAN88" s="161"/>
      <c r="GAO88" s="161"/>
      <c r="GAP88" s="161"/>
      <c r="GAQ88" s="161"/>
      <c r="GAR88" s="161"/>
      <c r="GAS88" s="176"/>
      <c r="GAT88" s="176"/>
      <c r="GAU88" s="176"/>
      <c r="GAV88" s="161"/>
      <c r="GAW88" s="161"/>
      <c r="GAX88" s="161"/>
      <c r="GAY88" s="161"/>
      <c r="GAZ88" s="161"/>
      <c r="GBA88" s="161"/>
      <c r="GBB88" s="176"/>
      <c r="GBC88" s="176"/>
      <c r="GBD88" s="176"/>
      <c r="GBE88" s="161"/>
      <c r="GBF88" s="161"/>
      <c r="GBG88" s="161"/>
      <c r="GBH88" s="161"/>
      <c r="GBI88" s="161"/>
      <c r="GBJ88" s="161"/>
      <c r="GBK88" s="176"/>
      <c r="GBL88" s="176"/>
      <c r="GBM88" s="176"/>
      <c r="GBN88" s="161"/>
      <c r="GBO88" s="161"/>
      <c r="GBP88" s="161"/>
      <c r="GBQ88" s="161"/>
      <c r="GBR88" s="161"/>
      <c r="GBS88" s="161"/>
      <c r="GBT88" s="176"/>
      <c r="GBU88" s="176"/>
      <c r="GBV88" s="176"/>
      <c r="GBW88" s="161"/>
      <c r="GBX88" s="161"/>
      <c r="GBY88" s="161"/>
      <c r="GBZ88" s="161"/>
      <c r="GCA88" s="161"/>
      <c r="GCB88" s="161"/>
      <c r="GCC88" s="176"/>
      <c r="GCD88" s="176"/>
      <c r="GCE88" s="176"/>
      <c r="GCF88" s="161"/>
      <c r="GCG88" s="161"/>
      <c r="GCH88" s="161"/>
      <c r="GCI88" s="161"/>
      <c r="GCJ88" s="161"/>
      <c r="GCK88" s="161"/>
      <c r="GCL88" s="176"/>
      <c r="GCM88" s="176"/>
      <c r="GCN88" s="176"/>
      <c r="GCO88" s="161"/>
      <c r="GCP88" s="161"/>
      <c r="GCQ88" s="161"/>
      <c r="GCR88" s="161"/>
      <c r="GCS88" s="161"/>
      <c r="GCT88" s="161"/>
      <c r="GCU88" s="176"/>
      <c r="GCV88" s="176"/>
      <c r="GCW88" s="176"/>
      <c r="GCX88" s="161"/>
      <c r="GCY88" s="161"/>
      <c r="GCZ88" s="161"/>
      <c r="GDA88" s="161"/>
      <c r="GDB88" s="161"/>
      <c r="GDC88" s="161"/>
      <c r="GDD88" s="176"/>
      <c r="GDE88" s="176"/>
      <c r="GDF88" s="176"/>
      <c r="GDG88" s="161"/>
      <c r="GDH88" s="161"/>
      <c r="GDI88" s="161"/>
      <c r="GDJ88" s="161"/>
      <c r="GDK88" s="161"/>
      <c r="GDL88" s="161"/>
      <c r="GDM88" s="176"/>
      <c r="GDN88" s="176"/>
      <c r="GDO88" s="176"/>
      <c r="GDP88" s="161"/>
      <c r="GDQ88" s="161"/>
      <c r="GDR88" s="161"/>
      <c r="GDS88" s="161"/>
      <c r="GDT88" s="161"/>
      <c r="GDU88" s="161"/>
      <c r="GDV88" s="176"/>
      <c r="GDW88" s="176"/>
      <c r="GDX88" s="176"/>
      <c r="GDY88" s="161"/>
      <c r="GDZ88" s="161"/>
      <c r="GEA88" s="161"/>
      <c r="GEB88" s="161"/>
      <c r="GEC88" s="161"/>
      <c r="GED88" s="161"/>
      <c r="GEE88" s="176"/>
      <c r="GEF88" s="176"/>
      <c r="GEG88" s="176"/>
      <c r="GEH88" s="161"/>
      <c r="GEI88" s="161"/>
      <c r="GEJ88" s="161"/>
      <c r="GEK88" s="161"/>
      <c r="GEL88" s="161"/>
      <c r="GEM88" s="161"/>
      <c r="GEN88" s="176"/>
      <c r="GEO88" s="176"/>
      <c r="GEP88" s="176"/>
      <c r="GEQ88" s="161"/>
      <c r="GER88" s="161"/>
      <c r="GES88" s="161"/>
      <c r="GET88" s="161"/>
      <c r="GEU88" s="161"/>
      <c r="GEV88" s="161"/>
      <c r="GEW88" s="176"/>
      <c r="GEX88" s="176"/>
      <c r="GEY88" s="176"/>
      <c r="GEZ88" s="161"/>
      <c r="GFA88" s="161"/>
      <c r="GFB88" s="161"/>
      <c r="GFC88" s="161"/>
      <c r="GFD88" s="161"/>
      <c r="GFE88" s="161"/>
      <c r="GFF88" s="176"/>
      <c r="GFG88" s="176"/>
      <c r="GFH88" s="176"/>
      <c r="GFI88" s="161"/>
      <c r="GFJ88" s="161"/>
      <c r="GFK88" s="161"/>
      <c r="GFL88" s="161"/>
      <c r="GFM88" s="161"/>
      <c r="GFN88" s="161"/>
      <c r="GFO88" s="176"/>
      <c r="GFP88" s="176"/>
      <c r="GFQ88" s="176"/>
      <c r="GFR88" s="161"/>
      <c r="GFS88" s="161"/>
      <c r="GFT88" s="161"/>
      <c r="GFU88" s="161"/>
      <c r="GFV88" s="161"/>
      <c r="GFW88" s="161"/>
      <c r="GFX88" s="176"/>
      <c r="GFY88" s="176"/>
      <c r="GFZ88" s="176"/>
      <c r="GGA88" s="161"/>
      <c r="GGB88" s="161"/>
      <c r="GGC88" s="161"/>
      <c r="GGD88" s="161"/>
      <c r="GGE88" s="161"/>
      <c r="GGF88" s="161"/>
      <c r="GGG88" s="176"/>
      <c r="GGH88" s="176"/>
      <c r="GGI88" s="176"/>
      <c r="GGJ88" s="161"/>
      <c r="GGK88" s="161"/>
      <c r="GGL88" s="161"/>
      <c r="GGM88" s="161"/>
      <c r="GGN88" s="161"/>
      <c r="GGO88" s="161"/>
      <c r="GGP88" s="176"/>
      <c r="GGQ88" s="176"/>
      <c r="GGR88" s="176"/>
      <c r="GGS88" s="161"/>
      <c r="GGT88" s="161"/>
      <c r="GGU88" s="161"/>
      <c r="GGV88" s="161"/>
      <c r="GGW88" s="161"/>
      <c r="GGX88" s="161"/>
      <c r="GGY88" s="176"/>
      <c r="GGZ88" s="176"/>
      <c r="GHA88" s="176"/>
      <c r="GHB88" s="161"/>
      <c r="GHC88" s="161"/>
      <c r="GHD88" s="161"/>
      <c r="GHE88" s="161"/>
      <c r="GHF88" s="161"/>
      <c r="GHG88" s="161"/>
      <c r="GHH88" s="176"/>
      <c r="GHI88" s="176"/>
      <c r="GHJ88" s="176"/>
      <c r="GHK88" s="161"/>
      <c r="GHL88" s="161"/>
      <c r="GHM88" s="161"/>
      <c r="GHN88" s="161"/>
      <c r="GHO88" s="161"/>
      <c r="GHP88" s="161"/>
      <c r="GHQ88" s="176"/>
      <c r="GHR88" s="176"/>
      <c r="GHS88" s="176"/>
      <c r="GHT88" s="161"/>
      <c r="GHU88" s="161"/>
      <c r="GHV88" s="161"/>
      <c r="GHW88" s="161"/>
      <c r="GHX88" s="161"/>
      <c r="GHY88" s="161"/>
      <c r="GHZ88" s="176"/>
      <c r="GIA88" s="176"/>
      <c r="GIB88" s="176"/>
      <c r="GIC88" s="161"/>
      <c r="GID88" s="161"/>
      <c r="GIE88" s="161"/>
      <c r="GIF88" s="161"/>
      <c r="GIG88" s="161"/>
      <c r="GIH88" s="161"/>
      <c r="GII88" s="176"/>
      <c r="GIJ88" s="176"/>
      <c r="GIK88" s="176"/>
      <c r="GIL88" s="161"/>
      <c r="GIM88" s="161"/>
      <c r="GIN88" s="161"/>
      <c r="GIO88" s="161"/>
      <c r="GIP88" s="161"/>
      <c r="GIQ88" s="161"/>
      <c r="GIR88" s="176"/>
      <c r="GIS88" s="176"/>
      <c r="GIT88" s="176"/>
      <c r="GIU88" s="161"/>
      <c r="GIV88" s="161"/>
      <c r="GIW88" s="161"/>
      <c r="GIX88" s="161"/>
      <c r="GIY88" s="161"/>
      <c r="GIZ88" s="161"/>
      <c r="GJA88" s="176"/>
      <c r="GJB88" s="176"/>
      <c r="GJC88" s="176"/>
      <c r="GJD88" s="161"/>
      <c r="GJE88" s="161"/>
      <c r="GJF88" s="161"/>
      <c r="GJG88" s="161"/>
      <c r="GJH88" s="161"/>
      <c r="GJI88" s="161"/>
      <c r="GJJ88" s="176"/>
      <c r="GJK88" s="176"/>
      <c r="GJL88" s="176"/>
      <c r="GJM88" s="161"/>
      <c r="GJN88" s="161"/>
      <c r="GJO88" s="161"/>
      <c r="GJP88" s="161"/>
      <c r="GJQ88" s="161"/>
      <c r="GJR88" s="161"/>
      <c r="GJS88" s="176"/>
      <c r="GJT88" s="176"/>
      <c r="GJU88" s="176"/>
      <c r="GJV88" s="161"/>
      <c r="GJW88" s="161"/>
      <c r="GJX88" s="161"/>
      <c r="GJY88" s="161"/>
      <c r="GJZ88" s="161"/>
      <c r="GKA88" s="161"/>
      <c r="GKB88" s="176"/>
      <c r="GKC88" s="176"/>
      <c r="GKD88" s="176"/>
      <c r="GKE88" s="161"/>
      <c r="GKF88" s="161"/>
      <c r="GKG88" s="161"/>
      <c r="GKH88" s="161"/>
      <c r="GKI88" s="161"/>
      <c r="GKJ88" s="161"/>
      <c r="GKK88" s="176"/>
      <c r="GKL88" s="176"/>
      <c r="GKM88" s="176"/>
      <c r="GKN88" s="161"/>
      <c r="GKO88" s="161"/>
      <c r="GKP88" s="161"/>
      <c r="GKQ88" s="161"/>
      <c r="GKR88" s="161"/>
      <c r="GKS88" s="161"/>
      <c r="GKT88" s="176"/>
      <c r="GKU88" s="176"/>
      <c r="GKV88" s="176"/>
      <c r="GKW88" s="161"/>
      <c r="GKX88" s="161"/>
      <c r="GKY88" s="161"/>
      <c r="GKZ88" s="161"/>
      <c r="GLA88" s="161"/>
      <c r="GLB88" s="161"/>
      <c r="GLC88" s="176"/>
      <c r="GLD88" s="176"/>
      <c r="GLE88" s="176"/>
      <c r="GLF88" s="161"/>
      <c r="GLG88" s="161"/>
      <c r="GLH88" s="161"/>
      <c r="GLI88" s="161"/>
      <c r="GLJ88" s="161"/>
      <c r="GLK88" s="161"/>
      <c r="GLL88" s="176"/>
      <c r="GLM88" s="176"/>
      <c r="GLN88" s="176"/>
      <c r="GLO88" s="161"/>
      <c r="GLP88" s="161"/>
      <c r="GLQ88" s="161"/>
      <c r="GLR88" s="161"/>
      <c r="GLS88" s="161"/>
      <c r="GLT88" s="161"/>
      <c r="GLU88" s="176"/>
      <c r="GLV88" s="176"/>
      <c r="GLW88" s="176"/>
      <c r="GLX88" s="161"/>
      <c r="GLY88" s="161"/>
      <c r="GLZ88" s="161"/>
      <c r="GMA88" s="161"/>
      <c r="GMB88" s="161"/>
      <c r="GMC88" s="161"/>
      <c r="GMD88" s="176"/>
      <c r="GME88" s="176"/>
      <c r="GMF88" s="176"/>
      <c r="GMG88" s="161"/>
      <c r="GMH88" s="161"/>
      <c r="GMI88" s="161"/>
      <c r="GMJ88" s="161"/>
      <c r="GMK88" s="161"/>
      <c r="GML88" s="161"/>
      <c r="GMM88" s="176"/>
      <c r="GMN88" s="176"/>
      <c r="GMO88" s="176"/>
      <c r="GMP88" s="161"/>
      <c r="GMQ88" s="161"/>
      <c r="GMR88" s="161"/>
      <c r="GMS88" s="161"/>
      <c r="GMT88" s="161"/>
      <c r="GMU88" s="161"/>
      <c r="GMV88" s="176"/>
      <c r="GMW88" s="176"/>
      <c r="GMX88" s="176"/>
      <c r="GMY88" s="161"/>
      <c r="GMZ88" s="161"/>
      <c r="GNA88" s="161"/>
      <c r="GNB88" s="161"/>
      <c r="GNC88" s="161"/>
      <c r="GND88" s="161"/>
      <c r="GNE88" s="176"/>
      <c r="GNF88" s="176"/>
      <c r="GNG88" s="176"/>
      <c r="GNH88" s="161"/>
      <c r="GNI88" s="161"/>
      <c r="GNJ88" s="161"/>
      <c r="GNK88" s="161"/>
      <c r="GNL88" s="161"/>
      <c r="GNM88" s="161"/>
      <c r="GNN88" s="176"/>
      <c r="GNO88" s="176"/>
      <c r="GNP88" s="176"/>
      <c r="GNQ88" s="161"/>
      <c r="GNR88" s="161"/>
      <c r="GNS88" s="161"/>
      <c r="GNT88" s="161"/>
      <c r="GNU88" s="161"/>
      <c r="GNV88" s="161"/>
      <c r="GNW88" s="176"/>
      <c r="GNX88" s="176"/>
      <c r="GNY88" s="176"/>
      <c r="GNZ88" s="161"/>
      <c r="GOA88" s="161"/>
      <c r="GOB88" s="161"/>
      <c r="GOC88" s="161"/>
      <c r="GOD88" s="161"/>
      <c r="GOE88" s="161"/>
      <c r="GOF88" s="176"/>
      <c r="GOG88" s="176"/>
      <c r="GOH88" s="176"/>
      <c r="GOI88" s="161"/>
      <c r="GOJ88" s="161"/>
      <c r="GOK88" s="161"/>
      <c r="GOL88" s="161"/>
      <c r="GOM88" s="161"/>
      <c r="GON88" s="161"/>
      <c r="GOO88" s="176"/>
      <c r="GOP88" s="176"/>
      <c r="GOQ88" s="176"/>
      <c r="GOR88" s="161"/>
      <c r="GOS88" s="161"/>
      <c r="GOT88" s="161"/>
      <c r="GOU88" s="161"/>
      <c r="GOV88" s="161"/>
      <c r="GOW88" s="161"/>
      <c r="GOX88" s="176"/>
      <c r="GOY88" s="176"/>
      <c r="GOZ88" s="176"/>
      <c r="GPA88" s="161"/>
      <c r="GPB88" s="161"/>
      <c r="GPC88" s="161"/>
      <c r="GPD88" s="161"/>
      <c r="GPE88" s="161"/>
      <c r="GPF88" s="161"/>
      <c r="GPG88" s="176"/>
      <c r="GPH88" s="176"/>
      <c r="GPI88" s="176"/>
      <c r="GPJ88" s="161"/>
      <c r="GPK88" s="161"/>
      <c r="GPL88" s="161"/>
      <c r="GPM88" s="161"/>
      <c r="GPN88" s="161"/>
      <c r="GPO88" s="161"/>
      <c r="GPP88" s="176"/>
      <c r="GPQ88" s="176"/>
      <c r="GPR88" s="176"/>
      <c r="GPS88" s="161"/>
      <c r="GPT88" s="161"/>
      <c r="GPU88" s="161"/>
      <c r="GPV88" s="161"/>
      <c r="GPW88" s="161"/>
      <c r="GPX88" s="161"/>
      <c r="GPY88" s="176"/>
      <c r="GPZ88" s="176"/>
      <c r="GQA88" s="176"/>
      <c r="GQB88" s="161"/>
      <c r="GQC88" s="161"/>
      <c r="GQD88" s="161"/>
      <c r="GQE88" s="161"/>
      <c r="GQF88" s="161"/>
      <c r="GQG88" s="161"/>
      <c r="GQH88" s="176"/>
      <c r="GQI88" s="176"/>
      <c r="GQJ88" s="176"/>
      <c r="GQK88" s="161"/>
      <c r="GQL88" s="161"/>
      <c r="GQM88" s="161"/>
      <c r="GQN88" s="161"/>
      <c r="GQO88" s="161"/>
      <c r="GQP88" s="161"/>
      <c r="GQQ88" s="176"/>
      <c r="GQR88" s="176"/>
      <c r="GQS88" s="176"/>
      <c r="GQT88" s="161"/>
      <c r="GQU88" s="161"/>
      <c r="GQV88" s="161"/>
      <c r="GQW88" s="161"/>
      <c r="GQX88" s="161"/>
      <c r="GQY88" s="161"/>
      <c r="GQZ88" s="176"/>
      <c r="GRA88" s="176"/>
      <c r="GRB88" s="176"/>
      <c r="GRC88" s="161"/>
      <c r="GRD88" s="161"/>
      <c r="GRE88" s="161"/>
      <c r="GRF88" s="161"/>
      <c r="GRG88" s="161"/>
      <c r="GRH88" s="161"/>
      <c r="GRI88" s="176"/>
      <c r="GRJ88" s="176"/>
      <c r="GRK88" s="176"/>
      <c r="GRL88" s="161"/>
      <c r="GRM88" s="161"/>
      <c r="GRN88" s="161"/>
      <c r="GRO88" s="161"/>
      <c r="GRP88" s="161"/>
      <c r="GRQ88" s="161"/>
      <c r="GRR88" s="176"/>
      <c r="GRS88" s="176"/>
      <c r="GRT88" s="176"/>
      <c r="GRU88" s="161"/>
      <c r="GRV88" s="161"/>
      <c r="GRW88" s="161"/>
      <c r="GRX88" s="161"/>
      <c r="GRY88" s="161"/>
      <c r="GRZ88" s="161"/>
      <c r="GSA88" s="176"/>
      <c r="GSB88" s="176"/>
      <c r="GSC88" s="176"/>
      <c r="GSD88" s="161"/>
      <c r="GSE88" s="161"/>
      <c r="GSF88" s="161"/>
      <c r="GSG88" s="161"/>
      <c r="GSH88" s="161"/>
      <c r="GSI88" s="161"/>
      <c r="GSJ88" s="176"/>
      <c r="GSK88" s="176"/>
      <c r="GSL88" s="176"/>
      <c r="GSM88" s="161"/>
      <c r="GSN88" s="161"/>
      <c r="GSO88" s="161"/>
      <c r="GSP88" s="161"/>
      <c r="GSQ88" s="161"/>
      <c r="GSR88" s="161"/>
      <c r="GSS88" s="176"/>
      <c r="GST88" s="176"/>
      <c r="GSU88" s="176"/>
      <c r="GSV88" s="161"/>
      <c r="GSW88" s="161"/>
      <c r="GSX88" s="161"/>
      <c r="GSY88" s="161"/>
      <c r="GSZ88" s="161"/>
      <c r="GTA88" s="161"/>
      <c r="GTB88" s="176"/>
      <c r="GTC88" s="176"/>
      <c r="GTD88" s="176"/>
      <c r="GTE88" s="161"/>
      <c r="GTF88" s="161"/>
      <c r="GTG88" s="161"/>
      <c r="GTH88" s="161"/>
      <c r="GTI88" s="161"/>
      <c r="GTJ88" s="161"/>
      <c r="GTK88" s="176"/>
      <c r="GTL88" s="176"/>
      <c r="GTM88" s="176"/>
      <c r="GTN88" s="161"/>
      <c r="GTO88" s="161"/>
      <c r="GTP88" s="161"/>
      <c r="GTQ88" s="161"/>
      <c r="GTR88" s="161"/>
      <c r="GTS88" s="161"/>
      <c r="GTT88" s="176"/>
      <c r="GTU88" s="176"/>
      <c r="GTV88" s="176"/>
      <c r="GTW88" s="161"/>
      <c r="GTX88" s="161"/>
      <c r="GTY88" s="161"/>
      <c r="GTZ88" s="161"/>
      <c r="GUA88" s="161"/>
      <c r="GUB88" s="161"/>
      <c r="GUC88" s="176"/>
      <c r="GUD88" s="176"/>
      <c r="GUE88" s="176"/>
      <c r="GUF88" s="161"/>
      <c r="GUG88" s="161"/>
      <c r="GUH88" s="161"/>
      <c r="GUI88" s="161"/>
      <c r="GUJ88" s="161"/>
      <c r="GUK88" s="161"/>
      <c r="GUL88" s="176"/>
      <c r="GUM88" s="176"/>
      <c r="GUN88" s="176"/>
      <c r="GUO88" s="161"/>
      <c r="GUP88" s="161"/>
      <c r="GUQ88" s="161"/>
      <c r="GUR88" s="161"/>
      <c r="GUS88" s="161"/>
      <c r="GUT88" s="161"/>
      <c r="GUU88" s="176"/>
      <c r="GUV88" s="176"/>
      <c r="GUW88" s="176"/>
      <c r="GUX88" s="161"/>
      <c r="GUY88" s="161"/>
      <c r="GUZ88" s="161"/>
      <c r="GVA88" s="161"/>
      <c r="GVB88" s="161"/>
      <c r="GVC88" s="161"/>
      <c r="GVD88" s="176"/>
      <c r="GVE88" s="176"/>
      <c r="GVF88" s="176"/>
      <c r="GVG88" s="161"/>
      <c r="GVH88" s="161"/>
      <c r="GVI88" s="161"/>
      <c r="GVJ88" s="161"/>
      <c r="GVK88" s="161"/>
      <c r="GVL88" s="161"/>
      <c r="GVM88" s="176"/>
      <c r="GVN88" s="176"/>
      <c r="GVO88" s="176"/>
      <c r="GVP88" s="161"/>
      <c r="GVQ88" s="161"/>
      <c r="GVR88" s="161"/>
      <c r="GVS88" s="161"/>
      <c r="GVT88" s="161"/>
      <c r="GVU88" s="161"/>
      <c r="GVV88" s="176"/>
      <c r="GVW88" s="176"/>
      <c r="GVX88" s="176"/>
      <c r="GVY88" s="161"/>
      <c r="GVZ88" s="161"/>
      <c r="GWA88" s="161"/>
      <c r="GWB88" s="161"/>
      <c r="GWC88" s="161"/>
      <c r="GWD88" s="161"/>
      <c r="GWE88" s="176"/>
      <c r="GWF88" s="176"/>
      <c r="GWG88" s="176"/>
      <c r="GWH88" s="161"/>
      <c r="GWI88" s="161"/>
      <c r="GWJ88" s="161"/>
      <c r="GWK88" s="161"/>
      <c r="GWL88" s="161"/>
      <c r="GWM88" s="161"/>
      <c r="GWN88" s="176"/>
      <c r="GWO88" s="176"/>
      <c r="GWP88" s="176"/>
      <c r="GWQ88" s="161"/>
      <c r="GWR88" s="161"/>
      <c r="GWS88" s="161"/>
      <c r="GWT88" s="161"/>
      <c r="GWU88" s="161"/>
      <c r="GWV88" s="161"/>
      <c r="GWW88" s="176"/>
      <c r="GWX88" s="176"/>
      <c r="GWY88" s="176"/>
      <c r="GWZ88" s="161"/>
      <c r="GXA88" s="161"/>
      <c r="GXB88" s="161"/>
      <c r="GXC88" s="161"/>
      <c r="GXD88" s="161"/>
      <c r="GXE88" s="161"/>
      <c r="GXF88" s="176"/>
      <c r="GXG88" s="176"/>
      <c r="GXH88" s="176"/>
      <c r="GXI88" s="161"/>
      <c r="GXJ88" s="161"/>
      <c r="GXK88" s="161"/>
      <c r="GXL88" s="161"/>
      <c r="GXM88" s="161"/>
      <c r="GXN88" s="161"/>
      <c r="GXO88" s="176"/>
      <c r="GXP88" s="176"/>
      <c r="GXQ88" s="176"/>
      <c r="GXR88" s="161"/>
      <c r="GXS88" s="161"/>
      <c r="GXT88" s="161"/>
      <c r="GXU88" s="161"/>
      <c r="GXV88" s="161"/>
      <c r="GXW88" s="161"/>
      <c r="GXX88" s="176"/>
      <c r="GXY88" s="176"/>
      <c r="GXZ88" s="176"/>
      <c r="GYA88" s="161"/>
      <c r="GYB88" s="161"/>
      <c r="GYC88" s="161"/>
      <c r="GYD88" s="161"/>
      <c r="GYE88" s="161"/>
      <c r="GYF88" s="161"/>
      <c r="GYG88" s="176"/>
      <c r="GYH88" s="176"/>
      <c r="GYI88" s="176"/>
      <c r="GYJ88" s="161"/>
      <c r="GYK88" s="161"/>
      <c r="GYL88" s="161"/>
      <c r="GYM88" s="161"/>
      <c r="GYN88" s="161"/>
      <c r="GYO88" s="161"/>
      <c r="GYP88" s="176"/>
      <c r="GYQ88" s="176"/>
      <c r="GYR88" s="176"/>
      <c r="GYS88" s="161"/>
      <c r="GYT88" s="161"/>
      <c r="GYU88" s="161"/>
      <c r="GYV88" s="161"/>
      <c r="GYW88" s="161"/>
      <c r="GYX88" s="161"/>
      <c r="GYY88" s="176"/>
      <c r="GYZ88" s="176"/>
      <c r="GZA88" s="176"/>
      <c r="GZB88" s="161"/>
      <c r="GZC88" s="161"/>
      <c r="GZD88" s="161"/>
      <c r="GZE88" s="161"/>
      <c r="GZF88" s="161"/>
      <c r="GZG88" s="161"/>
      <c r="GZH88" s="176"/>
      <c r="GZI88" s="176"/>
      <c r="GZJ88" s="176"/>
      <c r="GZK88" s="161"/>
      <c r="GZL88" s="161"/>
      <c r="GZM88" s="161"/>
      <c r="GZN88" s="161"/>
      <c r="GZO88" s="161"/>
      <c r="GZP88" s="161"/>
      <c r="GZQ88" s="176"/>
      <c r="GZR88" s="176"/>
      <c r="GZS88" s="176"/>
      <c r="GZT88" s="161"/>
      <c r="GZU88" s="161"/>
      <c r="GZV88" s="161"/>
      <c r="GZW88" s="161"/>
      <c r="GZX88" s="161"/>
      <c r="GZY88" s="161"/>
      <c r="GZZ88" s="176"/>
      <c r="HAA88" s="176"/>
      <c r="HAB88" s="176"/>
      <c r="HAC88" s="161"/>
      <c r="HAD88" s="161"/>
      <c r="HAE88" s="161"/>
      <c r="HAF88" s="161"/>
      <c r="HAG88" s="161"/>
      <c r="HAH88" s="161"/>
      <c r="HAI88" s="176"/>
      <c r="HAJ88" s="176"/>
      <c r="HAK88" s="176"/>
      <c r="HAL88" s="161"/>
      <c r="HAM88" s="161"/>
      <c r="HAN88" s="161"/>
      <c r="HAO88" s="161"/>
      <c r="HAP88" s="161"/>
      <c r="HAQ88" s="161"/>
      <c r="HAR88" s="176"/>
      <c r="HAS88" s="176"/>
      <c r="HAT88" s="176"/>
      <c r="HAU88" s="161"/>
      <c r="HAV88" s="161"/>
      <c r="HAW88" s="161"/>
      <c r="HAX88" s="161"/>
      <c r="HAY88" s="161"/>
      <c r="HAZ88" s="161"/>
      <c r="HBA88" s="176"/>
      <c r="HBB88" s="176"/>
      <c r="HBC88" s="176"/>
      <c r="HBD88" s="161"/>
      <c r="HBE88" s="161"/>
      <c r="HBF88" s="161"/>
      <c r="HBG88" s="161"/>
      <c r="HBH88" s="161"/>
      <c r="HBI88" s="161"/>
      <c r="HBJ88" s="176"/>
      <c r="HBK88" s="176"/>
      <c r="HBL88" s="176"/>
      <c r="HBM88" s="161"/>
      <c r="HBN88" s="161"/>
      <c r="HBO88" s="161"/>
      <c r="HBP88" s="161"/>
      <c r="HBQ88" s="161"/>
      <c r="HBR88" s="161"/>
      <c r="HBS88" s="176"/>
      <c r="HBT88" s="176"/>
      <c r="HBU88" s="176"/>
      <c r="HBV88" s="161"/>
      <c r="HBW88" s="161"/>
      <c r="HBX88" s="161"/>
      <c r="HBY88" s="161"/>
      <c r="HBZ88" s="161"/>
      <c r="HCA88" s="161"/>
      <c r="HCB88" s="176"/>
      <c r="HCC88" s="176"/>
      <c r="HCD88" s="176"/>
      <c r="HCE88" s="161"/>
      <c r="HCF88" s="161"/>
      <c r="HCG88" s="161"/>
      <c r="HCH88" s="161"/>
      <c r="HCI88" s="161"/>
      <c r="HCJ88" s="161"/>
      <c r="HCK88" s="176"/>
      <c r="HCL88" s="176"/>
      <c r="HCM88" s="176"/>
      <c r="HCN88" s="161"/>
      <c r="HCO88" s="161"/>
      <c r="HCP88" s="161"/>
      <c r="HCQ88" s="161"/>
      <c r="HCR88" s="161"/>
      <c r="HCS88" s="161"/>
      <c r="HCT88" s="176"/>
      <c r="HCU88" s="176"/>
      <c r="HCV88" s="176"/>
      <c r="HCW88" s="161"/>
      <c r="HCX88" s="161"/>
      <c r="HCY88" s="161"/>
      <c r="HCZ88" s="161"/>
      <c r="HDA88" s="161"/>
      <c r="HDB88" s="161"/>
      <c r="HDC88" s="176"/>
      <c r="HDD88" s="176"/>
      <c r="HDE88" s="176"/>
      <c r="HDF88" s="161"/>
      <c r="HDG88" s="161"/>
      <c r="HDH88" s="161"/>
      <c r="HDI88" s="161"/>
      <c r="HDJ88" s="161"/>
      <c r="HDK88" s="161"/>
      <c r="HDL88" s="176"/>
      <c r="HDM88" s="176"/>
      <c r="HDN88" s="176"/>
      <c r="HDO88" s="161"/>
      <c r="HDP88" s="161"/>
      <c r="HDQ88" s="161"/>
      <c r="HDR88" s="161"/>
      <c r="HDS88" s="161"/>
      <c r="HDT88" s="161"/>
      <c r="HDU88" s="176"/>
      <c r="HDV88" s="176"/>
      <c r="HDW88" s="176"/>
      <c r="HDX88" s="161"/>
      <c r="HDY88" s="161"/>
      <c r="HDZ88" s="161"/>
      <c r="HEA88" s="161"/>
      <c r="HEB88" s="161"/>
      <c r="HEC88" s="161"/>
      <c r="HED88" s="176"/>
      <c r="HEE88" s="176"/>
      <c r="HEF88" s="176"/>
      <c r="HEG88" s="161"/>
      <c r="HEH88" s="161"/>
      <c r="HEI88" s="161"/>
      <c r="HEJ88" s="161"/>
      <c r="HEK88" s="161"/>
      <c r="HEL88" s="161"/>
      <c r="HEM88" s="176"/>
      <c r="HEN88" s="176"/>
      <c r="HEO88" s="176"/>
      <c r="HEP88" s="161"/>
      <c r="HEQ88" s="161"/>
      <c r="HER88" s="161"/>
      <c r="HES88" s="161"/>
      <c r="HET88" s="161"/>
      <c r="HEU88" s="161"/>
      <c r="HEV88" s="176"/>
      <c r="HEW88" s="176"/>
      <c r="HEX88" s="176"/>
      <c r="HEY88" s="161"/>
      <c r="HEZ88" s="161"/>
      <c r="HFA88" s="161"/>
      <c r="HFB88" s="161"/>
      <c r="HFC88" s="161"/>
      <c r="HFD88" s="161"/>
      <c r="HFE88" s="176"/>
      <c r="HFF88" s="176"/>
      <c r="HFG88" s="176"/>
      <c r="HFH88" s="161"/>
      <c r="HFI88" s="161"/>
      <c r="HFJ88" s="161"/>
      <c r="HFK88" s="161"/>
      <c r="HFL88" s="161"/>
      <c r="HFM88" s="161"/>
      <c r="HFN88" s="176"/>
      <c r="HFO88" s="176"/>
      <c r="HFP88" s="176"/>
      <c r="HFQ88" s="161"/>
      <c r="HFR88" s="161"/>
      <c r="HFS88" s="161"/>
      <c r="HFT88" s="161"/>
      <c r="HFU88" s="161"/>
      <c r="HFV88" s="161"/>
      <c r="HFW88" s="176"/>
      <c r="HFX88" s="176"/>
      <c r="HFY88" s="176"/>
      <c r="HFZ88" s="161"/>
      <c r="HGA88" s="161"/>
      <c r="HGB88" s="161"/>
      <c r="HGC88" s="161"/>
      <c r="HGD88" s="161"/>
      <c r="HGE88" s="161"/>
      <c r="HGF88" s="176"/>
      <c r="HGG88" s="176"/>
      <c r="HGH88" s="176"/>
      <c r="HGI88" s="161"/>
      <c r="HGJ88" s="161"/>
      <c r="HGK88" s="161"/>
      <c r="HGL88" s="161"/>
      <c r="HGM88" s="161"/>
      <c r="HGN88" s="161"/>
      <c r="HGO88" s="176"/>
      <c r="HGP88" s="176"/>
      <c r="HGQ88" s="176"/>
      <c r="HGR88" s="161"/>
      <c r="HGS88" s="161"/>
      <c r="HGT88" s="161"/>
      <c r="HGU88" s="161"/>
      <c r="HGV88" s="161"/>
      <c r="HGW88" s="161"/>
      <c r="HGX88" s="176"/>
      <c r="HGY88" s="176"/>
      <c r="HGZ88" s="176"/>
      <c r="HHA88" s="161"/>
      <c r="HHB88" s="161"/>
      <c r="HHC88" s="161"/>
      <c r="HHD88" s="161"/>
      <c r="HHE88" s="161"/>
      <c r="HHF88" s="161"/>
      <c r="HHG88" s="176"/>
      <c r="HHH88" s="176"/>
      <c r="HHI88" s="176"/>
      <c r="HHJ88" s="161"/>
      <c r="HHK88" s="161"/>
      <c r="HHL88" s="161"/>
      <c r="HHM88" s="161"/>
      <c r="HHN88" s="161"/>
      <c r="HHO88" s="161"/>
      <c r="HHP88" s="176"/>
      <c r="HHQ88" s="176"/>
      <c r="HHR88" s="176"/>
      <c r="HHS88" s="161"/>
      <c r="HHT88" s="161"/>
      <c r="HHU88" s="161"/>
      <c r="HHV88" s="161"/>
      <c r="HHW88" s="161"/>
      <c r="HHX88" s="161"/>
      <c r="HHY88" s="176"/>
      <c r="HHZ88" s="176"/>
      <c r="HIA88" s="176"/>
      <c r="HIB88" s="161"/>
      <c r="HIC88" s="161"/>
      <c r="HID88" s="161"/>
      <c r="HIE88" s="161"/>
      <c r="HIF88" s="161"/>
      <c r="HIG88" s="161"/>
      <c r="HIH88" s="176"/>
      <c r="HII88" s="176"/>
      <c r="HIJ88" s="176"/>
      <c r="HIK88" s="161"/>
      <c r="HIL88" s="161"/>
      <c r="HIM88" s="161"/>
      <c r="HIN88" s="161"/>
      <c r="HIO88" s="161"/>
      <c r="HIP88" s="161"/>
      <c r="HIQ88" s="176"/>
      <c r="HIR88" s="176"/>
      <c r="HIS88" s="176"/>
      <c r="HIT88" s="161"/>
      <c r="HIU88" s="161"/>
      <c r="HIV88" s="161"/>
      <c r="HIW88" s="161"/>
      <c r="HIX88" s="161"/>
      <c r="HIY88" s="161"/>
      <c r="HIZ88" s="176"/>
      <c r="HJA88" s="176"/>
      <c r="HJB88" s="176"/>
      <c r="HJC88" s="161"/>
      <c r="HJD88" s="161"/>
      <c r="HJE88" s="161"/>
      <c r="HJF88" s="161"/>
      <c r="HJG88" s="161"/>
      <c r="HJH88" s="161"/>
      <c r="HJI88" s="176"/>
      <c r="HJJ88" s="176"/>
      <c r="HJK88" s="176"/>
      <c r="HJL88" s="161"/>
      <c r="HJM88" s="161"/>
      <c r="HJN88" s="161"/>
      <c r="HJO88" s="161"/>
      <c r="HJP88" s="161"/>
      <c r="HJQ88" s="161"/>
      <c r="HJR88" s="176"/>
      <c r="HJS88" s="176"/>
      <c r="HJT88" s="176"/>
      <c r="HJU88" s="161"/>
      <c r="HJV88" s="161"/>
      <c r="HJW88" s="161"/>
      <c r="HJX88" s="161"/>
      <c r="HJY88" s="161"/>
      <c r="HJZ88" s="161"/>
      <c r="HKA88" s="176"/>
      <c r="HKB88" s="176"/>
      <c r="HKC88" s="176"/>
      <c r="HKD88" s="161"/>
      <c r="HKE88" s="161"/>
      <c r="HKF88" s="161"/>
      <c r="HKG88" s="161"/>
      <c r="HKH88" s="161"/>
      <c r="HKI88" s="161"/>
      <c r="HKJ88" s="176"/>
      <c r="HKK88" s="176"/>
      <c r="HKL88" s="176"/>
      <c r="HKM88" s="161"/>
      <c r="HKN88" s="161"/>
      <c r="HKO88" s="161"/>
      <c r="HKP88" s="161"/>
      <c r="HKQ88" s="161"/>
      <c r="HKR88" s="161"/>
      <c r="HKS88" s="176"/>
      <c r="HKT88" s="176"/>
      <c r="HKU88" s="176"/>
      <c r="HKV88" s="161"/>
      <c r="HKW88" s="161"/>
      <c r="HKX88" s="161"/>
      <c r="HKY88" s="161"/>
      <c r="HKZ88" s="161"/>
      <c r="HLA88" s="161"/>
      <c r="HLB88" s="176"/>
      <c r="HLC88" s="176"/>
      <c r="HLD88" s="176"/>
      <c r="HLE88" s="161"/>
      <c r="HLF88" s="161"/>
      <c r="HLG88" s="161"/>
      <c r="HLH88" s="161"/>
      <c r="HLI88" s="161"/>
      <c r="HLJ88" s="161"/>
      <c r="HLK88" s="176"/>
      <c r="HLL88" s="176"/>
      <c r="HLM88" s="176"/>
      <c r="HLN88" s="161"/>
      <c r="HLO88" s="161"/>
      <c r="HLP88" s="161"/>
      <c r="HLQ88" s="161"/>
      <c r="HLR88" s="161"/>
      <c r="HLS88" s="161"/>
      <c r="HLT88" s="176"/>
      <c r="HLU88" s="176"/>
      <c r="HLV88" s="176"/>
      <c r="HLW88" s="161"/>
      <c r="HLX88" s="161"/>
      <c r="HLY88" s="161"/>
      <c r="HLZ88" s="161"/>
      <c r="HMA88" s="161"/>
      <c r="HMB88" s="161"/>
      <c r="HMC88" s="176"/>
      <c r="HMD88" s="176"/>
      <c r="HME88" s="176"/>
      <c r="HMF88" s="161"/>
      <c r="HMG88" s="161"/>
      <c r="HMH88" s="161"/>
      <c r="HMI88" s="161"/>
      <c r="HMJ88" s="161"/>
      <c r="HMK88" s="161"/>
      <c r="HML88" s="176"/>
      <c r="HMM88" s="176"/>
      <c r="HMN88" s="176"/>
      <c r="HMO88" s="161"/>
      <c r="HMP88" s="161"/>
      <c r="HMQ88" s="161"/>
      <c r="HMR88" s="161"/>
      <c r="HMS88" s="161"/>
      <c r="HMT88" s="161"/>
      <c r="HMU88" s="176"/>
      <c r="HMV88" s="176"/>
      <c r="HMW88" s="176"/>
      <c r="HMX88" s="161"/>
      <c r="HMY88" s="161"/>
      <c r="HMZ88" s="161"/>
      <c r="HNA88" s="161"/>
      <c r="HNB88" s="161"/>
      <c r="HNC88" s="161"/>
      <c r="HND88" s="176"/>
      <c r="HNE88" s="176"/>
      <c r="HNF88" s="176"/>
      <c r="HNG88" s="161"/>
      <c r="HNH88" s="161"/>
      <c r="HNI88" s="161"/>
      <c r="HNJ88" s="161"/>
      <c r="HNK88" s="161"/>
      <c r="HNL88" s="161"/>
      <c r="HNM88" s="176"/>
      <c r="HNN88" s="176"/>
      <c r="HNO88" s="176"/>
      <c r="HNP88" s="161"/>
      <c r="HNQ88" s="161"/>
      <c r="HNR88" s="161"/>
      <c r="HNS88" s="161"/>
      <c r="HNT88" s="161"/>
      <c r="HNU88" s="161"/>
      <c r="HNV88" s="176"/>
      <c r="HNW88" s="176"/>
      <c r="HNX88" s="176"/>
      <c r="HNY88" s="161"/>
      <c r="HNZ88" s="161"/>
      <c r="HOA88" s="161"/>
      <c r="HOB88" s="161"/>
      <c r="HOC88" s="161"/>
      <c r="HOD88" s="161"/>
      <c r="HOE88" s="176"/>
      <c r="HOF88" s="176"/>
      <c r="HOG88" s="176"/>
      <c r="HOH88" s="161"/>
      <c r="HOI88" s="161"/>
      <c r="HOJ88" s="161"/>
      <c r="HOK88" s="161"/>
      <c r="HOL88" s="161"/>
      <c r="HOM88" s="161"/>
      <c r="HON88" s="176"/>
      <c r="HOO88" s="176"/>
      <c r="HOP88" s="176"/>
      <c r="HOQ88" s="161"/>
      <c r="HOR88" s="161"/>
      <c r="HOS88" s="161"/>
      <c r="HOT88" s="161"/>
      <c r="HOU88" s="161"/>
      <c r="HOV88" s="161"/>
      <c r="HOW88" s="176"/>
      <c r="HOX88" s="176"/>
      <c r="HOY88" s="176"/>
      <c r="HOZ88" s="161"/>
      <c r="HPA88" s="161"/>
      <c r="HPB88" s="161"/>
      <c r="HPC88" s="161"/>
      <c r="HPD88" s="161"/>
      <c r="HPE88" s="161"/>
      <c r="HPF88" s="176"/>
      <c r="HPG88" s="176"/>
      <c r="HPH88" s="176"/>
      <c r="HPI88" s="161"/>
      <c r="HPJ88" s="161"/>
      <c r="HPK88" s="161"/>
      <c r="HPL88" s="161"/>
      <c r="HPM88" s="161"/>
      <c r="HPN88" s="161"/>
      <c r="HPO88" s="176"/>
      <c r="HPP88" s="176"/>
      <c r="HPQ88" s="176"/>
      <c r="HPR88" s="161"/>
      <c r="HPS88" s="161"/>
      <c r="HPT88" s="161"/>
      <c r="HPU88" s="161"/>
      <c r="HPV88" s="161"/>
      <c r="HPW88" s="161"/>
      <c r="HPX88" s="176"/>
      <c r="HPY88" s="176"/>
      <c r="HPZ88" s="176"/>
      <c r="HQA88" s="161"/>
      <c r="HQB88" s="161"/>
      <c r="HQC88" s="161"/>
      <c r="HQD88" s="161"/>
      <c r="HQE88" s="161"/>
      <c r="HQF88" s="161"/>
      <c r="HQG88" s="176"/>
      <c r="HQH88" s="176"/>
      <c r="HQI88" s="176"/>
      <c r="HQJ88" s="161"/>
      <c r="HQK88" s="161"/>
      <c r="HQL88" s="161"/>
      <c r="HQM88" s="161"/>
      <c r="HQN88" s="161"/>
      <c r="HQO88" s="161"/>
      <c r="HQP88" s="176"/>
      <c r="HQQ88" s="176"/>
      <c r="HQR88" s="176"/>
      <c r="HQS88" s="161"/>
      <c r="HQT88" s="161"/>
      <c r="HQU88" s="161"/>
      <c r="HQV88" s="161"/>
      <c r="HQW88" s="161"/>
      <c r="HQX88" s="161"/>
      <c r="HQY88" s="176"/>
      <c r="HQZ88" s="176"/>
      <c r="HRA88" s="176"/>
      <c r="HRB88" s="161"/>
      <c r="HRC88" s="161"/>
      <c r="HRD88" s="161"/>
      <c r="HRE88" s="161"/>
      <c r="HRF88" s="161"/>
      <c r="HRG88" s="161"/>
      <c r="HRH88" s="176"/>
      <c r="HRI88" s="176"/>
      <c r="HRJ88" s="176"/>
      <c r="HRK88" s="161"/>
      <c r="HRL88" s="161"/>
      <c r="HRM88" s="161"/>
      <c r="HRN88" s="161"/>
      <c r="HRO88" s="161"/>
      <c r="HRP88" s="161"/>
      <c r="HRQ88" s="176"/>
      <c r="HRR88" s="176"/>
      <c r="HRS88" s="176"/>
      <c r="HRT88" s="161"/>
      <c r="HRU88" s="161"/>
      <c r="HRV88" s="161"/>
      <c r="HRW88" s="161"/>
      <c r="HRX88" s="161"/>
      <c r="HRY88" s="161"/>
      <c r="HRZ88" s="176"/>
      <c r="HSA88" s="176"/>
      <c r="HSB88" s="176"/>
      <c r="HSC88" s="161"/>
      <c r="HSD88" s="161"/>
      <c r="HSE88" s="161"/>
      <c r="HSF88" s="161"/>
      <c r="HSG88" s="161"/>
      <c r="HSH88" s="161"/>
      <c r="HSI88" s="176"/>
      <c r="HSJ88" s="176"/>
      <c r="HSK88" s="176"/>
      <c r="HSL88" s="161"/>
      <c r="HSM88" s="161"/>
      <c r="HSN88" s="161"/>
      <c r="HSO88" s="161"/>
      <c r="HSP88" s="161"/>
      <c r="HSQ88" s="161"/>
      <c r="HSR88" s="176"/>
      <c r="HSS88" s="176"/>
      <c r="HST88" s="176"/>
      <c r="HSU88" s="161"/>
      <c r="HSV88" s="161"/>
      <c r="HSW88" s="161"/>
      <c r="HSX88" s="161"/>
      <c r="HSY88" s="161"/>
      <c r="HSZ88" s="161"/>
      <c r="HTA88" s="176"/>
      <c r="HTB88" s="176"/>
      <c r="HTC88" s="176"/>
      <c r="HTD88" s="161"/>
      <c r="HTE88" s="161"/>
      <c r="HTF88" s="161"/>
      <c r="HTG88" s="161"/>
      <c r="HTH88" s="161"/>
      <c r="HTI88" s="161"/>
      <c r="HTJ88" s="176"/>
      <c r="HTK88" s="176"/>
      <c r="HTL88" s="176"/>
      <c r="HTM88" s="161"/>
      <c r="HTN88" s="161"/>
      <c r="HTO88" s="161"/>
      <c r="HTP88" s="161"/>
      <c r="HTQ88" s="161"/>
      <c r="HTR88" s="161"/>
      <c r="HTS88" s="176"/>
      <c r="HTT88" s="176"/>
      <c r="HTU88" s="176"/>
      <c r="HTV88" s="161"/>
      <c r="HTW88" s="161"/>
      <c r="HTX88" s="161"/>
      <c r="HTY88" s="161"/>
      <c r="HTZ88" s="161"/>
      <c r="HUA88" s="161"/>
      <c r="HUB88" s="176"/>
      <c r="HUC88" s="176"/>
      <c r="HUD88" s="176"/>
      <c r="HUE88" s="161"/>
      <c r="HUF88" s="161"/>
      <c r="HUG88" s="161"/>
      <c r="HUH88" s="161"/>
      <c r="HUI88" s="161"/>
      <c r="HUJ88" s="161"/>
      <c r="HUK88" s="176"/>
      <c r="HUL88" s="176"/>
      <c r="HUM88" s="176"/>
      <c r="HUN88" s="161"/>
      <c r="HUO88" s="161"/>
      <c r="HUP88" s="161"/>
      <c r="HUQ88" s="161"/>
      <c r="HUR88" s="161"/>
      <c r="HUS88" s="161"/>
      <c r="HUT88" s="176"/>
      <c r="HUU88" s="176"/>
      <c r="HUV88" s="176"/>
      <c r="HUW88" s="161"/>
      <c r="HUX88" s="161"/>
      <c r="HUY88" s="161"/>
      <c r="HUZ88" s="161"/>
      <c r="HVA88" s="161"/>
      <c r="HVB88" s="161"/>
      <c r="HVC88" s="176"/>
      <c r="HVD88" s="176"/>
      <c r="HVE88" s="176"/>
      <c r="HVF88" s="161"/>
      <c r="HVG88" s="161"/>
      <c r="HVH88" s="161"/>
      <c r="HVI88" s="161"/>
      <c r="HVJ88" s="161"/>
      <c r="HVK88" s="161"/>
      <c r="HVL88" s="176"/>
      <c r="HVM88" s="176"/>
      <c r="HVN88" s="176"/>
      <c r="HVO88" s="161"/>
      <c r="HVP88" s="161"/>
      <c r="HVQ88" s="161"/>
      <c r="HVR88" s="161"/>
      <c r="HVS88" s="161"/>
      <c r="HVT88" s="161"/>
      <c r="HVU88" s="176"/>
      <c r="HVV88" s="176"/>
      <c r="HVW88" s="176"/>
      <c r="HVX88" s="161"/>
      <c r="HVY88" s="161"/>
      <c r="HVZ88" s="161"/>
      <c r="HWA88" s="161"/>
      <c r="HWB88" s="161"/>
      <c r="HWC88" s="161"/>
      <c r="HWD88" s="176"/>
      <c r="HWE88" s="176"/>
      <c r="HWF88" s="176"/>
      <c r="HWG88" s="161"/>
      <c r="HWH88" s="161"/>
      <c r="HWI88" s="161"/>
      <c r="HWJ88" s="161"/>
      <c r="HWK88" s="161"/>
      <c r="HWL88" s="161"/>
      <c r="HWM88" s="176"/>
      <c r="HWN88" s="176"/>
      <c r="HWO88" s="176"/>
      <c r="HWP88" s="161"/>
      <c r="HWQ88" s="161"/>
      <c r="HWR88" s="161"/>
      <c r="HWS88" s="161"/>
      <c r="HWT88" s="161"/>
      <c r="HWU88" s="161"/>
      <c r="HWV88" s="176"/>
      <c r="HWW88" s="176"/>
      <c r="HWX88" s="176"/>
      <c r="HWY88" s="161"/>
      <c r="HWZ88" s="161"/>
      <c r="HXA88" s="161"/>
      <c r="HXB88" s="161"/>
      <c r="HXC88" s="161"/>
      <c r="HXD88" s="161"/>
      <c r="HXE88" s="176"/>
      <c r="HXF88" s="176"/>
      <c r="HXG88" s="176"/>
      <c r="HXH88" s="161"/>
      <c r="HXI88" s="161"/>
      <c r="HXJ88" s="161"/>
      <c r="HXK88" s="161"/>
      <c r="HXL88" s="161"/>
      <c r="HXM88" s="161"/>
      <c r="HXN88" s="176"/>
      <c r="HXO88" s="176"/>
      <c r="HXP88" s="176"/>
      <c r="HXQ88" s="161"/>
      <c r="HXR88" s="161"/>
      <c r="HXS88" s="161"/>
      <c r="HXT88" s="161"/>
      <c r="HXU88" s="161"/>
      <c r="HXV88" s="161"/>
      <c r="HXW88" s="176"/>
      <c r="HXX88" s="176"/>
      <c r="HXY88" s="176"/>
      <c r="HXZ88" s="161"/>
      <c r="HYA88" s="161"/>
      <c r="HYB88" s="161"/>
      <c r="HYC88" s="161"/>
      <c r="HYD88" s="161"/>
      <c r="HYE88" s="161"/>
      <c r="HYF88" s="176"/>
      <c r="HYG88" s="176"/>
      <c r="HYH88" s="176"/>
      <c r="HYI88" s="161"/>
      <c r="HYJ88" s="161"/>
      <c r="HYK88" s="161"/>
      <c r="HYL88" s="161"/>
      <c r="HYM88" s="161"/>
      <c r="HYN88" s="161"/>
      <c r="HYO88" s="176"/>
      <c r="HYP88" s="176"/>
      <c r="HYQ88" s="176"/>
      <c r="HYR88" s="161"/>
      <c r="HYS88" s="161"/>
      <c r="HYT88" s="161"/>
      <c r="HYU88" s="161"/>
      <c r="HYV88" s="161"/>
      <c r="HYW88" s="161"/>
      <c r="HYX88" s="176"/>
      <c r="HYY88" s="176"/>
      <c r="HYZ88" s="176"/>
      <c r="HZA88" s="161"/>
      <c r="HZB88" s="161"/>
      <c r="HZC88" s="161"/>
      <c r="HZD88" s="161"/>
      <c r="HZE88" s="161"/>
      <c r="HZF88" s="161"/>
      <c r="HZG88" s="176"/>
      <c r="HZH88" s="176"/>
      <c r="HZI88" s="176"/>
      <c r="HZJ88" s="161"/>
      <c r="HZK88" s="161"/>
      <c r="HZL88" s="161"/>
      <c r="HZM88" s="161"/>
      <c r="HZN88" s="161"/>
      <c r="HZO88" s="161"/>
      <c r="HZP88" s="176"/>
      <c r="HZQ88" s="176"/>
      <c r="HZR88" s="176"/>
      <c r="HZS88" s="161"/>
      <c r="HZT88" s="161"/>
      <c r="HZU88" s="161"/>
      <c r="HZV88" s="161"/>
      <c r="HZW88" s="161"/>
      <c r="HZX88" s="161"/>
      <c r="HZY88" s="176"/>
      <c r="HZZ88" s="176"/>
      <c r="IAA88" s="176"/>
      <c r="IAB88" s="161"/>
      <c r="IAC88" s="161"/>
      <c r="IAD88" s="161"/>
      <c r="IAE88" s="161"/>
      <c r="IAF88" s="161"/>
      <c r="IAG88" s="161"/>
      <c r="IAH88" s="176"/>
      <c r="IAI88" s="176"/>
      <c r="IAJ88" s="176"/>
      <c r="IAK88" s="161"/>
      <c r="IAL88" s="161"/>
      <c r="IAM88" s="161"/>
      <c r="IAN88" s="161"/>
      <c r="IAO88" s="161"/>
      <c r="IAP88" s="161"/>
      <c r="IAQ88" s="176"/>
      <c r="IAR88" s="176"/>
      <c r="IAS88" s="176"/>
      <c r="IAT88" s="161"/>
      <c r="IAU88" s="161"/>
      <c r="IAV88" s="161"/>
      <c r="IAW88" s="161"/>
      <c r="IAX88" s="161"/>
      <c r="IAY88" s="161"/>
      <c r="IAZ88" s="176"/>
      <c r="IBA88" s="176"/>
      <c r="IBB88" s="176"/>
      <c r="IBC88" s="161"/>
      <c r="IBD88" s="161"/>
      <c r="IBE88" s="161"/>
      <c r="IBF88" s="161"/>
      <c r="IBG88" s="161"/>
      <c r="IBH88" s="161"/>
      <c r="IBI88" s="176"/>
      <c r="IBJ88" s="176"/>
      <c r="IBK88" s="176"/>
      <c r="IBL88" s="161"/>
      <c r="IBM88" s="161"/>
      <c r="IBN88" s="161"/>
      <c r="IBO88" s="161"/>
      <c r="IBP88" s="161"/>
      <c r="IBQ88" s="161"/>
      <c r="IBR88" s="176"/>
      <c r="IBS88" s="176"/>
      <c r="IBT88" s="176"/>
      <c r="IBU88" s="161"/>
      <c r="IBV88" s="161"/>
      <c r="IBW88" s="161"/>
      <c r="IBX88" s="161"/>
      <c r="IBY88" s="161"/>
      <c r="IBZ88" s="161"/>
      <c r="ICA88" s="176"/>
      <c r="ICB88" s="176"/>
      <c r="ICC88" s="176"/>
      <c r="ICD88" s="161"/>
      <c r="ICE88" s="161"/>
      <c r="ICF88" s="161"/>
      <c r="ICG88" s="161"/>
      <c r="ICH88" s="161"/>
      <c r="ICI88" s="161"/>
      <c r="ICJ88" s="176"/>
      <c r="ICK88" s="176"/>
      <c r="ICL88" s="176"/>
      <c r="ICM88" s="161"/>
      <c r="ICN88" s="161"/>
      <c r="ICO88" s="161"/>
      <c r="ICP88" s="161"/>
      <c r="ICQ88" s="161"/>
      <c r="ICR88" s="161"/>
      <c r="ICS88" s="176"/>
      <c r="ICT88" s="176"/>
      <c r="ICU88" s="176"/>
      <c r="ICV88" s="161"/>
      <c r="ICW88" s="161"/>
      <c r="ICX88" s="161"/>
      <c r="ICY88" s="161"/>
      <c r="ICZ88" s="161"/>
      <c r="IDA88" s="161"/>
      <c r="IDB88" s="176"/>
      <c r="IDC88" s="176"/>
      <c r="IDD88" s="176"/>
      <c r="IDE88" s="161"/>
      <c r="IDF88" s="161"/>
      <c r="IDG88" s="161"/>
      <c r="IDH88" s="161"/>
      <c r="IDI88" s="161"/>
      <c r="IDJ88" s="161"/>
      <c r="IDK88" s="176"/>
      <c r="IDL88" s="176"/>
      <c r="IDM88" s="176"/>
      <c r="IDN88" s="161"/>
      <c r="IDO88" s="161"/>
      <c r="IDP88" s="161"/>
      <c r="IDQ88" s="161"/>
      <c r="IDR88" s="161"/>
      <c r="IDS88" s="161"/>
      <c r="IDT88" s="176"/>
      <c r="IDU88" s="176"/>
      <c r="IDV88" s="176"/>
      <c r="IDW88" s="161"/>
      <c r="IDX88" s="161"/>
      <c r="IDY88" s="161"/>
      <c r="IDZ88" s="161"/>
      <c r="IEA88" s="161"/>
      <c r="IEB88" s="161"/>
      <c r="IEC88" s="176"/>
      <c r="IED88" s="176"/>
      <c r="IEE88" s="176"/>
      <c r="IEF88" s="161"/>
      <c r="IEG88" s="161"/>
      <c r="IEH88" s="161"/>
      <c r="IEI88" s="161"/>
      <c r="IEJ88" s="161"/>
      <c r="IEK88" s="161"/>
      <c r="IEL88" s="176"/>
      <c r="IEM88" s="176"/>
      <c r="IEN88" s="176"/>
      <c r="IEO88" s="161"/>
      <c r="IEP88" s="161"/>
      <c r="IEQ88" s="161"/>
      <c r="IER88" s="161"/>
      <c r="IES88" s="161"/>
      <c r="IET88" s="161"/>
      <c r="IEU88" s="176"/>
      <c r="IEV88" s="176"/>
      <c r="IEW88" s="176"/>
      <c r="IEX88" s="161"/>
      <c r="IEY88" s="161"/>
      <c r="IEZ88" s="161"/>
      <c r="IFA88" s="161"/>
      <c r="IFB88" s="161"/>
      <c r="IFC88" s="161"/>
      <c r="IFD88" s="176"/>
      <c r="IFE88" s="176"/>
      <c r="IFF88" s="176"/>
      <c r="IFG88" s="161"/>
      <c r="IFH88" s="161"/>
      <c r="IFI88" s="161"/>
      <c r="IFJ88" s="161"/>
      <c r="IFK88" s="161"/>
      <c r="IFL88" s="161"/>
      <c r="IFM88" s="176"/>
      <c r="IFN88" s="176"/>
      <c r="IFO88" s="176"/>
      <c r="IFP88" s="161"/>
      <c r="IFQ88" s="161"/>
      <c r="IFR88" s="161"/>
      <c r="IFS88" s="161"/>
      <c r="IFT88" s="161"/>
      <c r="IFU88" s="161"/>
      <c r="IFV88" s="176"/>
      <c r="IFW88" s="176"/>
      <c r="IFX88" s="176"/>
      <c r="IFY88" s="161"/>
      <c r="IFZ88" s="161"/>
      <c r="IGA88" s="161"/>
      <c r="IGB88" s="161"/>
      <c r="IGC88" s="161"/>
      <c r="IGD88" s="161"/>
      <c r="IGE88" s="176"/>
      <c r="IGF88" s="176"/>
      <c r="IGG88" s="176"/>
      <c r="IGH88" s="161"/>
      <c r="IGI88" s="161"/>
      <c r="IGJ88" s="161"/>
      <c r="IGK88" s="161"/>
      <c r="IGL88" s="161"/>
      <c r="IGM88" s="161"/>
      <c r="IGN88" s="176"/>
      <c r="IGO88" s="176"/>
      <c r="IGP88" s="176"/>
      <c r="IGQ88" s="161"/>
      <c r="IGR88" s="161"/>
      <c r="IGS88" s="161"/>
      <c r="IGT88" s="161"/>
      <c r="IGU88" s="161"/>
      <c r="IGV88" s="161"/>
      <c r="IGW88" s="176"/>
      <c r="IGX88" s="176"/>
      <c r="IGY88" s="176"/>
      <c r="IGZ88" s="161"/>
      <c r="IHA88" s="161"/>
      <c r="IHB88" s="161"/>
      <c r="IHC88" s="161"/>
      <c r="IHD88" s="161"/>
      <c r="IHE88" s="161"/>
      <c r="IHF88" s="176"/>
      <c r="IHG88" s="176"/>
      <c r="IHH88" s="176"/>
      <c r="IHI88" s="161"/>
      <c r="IHJ88" s="161"/>
      <c r="IHK88" s="161"/>
      <c r="IHL88" s="161"/>
      <c r="IHM88" s="161"/>
      <c r="IHN88" s="161"/>
      <c r="IHO88" s="176"/>
      <c r="IHP88" s="176"/>
      <c r="IHQ88" s="176"/>
      <c r="IHR88" s="161"/>
      <c r="IHS88" s="161"/>
      <c r="IHT88" s="161"/>
      <c r="IHU88" s="161"/>
      <c r="IHV88" s="161"/>
      <c r="IHW88" s="161"/>
      <c r="IHX88" s="176"/>
      <c r="IHY88" s="176"/>
      <c r="IHZ88" s="176"/>
      <c r="IIA88" s="161"/>
      <c r="IIB88" s="161"/>
      <c r="IIC88" s="161"/>
      <c r="IID88" s="161"/>
      <c r="IIE88" s="161"/>
      <c r="IIF88" s="161"/>
      <c r="IIG88" s="176"/>
      <c r="IIH88" s="176"/>
      <c r="III88" s="176"/>
      <c r="IIJ88" s="161"/>
      <c r="IIK88" s="161"/>
      <c r="IIL88" s="161"/>
      <c r="IIM88" s="161"/>
      <c r="IIN88" s="161"/>
      <c r="IIO88" s="161"/>
      <c r="IIP88" s="176"/>
      <c r="IIQ88" s="176"/>
      <c r="IIR88" s="176"/>
      <c r="IIS88" s="161"/>
      <c r="IIT88" s="161"/>
      <c r="IIU88" s="161"/>
      <c r="IIV88" s="161"/>
      <c r="IIW88" s="161"/>
      <c r="IIX88" s="161"/>
      <c r="IIY88" s="176"/>
      <c r="IIZ88" s="176"/>
      <c r="IJA88" s="176"/>
      <c r="IJB88" s="161"/>
      <c r="IJC88" s="161"/>
      <c r="IJD88" s="161"/>
      <c r="IJE88" s="161"/>
      <c r="IJF88" s="161"/>
      <c r="IJG88" s="161"/>
      <c r="IJH88" s="176"/>
      <c r="IJI88" s="176"/>
      <c r="IJJ88" s="176"/>
      <c r="IJK88" s="161"/>
      <c r="IJL88" s="161"/>
      <c r="IJM88" s="161"/>
      <c r="IJN88" s="161"/>
      <c r="IJO88" s="161"/>
      <c r="IJP88" s="161"/>
      <c r="IJQ88" s="176"/>
      <c r="IJR88" s="176"/>
      <c r="IJS88" s="176"/>
      <c r="IJT88" s="161"/>
      <c r="IJU88" s="161"/>
      <c r="IJV88" s="161"/>
      <c r="IJW88" s="161"/>
      <c r="IJX88" s="161"/>
      <c r="IJY88" s="161"/>
      <c r="IJZ88" s="176"/>
      <c r="IKA88" s="176"/>
      <c r="IKB88" s="176"/>
      <c r="IKC88" s="161"/>
      <c r="IKD88" s="161"/>
      <c r="IKE88" s="161"/>
      <c r="IKF88" s="161"/>
      <c r="IKG88" s="161"/>
      <c r="IKH88" s="161"/>
      <c r="IKI88" s="176"/>
      <c r="IKJ88" s="176"/>
      <c r="IKK88" s="176"/>
      <c r="IKL88" s="161"/>
      <c r="IKM88" s="161"/>
      <c r="IKN88" s="161"/>
      <c r="IKO88" s="161"/>
      <c r="IKP88" s="161"/>
      <c r="IKQ88" s="161"/>
      <c r="IKR88" s="176"/>
      <c r="IKS88" s="176"/>
      <c r="IKT88" s="176"/>
      <c r="IKU88" s="161"/>
      <c r="IKV88" s="161"/>
      <c r="IKW88" s="161"/>
      <c r="IKX88" s="161"/>
      <c r="IKY88" s="161"/>
      <c r="IKZ88" s="161"/>
      <c r="ILA88" s="176"/>
      <c r="ILB88" s="176"/>
      <c r="ILC88" s="176"/>
      <c r="ILD88" s="161"/>
      <c r="ILE88" s="161"/>
      <c r="ILF88" s="161"/>
      <c r="ILG88" s="161"/>
      <c r="ILH88" s="161"/>
      <c r="ILI88" s="161"/>
      <c r="ILJ88" s="176"/>
      <c r="ILK88" s="176"/>
      <c r="ILL88" s="176"/>
      <c r="ILM88" s="161"/>
      <c r="ILN88" s="161"/>
      <c r="ILO88" s="161"/>
      <c r="ILP88" s="161"/>
      <c r="ILQ88" s="161"/>
      <c r="ILR88" s="161"/>
      <c r="ILS88" s="176"/>
      <c r="ILT88" s="176"/>
      <c r="ILU88" s="176"/>
      <c r="ILV88" s="161"/>
      <c r="ILW88" s="161"/>
      <c r="ILX88" s="161"/>
      <c r="ILY88" s="161"/>
      <c r="ILZ88" s="161"/>
      <c r="IMA88" s="161"/>
      <c r="IMB88" s="176"/>
      <c r="IMC88" s="176"/>
      <c r="IMD88" s="176"/>
      <c r="IME88" s="161"/>
      <c r="IMF88" s="161"/>
      <c r="IMG88" s="161"/>
      <c r="IMH88" s="161"/>
      <c r="IMI88" s="161"/>
      <c r="IMJ88" s="161"/>
      <c r="IMK88" s="176"/>
      <c r="IML88" s="176"/>
      <c r="IMM88" s="176"/>
      <c r="IMN88" s="161"/>
      <c r="IMO88" s="161"/>
      <c r="IMP88" s="161"/>
      <c r="IMQ88" s="161"/>
      <c r="IMR88" s="161"/>
      <c r="IMS88" s="161"/>
      <c r="IMT88" s="176"/>
      <c r="IMU88" s="176"/>
      <c r="IMV88" s="176"/>
      <c r="IMW88" s="161"/>
      <c r="IMX88" s="161"/>
      <c r="IMY88" s="161"/>
      <c r="IMZ88" s="161"/>
      <c r="INA88" s="161"/>
      <c r="INB88" s="161"/>
      <c r="INC88" s="176"/>
      <c r="IND88" s="176"/>
      <c r="INE88" s="176"/>
      <c r="INF88" s="161"/>
      <c r="ING88" s="161"/>
      <c r="INH88" s="161"/>
      <c r="INI88" s="161"/>
      <c r="INJ88" s="161"/>
      <c r="INK88" s="161"/>
      <c r="INL88" s="176"/>
      <c r="INM88" s="176"/>
      <c r="INN88" s="176"/>
      <c r="INO88" s="161"/>
      <c r="INP88" s="161"/>
      <c r="INQ88" s="161"/>
      <c r="INR88" s="161"/>
      <c r="INS88" s="161"/>
      <c r="INT88" s="161"/>
      <c r="INU88" s="176"/>
      <c r="INV88" s="176"/>
      <c r="INW88" s="176"/>
      <c r="INX88" s="161"/>
      <c r="INY88" s="161"/>
      <c r="INZ88" s="161"/>
      <c r="IOA88" s="161"/>
      <c r="IOB88" s="161"/>
      <c r="IOC88" s="161"/>
      <c r="IOD88" s="176"/>
      <c r="IOE88" s="176"/>
      <c r="IOF88" s="176"/>
      <c r="IOG88" s="161"/>
      <c r="IOH88" s="161"/>
      <c r="IOI88" s="161"/>
      <c r="IOJ88" s="161"/>
      <c r="IOK88" s="161"/>
      <c r="IOL88" s="161"/>
      <c r="IOM88" s="176"/>
      <c r="ION88" s="176"/>
      <c r="IOO88" s="176"/>
      <c r="IOP88" s="161"/>
      <c r="IOQ88" s="161"/>
      <c r="IOR88" s="161"/>
      <c r="IOS88" s="161"/>
      <c r="IOT88" s="161"/>
      <c r="IOU88" s="161"/>
      <c r="IOV88" s="176"/>
      <c r="IOW88" s="176"/>
      <c r="IOX88" s="176"/>
      <c r="IOY88" s="161"/>
      <c r="IOZ88" s="161"/>
      <c r="IPA88" s="161"/>
      <c r="IPB88" s="161"/>
      <c r="IPC88" s="161"/>
      <c r="IPD88" s="161"/>
      <c r="IPE88" s="176"/>
      <c r="IPF88" s="176"/>
      <c r="IPG88" s="176"/>
      <c r="IPH88" s="161"/>
      <c r="IPI88" s="161"/>
      <c r="IPJ88" s="161"/>
      <c r="IPK88" s="161"/>
      <c r="IPL88" s="161"/>
      <c r="IPM88" s="161"/>
      <c r="IPN88" s="176"/>
      <c r="IPO88" s="176"/>
      <c r="IPP88" s="176"/>
      <c r="IPQ88" s="161"/>
      <c r="IPR88" s="161"/>
      <c r="IPS88" s="161"/>
      <c r="IPT88" s="161"/>
      <c r="IPU88" s="161"/>
      <c r="IPV88" s="161"/>
      <c r="IPW88" s="176"/>
      <c r="IPX88" s="176"/>
      <c r="IPY88" s="176"/>
      <c r="IPZ88" s="161"/>
      <c r="IQA88" s="161"/>
      <c r="IQB88" s="161"/>
      <c r="IQC88" s="161"/>
      <c r="IQD88" s="161"/>
      <c r="IQE88" s="161"/>
      <c r="IQF88" s="176"/>
      <c r="IQG88" s="176"/>
      <c r="IQH88" s="176"/>
      <c r="IQI88" s="161"/>
      <c r="IQJ88" s="161"/>
      <c r="IQK88" s="161"/>
      <c r="IQL88" s="161"/>
      <c r="IQM88" s="161"/>
      <c r="IQN88" s="161"/>
      <c r="IQO88" s="176"/>
      <c r="IQP88" s="176"/>
      <c r="IQQ88" s="176"/>
      <c r="IQR88" s="161"/>
      <c r="IQS88" s="161"/>
      <c r="IQT88" s="161"/>
      <c r="IQU88" s="161"/>
      <c r="IQV88" s="161"/>
      <c r="IQW88" s="161"/>
      <c r="IQX88" s="176"/>
      <c r="IQY88" s="176"/>
      <c r="IQZ88" s="176"/>
      <c r="IRA88" s="161"/>
      <c r="IRB88" s="161"/>
      <c r="IRC88" s="161"/>
      <c r="IRD88" s="161"/>
      <c r="IRE88" s="161"/>
      <c r="IRF88" s="161"/>
      <c r="IRG88" s="176"/>
      <c r="IRH88" s="176"/>
      <c r="IRI88" s="176"/>
      <c r="IRJ88" s="161"/>
      <c r="IRK88" s="161"/>
      <c r="IRL88" s="161"/>
      <c r="IRM88" s="161"/>
      <c r="IRN88" s="161"/>
      <c r="IRO88" s="161"/>
      <c r="IRP88" s="176"/>
      <c r="IRQ88" s="176"/>
      <c r="IRR88" s="176"/>
      <c r="IRS88" s="161"/>
      <c r="IRT88" s="161"/>
      <c r="IRU88" s="161"/>
      <c r="IRV88" s="161"/>
      <c r="IRW88" s="161"/>
      <c r="IRX88" s="161"/>
      <c r="IRY88" s="176"/>
      <c r="IRZ88" s="176"/>
      <c r="ISA88" s="176"/>
      <c r="ISB88" s="161"/>
      <c r="ISC88" s="161"/>
      <c r="ISD88" s="161"/>
      <c r="ISE88" s="161"/>
      <c r="ISF88" s="161"/>
      <c r="ISG88" s="161"/>
      <c r="ISH88" s="176"/>
      <c r="ISI88" s="176"/>
      <c r="ISJ88" s="176"/>
      <c r="ISK88" s="161"/>
      <c r="ISL88" s="161"/>
      <c r="ISM88" s="161"/>
      <c r="ISN88" s="161"/>
      <c r="ISO88" s="161"/>
      <c r="ISP88" s="161"/>
      <c r="ISQ88" s="176"/>
      <c r="ISR88" s="176"/>
      <c r="ISS88" s="176"/>
      <c r="IST88" s="161"/>
      <c r="ISU88" s="161"/>
      <c r="ISV88" s="161"/>
      <c r="ISW88" s="161"/>
      <c r="ISX88" s="161"/>
      <c r="ISY88" s="161"/>
      <c r="ISZ88" s="176"/>
      <c r="ITA88" s="176"/>
      <c r="ITB88" s="176"/>
      <c r="ITC88" s="161"/>
      <c r="ITD88" s="161"/>
      <c r="ITE88" s="161"/>
      <c r="ITF88" s="161"/>
      <c r="ITG88" s="161"/>
      <c r="ITH88" s="161"/>
      <c r="ITI88" s="176"/>
      <c r="ITJ88" s="176"/>
      <c r="ITK88" s="176"/>
      <c r="ITL88" s="161"/>
      <c r="ITM88" s="161"/>
      <c r="ITN88" s="161"/>
      <c r="ITO88" s="161"/>
      <c r="ITP88" s="161"/>
      <c r="ITQ88" s="161"/>
      <c r="ITR88" s="176"/>
      <c r="ITS88" s="176"/>
      <c r="ITT88" s="176"/>
      <c r="ITU88" s="161"/>
      <c r="ITV88" s="161"/>
      <c r="ITW88" s="161"/>
      <c r="ITX88" s="161"/>
      <c r="ITY88" s="161"/>
      <c r="ITZ88" s="161"/>
      <c r="IUA88" s="176"/>
      <c r="IUB88" s="176"/>
      <c r="IUC88" s="176"/>
      <c r="IUD88" s="161"/>
      <c r="IUE88" s="161"/>
      <c r="IUF88" s="161"/>
      <c r="IUG88" s="161"/>
      <c r="IUH88" s="161"/>
      <c r="IUI88" s="161"/>
      <c r="IUJ88" s="176"/>
      <c r="IUK88" s="176"/>
      <c r="IUL88" s="176"/>
      <c r="IUM88" s="161"/>
      <c r="IUN88" s="161"/>
      <c r="IUO88" s="161"/>
      <c r="IUP88" s="161"/>
      <c r="IUQ88" s="161"/>
      <c r="IUR88" s="161"/>
      <c r="IUS88" s="176"/>
      <c r="IUT88" s="176"/>
      <c r="IUU88" s="176"/>
      <c r="IUV88" s="161"/>
      <c r="IUW88" s="161"/>
      <c r="IUX88" s="161"/>
      <c r="IUY88" s="161"/>
      <c r="IUZ88" s="161"/>
      <c r="IVA88" s="161"/>
      <c r="IVB88" s="176"/>
      <c r="IVC88" s="176"/>
      <c r="IVD88" s="176"/>
      <c r="IVE88" s="161"/>
      <c r="IVF88" s="161"/>
      <c r="IVG88" s="161"/>
      <c r="IVH88" s="161"/>
      <c r="IVI88" s="161"/>
      <c r="IVJ88" s="161"/>
      <c r="IVK88" s="176"/>
      <c r="IVL88" s="176"/>
      <c r="IVM88" s="176"/>
      <c r="IVN88" s="161"/>
      <c r="IVO88" s="161"/>
      <c r="IVP88" s="161"/>
      <c r="IVQ88" s="161"/>
      <c r="IVR88" s="161"/>
      <c r="IVS88" s="161"/>
      <c r="IVT88" s="176"/>
      <c r="IVU88" s="176"/>
      <c r="IVV88" s="176"/>
      <c r="IVW88" s="161"/>
      <c r="IVX88" s="161"/>
      <c r="IVY88" s="161"/>
      <c r="IVZ88" s="161"/>
      <c r="IWA88" s="161"/>
      <c r="IWB88" s="161"/>
      <c r="IWC88" s="176"/>
      <c r="IWD88" s="176"/>
      <c r="IWE88" s="176"/>
      <c r="IWF88" s="161"/>
      <c r="IWG88" s="161"/>
      <c r="IWH88" s="161"/>
      <c r="IWI88" s="161"/>
      <c r="IWJ88" s="161"/>
      <c r="IWK88" s="161"/>
      <c r="IWL88" s="176"/>
      <c r="IWM88" s="176"/>
      <c r="IWN88" s="176"/>
      <c r="IWO88" s="161"/>
      <c r="IWP88" s="161"/>
      <c r="IWQ88" s="161"/>
      <c r="IWR88" s="161"/>
      <c r="IWS88" s="161"/>
      <c r="IWT88" s="161"/>
      <c r="IWU88" s="176"/>
      <c r="IWV88" s="176"/>
      <c r="IWW88" s="176"/>
      <c r="IWX88" s="161"/>
      <c r="IWY88" s="161"/>
      <c r="IWZ88" s="161"/>
      <c r="IXA88" s="161"/>
      <c r="IXB88" s="161"/>
      <c r="IXC88" s="161"/>
      <c r="IXD88" s="176"/>
      <c r="IXE88" s="176"/>
      <c r="IXF88" s="176"/>
      <c r="IXG88" s="161"/>
      <c r="IXH88" s="161"/>
      <c r="IXI88" s="161"/>
      <c r="IXJ88" s="161"/>
      <c r="IXK88" s="161"/>
      <c r="IXL88" s="161"/>
      <c r="IXM88" s="176"/>
      <c r="IXN88" s="176"/>
      <c r="IXO88" s="176"/>
      <c r="IXP88" s="161"/>
      <c r="IXQ88" s="161"/>
      <c r="IXR88" s="161"/>
      <c r="IXS88" s="161"/>
      <c r="IXT88" s="161"/>
      <c r="IXU88" s="161"/>
      <c r="IXV88" s="176"/>
      <c r="IXW88" s="176"/>
      <c r="IXX88" s="176"/>
      <c r="IXY88" s="161"/>
      <c r="IXZ88" s="161"/>
      <c r="IYA88" s="161"/>
      <c r="IYB88" s="161"/>
      <c r="IYC88" s="161"/>
      <c r="IYD88" s="161"/>
      <c r="IYE88" s="176"/>
      <c r="IYF88" s="176"/>
      <c r="IYG88" s="176"/>
      <c r="IYH88" s="161"/>
      <c r="IYI88" s="161"/>
      <c r="IYJ88" s="161"/>
      <c r="IYK88" s="161"/>
      <c r="IYL88" s="161"/>
      <c r="IYM88" s="161"/>
      <c r="IYN88" s="176"/>
      <c r="IYO88" s="176"/>
      <c r="IYP88" s="176"/>
      <c r="IYQ88" s="161"/>
      <c r="IYR88" s="161"/>
      <c r="IYS88" s="161"/>
      <c r="IYT88" s="161"/>
      <c r="IYU88" s="161"/>
      <c r="IYV88" s="161"/>
      <c r="IYW88" s="176"/>
      <c r="IYX88" s="176"/>
      <c r="IYY88" s="176"/>
      <c r="IYZ88" s="161"/>
      <c r="IZA88" s="161"/>
      <c r="IZB88" s="161"/>
      <c r="IZC88" s="161"/>
      <c r="IZD88" s="161"/>
      <c r="IZE88" s="161"/>
      <c r="IZF88" s="176"/>
      <c r="IZG88" s="176"/>
      <c r="IZH88" s="176"/>
      <c r="IZI88" s="161"/>
      <c r="IZJ88" s="161"/>
      <c r="IZK88" s="161"/>
      <c r="IZL88" s="161"/>
      <c r="IZM88" s="161"/>
      <c r="IZN88" s="161"/>
      <c r="IZO88" s="176"/>
      <c r="IZP88" s="176"/>
      <c r="IZQ88" s="176"/>
      <c r="IZR88" s="161"/>
      <c r="IZS88" s="161"/>
      <c r="IZT88" s="161"/>
      <c r="IZU88" s="161"/>
      <c r="IZV88" s="161"/>
      <c r="IZW88" s="161"/>
      <c r="IZX88" s="176"/>
      <c r="IZY88" s="176"/>
      <c r="IZZ88" s="176"/>
      <c r="JAA88" s="161"/>
      <c r="JAB88" s="161"/>
      <c r="JAC88" s="161"/>
      <c r="JAD88" s="161"/>
      <c r="JAE88" s="161"/>
      <c r="JAF88" s="161"/>
      <c r="JAG88" s="176"/>
      <c r="JAH88" s="176"/>
      <c r="JAI88" s="176"/>
      <c r="JAJ88" s="161"/>
      <c r="JAK88" s="161"/>
      <c r="JAL88" s="161"/>
      <c r="JAM88" s="161"/>
      <c r="JAN88" s="161"/>
      <c r="JAO88" s="161"/>
      <c r="JAP88" s="176"/>
      <c r="JAQ88" s="176"/>
      <c r="JAR88" s="176"/>
      <c r="JAS88" s="161"/>
      <c r="JAT88" s="161"/>
      <c r="JAU88" s="161"/>
      <c r="JAV88" s="161"/>
      <c r="JAW88" s="161"/>
      <c r="JAX88" s="161"/>
      <c r="JAY88" s="176"/>
      <c r="JAZ88" s="176"/>
      <c r="JBA88" s="176"/>
      <c r="JBB88" s="161"/>
      <c r="JBC88" s="161"/>
      <c r="JBD88" s="161"/>
      <c r="JBE88" s="161"/>
      <c r="JBF88" s="161"/>
      <c r="JBG88" s="161"/>
      <c r="JBH88" s="176"/>
      <c r="JBI88" s="176"/>
      <c r="JBJ88" s="176"/>
      <c r="JBK88" s="161"/>
      <c r="JBL88" s="161"/>
      <c r="JBM88" s="161"/>
      <c r="JBN88" s="161"/>
      <c r="JBO88" s="161"/>
      <c r="JBP88" s="161"/>
      <c r="JBQ88" s="176"/>
      <c r="JBR88" s="176"/>
      <c r="JBS88" s="176"/>
      <c r="JBT88" s="161"/>
      <c r="JBU88" s="161"/>
      <c r="JBV88" s="161"/>
      <c r="JBW88" s="161"/>
      <c r="JBX88" s="161"/>
      <c r="JBY88" s="161"/>
      <c r="JBZ88" s="176"/>
      <c r="JCA88" s="176"/>
      <c r="JCB88" s="176"/>
      <c r="JCC88" s="161"/>
      <c r="JCD88" s="161"/>
      <c r="JCE88" s="161"/>
      <c r="JCF88" s="161"/>
      <c r="JCG88" s="161"/>
      <c r="JCH88" s="161"/>
      <c r="JCI88" s="176"/>
      <c r="JCJ88" s="176"/>
      <c r="JCK88" s="176"/>
      <c r="JCL88" s="161"/>
      <c r="JCM88" s="161"/>
      <c r="JCN88" s="161"/>
      <c r="JCO88" s="161"/>
      <c r="JCP88" s="161"/>
      <c r="JCQ88" s="161"/>
      <c r="JCR88" s="176"/>
      <c r="JCS88" s="176"/>
      <c r="JCT88" s="176"/>
      <c r="JCU88" s="161"/>
      <c r="JCV88" s="161"/>
      <c r="JCW88" s="161"/>
      <c r="JCX88" s="161"/>
      <c r="JCY88" s="161"/>
      <c r="JCZ88" s="161"/>
      <c r="JDA88" s="176"/>
      <c r="JDB88" s="176"/>
      <c r="JDC88" s="176"/>
      <c r="JDD88" s="161"/>
      <c r="JDE88" s="161"/>
      <c r="JDF88" s="161"/>
      <c r="JDG88" s="161"/>
      <c r="JDH88" s="161"/>
      <c r="JDI88" s="161"/>
      <c r="JDJ88" s="176"/>
      <c r="JDK88" s="176"/>
      <c r="JDL88" s="176"/>
      <c r="JDM88" s="161"/>
      <c r="JDN88" s="161"/>
      <c r="JDO88" s="161"/>
      <c r="JDP88" s="161"/>
      <c r="JDQ88" s="161"/>
      <c r="JDR88" s="161"/>
      <c r="JDS88" s="176"/>
      <c r="JDT88" s="176"/>
      <c r="JDU88" s="176"/>
      <c r="JDV88" s="161"/>
      <c r="JDW88" s="161"/>
      <c r="JDX88" s="161"/>
      <c r="JDY88" s="161"/>
      <c r="JDZ88" s="161"/>
      <c r="JEA88" s="161"/>
      <c r="JEB88" s="176"/>
      <c r="JEC88" s="176"/>
      <c r="JED88" s="176"/>
      <c r="JEE88" s="161"/>
      <c r="JEF88" s="161"/>
      <c r="JEG88" s="161"/>
      <c r="JEH88" s="161"/>
      <c r="JEI88" s="161"/>
      <c r="JEJ88" s="161"/>
      <c r="JEK88" s="176"/>
      <c r="JEL88" s="176"/>
      <c r="JEM88" s="176"/>
      <c r="JEN88" s="161"/>
      <c r="JEO88" s="161"/>
      <c r="JEP88" s="161"/>
      <c r="JEQ88" s="161"/>
      <c r="JER88" s="161"/>
      <c r="JES88" s="161"/>
      <c r="JET88" s="176"/>
      <c r="JEU88" s="176"/>
      <c r="JEV88" s="176"/>
      <c r="JEW88" s="161"/>
      <c r="JEX88" s="161"/>
      <c r="JEY88" s="161"/>
      <c r="JEZ88" s="161"/>
      <c r="JFA88" s="161"/>
      <c r="JFB88" s="161"/>
      <c r="JFC88" s="176"/>
      <c r="JFD88" s="176"/>
      <c r="JFE88" s="176"/>
      <c r="JFF88" s="161"/>
      <c r="JFG88" s="161"/>
      <c r="JFH88" s="161"/>
      <c r="JFI88" s="161"/>
      <c r="JFJ88" s="161"/>
      <c r="JFK88" s="161"/>
      <c r="JFL88" s="176"/>
      <c r="JFM88" s="176"/>
      <c r="JFN88" s="176"/>
      <c r="JFO88" s="161"/>
      <c r="JFP88" s="161"/>
      <c r="JFQ88" s="161"/>
      <c r="JFR88" s="161"/>
      <c r="JFS88" s="161"/>
      <c r="JFT88" s="161"/>
      <c r="JFU88" s="176"/>
      <c r="JFV88" s="176"/>
      <c r="JFW88" s="176"/>
      <c r="JFX88" s="161"/>
      <c r="JFY88" s="161"/>
      <c r="JFZ88" s="161"/>
      <c r="JGA88" s="161"/>
      <c r="JGB88" s="161"/>
      <c r="JGC88" s="161"/>
      <c r="JGD88" s="176"/>
      <c r="JGE88" s="176"/>
      <c r="JGF88" s="176"/>
      <c r="JGG88" s="161"/>
      <c r="JGH88" s="161"/>
      <c r="JGI88" s="161"/>
      <c r="JGJ88" s="161"/>
      <c r="JGK88" s="161"/>
      <c r="JGL88" s="161"/>
      <c r="JGM88" s="176"/>
      <c r="JGN88" s="176"/>
      <c r="JGO88" s="176"/>
      <c r="JGP88" s="161"/>
      <c r="JGQ88" s="161"/>
      <c r="JGR88" s="161"/>
      <c r="JGS88" s="161"/>
      <c r="JGT88" s="161"/>
      <c r="JGU88" s="161"/>
      <c r="JGV88" s="176"/>
      <c r="JGW88" s="176"/>
      <c r="JGX88" s="176"/>
      <c r="JGY88" s="161"/>
      <c r="JGZ88" s="161"/>
      <c r="JHA88" s="161"/>
      <c r="JHB88" s="161"/>
      <c r="JHC88" s="161"/>
      <c r="JHD88" s="161"/>
      <c r="JHE88" s="176"/>
      <c r="JHF88" s="176"/>
      <c r="JHG88" s="176"/>
      <c r="JHH88" s="161"/>
      <c r="JHI88" s="161"/>
      <c r="JHJ88" s="161"/>
      <c r="JHK88" s="161"/>
      <c r="JHL88" s="161"/>
      <c r="JHM88" s="161"/>
      <c r="JHN88" s="176"/>
      <c r="JHO88" s="176"/>
      <c r="JHP88" s="176"/>
      <c r="JHQ88" s="161"/>
      <c r="JHR88" s="161"/>
      <c r="JHS88" s="161"/>
      <c r="JHT88" s="161"/>
      <c r="JHU88" s="161"/>
      <c r="JHV88" s="161"/>
      <c r="JHW88" s="176"/>
      <c r="JHX88" s="176"/>
      <c r="JHY88" s="176"/>
      <c r="JHZ88" s="161"/>
      <c r="JIA88" s="161"/>
      <c r="JIB88" s="161"/>
      <c r="JIC88" s="161"/>
      <c r="JID88" s="161"/>
      <c r="JIE88" s="161"/>
      <c r="JIF88" s="176"/>
      <c r="JIG88" s="176"/>
      <c r="JIH88" s="176"/>
      <c r="JII88" s="161"/>
      <c r="JIJ88" s="161"/>
      <c r="JIK88" s="161"/>
      <c r="JIL88" s="161"/>
      <c r="JIM88" s="161"/>
      <c r="JIN88" s="161"/>
      <c r="JIO88" s="176"/>
      <c r="JIP88" s="176"/>
      <c r="JIQ88" s="176"/>
      <c r="JIR88" s="161"/>
      <c r="JIS88" s="161"/>
      <c r="JIT88" s="161"/>
      <c r="JIU88" s="161"/>
      <c r="JIV88" s="161"/>
      <c r="JIW88" s="161"/>
      <c r="JIX88" s="176"/>
      <c r="JIY88" s="176"/>
      <c r="JIZ88" s="176"/>
      <c r="JJA88" s="161"/>
      <c r="JJB88" s="161"/>
      <c r="JJC88" s="161"/>
      <c r="JJD88" s="161"/>
      <c r="JJE88" s="161"/>
      <c r="JJF88" s="161"/>
      <c r="JJG88" s="176"/>
      <c r="JJH88" s="176"/>
      <c r="JJI88" s="176"/>
      <c r="JJJ88" s="161"/>
      <c r="JJK88" s="161"/>
      <c r="JJL88" s="161"/>
      <c r="JJM88" s="161"/>
      <c r="JJN88" s="161"/>
      <c r="JJO88" s="161"/>
      <c r="JJP88" s="176"/>
      <c r="JJQ88" s="176"/>
      <c r="JJR88" s="176"/>
      <c r="JJS88" s="161"/>
      <c r="JJT88" s="161"/>
      <c r="JJU88" s="161"/>
      <c r="JJV88" s="161"/>
      <c r="JJW88" s="161"/>
      <c r="JJX88" s="161"/>
      <c r="JJY88" s="176"/>
      <c r="JJZ88" s="176"/>
      <c r="JKA88" s="176"/>
      <c r="JKB88" s="161"/>
      <c r="JKC88" s="161"/>
      <c r="JKD88" s="161"/>
      <c r="JKE88" s="161"/>
      <c r="JKF88" s="161"/>
      <c r="JKG88" s="161"/>
      <c r="JKH88" s="176"/>
      <c r="JKI88" s="176"/>
      <c r="JKJ88" s="176"/>
      <c r="JKK88" s="161"/>
      <c r="JKL88" s="161"/>
      <c r="JKM88" s="161"/>
      <c r="JKN88" s="161"/>
      <c r="JKO88" s="161"/>
      <c r="JKP88" s="161"/>
      <c r="JKQ88" s="176"/>
      <c r="JKR88" s="176"/>
      <c r="JKS88" s="176"/>
      <c r="JKT88" s="161"/>
      <c r="JKU88" s="161"/>
      <c r="JKV88" s="161"/>
      <c r="JKW88" s="161"/>
      <c r="JKX88" s="161"/>
      <c r="JKY88" s="161"/>
      <c r="JKZ88" s="176"/>
      <c r="JLA88" s="176"/>
      <c r="JLB88" s="176"/>
      <c r="JLC88" s="161"/>
      <c r="JLD88" s="161"/>
      <c r="JLE88" s="161"/>
      <c r="JLF88" s="161"/>
      <c r="JLG88" s="161"/>
      <c r="JLH88" s="161"/>
      <c r="JLI88" s="176"/>
      <c r="JLJ88" s="176"/>
      <c r="JLK88" s="176"/>
      <c r="JLL88" s="161"/>
      <c r="JLM88" s="161"/>
      <c r="JLN88" s="161"/>
      <c r="JLO88" s="161"/>
      <c r="JLP88" s="161"/>
      <c r="JLQ88" s="161"/>
      <c r="JLR88" s="176"/>
      <c r="JLS88" s="176"/>
      <c r="JLT88" s="176"/>
      <c r="JLU88" s="161"/>
      <c r="JLV88" s="161"/>
      <c r="JLW88" s="161"/>
      <c r="JLX88" s="161"/>
      <c r="JLY88" s="161"/>
      <c r="JLZ88" s="161"/>
      <c r="JMA88" s="176"/>
      <c r="JMB88" s="176"/>
      <c r="JMC88" s="176"/>
      <c r="JMD88" s="161"/>
      <c r="JME88" s="161"/>
      <c r="JMF88" s="161"/>
      <c r="JMG88" s="161"/>
      <c r="JMH88" s="161"/>
      <c r="JMI88" s="161"/>
      <c r="JMJ88" s="176"/>
      <c r="JMK88" s="176"/>
      <c r="JML88" s="176"/>
      <c r="JMM88" s="161"/>
      <c r="JMN88" s="161"/>
      <c r="JMO88" s="161"/>
      <c r="JMP88" s="161"/>
      <c r="JMQ88" s="161"/>
      <c r="JMR88" s="161"/>
      <c r="JMS88" s="176"/>
      <c r="JMT88" s="176"/>
      <c r="JMU88" s="176"/>
      <c r="JMV88" s="161"/>
      <c r="JMW88" s="161"/>
      <c r="JMX88" s="161"/>
      <c r="JMY88" s="161"/>
      <c r="JMZ88" s="161"/>
      <c r="JNA88" s="161"/>
      <c r="JNB88" s="176"/>
      <c r="JNC88" s="176"/>
      <c r="JND88" s="176"/>
      <c r="JNE88" s="161"/>
      <c r="JNF88" s="161"/>
      <c r="JNG88" s="161"/>
      <c r="JNH88" s="161"/>
      <c r="JNI88" s="161"/>
      <c r="JNJ88" s="161"/>
      <c r="JNK88" s="176"/>
      <c r="JNL88" s="176"/>
      <c r="JNM88" s="176"/>
      <c r="JNN88" s="161"/>
      <c r="JNO88" s="161"/>
      <c r="JNP88" s="161"/>
      <c r="JNQ88" s="161"/>
      <c r="JNR88" s="161"/>
      <c r="JNS88" s="161"/>
      <c r="JNT88" s="176"/>
      <c r="JNU88" s="176"/>
      <c r="JNV88" s="176"/>
      <c r="JNW88" s="161"/>
      <c r="JNX88" s="161"/>
      <c r="JNY88" s="161"/>
      <c r="JNZ88" s="161"/>
      <c r="JOA88" s="161"/>
      <c r="JOB88" s="161"/>
      <c r="JOC88" s="176"/>
      <c r="JOD88" s="176"/>
      <c r="JOE88" s="176"/>
      <c r="JOF88" s="161"/>
      <c r="JOG88" s="161"/>
      <c r="JOH88" s="161"/>
      <c r="JOI88" s="161"/>
      <c r="JOJ88" s="161"/>
      <c r="JOK88" s="161"/>
      <c r="JOL88" s="176"/>
      <c r="JOM88" s="176"/>
      <c r="JON88" s="176"/>
      <c r="JOO88" s="161"/>
      <c r="JOP88" s="161"/>
      <c r="JOQ88" s="161"/>
      <c r="JOR88" s="161"/>
      <c r="JOS88" s="161"/>
      <c r="JOT88" s="161"/>
      <c r="JOU88" s="176"/>
      <c r="JOV88" s="176"/>
      <c r="JOW88" s="176"/>
      <c r="JOX88" s="161"/>
      <c r="JOY88" s="161"/>
      <c r="JOZ88" s="161"/>
      <c r="JPA88" s="161"/>
      <c r="JPB88" s="161"/>
      <c r="JPC88" s="161"/>
      <c r="JPD88" s="176"/>
      <c r="JPE88" s="176"/>
      <c r="JPF88" s="176"/>
      <c r="JPG88" s="161"/>
      <c r="JPH88" s="161"/>
      <c r="JPI88" s="161"/>
      <c r="JPJ88" s="161"/>
      <c r="JPK88" s="161"/>
      <c r="JPL88" s="161"/>
      <c r="JPM88" s="176"/>
      <c r="JPN88" s="176"/>
      <c r="JPO88" s="176"/>
      <c r="JPP88" s="161"/>
      <c r="JPQ88" s="161"/>
      <c r="JPR88" s="161"/>
      <c r="JPS88" s="161"/>
      <c r="JPT88" s="161"/>
      <c r="JPU88" s="161"/>
      <c r="JPV88" s="176"/>
      <c r="JPW88" s="176"/>
      <c r="JPX88" s="176"/>
      <c r="JPY88" s="161"/>
      <c r="JPZ88" s="161"/>
      <c r="JQA88" s="161"/>
      <c r="JQB88" s="161"/>
      <c r="JQC88" s="161"/>
      <c r="JQD88" s="161"/>
      <c r="JQE88" s="176"/>
      <c r="JQF88" s="176"/>
      <c r="JQG88" s="176"/>
      <c r="JQH88" s="161"/>
      <c r="JQI88" s="161"/>
      <c r="JQJ88" s="161"/>
      <c r="JQK88" s="161"/>
      <c r="JQL88" s="161"/>
      <c r="JQM88" s="161"/>
      <c r="JQN88" s="176"/>
      <c r="JQO88" s="176"/>
      <c r="JQP88" s="176"/>
      <c r="JQQ88" s="161"/>
      <c r="JQR88" s="161"/>
      <c r="JQS88" s="161"/>
      <c r="JQT88" s="161"/>
      <c r="JQU88" s="161"/>
      <c r="JQV88" s="161"/>
      <c r="JQW88" s="176"/>
      <c r="JQX88" s="176"/>
      <c r="JQY88" s="176"/>
      <c r="JQZ88" s="161"/>
      <c r="JRA88" s="161"/>
      <c r="JRB88" s="161"/>
      <c r="JRC88" s="161"/>
      <c r="JRD88" s="161"/>
      <c r="JRE88" s="161"/>
      <c r="JRF88" s="176"/>
      <c r="JRG88" s="176"/>
      <c r="JRH88" s="176"/>
      <c r="JRI88" s="161"/>
      <c r="JRJ88" s="161"/>
      <c r="JRK88" s="161"/>
      <c r="JRL88" s="161"/>
      <c r="JRM88" s="161"/>
      <c r="JRN88" s="161"/>
      <c r="JRO88" s="176"/>
      <c r="JRP88" s="176"/>
      <c r="JRQ88" s="176"/>
      <c r="JRR88" s="161"/>
      <c r="JRS88" s="161"/>
      <c r="JRT88" s="161"/>
      <c r="JRU88" s="161"/>
      <c r="JRV88" s="161"/>
      <c r="JRW88" s="161"/>
      <c r="JRX88" s="176"/>
      <c r="JRY88" s="176"/>
      <c r="JRZ88" s="176"/>
      <c r="JSA88" s="161"/>
      <c r="JSB88" s="161"/>
      <c r="JSC88" s="161"/>
      <c r="JSD88" s="161"/>
      <c r="JSE88" s="161"/>
      <c r="JSF88" s="161"/>
      <c r="JSG88" s="176"/>
      <c r="JSH88" s="176"/>
      <c r="JSI88" s="176"/>
      <c r="JSJ88" s="161"/>
      <c r="JSK88" s="161"/>
      <c r="JSL88" s="161"/>
      <c r="JSM88" s="161"/>
      <c r="JSN88" s="161"/>
      <c r="JSO88" s="161"/>
      <c r="JSP88" s="176"/>
      <c r="JSQ88" s="176"/>
      <c r="JSR88" s="176"/>
      <c r="JSS88" s="161"/>
      <c r="JST88" s="161"/>
      <c r="JSU88" s="161"/>
      <c r="JSV88" s="161"/>
      <c r="JSW88" s="161"/>
      <c r="JSX88" s="161"/>
      <c r="JSY88" s="176"/>
      <c r="JSZ88" s="176"/>
      <c r="JTA88" s="176"/>
      <c r="JTB88" s="161"/>
      <c r="JTC88" s="161"/>
      <c r="JTD88" s="161"/>
      <c r="JTE88" s="161"/>
      <c r="JTF88" s="161"/>
      <c r="JTG88" s="161"/>
      <c r="JTH88" s="176"/>
      <c r="JTI88" s="176"/>
      <c r="JTJ88" s="176"/>
      <c r="JTK88" s="161"/>
      <c r="JTL88" s="161"/>
      <c r="JTM88" s="161"/>
      <c r="JTN88" s="161"/>
      <c r="JTO88" s="161"/>
      <c r="JTP88" s="161"/>
      <c r="JTQ88" s="176"/>
      <c r="JTR88" s="176"/>
      <c r="JTS88" s="176"/>
      <c r="JTT88" s="161"/>
      <c r="JTU88" s="161"/>
      <c r="JTV88" s="161"/>
      <c r="JTW88" s="161"/>
      <c r="JTX88" s="161"/>
      <c r="JTY88" s="161"/>
      <c r="JTZ88" s="176"/>
      <c r="JUA88" s="176"/>
      <c r="JUB88" s="176"/>
      <c r="JUC88" s="161"/>
      <c r="JUD88" s="161"/>
      <c r="JUE88" s="161"/>
      <c r="JUF88" s="161"/>
      <c r="JUG88" s="161"/>
      <c r="JUH88" s="161"/>
      <c r="JUI88" s="176"/>
      <c r="JUJ88" s="176"/>
      <c r="JUK88" s="176"/>
      <c r="JUL88" s="161"/>
      <c r="JUM88" s="161"/>
      <c r="JUN88" s="161"/>
      <c r="JUO88" s="161"/>
      <c r="JUP88" s="161"/>
      <c r="JUQ88" s="161"/>
      <c r="JUR88" s="176"/>
      <c r="JUS88" s="176"/>
      <c r="JUT88" s="176"/>
      <c r="JUU88" s="161"/>
      <c r="JUV88" s="161"/>
      <c r="JUW88" s="161"/>
      <c r="JUX88" s="161"/>
      <c r="JUY88" s="161"/>
      <c r="JUZ88" s="161"/>
      <c r="JVA88" s="176"/>
      <c r="JVB88" s="176"/>
      <c r="JVC88" s="176"/>
      <c r="JVD88" s="161"/>
      <c r="JVE88" s="161"/>
      <c r="JVF88" s="161"/>
      <c r="JVG88" s="161"/>
      <c r="JVH88" s="161"/>
      <c r="JVI88" s="161"/>
      <c r="JVJ88" s="176"/>
      <c r="JVK88" s="176"/>
      <c r="JVL88" s="176"/>
      <c r="JVM88" s="161"/>
      <c r="JVN88" s="161"/>
      <c r="JVO88" s="161"/>
      <c r="JVP88" s="161"/>
      <c r="JVQ88" s="161"/>
      <c r="JVR88" s="161"/>
      <c r="JVS88" s="176"/>
      <c r="JVT88" s="176"/>
      <c r="JVU88" s="176"/>
      <c r="JVV88" s="161"/>
      <c r="JVW88" s="161"/>
      <c r="JVX88" s="161"/>
      <c r="JVY88" s="161"/>
      <c r="JVZ88" s="161"/>
      <c r="JWA88" s="161"/>
      <c r="JWB88" s="176"/>
      <c r="JWC88" s="176"/>
      <c r="JWD88" s="176"/>
      <c r="JWE88" s="161"/>
      <c r="JWF88" s="161"/>
      <c r="JWG88" s="161"/>
      <c r="JWH88" s="161"/>
      <c r="JWI88" s="161"/>
      <c r="JWJ88" s="161"/>
      <c r="JWK88" s="176"/>
      <c r="JWL88" s="176"/>
      <c r="JWM88" s="176"/>
      <c r="JWN88" s="161"/>
      <c r="JWO88" s="161"/>
      <c r="JWP88" s="161"/>
      <c r="JWQ88" s="161"/>
      <c r="JWR88" s="161"/>
      <c r="JWS88" s="161"/>
      <c r="JWT88" s="176"/>
      <c r="JWU88" s="176"/>
      <c r="JWV88" s="176"/>
      <c r="JWW88" s="161"/>
      <c r="JWX88" s="161"/>
      <c r="JWY88" s="161"/>
      <c r="JWZ88" s="161"/>
      <c r="JXA88" s="161"/>
      <c r="JXB88" s="161"/>
      <c r="JXC88" s="176"/>
      <c r="JXD88" s="176"/>
      <c r="JXE88" s="176"/>
      <c r="JXF88" s="161"/>
      <c r="JXG88" s="161"/>
      <c r="JXH88" s="161"/>
      <c r="JXI88" s="161"/>
      <c r="JXJ88" s="161"/>
      <c r="JXK88" s="161"/>
      <c r="JXL88" s="176"/>
      <c r="JXM88" s="176"/>
      <c r="JXN88" s="176"/>
      <c r="JXO88" s="161"/>
      <c r="JXP88" s="161"/>
      <c r="JXQ88" s="161"/>
      <c r="JXR88" s="161"/>
      <c r="JXS88" s="161"/>
      <c r="JXT88" s="161"/>
      <c r="JXU88" s="176"/>
      <c r="JXV88" s="176"/>
      <c r="JXW88" s="176"/>
      <c r="JXX88" s="161"/>
      <c r="JXY88" s="161"/>
      <c r="JXZ88" s="161"/>
      <c r="JYA88" s="161"/>
      <c r="JYB88" s="161"/>
      <c r="JYC88" s="161"/>
      <c r="JYD88" s="176"/>
      <c r="JYE88" s="176"/>
      <c r="JYF88" s="176"/>
      <c r="JYG88" s="161"/>
      <c r="JYH88" s="161"/>
      <c r="JYI88" s="161"/>
      <c r="JYJ88" s="161"/>
      <c r="JYK88" s="161"/>
      <c r="JYL88" s="161"/>
      <c r="JYM88" s="176"/>
      <c r="JYN88" s="176"/>
      <c r="JYO88" s="176"/>
      <c r="JYP88" s="161"/>
      <c r="JYQ88" s="161"/>
      <c r="JYR88" s="161"/>
      <c r="JYS88" s="161"/>
      <c r="JYT88" s="161"/>
      <c r="JYU88" s="161"/>
      <c r="JYV88" s="176"/>
      <c r="JYW88" s="176"/>
      <c r="JYX88" s="176"/>
      <c r="JYY88" s="161"/>
      <c r="JYZ88" s="161"/>
      <c r="JZA88" s="161"/>
      <c r="JZB88" s="161"/>
      <c r="JZC88" s="161"/>
      <c r="JZD88" s="161"/>
      <c r="JZE88" s="176"/>
      <c r="JZF88" s="176"/>
      <c r="JZG88" s="176"/>
      <c r="JZH88" s="161"/>
      <c r="JZI88" s="161"/>
      <c r="JZJ88" s="161"/>
      <c r="JZK88" s="161"/>
      <c r="JZL88" s="161"/>
      <c r="JZM88" s="161"/>
      <c r="JZN88" s="176"/>
      <c r="JZO88" s="176"/>
      <c r="JZP88" s="176"/>
      <c r="JZQ88" s="161"/>
      <c r="JZR88" s="161"/>
      <c r="JZS88" s="161"/>
      <c r="JZT88" s="161"/>
      <c r="JZU88" s="161"/>
      <c r="JZV88" s="161"/>
      <c r="JZW88" s="176"/>
      <c r="JZX88" s="176"/>
      <c r="JZY88" s="176"/>
      <c r="JZZ88" s="161"/>
      <c r="KAA88" s="161"/>
      <c r="KAB88" s="161"/>
      <c r="KAC88" s="161"/>
      <c r="KAD88" s="161"/>
      <c r="KAE88" s="161"/>
      <c r="KAF88" s="176"/>
      <c r="KAG88" s="176"/>
      <c r="KAH88" s="176"/>
      <c r="KAI88" s="161"/>
      <c r="KAJ88" s="161"/>
      <c r="KAK88" s="161"/>
      <c r="KAL88" s="161"/>
      <c r="KAM88" s="161"/>
      <c r="KAN88" s="161"/>
      <c r="KAO88" s="176"/>
      <c r="KAP88" s="176"/>
      <c r="KAQ88" s="176"/>
      <c r="KAR88" s="161"/>
      <c r="KAS88" s="161"/>
      <c r="KAT88" s="161"/>
      <c r="KAU88" s="161"/>
      <c r="KAV88" s="161"/>
      <c r="KAW88" s="161"/>
      <c r="KAX88" s="176"/>
      <c r="KAY88" s="176"/>
      <c r="KAZ88" s="176"/>
      <c r="KBA88" s="161"/>
      <c r="KBB88" s="161"/>
      <c r="KBC88" s="161"/>
      <c r="KBD88" s="161"/>
      <c r="KBE88" s="161"/>
      <c r="KBF88" s="161"/>
      <c r="KBG88" s="176"/>
      <c r="KBH88" s="176"/>
      <c r="KBI88" s="176"/>
      <c r="KBJ88" s="161"/>
      <c r="KBK88" s="161"/>
      <c r="KBL88" s="161"/>
      <c r="KBM88" s="161"/>
      <c r="KBN88" s="161"/>
      <c r="KBO88" s="161"/>
      <c r="KBP88" s="176"/>
      <c r="KBQ88" s="176"/>
      <c r="KBR88" s="176"/>
      <c r="KBS88" s="161"/>
      <c r="KBT88" s="161"/>
      <c r="KBU88" s="161"/>
      <c r="KBV88" s="161"/>
      <c r="KBW88" s="161"/>
      <c r="KBX88" s="161"/>
      <c r="KBY88" s="176"/>
      <c r="KBZ88" s="176"/>
      <c r="KCA88" s="176"/>
      <c r="KCB88" s="161"/>
      <c r="KCC88" s="161"/>
      <c r="KCD88" s="161"/>
      <c r="KCE88" s="161"/>
      <c r="KCF88" s="161"/>
      <c r="KCG88" s="161"/>
      <c r="KCH88" s="176"/>
      <c r="KCI88" s="176"/>
      <c r="KCJ88" s="176"/>
      <c r="KCK88" s="161"/>
      <c r="KCL88" s="161"/>
      <c r="KCM88" s="161"/>
      <c r="KCN88" s="161"/>
      <c r="KCO88" s="161"/>
      <c r="KCP88" s="161"/>
      <c r="KCQ88" s="176"/>
      <c r="KCR88" s="176"/>
      <c r="KCS88" s="176"/>
      <c r="KCT88" s="161"/>
      <c r="KCU88" s="161"/>
      <c r="KCV88" s="161"/>
      <c r="KCW88" s="161"/>
      <c r="KCX88" s="161"/>
      <c r="KCY88" s="161"/>
      <c r="KCZ88" s="176"/>
      <c r="KDA88" s="176"/>
      <c r="KDB88" s="176"/>
      <c r="KDC88" s="161"/>
      <c r="KDD88" s="161"/>
      <c r="KDE88" s="161"/>
      <c r="KDF88" s="161"/>
      <c r="KDG88" s="161"/>
      <c r="KDH88" s="161"/>
      <c r="KDI88" s="176"/>
      <c r="KDJ88" s="176"/>
      <c r="KDK88" s="176"/>
      <c r="KDL88" s="161"/>
      <c r="KDM88" s="161"/>
      <c r="KDN88" s="161"/>
      <c r="KDO88" s="161"/>
      <c r="KDP88" s="161"/>
      <c r="KDQ88" s="161"/>
      <c r="KDR88" s="176"/>
      <c r="KDS88" s="176"/>
      <c r="KDT88" s="176"/>
      <c r="KDU88" s="161"/>
      <c r="KDV88" s="161"/>
      <c r="KDW88" s="161"/>
      <c r="KDX88" s="161"/>
      <c r="KDY88" s="161"/>
      <c r="KDZ88" s="161"/>
      <c r="KEA88" s="176"/>
      <c r="KEB88" s="176"/>
      <c r="KEC88" s="176"/>
      <c r="KED88" s="161"/>
      <c r="KEE88" s="161"/>
      <c r="KEF88" s="161"/>
      <c r="KEG88" s="161"/>
      <c r="KEH88" s="161"/>
      <c r="KEI88" s="161"/>
      <c r="KEJ88" s="176"/>
      <c r="KEK88" s="176"/>
      <c r="KEL88" s="176"/>
      <c r="KEM88" s="161"/>
      <c r="KEN88" s="161"/>
      <c r="KEO88" s="161"/>
      <c r="KEP88" s="161"/>
      <c r="KEQ88" s="161"/>
      <c r="KER88" s="161"/>
      <c r="KES88" s="176"/>
      <c r="KET88" s="176"/>
      <c r="KEU88" s="176"/>
      <c r="KEV88" s="161"/>
      <c r="KEW88" s="161"/>
      <c r="KEX88" s="161"/>
      <c r="KEY88" s="161"/>
      <c r="KEZ88" s="161"/>
      <c r="KFA88" s="161"/>
      <c r="KFB88" s="176"/>
      <c r="KFC88" s="176"/>
      <c r="KFD88" s="176"/>
      <c r="KFE88" s="161"/>
      <c r="KFF88" s="161"/>
      <c r="KFG88" s="161"/>
      <c r="KFH88" s="161"/>
      <c r="KFI88" s="161"/>
      <c r="KFJ88" s="161"/>
      <c r="KFK88" s="176"/>
      <c r="KFL88" s="176"/>
      <c r="KFM88" s="176"/>
      <c r="KFN88" s="161"/>
      <c r="KFO88" s="161"/>
      <c r="KFP88" s="161"/>
      <c r="KFQ88" s="161"/>
      <c r="KFR88" s="161"/>
      <c r="KFS88" s="161"/>
      <c r="KFT88" s="176"/>
      <c r="KFU88" s="176"/>
      <c r="KFV88" s="176"/>
      <c r="KFW88" s="161"/>
      <c r="KFX88" s="161"/>
      <c r="KFY88" s="161"/>
      <c r="KFZ88" s="161"/>
      <c r="KGA88" s="161"/>
      <c r="KGB88" s="161"/>
      <c r="KGC88" s="176"/>
      <c r="KGD88" s="176"/>
      <c r="KGE88" s="176"/>
      <c r="KGF88" s="161"/>
      <c r="KGG88" s="161"/>
      <c r="KGH88" s="161"/>
      <c r="KGI88" s="161"/>
      <c r="KGJ88" s="161"/>
      <c r="KGK88" s="161"/>
      <c r="KGL88" s="176"/>
      <c r="KGM88" s="176"/>
      <c r="KGN88" s="176"/>
      <c r="KGO88" s="161"/>
      <c r="KGP88" s="161"/>
      <c r="KGQ88" s="161"/>
      <c r="KGR88" s="161"/>
      <c r="KGS88" s="161"/>
      <c r="KGT88" s="161"/>
      <c r="KGU88" s="176"/>
      <c r="KGV88" s="176"/>
      <c r="KGW88" s="176"/>
      <c r="KGX88" s="161"/>
      <c r="KGY88" s="161"/>
      <c r="KGZ88" s="161"/>
      <c r="KHA88" s="161"/>
      <c r="KHB88" s="161"/>
      <c r="KHC88" s="161"/>
      <c r="KHD88" s="176"/>
      <c r="KHE88" s="176"/>
      <c r="KHF88" s="176"/>
      <c r="KHG88" s="161"/>
      <c r="KHH88" s="161"/>
      <c r="KHI88" s="161"/>
      <c r="KHJ88" s="161"/>
      <c r="KHK88" s="161"/>
      <c r="KHL88" s="161"/>
      <c r="KHM88" s="176"/>
      <c r="KHN88" s="176"/>
      <c r="KHO88" s="176"/>
      <c r="KHP88" s="161"/>
      <c r="KHQ88" s="161"/>
      <c r="KHR88" s="161"/>
      <c r="KHS88" s="161"/>
      <c r="KHT88" s="161"/>
      <c r="KHU88" s="161"/>
      <c r="KHV88" s="176"/>
      <c r="KHW88" s="176"/>
      <c r="KHX88" s="176"/>
      <c r="KHY88" s="161"/>
      <c r="KHZ88" s="161"/>
      <c r="KIA88" s="161"/>
      <c r="KIB88" s="161"/>
      <c r="KIC88" s="161"/>
      <c r="KID88" s="161"/>
      <c r="KIE88" s="176"/>
      <c r="KIF88" s="176"/>
      <c r="KIG88" s="176"/>
      <c r="KIH88" s="161"/>
      <c r="KII88" s="161"/>
      <c r="KIJ88" s="161"/>
      <c r="KIK88" s="161"/>
      <c r="KIL88" s="161"/>
      <c r="KIM88" s="161"/>
      <c r="KIN88" s="176"/>
      <c r="KIO88" s="176"/>
      <c r="KIP88" s="176"/>
      <c r="KIQ88" s="161"/>
      <c r="KIR88" s="161"/>
      <c r="KIS88" s="161"/>
      <c r="KIT88" s="161"/>
      <c r="KIU88" s="161"/>
      <c r="KIV88" s="161"/>
      <c r="KIW88" s="176"/>
      <c r="KIX88" s="176"/>
      <c r="KIY88" s="176"/>
      <c r="KIZ88" s="161"/>
      <c r="KJA88" s="161"/>
      <c r="KJB88" s="161"/>
      <c r="KJC88" s="161"/>
      <c r="KJD88" s="161"/>
      <c r="KJE88" s="161"/>
      <c r="KJF88" s="176"/>
      <c r="KJG88" s="176"/>
      <c r="KJH88" s="176"/>
      <c r="KJI88" s="161"/>
      <c r="KJJ88" s="161"/>
      <c r="KJK88" s="161"/>
      <c r="KJL88" s="161"/>
      <c r="KJM88" s="161"/>
      <c r="KJN88" s="161"/>
      <c r="KJO88" s="176"/>
      <c r="KJP88" s="176"/>
      <c r="KJQ88" s="176"/>
      <c r="KJR88" s="161"/>
      <c r="KJS88" s="161"/>
      <c r="KJT88" s="161"/>
      <c r="KJU88" s="161"/>
      <c r="KJV88" s="161"/>
      <c r="KJW88" s="161"/>
      <c r="KJX88" s="176"/>
      <c r="KJY88" s="176"/>
      <c r="KJZ88" s="176"/>
      <c r="KKA88" s="161"/>
      <c r="KKB88" s="161"/>
      <c r="KKC88" s="161"/>
      <c r="KKD88" s="161"/>
      <c r="KKE88" s="161"/>
      <c r="KKF88" s="161"/>
      <c r="KKG88" s="176"/>
      <c r="KKH88" s="176"/>
      <c r="KKI88" s="176"/>
      <c r="KKJ88" s="161"/>
      <c r="KKK88" s="161"/>
      <c r="KKL88" s="161"/>
      <c r="KKM88" s="161"/>
      <c r="KKN88" s="161"/>
      <c r="KKO88" s="161"/>
      <c r="KKP88" s="176"/>
      <c r="KKQ88" s="176"/>
      <c r="KKR88" s="176"/>
      <c r="KKS88" s="161"/>
      <c r="KKT88" s="161"/>
      <c r="KKU88" s="161"/>
      <c r="KKV88" s="161"/>
      <c r="KKW88" s="161"/>
      <c r="KKX88" s="161"/>
      <c r="KKY88" s="176"/>
      <c r="KKZ88" s="176"/>
      <c r="KLA88" s="176"/>
      <c r="KLB88" s="161"/>
      <c r="KLC88" s="161"/>
      <c r="KLD88" s="161"/>
      <c r="KLE88" s="161"/>
      <c r="KLF88" s="161"/>
      <c r="KLG88" s="161"/>
      <c r="KLH88" s="176"/>
      <c r="KLI88" s="176"/>
      <c r="KLJ88" s="176"/>
      <c r="KLK88" s="161"/>
      <c r="KLL88" s="161"/>
      <c r="KLM88" s="161"/>
      <c r="KLN88" s="161"/>
      <c r="KLO88" s="161"/>
      <c r="KLP88" s="161"/>
      <c r="KLQ88" s="176"/>
      <c r="KLR88" s="176"/>
      <c r="KLS88" s="176"/>
      <c r="KLT88" s="161"/>
      <c r="KLU88" s="161"/>
      <c r="KLV88" s="161"/>
      <c r="KLW88" s="161"/>
      <c r="KLX88" s="161"/>
      <c r="KLY88" s="161"/>
      <c r="KLZ88" s="176"/>
      <c r="KMA88" s="176"/>
      <c r="KMB88" s="176"/>
      <c r="KMC88" s="161"/>
      <c r="KMD88" s="161"/>
      <c r="KME88" s="161"/>
      <c r="KMF88" s="161"/>
      <c r="KMG88" s="161"/>
      <c r="KMH88" s="161"/>
      <c r="KMI88" s="176"/>
      <c r="KMJ88" s="176"/>
      <c r="KMK88" s="176"/>
      <c r="KML88" s="161"/>
      <c r="KMM88" s="161"/>
      <c r="KMN88" s="161"/>
      <c r="KMO88" s="161"/>
      <c r="KMP88" s="161"/>
      <c r="KMQ88" s="161"/>
      <c r="KMR88" s="176"/>
      <c r="KMS88" s="176"/>
      <c r="KMT88" s="176"/>
      <c r="KMU88" s="161"/>
      <c r="KMV88" s="161"/>
      <c r="KMW88" s="161"/>
      <c r="KMX88" s="161"/>
      <c r="KMY88" s="161"/>
      <c r="KMZ88" s="161"/>
      <c r="KNA88" s="176"/>
      <c r="KNB88" s="176"/>
      <c r="KNC88" s="176"/>
      <c r="KND88" s="161"/>
      <c r="KNE88" s="161"/>
      <c r="KNF88" s="161"/>
      <c r="KNG88" s="161"/>
      <c r="KNH88" s="161"/>
      <c r="KNI88" s="161"/>
      <c r="KNJ88" s="176"/>
      <c r="KNK88" s="176"/>
      <c r="KNL88" s="176"/>
      <c r="KNM88" s="161"/>
      <c r="KNN88" s="161"/>
      <c r="KNO88" s="161"/>
      <c r="KNP88" s="161"/>
      <c r="KNQ88" s="161"/>
      <c r="KNR88" s="161"/>
      <c r="KNS88" s="176"/>
      <c r="KNT88" s="176"/>
      <c r="KNU88" s="176"/>
      <c r="KNV88" s="161"/>
      <c r="KNW88" s="161"/>
      <c r="KNX88" s="161"/>
      <c r="KNY88" s="161"/>
      <c r="KNZ88" s="161"/>
      <c r="KOA88" s="161"/>
      <c r="KOB88" s="176"/>
      <c r="KOC88" s="176"/>
      <c r="KOD88" s="176"/>
      <c r="KOE88" s="161"/>
      <c r="KOF88" s="161"/>
      <c r="KOG88" s="161"/>
      <c r="KOH88" s="161"/>
      <c r="KOI88" s="161"/>
      <c r="KOJ88" s="161"/>
      <c r="KOK88" s="176"/>
      <c r="KOL88" s="176"/>
      <c r="KOM88" s="176"/>
      <c r="KON88" s="161"/>
      <c r="KOO88" s="161"/>
      <c r="KOP88" s="161"/>
      <c r="KOQ88" s="161"/>
      <c r="KOR88" s="161"/>
      <c r="KOS88" s="161"/>
      <c r="KOT88" s="176"/>
      <c r="KOU88" s="176"/>
      <c r="KOV88" s="176"/>
      <c r="KOW88" s="161"/>
      <c r="KOX88" s="161"/>
      <c r="KOY88" s="161"/>
      <c r="KOZ88" s="161"/>
      <c r="KPA88" s="161"/>
      <c r="KPB88" s="161"/>
      <c r="KPC88" s="176"/>
      <c r="KPD88" s="176"/>
      <c r="KPE88" s="176"/>
      <c r="KPF88" s="161"/>
      <c r="KPG88" s="161"/>
      <c r="KPH88" s="161"/>
      <c r="KPI88" s="161"/>
      <c r="KPJ88" s="161"/>
      <c r="KPK88" s="161"/>
      <c r="KPL88" s="176"/>
      <c r="KPM88" s="176"/>
      <c r="KPN88" s="176"/>
      <c r="KPO88" s="161"/>
      <c r="KPP88" s="161"/>
      <c r="KPQ88" s="161"/>
      <c r="KPR88" s="161"/>
      <c r="KPS88" s="161"/>
      <c r="KPT88" s="161"/>
      <c r="KPU88" s="176"/>
      <c r="KPV88" s="176"/>
      <c r="KPW88" s="176"/>
      <c r="KPX88" s="161"/>
      <c r="KPY88" s="161"/>
      <c r="KPZ88" s="161"/>
      <c r="KQA88" s="161"/>
      <c r="KQB88" s="161"/>
      <c r="KQC88" s="161"/>
      <c r="KQD88" s="176"/>
      <c r="KQE88" s="176"/>
      <c r="KQF88" s="176"/>
      <c r="KQG88" s="161"/>
      <c r="KQH88" s="161"/>
      <c r="KQI88" s="161"/>
      <c r="KQJ88" s="161"/>
      <c r="KQK88" s="161"/>
      <c r="KQL88" s="161"/>
      <c r="KQM88" s="176"/>
      <c r="KQN88" s="176"/>
      <c r="KQO88" s="176"/>
      <c r="KQP88" s="161"/>
      <c r="KQQ88" s="161"/>
      <c r="KQR88" s="161"/>
      <c r="KQS88" s="161"/>
      <c r="KQT88" s="161"/>
      <c r="KQU88" s="161"/>
      <c r="KQV88" s="176"/>
      <c r="KQW88" s="176"/>
      <c r="KQX88" s="176"/>
      <c r="KQY88" s="161"/>
      <c r="KQZ88" s="161"/>
      <c r="KRA88" s="161"/>
      <c r="KRB88" s="161"/>
      <c r="KRC88" s="161"/>
      <c r="KRD88" s="161"/>
      <c r="KRE88" s="176"/>
      <c r="KRF88" s="176"/>
      <c r="KRG88" s="176"/>
      <c r="KRH88" s="161"/>
      <c r="KRI88" s="161"/>
      <c r="KRJ88" s="161"/>
      <c r="KRK88" s="161"/>
      <c r="KRL88" s="161"/>
      <c r="KRM88" s="161"/>
      <c r="KRN88" s="176"/>
      <c r="KRO88" s="176"/>
      <c r="KRP88" s="176"/>
      <c r="KRQ88" s="161"/>
      <c r="KRR88" s="161"/>
      <c r="KRS88" s="161"/>
      <c r="KRT88" s="161"/>
      <c r="KRU88" s="161"/>
      <c r="KRV88" s="161"/>
      <c r="KRW88" s="176"/>
      <c r="KRX88" s="176"/>
      <c r="KRY88" s="176"/>
      <c r="KRZ88" s="161"/>
      <c r="KSA88" s="161"/>
      <c r="KSB88" s="161"/>
      <c r="KSC88" s="161"/>
      <c r="KSD88" s="161"/>
      <c r="KSE88" s="161"/>
      <c r="KSF88" s="176"/>
      <c r="KSG88" s="176"/>
      <c r="KSH88" s="176"/>
      <c r="KSI88" s="161"/>
      <c r="KSJ88" s="161"/>
      <c r="KSK88" s="161"/>
      <c r="KSL88" s="161"/>
      <c r="KSM88" s="161"/>
      <c r="KSN88" s="161"/>
      <c r="KSO88" s="176"/>
      <c r="KSP88" s="176"/>
      <c r="KSQ88" s="176"/>
      <c r="KSR88" s="161"/>
      <c r="KSS88" s="161"/>
      <c r="KST88" s="161"/>
      <c r="KSU88" s="161"/>
      <c r="KSV88" s="161"/>
      <c r="KSW88" s="161"/>
      <c r="KSX88" s="176"/>
      <c r="KSY88" s="176"/>
      <c r="KSZ88" s="176"/>
      <c r="KTA88" s="161"/>
      <c r="KTB88" s="161"/>
      <c r="KTC88" s="161"/>
      <c r="KTD88" s="161"/>
      <c r="KTE88" s="161"/>
      <c r="KTF88" s="161"/>
      <c r="KTG88" s="176"/>
      <c r="KTH88" s="176"/>
      <c r="KTI88" s="176"/>
      <c r="KTJ88" s="161"/>
      <c r="KTK88" s="161"/>
      <c r="KTL88" s="161"/>
      <c r="KTM88" s="161"/>
      <c r="KTN88" s="161"/>
      <c r="KTO88" s="161"/>
      <c r="KTP88" s="176"/>
      <c r="KTQ88" s="176"/>
      <c r="KTR88" s="176"/>
      <c r="KTS88" s="161"/>
      <c r="KTT88" s="161"/>
      <c r="KTU88" s="161"/>
      <c r="KTV88" s="161"/>
      <c r="KTW88" s="161"/>
      <c r="KTX88" s="161"/>
      <c r="KTY88" s="176"/>
      <c r="KTZ88" s="176"/>
      <c r="KUA88" s="176"/>
      <c r="KUB88" s="161"/>
      <c r="KUC88" s="161"/>
      <c r="KUD88" s="161"/>
      <c r="KUE88" s="161"/>
      <c r="KUF88" s="161"/>
      <c r="KUG88" s="161"/>
      <c r="KUH88" s="176"/>
      <c r="KUI88" s="176"/>
      <c r="KUJ88" s="176"/>
      <c r="KUK88" s="161"/>
      <c r="KUL88" s="161"/>
      <c r="KUM88" s="161"/>
      <c r="KUN88" s="161"/>
      <c r="KUO88" s="161"/>
      <c r="KUP88" s="161"/>
      <c r="KUQ88" s="176"/>
      <c r="KUR88" s="176"/>
      <c r="KUS88" s="176"/>
      <c r="KUT88" s="161"/>
      <c r="KUU88" s="161"/>
      <c r="KUV88" s="161"/>
      <c r="KUW88" s="161"/>
      <c r="KUX88" s="161"/>
      <c r="KUY88" s="161"/>
      <c r="KUZ88" s="176"/>
      <c r="KVA88" s="176"/>
      <c r="KVB88" s="176"/>
      <c r="KVC88" s="161"/>
      <c r="KVD88" s="161"/>
      <c r="KVE88" s="161"/>
      <c r="KVF88" s="161"/>
      <c r="KVG88" s="161"/>
      <c r="KVH88" s="161"/>
      <c r="KVI88" s="176"/>
      <c r="KVJ88" s="176"/>
      <c r="KVK88" s="176"/>
      <c r="KVL88" s="161"/>
      <c r="KVM88" s="161"/>
      <c r="KVN88" s="161"/>
      <c r="KVO88" s="161"/>
      <c r="KVP88" s="161"/>
      <c r="KVQ88" s="161"/>
      <c r="KVR88" s="176"/>
      <c r="KVS88" s="176"/>
      <c r="KVT88" s="176"/>
      <c r="KVU88" s="161"/>
      <c r="KVV88" s="161"/>
      <c r="KVW88" s="161"/>
      <c r="KVX88" s="161"/>
      <c r="KVY88" s="161"/>
      <c r="KVZ88" s="161"/>
      <c r="KWA88" s="176"/>
      <c r="KWB88" s="176"/>
      <c r="KWC88" s="176"/>
      <c r="KWD88" s="161"/>
      <c r="KWE88" s="161"/>
      <c r="KWF88" s="161"/>
      <c r="KWG88" s="161"/>
      <c r="KWH88" s="161"/>
      <c r="KWI88" s="161"/>
      <c r="KWJ88" s="176"/>
      <c r="KWK88" s="176"/>
      <c r="KWL88" s="176"/>
      <c r="KWM88" s="161"/>
      <c r="KWN88" s="161"/>
      <c r="KWO88" s="161"/>
      <c r="KWP88" s="161"/>
      <c r="KWQ88" s="161"/>
      <c r="KWR88" s="161"/>
      <c r="KWS88" s="176"/>
      <c r="KWT88" s="176"/>
      <c r="KWU88" s="176"/>
      <c r="KWV88" s="161"/>
      <c r="KWW88" s="161"/>
      <c r="KWX88" s="161"/>
      <c r="KWY88" s="161"/>
      <c r="KWZ88" s="161"/>
      <c r="KXA88" s="161"/>
      <c r="KXB88" s="176"/>
      <c r="KXC88" s="176"/>
      <c r="KXD88" s="176"/>
      <c r="KXE88" s="161"/>
      <c r="KXF88" s="161"/>
      <c r="KXG88" s="161"/>
      <c r="KXH88" s="161"/>
      <c r="KXI88" s="161"/>
      <c r="KXJ88" s="161"/>
      <c r="KXK88" s="176"/>
      <c r="KXL88" s="176"/>
      <c r="KXM88" s="176"/>
      <c r="KXN88" s="161"/>
      <c r="KXO88" s="161"/>
      <c r="KXP88" s="161"/>
      <c r="KXQ88" s="161"/>
      <c r="KXR88" s="161"/>
      <c r="KXS88" s="161"/>
      <c r="KXT88" s="176"/>
      <c r="KXU88" s="176"/>
      <c r="KXV88" s="176"/>
      <c r="KXW88" s="161"/>
      <c r="KXX88" s="161"/>
      <c r="KXY88" s="161"/>
      <c r="KXZ88" s="161"/>
      <c r="KYA88" s="161"/>
      <c r="KYB88" s="161"/>
      <c r="KYC88" s="176"/>
      <c r="KYD88" s="176"/>
      <c r="KYE88" s="176"/>
      <c r="KYF88" s="161"/>
      <c r="KYG88" s="161"/>
      <c r="KYH88" s="161"/>
      <c r="KYI88" s="161"/>
      <c r="KYJ88" s="161"/>
      <c r="KYK88" s="161"/>
      <c r="KYL88" s="176"/>
      <c r="KYM88" s="176"/>
      <c r="KYN88" s="176"/>
      <c r="KYO88" s="161"/>
      <c r="KYP88" s="161"/>
      <c r="KYQ88" s="161"/>
      <c r="KYR88" s="161"/>
      <c r="KYS88" s="161"/>
      <c r="KYT88" s="161"/>
      <c r="KYU88" s="176"/>
      <c r="KYV88" s="176"/>
      <c r="KYW88" s="176"/>
      <c r="KYX88" s="161"/>
      <c r="KYY88" s="161"/>
      <c r="KYZ88" s="161"/>
      <c r="KZA88" s="161"/>
      <c r="KZB88" s="161"/>
      <c r="KZC88" s="161"/>
      <c r="KZD88" s="176"/>
      <c r="KZE88" s="176"/>
      <c r="KZF88" s="176"/>
      <c r="KZG88" s="161"/>
      <c r="KZH88" s="161"/>
      <c r="KZI88" s="161"/>
      <c r="KZJ88" s="161"/>
      <c r="KZK88" s="161"/>
      <c r="KZL88" s="161"/>
      <c r="KZM88" s="176"/>
      <c r="KZN88" s="176"/>
      <c r="KZO88" s="176"/>
      <c r="KZP88" s="161"/>
      <c r="KZQ88" s="161"/>
      <c r="KZR88" s="161"/>
      <c r="KZS88" s="161"/>
      <c r="KZT88" s="161"/>
      <c r="KZU88" s="161"/>
      <c r="KZV88" s="176"/>
      <c r="KZW88" s="176"/>
      <c r="KZX88" s="176"/>
      <c r="KZY88" s="161"/>
      <c r="KZZ88" s="161"/>
      <c r="LAA88" s="161"/>
      <c r="LAB88" s="161"/>
      <c r="LAC88" s="161"/>
      <c r="LAD88" s="161"/>
      <c r="LAE88" s="176"/>
      <c r="LAF88" s="176"/>
      <c r="LAG88" s="176"/>
      <c r="LAH88" s="161"/>
      <c r="LAI88" s="161"/>
      <c r="LAJ88" s="161"/>
      <c r="LAK88" s="161"/>
      <c r="LAL88" s="161"/>
      <c r="LAM88" s="161"/>
      <c r="LAN88" s="176"/>
      <c r="LAO88" s="176"/>
      <c r="LAP88" s="176"/>
      <c r="LAQ88" s="161"/>
      <c r="LAR88" s="161"/>
      <c r="LAS88" s="161"/>
      <c r="LAT88" s="161"/>
      <c r="LAU88" s="161"/>
      <c r="LAV88" s="161"/>
      <c r="LAW88" s="176"/>
      <c r="LAX88" s="176"/>
      <c r="LAY88" s="176"/>
      <c r="LAZ88" s="161"/>
      <c r="LBA88" s="161"/>
      <c r="LBB88" s="161"/>
      <c r="LBC88" s="161"/>
      <c r="LBD88" s="161"/>
      <c r="LBE88" s="161"/>
      <c r="LBF88" s="176"/>
      <c r="LBG88" s="176"/>
      <c r="LBH88" s="176"/>
      <c r="LBI88" s="161"/>
      <c r="LBJ88" s="161"/>
      <c r="LBK88" s="161"/>
      <c r="LBL88" s="161"/>
      <c r="LBM88" s="161"/>
      <c r="LBN88" s="161"/>
      <c r="LBO88" s="176"/>
      <c r="LBP88" s="176"/>
      <c r="LBQ88" s="176"/>
      <c r="LBR88" s="161"/>
      <c r="LBS88" s="161"/>
      <c r="LBT88" s="161"/>
      <c r="LBU88" s="161"/>
      <c r="LBV88" s="161"/>
      <c r="LBW88" s="161"/>
      <c r="LBX88" s="176"/>
      <c r="LBY88" s="176"/>
      <c r="LBZ88" s="176"/>
      <c r="LCA88" s="161"/>
      <c r="LCB88" s="161"/>
      <c r="LCC88" s="161"/>
      <c r="LCD88" s="161"/>
      <c r="LCE88" s="161"/>
      <c r="LCF88" s="161"/>
      <c r="LCG88" s="176"/>
      <c r="LCH88" s="176"/>
      <c r="LCI88" s="176"/>
      <c r="LCJ88" s="161"/>
      <c r="LCK88" s="161"/>
      <c r="LCL88" s="161"/>
      <c r="LCM88" s="161"/>
      <c r="LCN88" s="161"/>
      <c r="LCO88" s="161"/>
      <c r="LCP88" s="176"/>
      <c r="LCQ88" s="176"/>
      <c r="LCR88" s="176"/>
      <c r="LCS88" s="161"/>
      <c r="LCT88" s="161"/>
      <c r="LCU88" s="161"/>
      <c r="LCV88" s="161"/>
      <c r="LCW88" s="161"/>
      <c r="LCX88" s="161"/>
      <c r="LCY88" s="176"/>
      <c r="LCZ88" s="176"/>
      <c r="LDA88" s="176"/>
      <c r="LDB88" s="161"/>
      <c r="LDC88" s="161"/>
      <c r="LDD88" s="161"/>
      <c r="LDE88" s="161"/>
      <c r="LDF88" s="161"/>
      <c r="LDG88" s="161"/>
      <c r="LDH88" s="176"/>
      <c r="LDI88" s="176"/>
      <c r="LDJ88" s="176"/>
      <c r="LDK88" s="161"/>
      <c r="LDL88" s="161"/>
      <c r="LDM88" s="161"/>
      <c r="LDN88" s="161"/>
      <c r="LDO88" s="161"/>
      <c r="LDP88" s="161"/>
      <c r="LDQ88" s="176"/>
      <c r="LDR88" s="176"/>
      <c r="LDS88" s="176"/>
      <c r="LDT88" s="161"/>
      <c r="LDU88" s="161"/>
      <c r="LDV88" s="161"/>
      <c r="LDW88" s="161"/>
      <c r="LDX88" s="161"/>
      <c r="LDY88" s="161"/>
      <c r="LDZ88" s="176"/>
      <c r="LEA88" s="176"/>
      <c r="LEB88" s="176"/>
      <c r="LEC88" s="161"/>
      <c r="LED88" s="161"/>
      <c r="LEE88" s="161"/>
      <c r="LEF88" s="161"/>
      <c r="LEG88" s="161"/>
      <c r="LEH88" s="161"/>
      <c r="LEI88" s="176"/>
      <c r="LEJ88" s="176"/>
      <c r="LEK88" s="176"/>
      <c r="LEL88" s="161"/>
      <c r="LEM88" s="161"/>
      <c r="LEN88" s="161"/>
      <c r="LEO88" s="161"/>
      <c r="LEP88" s="161"/>
      <c r="LEQ88" s="161"/>
      <c r="LER88" s="176"/>
      <c r="LES88" s="176"/>
      <c r="LET88" s="176"/>
      <c r="LEU88" s="161"/>
      <c r="LEV88" s="161"/>
      <c r="LEW88" s="161"/>
      <c r="LEX88" s="161"/>
      <c r="LEY88" s="161"/>
      <c r="LEZ88" s="161"/>
      <c r="LFA88" s="176"/>
      <c r="LFB88" s="176"/>
      <c r="LFC88" s="176"/>
      <c r="LFD88" s="161"/>
      <c r="LFE88" s="161"/>
      <c r="LFF88" s="161"/>
      <c r="LFG88" s="161"/>
      <c r="LFH88" s="161"/>
      <c r="LFI88" s="161"/>
      <c r="LFJ88" s="176"/>
      <c r="LFK88" s="176"/>
      <c r="LFL88" s="176"/>
      <c r="LFM88" s="161"/>
      <c r="LFN88" s="161"/>
      <c r="LFO88" s="161"/>
      <c r="LFP88" s="161"/>
      <c r="LFQ88" s="161"/>
      <c r="LFR88" s="161"/>
      <c r="LFS88" s="176"/>
      <c r="LFT88" s="176"/>
      <c r="LFU88" s="176"/>
      <c r="LFV88" s="161"/>
      <c r="LFW88" s="161"/>
      <c r="LFX88" s="161"/>
      <c r="LFY88" s="161"/>
      <c r="LFZ88" s="161"/>
      <c r="LGA88" s="161"/>
      <c r="LGB88" s="176"/>
      <c r="LGC88" s="176"/>
      <c r="LGD88" s="176"/>
      <c r="LGE88" s="161"/>
      <c r="LGF88" s="161"/>
      <c r="LGG88" s="161"/>
      <c r="LGH88" s="161"/>
      <c r="LGI88" s="161"/>
      <c r="LGJ88" s="161"/>
      <c r="LGK88" s="176"/>
      <c r="LGL88" s="176"/>
      <c r="LGM88" s="176"/>
      <c r="LGN88" s="161"/>
      <c r="LGO88" s="161"/>
      <c r="LGP88" s="161"/>
      <c r="LGQ88" s="161"/>
      <c r="LGR88" s="161"/>
      <c r="LGS88" s="161"/>
      <c r="LGT88" s="176"/>
      <c r="LGU88" s="176"/>
      <c r="LGV88" s="176"/>
      <c r="LGW88" s="161"/>
      <c r="LGX88" s="161"/>
      <c r="LGY88" s="161"/>
      <c r="LGZ88" s="161"/>
      <c r="LHA88" s="161"/>
      <c r="LHB88" s="161"/>
      <c r="LHC88" s="176"/>
      <c r="LHD88" s="176"/>
      <c r="LHE88" s="176"/>
      <c r="LHF88" s="161"/>
      <c r="LHG88" s="161"/>
      <c r="LHH88" s="161"/>
      <c r="LHI88" s="161"/>
      <c r="LHJ88" s="161"/>
      <c r="LHK88" s="161"/>
      <c r="LHL88" s="176"/>
      <c r="LHM88" s="176"/>
      <c r="LHN88" s="176"/>
      <c r="LHO88" s="161"/>
      <c r="LHP88" s="161"/>
      <c r="LHQ88" s="161"/>
      <c r="LHR88" s="161"/>
      <c r="LHS88" s="161"/>
      <c r="LHT88" s="161"/>
      <c r="LHU88" s="176"/>
      <c r="LHV88" s="176"/>
      <c r="LHW88" s="176"/>
      <c r="LHX88" s="161"/>
      <c r="LHY88" s="161"/>
      <c r="LHZ88" s="161"/>
      <c r="LIA88" s="161"/>
      <c r="LIB88" s="161"/>
      <c r="LIC88" s="161"/>
      <c r="LID88" s="176"/>
      <c r="LIE88" s="176"/>
      <c r="LIF88" s="176"/>
      <c r="LIG88" s="161"/>
      <c r="LIH88" s="161"/>
      <c r="LII88" s="161"/>
      <c r="LIJ88" s="161"/>
      <c r="LIK88" s="161"/>
      <c r="LIL88" s="161"/>
      <c r="LIM88" s="176"/>
      <c r="LIN88" s="176"/>
      <c r="LIO88" s="176"/>
      <c r="LIP88" s="161"/>
      <c r="LIQ88" s="161"/>
      <c r="LIR88" s="161"/>
      <c r="LIS88" s="161"/>
      <c r="LIT88" s="161"/>
      <c r="LIU88" s="161"/>
      <c r="LIV88" s="176"/>
      <c r="LIW88" s="176"/>
      <c r="LIX88" s="176"/>
      <c r="LIY88" s="161"/>
      <c r="LIZ88" s="161"/>
      <c r="LJA88" s="161"/>
      <c r="LJB88" s="161"/>
      <c r="LJC88" s="161"/>
      <c r="LJD88" s="161"/>
      <c r="LJE88" s="176"/>
      <c r="LJF88" s="176"/>
      <c r="LJG88" s="176"/>
      <c r="LJH88" s="161"/>
      <c r="LJI88" s="161"/>
      <c r="LJJ88" s="161"/>
      <c r="LJK88" s="161"/>
      <c r="LJL88" s="161"/>
      <c r="LJM88" s="161"/>
      <c r="LJN88" s="176"/>
      <c r="LJO88" s="176"/>
      <c r="LJP88" s="176"/>
      <c r="LJQ88" s="161"/>
      <c r="LJR88" s="161"/>
      <c r="LJS88" s="161"/>
      <c r="LJT88" s="161"/>
      <c r="LJU88" s="161"/>
      <c r="LJV88" s="161"/>
      <c r="LJW88" s="176"/>
      <c r="LJX88" s="176"/>
      <c r="LJY88" s="176"/>
      <c r="LJZ88" s="161"/>
      <c r="LKA88" s="161"/>
      <c r="LKB88" s="161"/>
      <c r="LKC88" s="161"/>
      <c r="LKD88" s="161"/>
      <c r="LKE88" s="161"/>
      <c r="LKF88" s="176"/>
      <c r="LKG88" s="176"/>
      <c r="LKH88" s="176"/>
      <c r="LKI88" s="161"/>
      <c r="LKJ88" s="161"/>
      <c r="LKK88" s="161"/>
      <c r="LKL88" s="161"/>
      <c r="LKM88" s="161"/>
      <c r="LKN88" s="161"/>
      <c r="LKO88" s="176"/>
      <c r="LKP88" s="176"/>
      <c r="LKQ88" s="176"/>
      <c r="LKR88" s="161"/>
      <c r="LKS88" s="161"/>
      <c r="LKT88" s="161"/>
      <c r="LKU88" s="161"/>
      <c r="LKV88" s="161"/>
      <c r="LKW88" s="161"/>
      <c r="LKX88" s="176"/>
      <c r="LKY88" s="176"/>
      <c r="LKZ88" s="176"/>
      <c r="LLA88" s="161"/>
      <c r="LLB88" s="161"/>
      <c r="LLC88" s="161"/>
      <c r="LLD88" s="161"/>
      <c r="LLE88" s="161"/>
      <c r="LLF88" s="161"/>
      <c r="LLG88" s="176"/>
      <c r="LLH88" s="176"/>
      <c r="LLI88" s="176"/>
      <c r="LLJ88" s="161"/>
      <c r="LLK88" s="161"/>
      <c r="LLL88" s="161"/>
      <c r="LLM88" s="161"/>
      <c r="LLN88" s="161"/>
      <c r="LLO88" s="161"/>
      <c r="LLP88" s="176"/>
      <c r="LLQ88" s="176"/>
      <c r="LLR88" s="176"/>
      <c r="LLS88" s="161"/>
      <c r="LLT88" s="161"/>
      <c r="LLU88" s="161"/>
      <c r="LLV88" s="161"/>
      <c r="LLW88" s="161"/>
      <c r="LLX88" s="161"/>
      <c r="LLY88" s="176"/>
      <c r="LLZ88" s="176"/>
      <c r="LMA88" s="176"/>
      <c r="LMB88" s="161"/>
      <c r="LMC88" s="161"/>
      <c r="LMD88" s="161"/>
      <c r="LME88" s="161"/>
      <c r="LMF88" s="161"/>
      <c r="LMG88" s="161"/>
      <c r="LMH88" s="176"/>
      <c r="LMI88" s="176"/>
      <c r="LMJ88" s="176"/>
      <c r="LMK88" s="161"/>
      <c r="LML88" s="161"/>
      <c r="LMM88" s="161"/>
      <c r="LMN88" s="161"/>
      <c r="LMO88" s="161"/>
      <c r="LMP88" s="161"/>
      <c r="LMQ88" s="176"/>
      <c r="LMR88" s="176"/>
      <c r="LMS88" s="176"/>
      <c r="LMT88" s="161"/>
      <c r="LMU88" s="161"/>
      <c r="LMV88" s="161"/>
      <c r="LMW88" s="161"/>
      <c r="LMX88" s="161"/>
      <c r="LMY88" s="161"/>
      <c r="LMZ88" s="176"/>
      <c r="LNA88" s="176"/>
      <c r="LNB88" s="176"/>
      <c r="LNC88" s="161"/>
      <c r="LND88" s="161"/>
      <c r="LNE88" s="161"/>
      <c r="LNF88" s="161"/>
      <c r="LNG88" s="161"/>
      <c r="LNH88" s="161"/>
      <c r="LNI88" s="176"/>
      <c r="LNJ88" s="176"/>
      <c r="LNK88" s="176"/>
      <c r="LNL88" s="161"/>
      <c r="LNM88" s="161"/>
      <c r="LNN88" s="161"/>
      <c r="LNO88" s="161"/>
      <c r="LNP88" s="161"/>
      <c r="LNQ88" s="161"/>
      <c r="LNR88" s="176"/>
      <c r="LNS88" s="176"/>
      <c r="LNT88" s="176"/>
      <c r="LNU88" s="161"/>
      <c r="LNV88" s="161"/>
      <c r="LNW88" s="161"/>
      <c r="LNX88" s="161"/>
      <c r="LNY88" s="161"/>
      <c r="LNZ88" s="161"/>
      <c r="LOA88" s="176"/>
      <c r="LOB88" s="176"/>
      <c r="LOC88" s="176"/>
      <c r="LOD88" s="161"/>
      <c r="LOE88" s="161"/>
      <c r="LOF88" s="161"/>
      <c r="LOG88" s="161"/>
      <c r="LOH88" s="161"/>
      <c r="LOI88" s="161"/>
      <c r="LOJ88" s="176"/>
      <c r="LOK88" s="176"/>
      <c r="LOL88" s="176"/>
      <c r="LOM88" s="161"/>
      <c r="LON88" s="161"/>
      <c r="LOO88" s="161"/>
      <c r="LOP88" s="161"/>
      <c r="LOQ88" s="161"/>
      <c r="LOR88" s="161"/>
      <c r="LOS88" s="176"/>
      <c r="LOT88" s="176"/>
      <c r="LOU88" s="176"/>
      <c r="LOV88" s="161"/>
      <c r="LOW88" s="161"/>
      <c r="LOX88" s="161"/>
      <c r="LOY88" s="161"/>
      <c r="LOZ88" s="161"/>
      <c r="LPA88" s="161"/>
      <c r="LPB88" s="176"/>
      <c r="LPC88" s="176"/>
      <c r="LPD88" s="176"/>
      <c r="LPE88" s="161"/>
      <c r="LPF88" s="161"/>
      <c r="LPG88" s="161"/>
      <c r="LPH88" s="161"/>
      <c r="LPI88" s="161"/>
      <c r="LPJ88" s="161"/>
      <c r="LPK88" s="176"/>
      <c r="LPL88" s="176"/>
      <c r="LPM88" s="176"/>
      <c r="LPN88" s="161"/>
      <c r="LPO88" s="161"/>
      <c r="LPP88" s="161"/>
      <c r="LPQ88" s="161"/>
      <c r="LPR88" s="161"/>
      <c r="LPS88" s="161"/>
      <c r="LPT88" s="176"/>
      <c r="LPU88" s="176"/>
      <c r="LPV88" s="176"/>
      <c r="LPW88" s="161"/>
      <c r="LPX88" s="161"/>
      <c r="LPY88" s="161"/>
      <c r="LPZ88" s="161"/>
      <c r="LQA88" s="161"/>
      <c r="LQB88" s="161"/>
      <c r="LQC88" s="176"/>
      <c r="LQD88" s="176"/>
      <c r="LQE88" s="176"/>
      <c r="LQF88" s="161"/>
      <c r="LQG88" s="161"/>
      <c r="LQH88" s="161"/>
      <c r="LQI88" s="161"/>
      <c r="LQJ88" s="161"/>
      <c r="LQK88" s="161"/>
      <c r="LQL88" s="176"/>
      <c r="LQM88" s="176"/>
      <c r="LQN88" s="176"/>
      <c r="LQO88" s="161"/>
      <c r="LQP88" s="161"/>
      <c r="LQQ88" s="161"/>
      <c r="LQR88" s="161"/>
      <c r="LQS88" s="161"/>
      <c r="LQT88" s="161"/>
      <c r="LQU88" s="176"/>
      <c r="LQV88" s="176"/>
      <c r="LQW88" s="176"/>
      <c r="LQX88" s="161"/>
      <c r="LQY88" s="161"/>
      <c r="LQZ88" s="161"/>
      <c r="LRA88" s="161"/>
      <c r="LRB88" s="161"/>
      <c r="LRC88" s="161"/>
      <c r="LRD88" s="176"/>
      <c r="LRE88" s="176"/>
      <c r="LRF88" s="176"/>
      <c r="LRG88" s="161"/>
      <c r="LRH88" s="161"/>
      <c r="LRI88" s="161"/>
      <c r="LRJ88" s="161"/>
      <c r="LRK88" s="161"/>
      <c r="LRL88" s="161"/>
      <c r="LRM88" s="176"/>
      <c r="LRN88" s="176"/>
      <c r="LRO88" s="176"/>
      <c r="LRP88" s="161"/>
      <c r="LRQ88" s="161"/>
      <c r="LRR88" s="161"/>
      <c r="LRS88" s="161"/>
      <c r="LRT88" s="161"/>
      <c r="LRU88" s="161"/>
      <c r="LRV88" s="176"/>
      <c r="LRW88" s="176"/>
      <c r="LRX88" s="176"/>
      <c r="LRY88" s="161"/>
      <c r="LRZ88" s="161"/>
      <c r="LSA88" s="161"/>
      <c r="LSB88" s="161"/>
      <c r="LSC88" s="161"/>
      <c r="LSD88" s="161"/>
      <c r="LSE88" s="176"/>
      <c r="LSF88" s="176"/>
      <c r="LSG88" s="176"/>
      <c r="LSH88" s="161"/>
      <c r="LSI88" s="161"/>
      <c r="LSJ88" s="161"/>
      <c r="LSK88" s="161"/>
      <c r="LSL88" s="161"/>
      <c r="LSM88" s="161"/>
      <c r="LSN88" s="176"/>
      <c r="LSO88" s="176"/>
      <c r="LSP88" s="176"/>
      <c r="LSQ88" s="161"/>
      <c r="LSR88" s="161"/>
      <c r="LSS88" s="161"/>
      <c r="LST88" s="161"/>
      <c r="LSU88" s="161"/>
      <c r="LSV88" s="161"/>
      <c r="LSW88" s="176"/>
      <c r="LSX88" s="176"/>
      <c r="LSY88" s="176"/>
      <c r="LSZ88" s="161"/>
      <c r="LTA88" s="161"/>
      <c r="LTB88" s="161"/>
      <c r="LTC88" s="161"/>
      <c r="LTD88" s="161"/>
      <c r="LTE88" s="161"/>
      <c r="LTF88" s="176"/>
      <c r="LTG88" s="176"/>
      <c r="LTH88" s="176"/>
      <c r="LTI88" s="161"/>
      <c r="LTJ88" s="161"/>
      <c r="LTK88" s="161"/>
      <c r="LTL88" s="161"/>
      <c r="LTM88" s="161"/>
      <c r="LTN88" s="161"/>
      <c r="LTO88" s="176"/>
      <c r="LTP88" s="176"/>
      <c r="LTQ88" s="176"/>
      <c r="LTR88" s="161"/>
      <c r="LTS88" s="161"/>
      <c r="LTT88" s="161"/>
      <c r="LTU88" s="161"/>
      <c r="LTV88" s="161"/>
      <c r="LTW88" s="161"/>
      <c r="LTX88" s="176"/>
      <c r="LTY88" s="176"/>
      <c r="LTZ88" s="176"/>
      <c r="LUA88" s="161"/>
      <c r="LUB88" s="161"/>
      <c r="LUC88" s="161"/>
      <c r="LUD88" s="161"/>
      <c r="LUE88" s="161"/>
      <c r="LUF88" s="161"/>
      <c r="LUG88" s="176"/>
      <c r="LUH88" s="176"/>
      <c r="LUI88" s="176"/>
      <c r="LUJ88" s="161"/>
      <c r="LUK88" s="161"/>
      <c r="LUL88" s="161"/>
      <c r="LUM88" s="161"/>
      <c r="LUN88" s="161"/>
      <c r="LUO88" s="161"/>
      <c r="LUP88" s="176"/>
      <c r="LUQ88" s="176"/>
      <c r="LUR88" s="176"/>
      <c r="LUS88" s="161"/>
      <c r="LUT88" s="161"/>
      <c r="LUU88" s="161"/>
      <c r="LUV88" s="161"/>
      <c r="LUW88" s="161"/>
      <c r="LUX88" s="161"/>
      <c r="LUY88" s="176"/>
      <c r="LUZ88" s="176"/>
      <c r="LVA88" s="176"/>
      <c r="LVB88" s="161"/>
      <c r="LVC88" s="161"/>
      <c r="LVD88" s="161"/>
      <c r="LVE88" s="161"/>
      <c r="LVF88" s="161"/>
      <c r="LVG88" s="161"/>
      <c r="LVH88" s="176"/>
      <c r="LVI88" s="176"/>
      <c r="LVJ88" s="176"/>
      <c r="LVK88" s="161"/>
      <c r="LVL88" s="161"/>
      <c r="LVM88" s="161"/>
      <c r="LVN88" s="161"/>
      <c r="LVO88" s="161"/>
      <c r="LVP88" s="161"/>
      <c r="LVQ88" s="176"/>
      <c r="LVR88" s="176"/>
      <c r="LVS88" s="176"/>
      <c r="LVT88" s="161"/>
      <c r="LVU88" s="161"/>
      <c r="LVV88" s="161"/>
      <c r="LVW88" s="161"/>
      <c r="LVX88" s="161"/>
      <c r="LVY88" s="161"/>
      <c r="LVZ88" s="176"/>
      <c r="LWA88" s="176"/>
      <c r="LWB88" s="176"/>
      <c r="LWC88" s="161"/>
      <c r="LWD88" s="161"/>
      <c r="LWE88" s="161"/>
      <c r="LWF88" s="161"/>
      <c r="LWG88" s="161"/>
      <c r="LWH88" s="161"/>
      <c r="LWI88" s="176"/>
      <c r="LWJ88" s="176"/>
      <c r="LWK88" s="176"/>
      <c r="LWL88" s="161"/>
      <c r="LWM88" s="161"/>
      <c r="LWN88" s="161"/>
      <c r="LWO88" s="161"/>
      <c r="LWP88" s="161"/>
      <c r="LWQ88" s="161"/>
      <c r="LWR88" s="176"/>
      <c r="LWS88" s="176"/>
      <c r="LWT88" s="176"/>
      <c r="LWU88" s="161"/>
      <c r="LWV88" s="161"/>
      <c r="LWW88" s="161"/>
      <c r="LWX88" s="161"/>
      <c r="LWY88" s="161"/>
      <c r="LWZ88" s="161"/>
      <c r="LXA88" s="176"/>
      <c r="LXB88" s="176"/>
      <c r="LXC88" s="176"/>
      <c r="LXD88" s="161"/>
      <c r="LXE88" s="161"/>
      <c r="LXF88" s="161"/>
      <c r="LXG88" s="161"/>
      <c r="LXH88" s="161"/>
      <c r="LXI88" s="161"/>
      <c r="LXJ88" s="176"/>
      <c r="LXK88" s="176"/>
      <c r="LXL88" s="176"/>
      <c r="LXM88" s="161"/>
      <c r="LXN88" s="161"/>
      <c r="LXO88" s="161"/>
      <c r="LXP88" s="161"/>
      <c r="LXQ88" s="161"/>
      <c r="LXR88" s="161"/>
      <c r="LXS88" s="176"/>
      <c r="LXT88" s="176"/>
      <c r="LXU88" s="176"/>
      <c r="LXV88" s="161"/>
      <c r="LXW88" s="161"/>
      <c r="LXX88" s="161"/>
      <c r="LXY88" s="161"/>
      <c r="LXZ88" s="161"/>
      <c r="LYA88" s="161"/>
      <c r="LYB88" s="176"/>
      <c r="LYC88" s="176"/>
      <c r="LYD88" s="176"/>
      <c r="LYE88" s="161"/>
      <c r="LYF88" s="161"/>
      <c r="LYG88" s="161"/>
      <c r="LYH88" s="161"/>
      <c r="LYI88" s="161"/>
      <c r="LYJ88" s="161"/>
      <c r="LYK88" s="176"/>
      <c r="LYL88" s="176"/>
      <c r="LYM88" s="176"/>
      <c r="LYN88" s="161"/>
      <c r="LYO88" s="161"/>
      <c r="LYP88" s="161"/>
      <c r="LYQ88" s="161"/>
      <c r="LYR88" s="161"/>
      <c r="LYS88" s="161"/>
      <c r="LYT88" s="176"/>
      <c r="LYU88" s="176"/>
      <c r="LYV88" s="176"/>
      <c r="LYW88" s="161"/>
      <c r="LYX88" s="161"/>
      <c r="LYY88" s="161"/>
      <c r="LYZ88" s="161"/>
      <c r="LZA88" s="161"/>
      <c r="LZB88" s="161"/>
      <c r="LZC88" s="176"/>
      <c r="LZD88" s="176"/>
      <c r="LZE88" s="176"/>
      <c r="LZF88" s="161"/>
      <c r="LZG88" s="161"/>
      <c r="LZH88" s="161"/>
      <c r="LZI88" s="161"/>
      <c r="LZJ88" s="161"/>
      <c r="LZK88" s="161"/>
      <c r="LZL88" s="176"/>
      <c r="LZM88" s="176"/>
      <c r="LZN88" s="176"/>
      <c r="LZO88" s="161"/>
      <c r="LZP88" s="161"/>
      <c r="LZQ88" s="161"/>
      <c r="LZR88" s="161"/>
      <c r="LZS88" s="161"/>
      <c r="LZT88" s="161"/>
      <c r="LZU88" s="176"/>
      <c r="LZV88" s="176"/>
      <c r="LZW88" s="176"/>
      <c r="LZX88" s="161"/>
      <c r="LZY88" s="161"/>
      <c r="LZZ88" s="161"/>
      <c r="MAA88" s="161"/>
      <c r="MAB88" s="161"/>
      <c r="MAC88" s="161"/>
      <c r="MAD88" s="176"/>
      <c r="MAE88" s="176"/>
      <c r="MAF88" s="176"/>
      <c r="MAG88" s="161"/>
      <c r="MAH88" s="161"/>
      <c r="MAI88" s="161"/>
      <c r="MAJ88" s="161"/>
      <c r="MAK88" s="161"/>
      <c r="MAL88" s="161"/>
      <c r="MAM88" s="176"/>
      <c r="MAN88" s="176"/>
      <c r="MAO88" s="176"/>
      <c r="MAP88" s="161"/>
      <c r="MAQ88" s="161"/>
      <c r="MAR88" s="161"/>
      <c r="MAS88" s="161"/>
      <c r="MAT88" s="161"/>
      <c r="MAU88" s="161"/>
      <c r="MAV88" s="176"/>
      <c r="MAW88" s="176"/>
      <c r="MAX88" s="176"/>
      <c r="MAY88" s="161"/>
      <c r="MAZ88" s="161"/>
      <c r="MBA88" s="161"/>
      <c r="MBB88" s="161"/>
      <c r="MBC88" s="161"/>
      <c r="MBD88" s="161"/>
      <c r="MBE88" s="176"/>
      <c r="MBF88" s="176"/>
      <c r="MBG88" s="176"/>
      <c r="MBH88" s="161"/>
      <c r="MBI88" s="161"/>
      <c r="MBJ88" s="161"/>
      <c r="MBK88" s="161"/>
      <c r="MBL88" s="161"/>
      <c r="MBM88" s="161"/>
      <c r="MBN88" s="176"/>
      <c r="MBO88" s="176"/>
      <c r="MBP88" s="176"/>
      <c r="MBQ88" s="161"/>
      <c r="MBR88" s="161"/>
      <c r="MBS88" s="161"/>
      <c r="MBT88" s="161"/>
      <c r="MBU88" s="161"/>
      <c r="MBV88" s="161"/>
      <c r="MBW88" s="176"/>
      <c r="MBX88" s="176"/>
      <c r="MBY88" s="176"/>
      <c r="MBZ88" s="161"/>
      <c r="MCA88" s="161"/>
      <c r="MCB88" s="161"/>
      <c r="MCC88" s="161"/>
      <c r="MCD88" s="161"/>
      <c r="MCE88" s="161"/>
      <c r="MCF88" s="176"/>
      <c r="MCG88" s="176"/>
      <c r="MCH88" s="176"/>
      <c r="MCI88" s="161"/>
      <c r="MCJ88" s="161"/>
      <c r="MCK88" s="161"/>
      <c r="MCL88" s="161"/>
      <c r="MCM88" s="161"/>
      <c r="MCN88" s="161"/>
      <c r="MCO88" s="176"/>
      <c r="MCP88" s="176"/>
      <c r="MCQ88" s="176"/>
      <c r="MCR88" s="161"/>
      <c r="MCS88" s="161"/>
      <c r="MCT88" s="161"/>
      <c r="MCU88" s="161"/>
      <c r="MCV88" s="161"/>
      <c r="MCW88" s="161"/>
      <c r="MCX88" s="176"/>
      <c r="MCY88" s="176"/>
      <c r="MCZ88" s="176"/>
      <c r="MDA88" s="161"/>
      <c r="MDB88" s="161"/>
      <c r="MDC88" s="161"/>
      <c r="MDD88" s="161"/>
      <c r="MDE88" s="161"/>
      <c r="MDF88" s="161"/>
      <c r="MDG88" s="176"/>
      <c r="MDH88" s="176"/>
      <c r="MDI88" s="176"/>
      <c r="MDJ88" s="161"/>
      <c r="MDK88" s="161"/>
      <c r="MDL88" s="161"/>
      <c r="MDM88" s="161"/>
      <c r="MDN88" s="161"/>
      <c r="MDO88" s="161"/>
      <c r="MDP88" s="176"/>
      <c r="MDQ88" s="176"/>
      <c r="MDR88" s="176"/>
      <c r="MDS88" s="161"/>
      <c r="MDT88" s="161"/>
      <c r="MDU88" s="161"/>
      <c r="MDV88" s="161"/>
      <c r="MDW88" s="161"/>
      <c r="MDX88" s="161"/>
      <c r="MDY88" s="176"/>
      <c r="MDZ88" s="176"/>
      <c r="MEA88" s="176"/>
      <c r="MEB88" s="161"/>
      <c r="MEC88" s="161"/>
      <c r="MED88" s="161"/>
      <c r="MEE88" s="161"/>
      <c r="MEF88" s="161"/>
      <c r="MEG88" s="161"/>
      <c r="MEH88" s="176"/>
      <c r="MEI88" s="176"/>
      <c r="MEJ88" s="176"/>
      <c r="MEK88" s="161"/>
      <c r="MEL88" s="161"/>
      <c r="MEM88" s="161"/>
      <c r="MEN88" s="161"/>
      <c r="MEO88" s="161"/>
      <c r="MEP88" s="161"/>
      <c r="MEQ88" s="176"/>
      <c r="MER88" s="176"/>
      <c r="MES88" s="176"/>
      <c r="MET88" s="161"/>
      <c r="MEU88" s="161"/>
      <c r="MEV88" s="161"/>
      <c r="MEW88" s="161"/>
      <c r="MEX88" s="161"/>
      <c r="MEY88" s="161"/>
      <c r="MEZ88" s="176"/>
      <c r="MFA88" s="176"/>
      <c r="MFB88" s="176"/>
      <c r="MFC88" s="161"/>
      <c r="MFD88" s="161"/>
      <c r="MFE88" s="161"/>
      <c r="MFF88" s="161"/>
      <c r="MFG88" s="161"/>
      <c r="MFH88" s="161"/>
      <c r="MFI88" s="176"/>
      <c r="MFJ88" s="176"/>
      <c r="MFK88" s="176"/>
      <c r="MFL88" s="161"/>
      <c r="MFM88" s="161"/>
      <c r="MFN88" s="161"/>
      <c r="MFO88" s="161"/>
      <c r="MFP88" s="161"/>
      <c r="MFQ88" s="161"/>
      <c r="MFR88" s="176"/>
      <c r="MFS88" s="176"/>
      <c r="MFT88" s="176"/>
      <c r="MFU88" s="161"/>
      <c r="MFV88" s="161"/>
      <c r="MFW88" s="161"/>
      <c r="MFX88" s="161"/>
      <c r="MFY88" s="161"/>
      <c r="MFZ88" s="161"/>
      <c r="MGA88" s="176"/>
      <c r="MGB88" s="176"/>
      <c r="MGC88" s="176"/>
      <c r="MGD88" s="161"/>
      <c r="MGE88" s="161"/>
      <c r="MGF88" s="161"/>
      <c r="MGG88" s="161"/>
      <c r="MGH88" s="161"/>
      <c r="MGI88" s="161"/>
      <c r="MGJ88" s="176"/>
      <c r="MGK88" s="176"/>
      <c r="MGL88" s="176"/>
      <c r="MGM88" s="161"/>
      <c r="MGN88" s="161"/>
      <c r="MGO88" s="161"/>
      <c r="MGP88" s="161"/>
      <c r="MGQ88" s="161"/>
      <c r="MGR88" s="161"/>
      <c r="MGS88" s="176"/>
      <c r="MGT88" s="176"/>
      <c r="MGU88" s="176"/>
      <c r="MGV88" s="161"/>
      <c r="MGW88" s="161"/>
      <c r="MGX88" s="161"/>
      <c r="MGY88" s="161"/>
      <c r="MGZ88" s="161"/>
      <c r="MHA88" s="161"/>
      <c r="MHB88" s="176"/>
      <c r="MHC88" s="176"/>
      <c r="MHD88" s="176"/>
      <c r="MHE88" s="161"/>
      <c r="MHF88" s="161"/>
      <c r="MHG88" s="161"/>
      <c r="MHH88" s="161"/>
      <c r="MHI88" s="161"/>
      <c r="MHJ88" s="161"/>
      <c r="MHK88" s="176"/>
      <c r="MHL88" s="176"/>
      <c r="MHM88" s="176"/>
      <c r="MHN88" s="161"/>
      <c r="MHO88" s="161"/>
      <c r="MHP88" s="161"/>
      <c r="MHQ88" s="161"/>
      <c r="MHR88" s="161"/>
      <c r="MHS88" s="161"/>
      <c r="MHT88" s="176"/>
      <c r="MHU88" s="176"/>
      <c r="MHV88" s="176"/>
      <c r="MHW88" s="161"/>
      <c r="MHX88" s="161"/>
      <c r="MHY88" s="161"/>
      <c r="MHZ88" s="161"/>
      <c r="MIA88" s="161"/>
      <c r="MIB88" s="161"/>
      <c r="MIC88" s="176"/>
      <c r="MID88" s="176"/>
      <c r="MIE88" s="176"/>
      <c r="MIF88" s="161"/>
      <c r="MIG88" s="161"/>
      <c r="MIH88" s="161"/>
      <c r="MII88" s="161"/>
      <c r="MIJ88" s="161"/>
      <c r="MIK88" s="161"/>
      <c r="MIL88" s="176"/>
      <c r="MIM88" s="176"/>
      <c r="MIN88" s="176"/>
      <c r="MIO88" s="161"/>
      <c r="MIP88" s="161"/>
      <c r="MIQ88" s="161"/>
      <c r="MIR88" s="161"/>
      <c r="MIS88" s="161"/>
      <c r="MIT88" s="161"/>
      <c r="MIU88" s="176"/>
      <c r="MIV88" s="176"/>
      <c r="MIW88" s="176"/>
      <c r="MIX88" s="161"/>
      <c r="MIY88" s="161"/>
      <c r="MIZ88" s="161"/>
      <c r="MJA88" s="161"/>
      <c r="MJB88" s="161"/>
      <c r="MJC88" s="161"/>
      <c r="MJD88" s="176"/>
      <c r="MJE88" s="176"/>
      <c r="MJF88" s="176"/>
      <c r="MJG88" s="161"/>
      <c r="MJH88" s="161"/>
      <c r="MJI88" s="161"/>
      <c r="MJJ88" s="161"/>
      <c r="MJK88" s="161"/>
      <c r="MJL88" s="161"/>
      <c r="MJM88" s="176"/>
      <c r="MJN88" s="176"/>
      <c r="MJO88" s="176"/>
      <c r="MJP88" s="161"/>
      <c r="MJQ88" s="161"/>
      <c r="MJR88" s="161"/>
      <c r="MJS88" s="161"/>
      <c r="MJT88" s="161"/>
      <c r="MJU88" s="161"/>
      <c r="MJV88" s="176"/>
      <c r="MJW88" s="176"/>
      <c r="MJX88" s="176"/>
      <c r="MJY88" s="161"/>
      <c r="MJZ88" s="161"/>
      <c r="MKA88" s="161"/>
      <c r="MKB88" s="161"/>
      <c r="MKC88" s="161"/>
      <c r="MKD88" s="161"/>
      <c r="MKE88" s="176"/>
      <c r="MKF88" s="176"/>
      <c r="MKG88" s="176"/>
      <c r="MKH88" s="161"/>
      <c r="MKI88" s="161"/>
      <c r="MKJ88" s="161"/>
      <c r="MKK88" s="161"/>
      <c r="MKL88" s="161"/>
      <c r="MKM88" s="161"/>
      <c r="MKN88" s="176"/>
      <c r="MKO88" s="176"/>
      <c r="MKP88" s="176"/>
      <c r="MKQ88" s="161"/>
      <c r="MKR88" s="161"/>
      <c r="MKS88" s="161"/>
      <c r="MKT88" s="161"/>
      <c r="MKU88" s="161"/>
      <c r="MKV88" s="161"/>
      <c r="MKW88" s="176"/>
      <c r="MKX88" s="176"/>
      <c r="MKY88" s="176"/>
      <c r="MKZ88" s="161"/>
      <c r="MLA88" s="161"/>
      <c r="MLB88" s="161"/>
      <c r="MLC88" s="161"/>
      <c r="MLD88" s="161"/>
      <c r="MLE88" s="161"/>
      <c r="MLF88" s="176"/>
      <c r="MLG88" s="176"/>
      <c r="MLH88" s="176"/>
      <c r="MLI88" s="161"/>
      <c r="MLJ88" s="161"/>
      <c r="MLK88" s="161"/>
      <c r="MLL88" s="161"/>
      <c r="MLM88" s="161"/>
      <c r="MLN88" s="161"/>
      <c r="MLO88" s="176"/>
      <c r="MLP88" s="176"/>
      <c r="MLQ88" s="176"/>
      <c r="MLR88" s="161"/>
      <c r="MLS88" s="161"/>
      <c r="MLT88" s="161"/>
      <c r="MLU88" s="161"/>
      <c r="MLV88" s="161"/>
      <c r="MLW88" s="161"/>
      <c r="MLX88" s="176"/>
      <c r="MLY88" s="176"/>
      <c r="MLZ88" s="176"/>
      <c r="MMA88" s="161"/>
      <c r="MMB88" s="161"/>
      <c r="MMC88" s="161"/>
      <c r="MMD88" s="161"/>
      <c r="MME88" s="161"/>
      <c r="MMF88" s="161"/>
      <c r="MMG88" s="176"/>
      <c r="MMH88" s="176"/>
      <c r="MMI88" s="176"/>
      <c r="MMJ88" s="161"/>
      <c r="MMK88" s="161"/>
      <c r="MML88" s="161"/>
      <c r="MMM88" s="161"/>
      <c r="MMN88" s="161"/>
      <c r="MMO88" s="161"/>
      <c r="MMP88" s="176"/>
      <c r="MMQ88" s="176"/>
      <c r="MMR88" s="176"/>
      <c r="MMS88" s="161"/>
      <c r="MMT88" s="161"/>
      <c r="MMU88" s="161"/>
      <c r="MMV88" s="161"/>
      <c r="MMW88" s="161"/>
      <c r="MMX88" s="161"/>
      <c r="MMY88" s="176"/>
      <c r="MMZ88" s="176"/>
      <c r="MNA88" s="176"/>
      <c r="MNB88" s="161"/>
      <c r="MNC88" s="161"/>
      <c r="MND88" s="161"/>
      <c r="MNE88" s="161"/>
      <c r="MNF88" s="161"/>
      <c r="MNG88" s="161"/>
      <c r="MNH88" s="176"/>
      <c r="MNI88" s="176"/>
      <c r="MNJ88" s="176"/>
      <c r="MNK88" s="161"/>
      <c r="MNL88" s="161"/>
      <c r="MNM88" s="161"/>
      <c r="MNN88" s="161"/>
      <c r="MNO88" s="161"/>
      <c r="MNP88" s="161"/>
      <c r="MNQ88" s="176"/>
      <c r="MNR88" s="176"/>
      <c r="MNS88" s="176"/>
      <c r="MNT88" s="161"/>
      <c r="MNU88" s="161"/>
      <c r="MNV88" s="161"/>
      <c r="MNW88" s="161"/>
      <c r="MNX88" s="161"/>
      <c r="MNY88" s="161"/>
      <c r="MNZ88" s="176"/>
      <c r="MOA88" s="176"/>
      <c r="MOB88" s="176"/>
      <c r="MOC88" s="161"/>
      <c r="MOD88" s="161"/>
      <c r="MOE88" s="161"/>
      <c r="MOF88" s="161"/>
      <c r="MOG88" s="161"/>
      <c r="MOH88" s="161"/>
      <c r="MOI88" s="176"/>
      <c r="MOJ88" s="176"/>
      <c r="MOK88" s="176"/>
      <c r="MOL88" s="161"/>
      <c r="MOM88" s="161"/>
      <c r="MON88" s="161"/>
      <c r="MOO88" s="161"/>
      <c r="MOP88" s="161"/>
      <c r="MOQ88" s="161"/>
      <c r="MOR88" s="176"/>
      <c r="MOS88" s="176"/>
      <c r="MOT88" s="176"/>
      <c r="MOU88" s="161"/>
      <c r="MOV88" s="161"/>
      <c r="MOW88" s="161"/>
      <c r="MOX88" s="161"/>
      <c r="MOY88" s="161"/>
      <c r="MOZ88" s="161"/>
      <c r="MPA88" s="176"/>
      <c r="MPB88" s="176"/>
      <c r="MPC88" s="176"/>
      <c r="MPD88" s="161"/>
      <c r="MPE88" s="161"/>
      <c r="MPF88" s="161"/>
      <c r="MPG88" s="161"/>
      <c r="MPH88" s="161"/>
      <c r="MPI88" s="161"/>
      <c r="MPJ88" s="176"/>
      <c r="MPK88" s="176"/>
      <c r="MPL88" s="176"/>
      <c r="MPM88" s="161"/>
      <c r="MPN88" s="161"/>
      <c r="MPO88" s="161"/>
      <c r="MPP88" s="161"/>
      <c r="MPQ88" s="161"/>
      <c r="MPR88" s="161"/>
      <c r="MPS88" s="176"/>
      <c r="MPT88" s="176"/>
      <c r="MPU88" s="176"/>
      <c r="MPV88" s="161"/>
      <c r="MPW88" s="161"/>
      <c r="MPX88" s="161"/>
      <c r="MPY88" s="161"/>
      <c r="MPZ88" s="161"/>
      <c r="MQA88" s="161"/>
      <c r="MQB88" s="176"/>
      <c r="MQC88" s="176"/>
      <c r="MQD88" s="176"/>
      <c r="MQE88" s="161"/>
      <c r="MQF88" s="161"/>
      <c r="MQG88" s="161"/>
      <c r="MQH88" s="161"/>
      <c r="MQI88" s="161"/>
      <c r="MQJ88" s="161"/>
      <c r="MQK88" s="176"/>
      <c r="MQL88" s="176"/>
      <c r="MQM88" s="176"/>
      <c r="MQN88" s="161"/>
      <c r="MQO88" s="161"/>
      <c r="MQP88" s="161"/>
      <c r="MQQ88" s="161"/>
      <c r="MQR88" s="161"/>
      <c r="MQS88" s="161"/>
      <c r="MQT88" s="176"/>
      <c r="MQU88" s="176"/>
      <c r="MQV88" s="176"/>
      <c r="MQW88" s="161"/>
      <c r="MQX88" s="161"/>
      <c r="MQY88" s="161"/>
      <c r="MQZ88" s="161"/>
      <c r="MRA88" s="161"/>
      <c r="MRB88" s="161"/>
      <c r="MRC88" s="176"/>
      <c r="MRD88" s="176"/>
      <c r="MRE88" s="176"/>
      <c r="MRF88" s="161"/>
      <c r="MRG88" s="161"/>
      <c r="MRH88" s="161"/>
      <c r="MRI88" s="161"/>
      <c r="MRJ88" s="161"/>
      <c r="MRK88" s="161"/>
      <c r="MRL88" s="176"/>
      <c r="MRM88" s="176"/>
      <c r="MRN88" s="176"/>
      <c r="MRO88" s="161"/>
      <c r="MRP88" s="161"/>
      <c r="MRQ88" s="161"/>
      <c r="MRR88" s="161"/>
      <c r="MRS88" s="161"/>
      <c r="MRT88" s="161"/>
      <c r="MRU88" s="176"/>
      <c r="MRV88" s="176"/>
      <c r="MRW88" s="176"/>
      <c r="MRX88" s="161"/>
      <c r="MRY88" s="161"/>
      <c r="MRZ88" s="161"/>
      <c r="MSA88" s="161"/>
      <c r="MSB88" s="161"/>
      <c r="MSC88" s="161"/>
      <c r="MSD88" s="176"/>
      <c r="MSE88" s="176"/>
      <c r="MSF88" s="176"/>
      <c r="MSG88" s="161"/>
      <c r="MSH88" s="161"/>
      <c r="MSI88" s="161"/>
      <c r="MSJ88" s="161"/>
      <c r="MSK88" s="161"/>
      <c r="MSL88" s="161"/>
      <c r="MSM88" s="176"/>
      <c r="MSN88" s="176"/>
      <c r="MSO88" s="176"/>
      <c r="MSP88" s="161"/>
      <c r="MSQ88" s="161"/>
      <c r="MSR88" s="161"/>
      <c r="MSS88" s="161"/>
      <c r="MST88" s="161"/>
      <c r="MSU88" s="161"/>
      <c r="MSV88" s="176"/>
      <c r="MSW88" s="176"/>
      <c r="MSX88" s="176"/>
      <c r="MSY88" s="161"/>
      <c r="MSZ88" s="161"/>
      <c r="MTA88" s="161"/>
      <c r="MTB88" s="161"/>
      <c r="MTC88" s="161"/>
      <c r="MTD88" s="161"/>
      <c r="MTE88" s="176"/>
      <c r="MTF88" s="176"/>
      <c r="MTG88" s="176"/>
      <c r="MTH88" s="161"/>
      <c r="MTI88" s="161"/>
      <c r="MTJ88" s="161"/>
      <c r="MTK88" s="161"/>
      <c r="MTL88" s="161"/>
      <c r="MTM88" s="161"/>
      <c r="MTN88" s="176"/>
      <c r="MTO88" s="176"/>
      <c r="MTP88" s="176"/>
      <c r="MTQ88" s="161"/>
      <c r="MTR88" s="161"/>
      <c r="MTS88" s="161"/>
      <c r="MTT88" s="161"/>
      <c r="MTU88" s="161"/>
      <c r="MTV88" s="161"/>
      <c r="MTW88" s="176"/>
      <c r="MTX88" s="176"/>
      <c r="MTY88" s="176"/>
      <c r="MTZ88" s="161"/>
      <c r="MUA88" s="161"/>
      <c r="MUB88" s="161"/>
      <c r="MUC88" s="161"/>
      <c r="MUD88" s="161"/>
      <c r="MUE88" s="161"/>
      <c r="MUF88" s="176"/>
      <c r="MUG88" s="176"/>
      <c r="MUH88" s="176"/>
      <c r="MUI88" s="161"/>
      <c r="MUJ88" s="161"/>
      <c r="MUK88" s="161"/>
      <c r="MUL88" s="161"/>
      <c r="MUM88" s="161"/>
      <c r="MUN88" s="161"/>
      <c r="MUO88" s="176"/>
      <c r="MUP88" s="176"/>
      <c r="MUQ88" s="176"/>
      <c r="MUR88" s="161"/>
      <c r="MUS88" s="161"/>
      <c r="MUT88" s="161"/>
      <c r="MUU88" s="161"/>
      <c r="MUV88" s="161"/>
      <c r="MUW88" s="161"/>
      <c r="MUX88" s="176"/>
      <c r="MUY88" s="176"/>
      <c r="MUZ88" s="176"/>
      <c r="MVA88" s="161"/>
      <c r="MVB88" s="161"/>
      <c r="MVC88" s="161"/>
      <c r="MVD88" s="161"/>
      <c r="MVE88" s="161"/>
      <c r="MVF88" s="161"/>
      <c r="MVG88" s="176"/>
      <c r="MVH88" s="176"/>
      <c r="MVI88" s="176"/>
      <c r="MVJ88" s="161"/>
      <c r="MVK88" s="161"/>
      <c r="MVL88" s="161"/>
      <c r="MVM88" s="161"/>
      <c r="MVN88" s="161"/>
      <c r="MVO88" s="161"/>
      <c r="MVP88" s="176"/>
      <c r="MVQ88" s="176"/>
      <c r="MVR88" s="176"/>
      <c r="MVS88" s="161"/>
      <c r="MVT88" s="161"/>
      <c r="MVU88" s="161"/>
      <c r="MVV88" s="161"/>
      <c r="MVW88" s="161"/>
      <c r="MVX88" s="161"/>
      <c r="MVY88" s="176"/>
      <c r="MVZ88" s="176"/>
      <c r="MWA88" s="176"/>
      <c r="MWB88" s="161"/>
      <c r="MWC88" s="161"/>
      <c r="MWD88" s="161"/>
      <c r="MWE88" s="161"/>
      <c r="MWF88" s="161"/>
      <c r="MWG88" s="161"/>
      <c r="MWH88" s="176"/>
      <c r="MWI88" s="176"/>
      <c r="MWJ88" s="176"/>
      <c r="MWK88" s="161"/>
      <c r="MWL88" s="161"/>
      <c r="MWM88" s="161"/>
      <c r="MWN88" s="161"/>
      <c r="MWO88" s="161"/>
      <c r="MWP88" s="161"/>
      <c r="MWQ88" s="176"/>
      <c r="MWR88" s="176"/>
      <c r="MWS88" s="176"/>
      <c r="MWT88" s="161"/>
      <c r="MWU88" s="161"/>
      <c r="MWV88" s="161"/>
      <c r="MWW88" s="161"/>
      <c r="MWX88" s="161"/>
      <c r="MWY88" s="161"/>
      <c r="MWZ88" s="176"/>
      <c r="MXA88" s="176"/>
      <c r="MXB88" s="176"/>
      <c r="MXC88" s="161"/>
      <c r="MXD88" s="161"/>
      <c r="MXE88" s="161"/>
      <c r="MXF88" s="161"/>
      <c r="MXG88" s="161"/>
      <c r="MXH88" s="161"/>
      <c r="MXI88" s="176"/>
      <c r="MXJ88" s="176"/>
      <c r="MXK88" s="176"/>
      <c r="MXL88" s="161"/>
      <c r="MXM88" s="161"/>
      <c r="MXN88" s="161"/>
      <c r="MXO88" s="161"/>
      <c r="MXP88" s="161"/>
      <c r="MXQ88" s="161"/>
      <c r="MXR88" s="176"/>
      <c r="MXS88" s="176"/>
      <c r="MXT88" s="176"/>
      <c r="MXU88" s="161"/>
      <c r="MXV88" s="161"/>
      <c r="MXW88" s="161"/>
      <c r="MXX88" s="161"/>
      <c r="MXY88" s="161"/>
      <c r="MXZ88" s="161"/>
      <c r="MYA88" s="176"/>
      <c r="MYB88" s="176"/>
      <c r="MYC88" s="176"/>
      <c r="MYD88" s="161"/>
      <c r="MYE88" s="161"/>
      <c r="MYF88" s="161"/>
      <c r="MYG88" s="161"/>
      <c r="MYH88" s="161"/>
      <c r="MYI88" s="161"/>
      <c r="MYJ88" s="176"/>
      <c r="MYK88" s="176"/>
      <c r="MYL88" s="176"/>
      <c r="MYM88" s="161"/>
      <c r="MYN88" s="161"/>
      <c r="MYO88" s="161"/>
      <c r="MYP88" s="161"/>
      <c r="MYQ88" s="161"/>
      <c r="MYR88" s="161"/>
      <c r="MYS88" s="176"/>
      <c r="MYT88" s="176"/>
      <c r="MYU88" s="176"/>
      <c r="MYV88" s="161"/>
      <c r="MYW88" s="161"/>
      <c r="MYX88" s="161"/>
      <c r="MYY88" s="161"/>
      <c r="MYZ88" s="161"/>
      <c r="MZA88" s="161"/>
      <c r="MZB88" s="176"/>
      <c r="MZC88" s="176"/>
      <c r="MZD88" s="176"/>
      <c r="MZE88" s="161"/>
      <c r="MZF88" s="161"/>
      <c r="MZG88" s="161"/>
      <c r="MZH88" s="161"/>
      <c r="MZI88" s="161"/>
      <c r="MZJ88" s="161"/>
      <c r="MZK88" s="176"/>
      <c r="MZL88" s="176"/>
      <c r="MZM88" s="176"/>
      <c r="MZN88" s="161"/>
      <c r="MZO88" s="161"/>
      <c r="MZP88" s="161"/>
      <c r="MZQ88" s="161"/>
      <c r="MZR88" s="161"/>
      <c r="MZS88" s="161"/>
      <c r="MZT88" s="176"/>
      <c r="MZU88" s="176"/>
      <c r="MZV88" s="176"/>
      <c r="MZW88" s="161"/>
      <c r="MZX88" s="161"/>
      <c r="MZY88" s="161"/>
      <c r="MZZ88" s="161"/>
      <c r="NAA88" s="161"/>
      <c r="NAB88" s="161"/>
      <c r="NAC88" s="176"/>
      <c r="NAD88" s="176"/>
      <c r="NAE88" s="176"/>
      <c r="NAF88" s="161"/>
      <c r="NAG88" s="161"/>
      <c r="NAH88" s="161"/>
      <c r="NAI88" s="161"/>
      <c r="NAJ88" s="161"/>
      <c r="NAK88" s="161"/>
      <c r="NAL88" s="176"/>
      <c r="NAM88" s="176"/>
      <c r="NAN88" s="176"/>
      <c r="NAO88" s="161"/>
      <c r="NAP88" s="161"/>
      <c r="NAQ88" s="161"/>
      <c r="NAR88" s="161"/>
      <c r="NAS88" s="161"/>
      <c r="NAT88" s="161"/>
      <c r="NAU88" s="176"/>
      <c r="NAV88" s="176"/>
      <c r="NAW88" s="176"/>
      <c r="NAX88" s="161"/>
      <c r="NAY88" s="161"/>
      <c r="NAZ88" s="161"/>
      <c r="NBA88" s="161"/>
      <c r="NBB88" s="161"/>
      <c r="NBC88" s="161"/>
      <c r="NBD88" s="176"/>
      <c r="NBE88" s="176"/>
      <c r="NBF88" s="176"/>
      <c r="NBG88" s="161"/>
      <c r="NBH88" s="161"/>
      <c r="NBI88" s="161"/>
      <c r="NBJ88" s="161"/>
      <c r="NBK88" s="161"/>
      <c r="NBL88" s="161"/>
      <c r="NBM88" s="176"/>
      <c r="NBN88" s="176"/>
      <c r="NBO88" s="176"/>
      <c r="NBP88" s="161"/>
      <c r="NBQ88" s="161"/>
      <c r="NBR88" s="161"/>
      <c r="NBS88" s="161"/>
      <c r="NBT88" s="161"/>
      <c r="NBU88" s="161"/>
      <c r="NBV88" s="176"/>
      <c r="NBW88" s="176"/>
      <c r="NBX88" s="176"/>
      <c r="NBY88" s="161"/>
      <c r="NBZ88" s="161"/>
      <c r="NCA88" s="161"/>
      <c r="NCB88" s="161"/>
      <c r="NCC88" s="161"/>
      <c r="NCD88" s="161"/>
      <c r="NCE88" s="176"/>
      <c r="NCF88" s="176"/>
      <c r="NCG88" s="176"/>
      <c r="NCH88" s="161"/>
      <c r="NCI88" s="161"/>
      <c r="NCJ88" s="161"/>
      <c r="NCK88" s="161"/>
      <c r="NCL88" s="161"/>
      <c r="NCM88" s="161"/>
      <c r="NCN88" s="176"/>
      <c r="NCO88" s="176"/>
      <c r="NCP88" s="176"/>
      <c r="NCQ88" s="161"/>
      <c r="NCR88" s="161"/>
      <c r="NCS88" s="161"/>
      <c r="NCT88" s="161"/>
      <c r="NCU88" s="161"/>
      <c r="NCV88" s="161"/>
      <c r="NCW88" s="176"/>
      <c r="NCX88" s="176"/>
      <c r="NCY88" s="176"/>
      <c r="NCZ88" s="161"/>
      <c r="NDA88" s="161"/>
      <c r="NDB88" s="161"/>
      <c r="NDC88" s="161"/>
      <c r="NDD88" s="161"/>
      <c r="NDE88" s="161"/>
      <c r="NDF88" s="176"/>
      <c r="NDG88" s="176"/>
      <c r="NDH88" s="176"/>
      <c r="NDI88" s="161"/>
      <c r="NDJ88" s="161"/>
      <c r="NDK88" s="161"/>
      <c r="NDL88" s="161"/>
      <c r="NDM88" s="161"/>
      <c r="NDN88" s="161"/>
      <c r="NDO88" s="176"/>
      <c r="NDP88" s="176"/>
      <c r="NDQ88" s="176"/>
      <c r="NDR88" s="161"/>
      <c r="NDS88" s="161"/>
      <c r="NDT88" s="161"/>
      <c r="NDU88" s="161"/>
      <c r="NDV88" s="161"/>
      <c r="NDW88" s="161"/>
      <c r="NDX88" s="176"/>
      <c r="NDY88" s="176"/>
      <c r="NDZ88" s="176"/>
      <c r="NEA88" s="161"/>
      <c r="NEB88" s="161"/>
      <c r="NEC88" s="161"/>
      <c r="NED88" s="161"/>
      <c r="NEE88" s="161"/>
      <c r="NEF88" s="161"/>
      <c r="NEG88" s="176"/>
      <c r="NEH88" s="176"/>
      <c r="NEI88" s="176"/>
      <c r="NEJ88" s="161"/>
      <c r="NEK88" s="161"/>
      <c r="NEL88" s="161"/>
      <c r="NEM88" s="161"/>
      <c r="NEN88" s="161"/>
      <c r="NEO88" s="161"/>
      <c r="NEP88" s="176"/>
      <c r="NEQ88" s="176"/>
      <c r="NER88" s="176"/>
      <c r="NES88" s="161"/>
      <c r="NET88" s="161"/>
      <c r="NEU88" s="161"/>
      <c r="NEV88" s="161"/>
      <c r="NEW88" s="161"/>
      <c r="NEX88" s="161"/>
      <c r="NEY88" s="176"/>
      <c r="NEZ88" s="176"/>
      <c r="NFA88" s="176"/>
      <c r="NFB88" s="161"/>
      <c r="NFC88" s="161"/>
      <c r="NFD88" s="161"/>
      <c r="NFE88" s="161"/>
      <c r="NFF88" s="161"/>
      <c r="NFG88" s="161"/>
      <c r="NFH88" s="176"/>
      <c r="NFI88" s="176"/>
      <c r="NFJ88" s="176"/>
      <c r="NFK88" s="161"/>
      <c r="NFL88" s="161"/>
      <c r="NFM88" s="161"/>
      <c r="NFN88" s="161"/>
      <c r="NFO88" s="161"/>
      <c r="NFP88" s="161"/>
      <c r="NFQ88" s="176"/>
      <c r="NFR88" s="176"/>
      <c r="NFS88" s="176"/>
      <c r="NFT88" s="161"/>
      <c r="NFU88" s="161"/>
      <c r="NFV88" s="161"/>
      <c r="NFW88" s="161"/>
      <c r="NFX88" s="161"/>
      <c r="NFY88" s="161"/>
      <c r="NFZ88" s="176"/>
      <c r="NGA88" s="176"/>
      <c r="NGB88" s="176"/>
      <c r="NGC88" s="161"/>
      <c r="NGD88" s="161"/>
      <c r="NGE88" s="161"/>
      <c r="NGF88" s="161"/>
      <c r="NGG88" s="161"/>
      <c r="NGH88" s="161"/>
      <c r="NGI88" s="176"/>
      <c r="NGJ88" s="176"/>
      <c r="NGK88" s="176"/>
      <c r="NGL88" s="161"/>
      <c r="NGM88" s="161"/>
      <c r="NGN88" s="161"/>
      <c r="NGO88" s="161"/>
      <c r="NGP88" s="161"/>
      <c r="NGQ88" s="161"/>
      <c r="NGR88" s="176"/>
      <c r="NGS88" s="176"/>
      <c r="NGT88" s="176"/>
      <c r="NGU88" s="161"/>
      <c r="NGV88" s="161"/>
      <c r="NGW88" s="161"/>
      <c r="NGX88" s="161"/>
      <c r="NGY88" s="161"/>
      <c r="NGZ88" s="161"/>
      <c r="NHA88" s="176"/>
      <c r="NHB88" s="176"/>
      <c r="NHC88" s="176"/>
      <c r="NHD88" s="161"/>
      <c r="NHE88" s="161"/>
      <c r="NHF88" s="161"/>
      <c r="NHG88" s="161"/>
      <c r="NHH88" s="161"/>
      <c r="NHI88" s="161"/>
      <c r="NHJ88" s="176"/>
      <c r="NHK88" s="176"/>
      <c r="NHL88" s="176"/>
      <c r="NHM88" s="161"/>
      <c r="NHN88" s="161"/>
      <c r="NHO88" s="161"/>
      <c r="NHP88" s="161"/>
      <c r="NHQ88" s="161"/>
      <c r="NHR88" s="161"/>
      <c r="NHS88" s="176"/>
      <c r="NHT88" s="176"/>
      <c r="NHU88" s="176"/>
      <c r="NHV88" s="161"/>
      <c r="NHW88" s="161"/>
      <c r="NHX88" s="161"/>
      <c r="NHY88" s="161"/>
      <c r="NHZ88" s="161"/>
      <c r="NIA88" s="161"/>
      <c r="NIB88" s="176"/>
      <c r="NIC88" s="176"/>
      <c r="NID88" s="176"/>
      <c r="NIE88" s="161"/>
      <c r="NIF88" s="161"/>
      <c r="NIG88" s="161"/>
      <c r="NIH88" s="161"/>
      <c r="NII88" s="161"/>
      <c r="NIJ88" s="161"/>
      <c r="NIK88" s="176"/>
      <c r="NIL88" s="176"/>
      <c r="NIM88" s="176"/>
      <c r="NIN88" s="161"/>
      <c r="NIO88" s="161"/>
      <c r="NIP88" s="161"/>
      <c r="NIQ88" s="161"/>
      <c r="NIR88" s="161"/>
      <c r="NIS88" s="161"/>
      <c r="NIT88" s="176"/>
      <c r="NIU88" s="176"/>
      <c r="NIV88" s="176"/>
      <c r="NIW88" s="161"/>
      <c r="NIX88" s="161"/>
      <c r="NIY88" s="161"/>
      <c r="NIZ88" s="161"/>
      <c r="NJA88" s="161"/>
      <c r="NJB88" s="161"/>
      <c r="NJC88" s="176"/>
      <c r="NJD88" s="176"/>
      <c r="NJE88" s="176"/>
      <c r="NJF88" s="161"/>
      <c r="NJG88" s="161"/>
      <c r="NJH88" s="161"/>
      <c r="NJI88" s="161"/>
      <c r="NJJ88" s="161"/>
      <c r="NJK88" s="161"/>
      <c r="NJL88" s="176"/>
      <c r="NJM88" s="176"/>
      <c r="NJN88" s="176"/>
      <c r="NJO88" s="161"/>
      <c r="NJP88" s="161"/>
      <c r="NJQ88" s="161"/>
      <c r="NJR88" s="161"/>
      <c r="NJS88" s="161"/>
      <c r="NJT88" s="161"/>
      <c r="NJU88" s="176"/>
      <c r="NJV88" s="176"/>
      <c r="NJW88" s="176"/>
      <c r="NJX88" s="161"/>
      <c r="NJY88" s="161"/>
      <c r="NJZ88" s="161"/>
      <c r="NKA88" s="161"/>
      <c r="NKB88" s="161"/>
      <c r="NKC88" s="161"/>
      <c r="NKD88" s="176"/>
      <c r="NKE88" s="176"/>
      <c r="NKF88" s="176"/>
      <c r="NKG88" s="161"/>
      <c r="NKH88" s="161"/>
      <c r="NKI88" s="161"/>
      <c r="NKJ88" s="161"/>
      <c r="NKK88" s="161"/>
      <c r="NKL88" s="161"/>
      <c r="NKM88" s="176"/>
      <c r="NKN88" s="176"/>
      <c r="NKO88" s="176"/>
      <c r="NKP88" s="161"/>
      <c r="NKQ88" s="161"/>
      <c r="NKR88" s="161"/>
      <c r="NKS88" s="161"/>
      <c r="NKT88" s="161"/>
      <c r="NKU88" s="161"/>
      <c r="NKV88" s="176"/>
      <c r="NKW88" s="176"/>
      <c r="NKX88" s="176"/>
      <c r="NKY88" s="161"/>
      <c r="NKZ88" s="161"/>
      <c r="NLA88" s="161"/>
      <c r="NLB88" s="161"/>
      <c r="NLC88" s="161"/>
      <c r="NLD88" s="161"/>
      <c r="NLE88" s="176"/>
      <c r="NLF88" s="176"/>
      <c r="NLG88" s="176"/>
      <c r="NLH88" s="161"/>
      <c r="NLI88" s="161"/>
      <c r="NLJ88" s="161"/>
      <c r="NLK88" s="161"/>
      <c r="NLL88" s="161"/>
      <c r="NLM88" s="161"/>
      <c r="NLN88" s="176"/>
      <c r="NLO88" s="176"/>
      <c r="NLP88" s="176"/>
      <c r="NLQ88" s="161"/>
      <c r="NLR88" s="161"/>
      <c r="NLS88" s="161"/>
      <c r="NLT88" s="161"/>
      <c r="NLU88" s="161"/>
      <c r="NLV88" s="161"/>
      <c r="NLW88" s="176"/>
      <c r="NLX88" s="176"/>
      <c r="NLY88" s="176"/>
      <c r="NLZ88" s="161"/>
      <c r="NMA88" s="161"/>
      <c r="NMB88" s="161"/>
      <c r="NMC88" s="161"/>
      <c r="NMD88" s="161"/>
      <c r="NME88" s="161"/>
      <c r="NMF88" s="176"/>
      <c r="NMG88" s="176"/>
      <c r="NMH88" s="176"/>
      <c r="NMI88" s="161"/>
      <c r="NMJ88" s="161"/>
      <c r="NMK88" s="161"/>
      <c r="NML88" s="161"/>
      <c r="NMM88" s="161"/>
      <c r="NMN88" s="161"/>
      <c r="NMO88" s="176"/>
      <c r="NMP88" s="176"/>
      <c r="NMQ88" s="176"/>
      <c r="NMR88" s="161"/>
      <c r="NMS88" s="161"/>
      <c r="NMT88" s="161"/>
      <c r="NMU88" s="161"/>
      <c r="NMV88" s="161"/>
      <c r="NMW88" s="161"/>
      <c r="NMX88" s="176"/>
      <c r="NMY88" s="176"/>
      <c r="NMZ88" s="176"/>
      <c r="NNA88" s="161"/>
      <c r="NNB88" s="161"/>
      <c r="NNC88" s="161"/>
      <c r="NND88" s="161"/>
      <c r="NNE88" s="161"/>
      <c r="NNF88" s="161"/>
      <c r="NNG88" s="176"/>
      <c r="NNH88" s="176"/>
      <c r="NNI88" s="176"/>
      <c r="NNJ88" s="161"/>
      <c r="NNK88" s="161"/>
      <c r="NNL88" s="161"/>
      <c r="NNM88" s="161"/>
      <c r="NNN88" s="161"/>
      <c r="NNO88" s="161"/>
      <c r="NNP88" s="176"/>
      <c r="NNQ88" s="176"/>
      <c r="NNR88" s="176"/>
      <c r="NNS88" s="161"/>
      <c r="NNT88" s="161"/>
      <c r="NNU88" s="161"/>
      <c r="NNV88" s="161"/>
      <c r="NNW88" s="161"/>
      <c r="NNX88" s="161"/>
      <c r="NNY88" s="176"/>
      <c r="NNZ88" s="176"/>
      <c r="NOA88" s="176"/>
      <c r="NOB88" s="161"/>
      <c r="NOC88" s="161"/>
      <c r="NOD88" s="161"/>
      <c r="NOE88" s="161"/>
      <c r="NOF88" s="161"/>
      <c r="NOG88" s="161"/>
      <c r="NOH88" s="176"/>
      <c r="NOI88" s="176"/>
      <c r="NOJ88" s="176"/>
      <c r="NOK88" s="161"/>
      <c r="NOL88" s="161"/>
      <c r="NOM88" s="161"/>
      <c r="NON88" s="161"/>
      <c r="NOO88" s="161"/>
      <c r="NOP88" s="161"/>
      <c r="NOQ88" s="176"/>
      <c r="NOR88" s="176"/>
      <c r="NOS88" s="176"/>
      <c r="NOT88" s="161"/>
      <c r="NOU88" s="161"/>
      <c r="NOV88" s="161"/>
      <c r="NOW88" s="161"/>
      <c r="NOX88" s="161"/>
      <c r="NOY88" s="161"/>
      <c r="NOZ88" s="176"/>
      <c r="NPA88" s="176"/>
      <c r="NPB88" s="176"/>
      <c r="NPC88" s="161"/>
      <c r="NPD88" s="161"/>
      <c r="NPE88" s="161"/>
      <c r="NPF88" s="161"/>
      <c r="NPG88" s="161"/>
      <c r="NPH88" s="161"/>
      <c r="NPI88" s="176"/>
      <c r="NPJ88" s="176"/>
      <c r="NPK88" s="176"/>
      <c r="NPL88" s="161"/>
      <c r="NPM88" s="161"/>
      <c r="NPN88" s="161"/>
      <c r="NPO88" s="161"/>
      <c r="NPP88" s="161"/>
      <c r="NPQ88" s="161"/>
      <c r="NPR88" s="176"/>
      <c r="NPS88" s="176"/>
      <c r="NPT88" s="176"/>
      <c r="NPU88" s="161"/>
      <c r="NPV88" s="161"/>
      <c r="NPW88" s="161"/>
      <c r="NPX88" s="161"/>
      <c r="NPY88" s="161"/>
      <c r="NPZ88" s="161"/>
      <c r="NQA88" s="176"/>
      <c r="NQB88" s="176"/>
      <c r="NQC88" s="176"/>
      <c r="NQD88" s="161"/>
      <c r="NQE88" s="161"/>
      <c r="NQF88" s="161"/>
      <c r="NQG88" s="161"/>
      <c r="NQH88" s="161"/>
      <c r="NQI88" s="161"/>
      <c r="NQJ88" s="176"/>
      <c r="NQK88" s="176"/>
      <c r="NQL88" s="176"/>
      <c r="NQM88" s="161"/>
      <c r="NQN88" s="161"/>
      <c r="NQO88" s="161"/>
      <c r="NQP88" s="161"/>
      <c r="NQQ88" s="161"/>
      <c r="NQR88" s="161"/>
      <c r="NQS88" s="176"/>
      <c r="NQT88" s="176"/>
      <c r="NQU88" s="176"/>
      <c r="NQV88" s="161"/>
      <c r="NQW88" s="161"/>
      <c r="NQX88" s="161"/>
      <c r="NQY88" s="161"/>
      <c r="NQZ88" s="161"/>
      <c r="NRA88" s="161"/>
      <c r="NRB88" s="176"/>
      <c r="NRC88" s="176"/>
      <c r="NRD88" s="176"/>
      <c r="NRE88" s="161"/>
      <c r="NRF88" s="161"/>
      <c r="NRG88" s="161"/>
      <c r="NRH88" s="161"/>
      <c r="NRI88" s="161"/>
      <c r="NRJ88" s="161"/>
      <c r="NRK88" s="176"/>
      <c r="NRL88" s="176"/>
      <c r="NRM88" s="176"/>
      <c r="NRN88" s="161"/>
      <c r="NRO88" s="161"/>
      <c r="NRP88" s="161"/>
      <c r="NRQ88" s="161"/>
      <c r="NRR88" s="161"/>
      <c r="NRS88" s="161"/>
      <c r="NRT88" s="176"/>
      <c r="NRU88" s="176"/>
      <c r="NRV88" s="176"/>
      <c r="NRW88" s="161"/>
      <c r="NRX88" s="161"/>
      <c r="NRY88" s="161"/>
      <c r="NRZ88" s="161"/>
      <c r="NSA88" s="161"/>
      <c r="NSB88" s="161"/>
      <c r="NSC88" s="176"/>
      <c r="NSD88" s="176"/>
      <c r="NSE88" s="176"/>
      <c r="NSF88" s="161"/>
      <c r="NSG88" s="161"/>
      <c r="NSH88" s="161"/>
      <c r="NSI88" s="161"/>
      <c r="NSJ88" s="161"/>
      <c r="NSK88" s="161"/>
      <c r="NSL88" s="176"/>
      <c r="NSM88" s="176"/>
      <c r="NSN88" s="176"/>
      <c r="NSO88" s="161"/>
      <c r="NSP88" s="161"/>
      <c r="NSQ88" s="161"/>
      <c r="NSR88" s="161"/>
      <c r="NSS88" s="161"/>
      <c r="NST88" s="161"/>
      <c r="NSU88" s="176"/>
      <c r="NSV88" s="176"/>
      <c r="NSW88" s="176"/>
      <c r="NSX88" s="161"/>
      <c r="NSY88" s="161"/>
      <c r="NSZ88" s="161"/>
      <c r="NTA88" s="161"/>
      <c r="NTB88" s="161"/>
      <c r="NTC88" s="161"/>
      <c r="NTD88" s="176"/>
      <c r="NTE88" s="176"/>
      <c r="NTF88" s="176"/>
      <c r="NTG88" s="161"/>
      <c r="NTH88" s="161"/>
      <c r="NTI88" s="161"/>
      <c r="NTJ88" s="161"/>
      <c r="NTK88" s="161"/>
      <c r="NTL88" s="161"/>
      <c r="NTM88" s="176"/>
      <c r="NTN88" s="176"/>
      <c r="NTO88" s="176"/>
      <c r="NTP88" s="161"/>
      <c r="NTQ88" s="161"/>
      <c r="NTR88" s="161"/>
      <c r="NTS88" s="161"/>
      <c r="NTT88" s="161"/>
      <c r="NTU88" s="161"/>
      <c r="NTV88" s="176"/>
      <c r="NTW88" s="176"/>
      <c r="NTX88" s="176"/>
      <c r="NTY88" s="161"/>
      <c r="NTZ88" s="161"/>
      <c r="NUA88" s="161"/>
      <c r="NUB88" s="161"/>
      <c r="NUC88" s="161"/>
      <c r="NUD88" s="161"/>
      <c r="NUE88" s="176"/>
      <c r="NUF88" s="176"/>
      <c r="NUG88" s="176"/>
      <c r="NUH88" s="161"/>
      <c r="NUI88" s="161"/>
      <c r="NUJ88" s="161"/>
      <c r="NUK88" s="161"/>
      <c r="NUL88" s="161"/>
      <c r="NUM88" s="161"/>
      <c r="NUN88" s="176"/>
      <c r="NUO88" s="176"/>
      <c r="NUP88" s="176"/>
      <c r="NUQ88" s="161"/>
      <c r="NUR88" s="161"/>
      <c r="NUS88" s="161"/>
      <c r="NUT88" s="161"/>
      <c r="NUU88" s="161"/>
      <c r="NUV88" s="161"/>
      <c r="NUW88" s="176"/>
      <c r="NUX88" s="176"/>
      <c r="NUY88" s="176"/>
      <c r="NUZ88" s="161"/>
      <c r="NVA88" s="161"/>
      <c r="NVB88" s="161"/>
      <c r="NVC88" s="161"/>
      <c r="NVD88" s="161"/>
      <c r="NVE88" s="161"/>
      <c r="NVF88" s="176"/>
      <c r="NVG88" s="176"/>
      <c r="NVH88" s="176"/>
      <c r="NVI88" s="161"/>
      <c r="NVJ88" s="161"/>
      <c r="NVK88" s="161"/>
      <c r="NVL88" s="161"/>
      <c r="NVM88" s="161"/>
      <c r="NVN88" s="161"/>
      <c r="NVO88" s="176"/>
      <c r="NVP88" s="176"/>
      <c r="NVQ88" s="176"/>
      <c r="NVR88" s="161"/>
      <c r="NVS88" s="161"/>
      <c r="NVT88" s="161"/>
      <c r="NVU88" s="161"/>
      <c r="NVV88" s="161"/>
      <c r="NVW88" s="161"/>
      <c r="NVX88" s="176"/>
      <c r="NVY88" s="176"/>
      <c r="NVZ88" s="176"/>
      <c r="NWA88" s="161"/>
      <c r="NWB88" s="161"/>
      <c r="NWC88" s="161"/>
      <c r="NWD88" s="161"/>
      <c r="NWE88" s="161"/>
      <c r="NWF88" s="161"/>
      <c r="NWG88" s="176"/>
      <c r="NWH88" s="176"/>
      <c r="NWI88" s="176"/>
      <c r="NWJ88" s="161"/>
      <c r="NWK88" s="161"/>
      <c r="NWL88" s="161"/>
      <c r="NWM88" s="161"/>
      <c r="NWN88" s="161"/>
      <c r="NWO88" s="161"/>
      <c r="NWP88" s="176"/>
      <c r="NWQ88" s="176"/>
      <c r="NWR88" s="176"/>
      <c r="NWS88" s="161"/>
      <c r="NWT88" s="161"/>
      <c r="NWU88" s="161"/>
      <c r="NWV88" s="161"/>
      <c r="NWW88" s="161"/>
      <c r="NWX88" s="161"/>
      <c r="NWY88" s="176"/>
      <c r="NWZ88" s="176"/>
      <c r="NXA88" s="176"/>
      <c r="NXB88" s="161"/>
      <c r="NXC88" s="161"/>
      <c r="NXD88" s="161"/>
      <c r="NXE88" s="161"/>
      <c r="NXF88" s="161"/>
      <c r="NXG88" s="161"/>
      <c r="NXH88" s="176"/>
      <c r="NXI88" s="176"/>
      <c r="NXJ88" s="176"/>
      <c r="NXK88" s="161"/>
      <c r="NXL88" s="161"/>
      <c r="NXM88" s="161"/>
      <c r="NXN88" s="161"/>
      <c r="NXO88" s="161"/>
      <c r="NXP88" s="161"/>
      <c r="NXQ88" s="176"/>
      <c r="NXR88" s="176"/>
      <c r="NXS88" s="176"/>
      <c r="NXT88" s="161"/>
      <c r="NXU88" s="161"/>
      <c r="NXV88" s="161"/>
      <c r="NXW88" s="161"/>
      <c r="NXX88" s="161"/>
      <c r="NXY88" s="161"/>
      <c r="NXZ88" s="176"/>
      <c r="NYA88" s="176"/>
      <c r="NYB88" s="176"/>
      <c r="NYC88" s="161"/>
      <c r="NYD88" s="161"/>
      <c r="NYE88" s="161"/>
      <c r="NYF88" s="161"/>
      <c r="NYG88" s="161"/>
      <c r="NYH88" s="161"/>
      <c r="NYI88" s="176"/>
      <c r="NYJ88" s="176"/>
      <c r="NYK88" s="176"/>
      <c r="NYL88" s="161"/>
      <c r="NYM88" s="161"/>
      <c r="NYN88" s="161"/>
      <c r="NYO88" s="161"/>
      <c r="NYP88" s="161"/>
      <c r="NYQ88" s="161"/>
      <c r="NYR88" s="176"/>
      <c r="NYS88" s="176"/>
      <c r="NYT88" s="176"/>
      <c r="NYU88" s="161"/>
      <c r="NYV88" s="161"/>
      <c r="NYW88" s="161"/>
      <c r="NYX88" s="161"/>
      <c r="NYY88" s="161"/>
      <c r="NYZ88" s="161"/>
      <c r="NZA88" s="176"/>
      <c r="NZB88" s="176"/>
      <c r="NZC88" s="176"/>
      <c r="NZD88" s="161"/>
      <c r="NZE88" s="161"/>
      <c r="NZF88" s="161"/>
      <c r="NZG88" s="161"/>
      <c r="NZH88" s="161"/>
      <c r="NZI88" s="161"/>
      <c r="NZJ88" s="176"/>
      <c r="NZK88" s="176"/>
      <c r="NZL88" s="176"/>
      <c r="NZM88" s="161"/>
      <c r="NZN88" s="161"/>
      <c r="NZO88" s="161"/>
      <c r="NZP88" s="161"/>
      <c r="NZQ88" s="161"/>
      <c r="NZR88" s="161"/>
      <c r="NZS88" s="176"/>
      <c r="NZT88" s="176"/>
      <c r="NZU88" s="176"/>
      <c r="NZV88" s="161"/>
      <c r="NZW88" s="161"/>
      <c r="NZX88" s="161"/>
      <c r="NZY88" s="161"/>
      <c r="NZZ88" s="161"/>
      <c r="OAA88" s="161"/>
      <c r="OAB88" s="176"/>
      <c r="OAC88" s="176"/>
      <c r="OAD88" s="176"/>
      <c r="OAE88" s="161"/>
      <c r="OAF88" s="161"/>
      <c r="OAG88" s="161"/>
      <c r="OAH88" s="161"/>
      <c r="OAI88" s="161"/>
      <c r="OAJ88" s="161"/>
      <c r="OAK88" s="176"/>
      <c r="OAL88" s="176"/>
      <c r="OAM88" s="176"/>
      <c r="OAN88" s="161"/>
      <c r="OAO88" s="161"/>
      <c r="OAP88" s="161"/>
      <c r="OAQ88" s="161"/>
      <c r="OAR88" s="161"/>
      <c r="OAS88" s="161"/>
      <c r="OAT88" s="176"/>
      <c r="OAU88" s="176"/>
      <c r="OAV88" s="176"/>
      <c r="OAW88" s="161"/>
      <c r="OAX88" s="161"/>
      <c r="OAY88" s="161"/>
      <c r="OAZ88" s="161"/>
      <c r="OBA88" s="161"/>
      <c r="OBB88" s="161"/>
      <c r="OBC88" s="176"/>
      <c r="OBD88" s="176"/>
      <c r="OBE88" s="176"/>
      <c r="OBF88" s="161"/>
      <c r="OBG88" s="161"/>
      <c r="OBH88" s="161"/>
      <c r="OBI88" s="161"/>
      <c r="OBJ88" s="161"/>
      <c r="OBK88" s="161"/>
      <c r="OBL88" s="176"/>
      <c r="OBM88" s="176"/>
      <c r="OBN88" s="176"/>
      <c r="OBO88" s="161"/>
      <c r="OBP88" s="161"/>
      <c r="OBQ88" s="161"/>
      <c r="OBR88" s="161"/>
      <c r="OBS88" s="161"/>
      <c r="OBT88" s="161"/>
      <c r="OBU88" s="176"/>
      <c r="OBV88" s="176"/>
      <c r="OBW88" s="176"/>
      <c r="OBX88" s="161"/>
      <c r="OBY88" s="161"/>
      <c r="OBZ88" s="161"/>
      <c r="OCA88" s="161"/>
      <c r="OCB88" s="161"/>
      <c r="OCC88" s="161"/>
      <c r="OCD88" s="176"/>
      <c r="OCE88" s="176"/>
      <c r="OCF88" s="176"/>
      <c r="OCG88" s="161"/>
      <c r="OCH88" s="161"/>
      <c r="OCI88" s="161"/>
      <c r="OCJ88" s="161"/>
      <c r="OCK88" s="161"/>
      <c r="OCL88" s="161"/>
      <c r="OCM88" s="176"/>
      <c r="OCN88" s="176"/>
      <c r="OCO88" s="176"/>
      <c r="OCP88" s="161"/>
      <c r="OCQ88" s="161"/>
      <c r="OCR88" s="161"/>
      <c r="OCS88" s="161"/>
      <c r="OCT88" s="161"/>
      <c r="OCU88" s="161"/>
      <c r="OCV88" s="176"/>
      <c r="OCW88" s="176"/>
      <c r="OCX88" s="176"/>
      <c r="OCY88" s="161"/>
      <c r="OCZ88" s="161"/>
      <c r="ODA88" s="161"/>
      <c r="ODB88" s="161"/>
      <c r="ODC88" s="161"/>
      <c r="ODD88" s="161"/>
      <c r="ODE88" s="176"/>
      <c r="ODF88" s="176"/>
      <c r="ODG88" s="176"/>
      <c r="ODH88" s="161"/>
      <c r="ODI88" s="161"/>
      <c r="ODJ88" s="161"/>
      <c r="ODK88" s="161"/>
      <c r="ODL88" s="161"/>
      <c r="ODM88" s="161"/>
      <c r="ODN88" s="176"/>
      <c r="ODO88" s="176"/>
      <c r="ODP88" s="176"/>
      <c r="ODQ88" s="161"/>
      <c r="ODR88" s="161"/>
      <c r="ODS88" s="161"/>
      <c r="ODT88" s="161"/>
      <c r="ODU88" s="161"/>
      <c r="ODV88" s="161"/>
      <c r="ODW88" s="176"/>
      <c r="ODX88" s="176"/>
      <c r="ODY88" s="176"/>
      <c r="ODZ88" s="161"/>
      <c r="OEA88" s="161"/>
      <c r="OEB88" s="161"/>
      <c r="OEC88" s="161"/>
      <c r="OED88" s="161"/>
      <c r="OEE88" s="161"/>
      <c r="OEF88" s="176"/>
      <c r="OEG88" s="176"/>
      <c r="OEH88" s="176"/>
      <c r="OEI88" s="161"/>
      <c r="OEJ88" s="161"/>
      <c r="OEK88" s="161"/>
      <c r="OEL88" s="161"/>
      <c r="OEM88" s="161"/>
      <c r="OEN88" s="161"/>
      <c r="OEO88" s="176"/>
      <c r="OEP88" s="176"/>
      <c r="OEQ88" s="176"/>
      <c r="OER88" s="161"/>
      <c r="OES88" s="161"/>
      <c r="OET88" s="161"/>
      <c r="OEU88" s="161"/>
      <c r="OEV88" s="161"/>
      <c r="OEW88" s="161"/>
      <c r="OEX88" s="176"/>
      <c r="OEY88" s="176"/>
      <c r="OEZ88" s="176"/>
      <c r="OFA88" s="161"/>
      <c r="OFB88" s="161"/>
      <c r="OFC88" s="161"/>
      <c r="OFD88" s="161"/>
      <c r="OFE88" s="161"/>
      <c r="OFF88" s="161"/>
      <c r="OFG88" s="176"/>
      <c r="OFH88" s="176"/>
      <c r="OFI88" s="176"/>
      <c r="OFJ88" s="161"/>
      <c r="OFK88" s="161"/>
      <c r="OFL88" s="161"/>
      <c r="OFM88" s="161"/>
      <c r="OFN88" s="161"/>
      <c r="OFO88" s="161"/>
      <c r="OFP88" s="176"/>
      <c r="OFQ88" s="176"/>
      <c r="OFR88" s="176"/>
      <c r="OFS88" s="161"/>
      <c r="OFT88" s="161"/>
      <c r="OFU88" s="161"/>
      <c r="OFV88" s="161"/>
      <c r="OFW88" s="161"/>
      <c r="OFX88" s="161"/>
      <c r="OFY88" s="176"/>
      <c r="OFZ88" s="176"/>
      <c r="OGA88" s="176"/>
      <c r="OGB88" s="161"/>
      <c r="OGC88" s="161"/>
      <c r="OGD88" s="161"/>
      <c r="OGE88" s="161"/>
      <c r="OGF88" s="161"/>
      <c r="OGG88" s="161"/>
      <c r="OGH88" s="176"/>
      <c r="OGI88" s="176"/>
      <c r="OGJ88" s="176"/>
      <c r="OGK88" s="161"/>
      <c r="OGL88" s="161"/>
      <c r="OGM88" s="161"/>
      <c r="OGN88" s="161"/>
      <c r="OGO88" s="161"/>
      <c r="OGP88" s="161"/>
      <c r="OGQ88" s="176"/>
      <c r="OGR88" s="176"/>
      <c r="OGS88" s="176"/>
      <c r="OGT88" s="161"/>
      <c r="OGU88" s="161"/>
      <c r="OGV88" s="161"/>
      <c r="OGW88" s="161"/>
      <c r="OGX88" s="161"/>
      <c r="OGY88" s="161"/>
      <c r="OGZ88" s="176"/>
      <c r="OHA88" s="176"/>
      <c r="OHB88" s="176"/>
      <c r="OHC88" s="161"/>
      <c r="OHD88" s="161"/>
      <c r="OHE88" s="161"/>
      <c r="OHF88" s="161"/>
      <c r="OHG88" s="161"/>
      <c r="OHH88" s="161"/>
      <c r="OHI88" s="176"/>
      <c r="OHJ88" s="176"/>
      <c r="OHK88" s="176"/>
      <c r="OHL88" s="161"/>
      <c r="OHM88" s="161"/>
      <c r="OHN88" s="161"/>
      <c r="OHO88" s="161"/>
      <c r="OHP88" s="161"/>
      <c r="OHQ88" s="161"/>
      <c r="OHR88" s="176"/>
      <c r="OHS88" s="176"/>
      <c r="OHT88" s="176"/>
      <c r="OHU88" s="161"/>
      <c r="OHV88" s="161"/>
      <c r="OHW88" s="161"/>
      <c r="OHX88" s="161"/>
      <c r="OHY88" s="161"/>
      <c r="OHZ88" s="161"/>
      <c r="OIA88" s="176"/>
      <c r="OIB88" s="176"/>
      <c r="OIC88" s="176"/>
      <c r="OID88" s="161"/>
      <c r="OIE88" s="161"/>
      <c r="OIF88" s="161"/>
      <c r="OIG88" s="161"/>
      <c r="OIH88" s="161"/>
      <c r="OII88" s="161"/>
      <c r="OIJ88" s="176"/>
      <c r="OIK88" s="176"/>
      <c r="OIL88" s="176"/>
      <c r="OIM88" s="161"/>
      <c r="OIN88" s="161"/>
      <c r="OIO88" s="161"/>
      <c r="OIP88" s="161"/>
      <c r="OIQ88" s="161"/>
      <c r="OIR88" s="161"/>
      <c r="OIS88" s="176"/>
      <c r="OIT88" s="176"/>
      <c r="OIU88" s="176"/>
      <c r="OIV88" s="161"/>
      <c r="OIW88" s="161"/>
      <c r="OIX88" s="161"/>
      <c r="OIY88" s="161"/>
      <c r="OIZ88" s="161"/>
      <c r="OJA88" s="161"/>
      <c r="OJB88" s="176"/>
      <c r="OJC88" s="176"/>
      <c r="OJD88" s="176"/>
      <c r="OJE88" s="161"/>
      <c r="OJF88" s="161"/>
      <c r="OJG88" s="161"/>
      <c r="OJH88" s="161"/>
      <c r="OJI88" s="161"/>
      <c r="OJJ88" s="161"/>
      <c r="OJK88" s="176"/>
      <c r="OJL88" s="176"/>
      <c r="OJM88" s="176"/>
      <c r="OJN88" s="161"/>
      <c r="OJO88" s="161"/>
      <c r="OJP88" s="161"/>
      <c r="OJQ88" s="161"/>
      <c r="OJR88" s="161"/>
      <c r="OJS88" s="161"/>
      <c r="OJT88" s="176"/>
      <c r="OJU88" s="176"/>
      <c r="OJV88" s="176"/>
      <c r="OJW88" s="161"/>
      <c r="OJX88" s="161"/>
      <c r="OJY88" s="161"/>
      <c r="OJZ88" s="161"/>
      <c r="OKA88" s="161"/>
      <c r="OKB88" s="161"/>
      <c r="OKC88" s="176"/>
      <c r="OKD88" s="176"/>
      <c r="OKE88" s="176"/>
      <c r="OKF88" s="161"/>
      <c r="OKG88" s="161"/>
      <c r="OKH88" s="161"/>
      <c r="OKI88" s="161"/>
      <c r="OKJ88" s="161"/>
      <c r="OKK88" s="161"/>
      <c r="OKL88" s="176"/>
      <c r="OKM88" s="176"/>
      <c r="OKN88" s="176"/>
      <c r="OKO88" s="161"/>
      <c r="OKP88" s="161"/>
      <c r="OKQ88" s="161"/>
      <c r="OKR88" s="161"/>
      <c r="OKS88" s="161"/>
      <c r="OKT88" s="161"/>
      <c r="OKU88" s="176"/>
      <c r="OKV88" s="176"/>
      <c r="OKW88" s="176"/>
      <c r="OKX88" s="161"/>
      <c r="OKY88" s="161"/>
      <c r="OKZ88" s="161"/>
      <c r="OLA88" s="161"/>
      <c r="OLB88" s="161"/>
      <c r="OLC88" s="161"/>
      <c r="OLD88" s="176"/>
      <c r="OLE88" s="176"/>
      <c r="OLF88" s="176"/>
      <c r="OLG88" s="161"/>
      <c r="OLH88" s="161"/>
      <c r="OLI88" s="161"/>
      <c r="OLJ88" s="161"/>
      <c r="OLK88" s="161"/>
      <c r="OLL88" s="161"/>
      <c r="OLM88" s="176"/>
      <c r="OLN88" s="176"/>
      <c r="OLO88" s="176"/>
      <c r="OLP88" s="161"/>
      <c r="OLQ88" s="161"/>
      <c r="OLR88" s="161"/>
      <c r="OLS88" s="161"/>
      <c r="OLT88" s="161"/>
      <c r="OLU88" s="161"/>
      <c r="OLV88" s="176"/>
      <c r="OLW88" s="176"/>
      <c r="OLX88" s="176"/>
      <c r="OLY88" s="161"/>
      <c r="OLZ88" s="161"/>
      <c r="OMA88" s="161"/>
      <c r="OMB88" s="161"/>
      <c r="OMC88" s="161"/>
      <c r="OMD88" s="161"/>
      <c r="OME88" s="176"/>
      <c r="OMF88" s="176"/>
      <c r="OMG88" s="176"/>
      <c r="OMH88" s="161"/>
      <c r="OMI88" s="161"/>
      <c r="OMJ88" s="161"/>
      <c r="OMK88" s="161"/>
      <c r="OML88" s="161"/>
      <c r="OMM88" s="161"/>
      <c r="OMN88" s="176"/>
      <c r="OMO88" s="176"/>
      <c r="OMP88" s="176"/>
      <c r="OMQ88" s="161"/>
      <c r="OMR88" s="161"/>
      <c r="OMS88" s="161"/>
      <c r="OMT88" s="161"/>
      <c r="OMU88" s="161"/>
      <c r="OMV88" s="161"/>
      <c r="OMW88" s="176"/>
      <c r="OMX88" s="176"/>
      <c r="OMY88" s="176"/>
      <c r="OMZ88" s="161"/>
      <c r="ONA88" s="161"/>
      <c r="ONB88" s="161"/>
      <c r="ONC88" s="161"/>
      <c r="OND88" s="161"/>
      <c r="ONE88" s="161"/>
      <c r="ONF88" s="176"/>
      <c r="ONG88" s="176"/>
      <c r="ONH88" s="176"/>
      <c r="ONI88" s="161"/>
      <c r="ONJ88" s="161"/>
      <c r="ONK88" s="161"/>
      <c r="ONL88" s="161"/>
      <c r="ONM88" s="161"/>
      <c r="ONN88" s="161"/>
      <c r="ONO88" s="176"/>
      <c r="ONP88" s="176"/>
      <c r="ONQ88" s="176"/>
      <c r="ONR88" s="161"/>
      <c r="ONS88" s="161"/>
      <c r="ONT88" s="161"/>
      <c r="ONU88" s="161"/>
      <c r="ONV88" s="161"/>
      <c r="ONW88" s="161"/>
      <c r="ONX88" s="176"/>
      <c r="ONY88" s="176"/>
      <c r="ONZ88" s="176"/>
      <c r="OOA88" s="161"/>
      <c r="OOB88" s="161"/>
      <c r="OOC88" s="161"/>
      <c r="OOD88" s="161"/>
      <c r="OOE88" s="161"/>
      <c r="OOF88" s="161"/>
      <c r="OOG88" s="176"/>
      <c r="OOH88" s="176"/>
      <c r="OOI88" s="176"/>
      <c r="OOJ88" s="161"/>
      <c r="OOK88" s="161"/>
      <c r="OOL88" s="161"/>
      <c r="OOM88" s="161"/>
      <c r="OON88" s="161"/>
      <c r="OOO88" s="161"/>
      <c r="OOP88" s="176"/>
      <c r="OOQ88" s="176"/>
      <c r="OOR88" s="176"/>
      <c r="OOS88" s="161"/>
      <c r="OOT88" s="161"/>
      <c r="OOU88" s="161"/>
      <c r="OOV88" s="161"/>
      <c r="OOW88" s="161"/>
      <c r="OOX88" s="161"/>
      <c r="OOY88" s="176"/>
      <c r="OOZ88" s="176"/>
      <c r="OPA88" s="176"/>
      <c r="OPB88" s="161"/>
      <c r="OPC88" s="161"/>
      <c r="OPD88" s="161"/>
      <c r="OPE88" s="161"/>
      <c r="OPF88" s="161"/>
      <c r="OPG88" s="161"/>
      <c r="OPH88" s="176"/>
      <c r="OPI88" s="176"/>
      <c r="OPJ88" s="176"/>
      <c r="OPK88" s="161"/>
      <c r="OPL88" s="161"/>
      <c r="OPM88" s="161"/>
      <c r="OPN88" s="161"/>
      <c r="OPO88" s="161"/>
      <c r="OPP88" s="161"/>
      <c r="OPQ88" s="176"/>
      <c r="OPR88" s="176"/>
      <c r="OPS88" s="176"/>
      <c r="OPT88" s="161"/>
      <c r="OPU88" s="161"/>
      <c r="OPV88" s="161"/>
      <c r="OPW88" s="161"/>
      <c r="OPX88" s="161"/>
      <c r="OPY88" s="161"/>
      <c r="OPZ88" s="176"/>
      <c r="OQA88" s="176"/>
      <c r="OQB88" s="176"/>
      <c r="OQC88" s="161"/>
      <c r="OQD88" s="161"/>
      <c r="OQE88" s="161"/>
      <c r="OQF88" s="161"/>
      <c r="OQG88" s="161"/>
      <c r="OQH88" s="161"/>
      <c r="OQI88" s="176"/>
      <c r="OQJ88" s="176"/>
      <c r="OQK88" s="176"/>
      <c r="OQL88" s="161"/>
      <c r="OQM88" s="161"/>
      <c r="OQN88" s="161"/>
      <c r="OQO88" s="161"/>
      <c r="OQP88" s="161"/>
      <c r="OQQ88" s="161"/>
      <c r="OQR88" s="176"/>
      <c r="OQS88" s="176"/>
      <c r="OQT88" s="176"/>
      <c r="OQU88" s="161"/>
      <c r="OQV88" s="161"/>
      <c r="OQW88" s="161"/>
      <c r="OQX88" s="161"/>
      <c r="OQY88" s="161"/>
      <c r="OQZ88" s="161"/>
      <c r="ORA88" s="176"/>
      <c r="ORB88" s="176"/>
      <c r="ORC88" s="176"/>
      <c r="ORD88" s="161"/>
      <c r="ORE88" s="161"/>
      <c r="ORF88" s="161"/>
      <c r="ORG88" s="161"/>
      <c r="ORH88" s="161"/>
      <c r="ORI88" s="161"/>
      <c r="ORJ88" s="176"/>
      <c r="ORK88" s="176"/>
      <c r="ORL88" s="176"/>
      <c r="ORM88" s="161"/>
      <c r="ORN88" s="161"/>
      <c r="ORO88" s="161"/>
      <c r="ORP88" s="161"/>
      <c r="ORQ88" s="161"/>
      <c r="ORR88" s="161"/>
      <c r="ORS88" s="176"/>
      <c r="ORT88" s="176"/>
      <c r="ORU88" s="176"/>
      <c r="ORV88" s="161"/>
      <c r="ORW88" s="161"/>
      <c r="ORX88" s="161"/>
      <c r="ORY88" s="161"/>
      <c r="ORZ88" s="161"/>
      <c r="OSA88" s="161"/>
      <c r="OSB88" s="176"/>
      <c r="OSC88" s="176"/>
      <c r="OSD88" s="176"/>
      <c r="OSE88" s="161"/>
      <c r="OSF88" s="161"/>
      <c r="OSG88" s="161"/>
      <c r="OSH88" s="161"/>
      <c r="OSI88" s="161"/>
      <c r="OSJ88" s="161"/>
      <c r="OSK88" s="176"/>
      <c r="OSL88" s="176"/>
      <c r="OSM88" s="176"/>
      <c r="OSN88" s="161"/>
      <c r="OSO88" s="161"/>
      <c r="OSP88" s="161"/>
      <c r="OSQ88" s="161"/>
      <c r="OSR88" s="161"/>
      <c r="OSS88" s="161"/>
      <c r="OST88" s="176"/>
      <c r="OSU88" s="176"/>
      <c r="OSV88" s="176"/>
      <c r="OSW88" s="161"/>
      <c r="OSX88" s="161"/>
      <c r="OSY88" s="161"/>
      <c r="OSZ88" s="161"/>
      <c r="OTA88" s="161"/>
      <c r="OTB88" s="161"/>
      <c r="OTC88" s="176"/>
      <c r="OTD88" s="176"/>
      <c r="OTE88" s="176"/>
      <c r="OTF88" s="161"/>
      <c r="OTG88" s="161"/>
      <c r="OTH88" s="161"/>
      <c r="OTI88" s="161"/>
      <c r="OTJ88" s="161"/>
      <c r="OTK88" s="161"/>
      <c r="OTL88" s="176"/>
      <c r="OTM88" s="176"/>
      <c r="OTN88" s="176"/>
      <c r="OTO88" s="161"/>
      <c r="OTP88" s="161"/>
      <c r="OTQ88" s="161"/>
      <c r="OTR88" s="161"/>
      <c r="OTS88" s="161"/>
      <c r="OTT88" s="161"/>
      <c r="OTU88" s="176"/>
      <c r="OTV88" s="176"/>
      <c r="OTW88" s="176"/>
      <c r="OTX88" s="161"/>
      <c r="OTY88" s="161"/>
      <c r="OTZ88" s="161"/>
      <c r="OUA88" s="161"/>
      <c r="OUB88" s="161"/>
      <c r="OUC88" s="161"/>
      <c r="OUD88" s="176"/>
      <c r="OUE88" s="176"/>
      <c r="OUF88" s="176"/>
      <c r="OUG88" s="161"/>
      <c r="OUH88" s="161"/>
      <c r="OUI88" s="161"/>
      <c r="OUJ88" s="161"/>
      <c r="OUK88" s="161"/>
      <c r="OUL88" s="161"/>
      <c r="OUM88" s="176"/>
      <c r="OUN88" s="176"/>
      <c r="OUO88" s="176"/>
      <c r="OUP88" s="161"/>
      <c r="OUQ88" s="161"/>
      <c r="OUR88" s="161"/>
      <c r="OUS88" s="161"/>
      <c r="OUT88" s="161"/>
      <c r="OUU88" s="161"/>
      <c r="OUV88" s="176"/>
      <c r="OUW88" s="176"/>
      <c r="OUX88" s="176"/>
      <c r="OUY88" s="161"/>
      <c r="OUZ88" s="161"/>
      <c r="OVA88" s="161"/>
      <c r="OVB88" s="161"/>
      <c r="OVC88" s="161"/>
      <c r="OVD88" s="161"/>
      <c r="OVE88" s="176"/>
      <c r="OVF88" s="176"/>
      <c r="OVG88" s="176"/>
      <c r="OVH88" s="161"/>
      <c r="OVI88" s="161"/>
      <c r="OVJ88" s="161"/>
      <c r="OVK88" s="161"/>
      <c r="OVL88" s="161"/>
      <c r="OVM88" s="161"/>
      <c r="OVN88" s="176"/>
      <c r="OVO88" s="176"/>
      <c r="OVP88" s="176"/>
      <c r="OVQ88" s="161"/>
      <c r="OVR88" s="161"/>
      <c r="OVS88" s="161"/>
      <c r="OVT88" s="161"/>
      <c r="OVU88" s="161"/>
      <c r="OVV88" s="161"/>
      <c r="OVW88" s="176"/>
      <c r="OVX88" s="176"/>
      <c r="OVY88" s="176"/>
      <c r="OVZ88" s="161"/>
      <c r="OWA88" s="161"/>
      <c r="OWB88" s="161"/>
      <c r="OWC88" s="161"/>
      <c r="OWD88" s="161"/>
      <c r="OWE88" s="161"/>
      <c r="OWF88" s="176"/>
      <c r="OWG88" s="176"/>
      <c r="OWH88" s="176"/>
      <c r="OWI88" s="161"/>
      <c r="OWJ88" s="161"/>
      <c r="OWK88" s="161"/>
      <c r="OWL88" s="161"/>
      <c r="OWM88" s="161"/>
      <c r="OWN88" s="161"/>
      <c r="OWO88" s="176"/>
      <c r="OWP88" s="176"/>
      <c r="OWQ88" s="176"/>
      <c r="OWR88" s="161"/>
      <c r="OWS88" s="161"/>
      <c r="OWT88" s="161"/>
      <c r="OWU88" s="161"/>
      <c r="OWV88" s="161"/>
      <c r="OWW88" s="161"/>
      <c r="OWX88" s="176"/>
      <c r="OWY88" s="176"/>
      <c r="OWZ88" s="176"/>
      <c r="OXA88" s="161"/>
      <c r="OXB88" s="161"/>
      <c r="OXC88" s="161"/>
      <c r="OXD88" s="161"/>
      <c r="OXE88" s="161"/>
      <c r="OXF88" s="161"/>
      <c r="OXG88" s="176"/>
      <c r="OXH88" s="176"/>
      <c r="OXI88" s="176"/>
      <c r="OXJ88" s="161"/>
      <c r="OXK88" s="161"/>
      <c r="OXL88" s="161"/>
      <c r="OXM88" s="161"/>
      <c r="OXN88" s="161"/>
      <c r="OXO88" s="161"/>
      <c r="OXP88" s="176"/>
      <c r="OXQ88" s="176"/>
      <c r="OXR88" s="176"/>
      <c r="OXS88" s="161"/>
      <c r="OXT88" s="161"/>
      <c r="OXU88" s="161"/>
      <c r="OXV88" s="161"/>
      <c r="OXW88" s="161"/>
      <c r="OXX88" s="161"/>
      <c r="OXY88" s="176"/>
      <c r="OXZ88" s="176"/>
      <c r="OYA88" s="176"/>
      <c r="OYB88" s="161"/>
      <c r="OYC88" s="161"/>
      <c r="OYD88" s="161"/>
      <c r="OYE88" s="161"/>
      <c r="OYF88" s="161"/>
      <c r="OYG88" s="161"/>
      <c r="OYH88" s="176"/>
      <c r="OYI88" s="176"/>
      <c r="OYJ88" s="176"/>
      <c r="OYK88" s="161"/>
      <c r="OYL88" s="161"/>
      <c r="OYM88" s="161"/>
      <c r="OYN88" s="161"/>
      <c r="OYO88" s="161"/>
      <c r="OYP88" s="161"/>
      <c r="OYQ88" s="176"/>
      <c r="OYR88" s="176"/>
      <c r="OYS88" s="176"/>
      <c r="OYT88" s="161"/>
      <c r="OYU88" s="161"/>
      <c r="OYV88" s="161"/>
      <c r="OYW88" s="161"/>
      <c r="OYX88" s="161"/>
      <c r="OYY88" s="161"/>
      <c r="OYZ88" s="176"/>
      <c r="OZA88" s="176"/>
      <c r="OZB88" s="176"/>
      <c r="OZC88" s="161"/>
      <c r="OZD88" s="161"/>
      <c r="OZE88" s="161"/>
      <c r="OZF88" s="161"/>
      <c r="OZG88" s="161"/>
      <c r="OZH88" s="161"/>
      <c r="OZI88" s="176"/>
      <c r="OZJ88" s="176"/>
      <c r="OZK88" s="176"/>
      <c r="OZL88" s="161"/>
      <c r="OZM88" s="161"/>
      <c r="OZN88" s="161"/>
      <c r="OZO88" s="161"/>
      <c r="OZP88" s="161"/>
      <c r="OZQ88" s="161"/>
      <c r="OZR88" s="176"/>
      <c r="OZS88" s="176"/>
      <c r="OZT88" s="176"/>
      <c r="OZU88" s="161"/>
      <c r="OZV88" s="161"/>
      <c r="OZW88" s="161"/>
      <c r="OZX88" s="161"/>
      <c r="OZY88" s="161"/>
      <c r="OZZ88" s="161"/>
      <c r="PAA88" s="176"/>
      <c r="PAB88" s="176"/>
      <c r="PAC88" s="176"/>
      <c r="PAD88" s="161"/>
      <c r="PAE88" s="161"/>
      <c r="PAF88" s="161"/>
      <c r="PAG88" s="161"/>
      <c r="PAH88" s="161"/>
      <c r="PAI88" s="161"/>
      <c r="PAJ88" s="176"/>
      <c r="PAK88" s="176"/>
      <c r="PAL88" s="176"/>
      <c r="PAM88" s="161"/>
      <c r="PAN88" s="161"/>
      <c r="PAO88" s="161"/>
      <c r="PAP88" s="161"/>
      <c r="PAQ88" s="161"/>
      <c r="PAR88" s="161"/>
      <c r="PAS88" s="176"/>
      <c r="PAT88" s="176"/>
      <c r="PAU88" s="176"/>
      <c r="PAV88" s="161"/>
      <c r="PAW88" s="161"/>
      <c r="PAX88" s="161"/>
      <c r="PAY88" s="161"/>
      <c r="PAZ88" s="161"/>
      <c r="PBA88" s="161"/>
      <c r="PBB88" s="176"/>
      <c r="PBC88" s="176"/>
      <c r="PBD88" s="176"/>
      <c r="PBE88" s="161"/>
      <c r="PBF88" s="161"/>
      <c r="PBG88" s="161"/>
      <c r="PBH88" s="161"/>
      <c r="PBI88" s="161"/>
      <c r="PBJ88" s="161"/>
      <c r="PBK88" s="176"/>
      <c r="PBL88" s="176"/>
      <c r="PBM88" s="176"/>
      <c r="PBN88" s="161"/>
      <c r="PBO88" s="161"/>
      <c r="PBP88" s="161"/>
      <c r="PBQ88" s="161"/>
      <c r="PBR88" s="161"/>
      <c r="PBS88" s="161"/>
      <c r="PBT88" s="176"/>
      <c r="PBU88" s="176"/>
      <c r="PBV88" s="176"/>
      <c r="PBW88" s="161"/>
      <c r="PBX88" s="161"/>
      <c r="PBY88" s="161"/>
      <c r="PBZ88" s="161"/>
      <c r="PCA88" s="161"/>
      <c r="PCB88" s="161"/>
      <c r="PCC88" s="176"/>
      <c r="PCD88" s="176"/>
      <c r="PCE88" s="176"/>
      <c r="PCF88" s="161"/>
      <c r="PCG88" s="161"/>
      <c r="PCH88" s="161"/>
      <c r="PCI88" s="161"/>
      <c r="PCJ88" s="161"/>
      <c r="PCK88" s="161"/>
      <c r="PCL88" s="176"/>
      <c r="PCM88" s="176"/>
      <c r="PCN88" s="176"/>
      <c r="PCO88" s="161"/>
      <c r="PCP88" s="161"/>
      <c r="PCQ88" s="161"/>
      <c r="PCR88" s="161"/>
      <c r="PCS88" s="161"/>
      <c r="PCT88" s="161"/>
      <c r="PCU88" s="176"/>
      <c r="PCV88" s="176"/>
      <c r="PCW88" s="176"/>
      <c r="PCX88" s="161"/>
      <c r="PCY88" s="161"/>
      <c r="PCZ88" s="161"/>
      <c r="PDA88" s="161"/>
      <c r="PDB88" s="161"/>
      <c r="PDC88" s="161"/>
      <c r="PDD88" s="176"/>
      <c r="PDE88" s="176"/>
      <c r="PDF88" s="176"/>
      <c r="PDG88" s="161"/>
      <c r="PDH88" s="161"/>
      <c r="PDI88" s="161"/>
      <c r="PDJ88" s="161"/>
      <c r="PDK88" s="161"/>
      <c r="PDL88" s="161"/>
      <c r="PDM88" s="176"/>
      <c r="PDN88" s="176"/>
      <c r="PDO88" s="176"/>
      <c r="PDP88" s="161"/>
      <c r="PDQ88" s="161"/>
      <c r="PDR88" s="161"/>
      <c r="PDS88" s="161"/>
      <c r="PDT88" s="161"/>
      <c r="PDU88" s="161"/>
      <c r="PDV88" s="176"/>
      <c r="PDW88" s="176"/>
      <c r="PDX88" s="176"/>
      <c r="PDY88" s="161"/>
      <c r="PDZ88" s="161"/>
      <c r="PEA88" s="161"/>
      <c r="PEB88" s="161"/>
      <c r="PEC88" s="161"/>
      <c r="PED88" s="161"/>
      <c r="PEE88" s="176"/>
      <c r="PEF88" s="176"/>
      <c r="PEG88" s="176"/>
      <c r="PEH88" s="161"/>
      <c r="PEI88" s="161"/>
      <c r="PEJ88" s="161"/>
      <c r="PEK88" s="161"/>
      <c r="PEL88" s="161"/>
      <c r="PEM88" s="161"/>
      <c r="PEN88" s="176"/>
      <c r="PEO88" s="176"/>
      <c r="PEP88" s="176"/>
      <c r="PEQ88" s="161"/>
      <c r="PER88" s="161"/>
      <c r="PES88" s="161"/>
      <c r="PET88" s="161"/>
      <c r="PEU88" s="161"/>
      <c r="PEV88" s="161"/>
      <c r="PEW88" s="176"/>
      <c r="PEX88" s="176"/>
      <c r="PEY88" s="176"/>
      <c r="PEZ88" s="161"/>
      <c r="PFA88" s="161"/>
      <c r="PFB88" s="161"/>
      <c r="PFC88" s="161"/>
      <c r="PFD88" s="161"/>
      <c r="PFE88" s="161"/>
      <c r="PFF88" s="176"/>
      <c r="PFG88" s="176"/>
      <c r="PFH88" s="176"/>
      <c r="PFI88" s="161"/>
      <c r="PFJ88" s="161"/>
      <c r="PFK88" s="161"/>
      <c r="PFL88" s="161"/>
      <c r="PFM88" s="161"/>
      <c r="PFN88" s="161"/>
      <c r="PFO88" s="176"/>
      <c r="PFP88" s="176"/>
      <c r="PFQ88" s="176"/>
      <c r="PFR88" s="161"/>
      <c r="PFS88" s="161"/>
      <c r="PFT88" s="161"/>
      <c r="PFU88" s="161"/>
      <c r="PFV88" s="161"/>
      <c r="PFW88" s="161"/>
      <c r="PFX88" s="176"/>
      <c r="PFY88" s="176"/>
      <c r="PFZ88" s="176"/>
      <c r="PGA88" s="161"/>
      <c r="PGB88" s="161"/>
      <c r="PGC88" s="161"/>
      <c r="PGD88" s="161"/>
      <c r="PGE88" s="161"/>
      <c r="PGF88" s="161"/>
      <c r="PGG88" s="176"/>
      <c r="PGH88" s="176"/>
      <c r="PGI88" s="176"/>
      <c r="PGJ88" s="161"/>
      <c r="PGK88" s="161"/>
      <c r="PGL88" s="161"/>
      <c r="PGM88" s="161"/>
      <c r="PGN88" s="161"/>
      <c r="PGO88" s="161"/>
      <c r="PGP88" s="176"/>
      <c r="PGQ88" s="176"/>
      <c r="PGR88" s="176"/>
      <c r="PGS88" s="161"/>
      <c r="PGT88" s="161"/>
      <c r="PGU88" s="161"/>
      <c r="PGV88" s="161"/>
      <c r="PGW88" s="161"/>
      <c r="PGX88" s="161"/>
      <c r="PGY88" s="176"/>
      <c r="PGZ88" s="176"/>
      <c r="PHA88" s="176"/>
      <c r="PHB88" s="161"/>
      <c r="PHC88" s="161"/>
      <c r="PHD88" s="161"/>
      <c r="PHE88" s="161"/>
      <c r="PHF88" s="161"/>
      <c r="PHG88" s="161"/>
      <c r="PHH88" s="176"/>
      <c r="PHI88" s="176"/>
      <c r="PHJ88" s="176"/>
      <c r="PHK88" s="161"/>
      <c r="PHL88" s="161"/>
      <c r="PHM88" s="161"/>
      <c r="PHN88" s="161"/>
      <c r="PHO88" s="161"/>
      <c r="PHP88" s="161"/>
      <c r="PHQ88" s="176"/>
      <c r="PHR88" s="176"/>
      <c r="PHS88" s="176"/>
      <c r="PHT88" s="161"/>
      <c r="PHU88" s="161"/>
      <c r="PHV88" s="161"/>
      <c r="PHW88" s="161"/>
      <c r="PHX88" s="161"/>
      <c r="PHY88" s="161"/>
      <c r="PHZ88" s="176"/>
      <c r="PIA88" s="176"/>
      <c r="PIB88" s="176"/>
      <c r="PIC88" s="161"/>
      <c r="PID88" s="161"/>
      <c r="PIE88" s="161"/>
      <c r="PIF88" s="161"/>
      <c r="PIG88" s="161"/>
      <c r="PIH88" s="161"/>
      <c r="PII88" s="176"/>
      <c r="PIJ88" s="176"/>
      <c r="PIK88" s="176"/>
      <c r="PIL88" s="161"/>
      <c r="PIM88" s="161"/>
      <c r="PIN88" s="161"/>
      <c r="PIO88" s="161"/>
      <c r="PIP88" s="161"/>
      <c r="PIQ88" s="161"/>
      <c r="PIR88" s="176"/>
      <c r="PIS88" s="176"/>
      <c r="PIT88" s="176"/>
      <c r="PIU88" s="161"/>
      <c r="PIV88" s="161"/>
      <c r="PIW88" s="161"/>
      <c r="PIX88" s="161"/>
      <c r="PIY88" s="161"/>
      <c r="PIZ88" s="161"/>
      <c r="PJA88" s="176"/>
      <c r="PJB88" s="176"/>
      <c r="PJC88" s="176"/>
      <c r="PJD88" s="161"/>
      <c r="PJE88" s="161"/>
      <c r="PJF88" s="161"/>
      <c r="PJG88" s="161"/>
      <c r="PJH88" s="161"/>
      <c r="PJI88" s="161"/>
      <c r="PJJ88" s="176"/>
      <c r="PJK88" s="176"/>
      <c r="PJL88" s="176"/>
      <c r="PJM88" s="161"/>
      <c r="PJN88" s="161"/>
      <c r="PJO88" s="161"/>
      <c r="PJP88" s="161"/>
      <c r="PJQ88" s="161"/>
      <c r="PJR88" s="161"/>
      <c r="PJS88" s="176"/>
      <c r="PJT88" s="176"/>
      <c r="PJU88" s="176"/>
      <c r="PJV88" s="161"/>
      <c r="PJW88" s="161"/>
      <c r="PJX88" s="161"/>
      <c r="PJY88" s="161"/>
      <c r="PJZ88" s="161"/>
      <c r="PKA88" s="161"/>
      <c r="PKB88" s="176"/>
      <c r="PKC88" s="176"/>
      <c r="PKD88" s="176"/>
      <c r="PKE88" s="161"/>
      <c r="PKF88" s="161"/>
      <c r="PKG88" s="161"/>
      <c r="PKH88" s="161"/>
      <c r="PKI88" s="161"/>
      <c r="PKJ88" s="161"/>
      <c r="PKK88" s="176"/>
      <c r="PKL88" s="176"/>
      <c r="PKM88" s="176"/>
      <c r="PKN88" s="161"/>
      <c r="PKO88" s="161"/>
      <c r="PKP88" s="161"/>
      <c r="PKQ88" s="161"/>
      <c r="PKR88" s="161"/>
      <c r="PKS88" s="161"/>
      <c r="PKT88" s="176"/>
      <c r="PKU88" s="176"/>
      <c r="PKV88" s="176"/>
      <c r="PKW88" s="161"/>
      <c r="PKX88" s="161"/>
      <c r="PKY88" s="161"/>
      <c r="PKZ88" s="161"/>
      <c r="PLA88" s="161"/>
      <c r="PLB88" s="161"/>
      <c r="PLC88" s="176"/>
      <c r="PLD88" s="176"/>
      <c r="PLE88" s="176"/>
      <c r="PLF88" s="161"/>
      <c r="PLG88" s="161"/>
      <c r="PLH88" s="161"/>
      <c r="PLI88" s="161"/>
      <c r="PLJ88" s="161"/>
      <c r="PLK88" s="161"/>
      <c r="PLL88" s="176"/>
      <c r="PLM88" s="176"/>
      <c r="PLN88" s="176"/>
      <c r="PLO88" s="161"/>
      <c r="PLP88" s="161"/>
      <c r="PLQ88" s="161"/>
      <c r="PLR88" s="161"/>
      <c r="PLS88" s="161"/>
      <c r="PLT88" s="161"/>
      <c r="PLU88" s="176"/>
      <c r="PLV88" s="176"/>
      <c r="PLW88" s="176"/>
      <c r="PLX88" s="161"/>
      <c r="PLY88" s="161"/>
      <c r="PLZ88" s="161"/>
      <c r="PMA88" s="161"/>
      <c r="PMB88" s="161"/>
      <c r="PMC88" s="161"/>
      <c r="PMD88" s="176"/>
      <c r="PME88" s="176"/>
      <c r="PMF88" s="176"/>
      <c r="PMG88" s="161"/>
      <c r="PMH88" s="161"/>
      <c r="PMI88" s="161"/>
      <c r="PMJ88" s="161"/>
      <c r="PMK88" s="161"/>
      <c r="PML88" s="161"/>
      <c r="PMM88" s="176"/>
      <c r="PMN88" s="176"/>
      <c r="PMO88" s="176"/>
      <c r="PMP88" s="161"/>
      <c r="PMQ88" s="161"/>
      <c r="PMR88" s="161"/>
      <c r="PMS88" s="161"/>
      <c r="PMT88" s="161"/>
      <c r="PMU88" s="161"/>
      <c r="PMV88" s="176"/>
      <c r="PMW88" s="176"/>
      <c r="PMX88" s="176"/>
      <c r="PMY88" s="161"/>
      <c r="PMZ88" s="161"/>
      <c r="PNA88" s="161"/>
      <c r="PNB88" s="161"/>
      <c r="PNC88" s="161"/>
      <c r="PND88" s="161"/>
      <c r="PNE88" s="176"/>
      <c r="PNF88" s="176"/>
      <c r="PNG88" s="176"/>
      <c r="PNH88" s="161"/>
      <c r="PNI88" s="161"/>
      <c r="PNJ88" s="161"/>
      <c r="PNK88" s="161"/>
      <c r="PNL88" s="161"/>
      <c r="PNM88" s="161"/>
      <c r="PNN88" s="176"/>
      <c r="PNO88" s="176"/>
      <c r="PNP88" s="176"/>
      <c r="PNQ88" s="161"/>
      <c r="PNR88" s="161"/>
      <c r="PNS88" s="161"/>
      <c r="PNT88" s="161"/>
      <c r="PNU88" s="161"/>
      <c r="PNV88" s="161"/>
      <c r="PNW88" s="176"/>
      <c r="PNX88" s="176"/>
      <c r="PNY88" s="176"/>
      <c r="PNZ88" s="161"/>
      <c r="POA88" s="161"/>
      <c r="POB88" s="161"/>
      <c r="POC88" s="161"/>
      <c r="POD88" s="161"/>
      <c r="POE88" s="161"/>
      <c r="POF88" s="176"/>
      <c r="POG88" s="176"/>
      <c r="POH88" s="176"/>
      <c r="POI88" s="161"/>
      <c r="POJ88" s="161"/>
      <c r="POK88" s="161"/>
      <c r="POL88" s="161"/>
      <c r="POM88" s="161"/>
      <c r="PON88" s="161"/>
      <c r="POO88" s="176"/>
      <c r="POP88" s="176"/>
      <c r="POQ88" s="176"/>
      <c r="POR88" s="161"/>
      <c r="POS88" s="161"/>
      <c r="POT88" s="161"/>
      <c r="POU88" s="161"/>
      <c r="POV88" s="161"/>
      <c r="POW88" s="161"/>
      <c r="POX88" s="176"/>
      <c r="POY88" s="176"/>
      <c r="POZ88" s="176"/>
      <c r="PPA88" s="161"/>
      <c r="PPB88" s="161"/>
      <c r="PPC88" s="161"/>
      <c r="PPD88" s="161"/>
      <c r="PPE88" s="161"/>
      <c r="PPF88" s="161"/>
      <c r="PPG88" s="176"/>
      <c r="PPH88" s="176"/>
      <c r="PPI88" s="176"/>
      <c r="PPJ88" s="161"/>
      <c r="PPK88" s="161"/>
      <c r="PPL88" s="161"/>
      <c r="PPM88" s="161"/>
      <c r="PPN88" s="161"/>
      <c r="PPO88" s="161"/>
      <c r="PPP88" s="176"/>
      <c r="PPQ88" s="176"/>
      <c r="PPR88" s="176"/>
      <c r="PPS88" s="161"/>
      <c r="PPT88" s="161"/>
      <c r="PPU88" s="161"/>
      <c r="PPV88" s="161"/>
      <c r="PPW88" s="161"/>
      <c r="PPX88" s="161"/>
      <c r="PPY88" s="176"/>
      <c r="PPZ88" s="176"/>
      <c r="PQA88" s="176"/>
      <c r="PQB88" s="161"/>
      <c r="PQC88" s="161"/>
      <c r="PQD88" s="161"/>
      <c r="PQE88" s="161"/>
      <c r="PQF88" s="161"/>
      <c r="PQG88" s="161"/>
      <c r="PQH88" s="176"/>
      <c r="PQI88" s="176"/>
      <c r="PQJ88" s="176"/>
      <c r="PQK88" s="161"/>
      <c r="PQL88" s="161"/>
      <c r="PQM88" s="161"/>
      <c r="PQN88" s="161"/>
      <c r="PQO88" s="161"/>
      <c r="PQP88" s="161"/>
      <c r="PQQ88" s="176"/>
      <c r="PQR88" s="176"/>
      <c r="PQS88" s="176"/>
      <c r="PQT88" s="161"/>
      <c r="PQU88" s="161"/>
      <c r="PQV88" s="161"/>
      <c r="PQW88" s="161"/>
      <c r="PQX88" s="161"/>
      <c r="PQY88" s="161"/>
      <c r="PQZ88" s="176"/>
      <c r="PRA88" s="176"/>
      <c r="PRB88" s="176"/>
      <c r="PRC88" s="161"/>
      <c r="PRD88" s="161"/>
      <c r="PRE88" s="161"/>
      <c r="PRF88" s="161"/>
      <c r="PRG88" s="161"/>
      <c r="PRH88" s="161"/>
      <c r="PRI88" s="176"/>
      <c r="PRJ88" s="176"/>
      <c r="PRK88" s="176"/>
      <c r="PRL88" s="161"/>
      <c r="PRM88" s="161"/>
      <c r="PRN88" s="161"/>
      <c r="PRO88" s="161"/>
      <c r="PRP88" s="161"/>
      <c r="PRQ88" s="161"/>
      <c r="PRR88" s="176"/>
      <c r="PRS88" s="176"/>
      <c r="PRT88" s="176"/>
      <c r="PRU88" s="161"/>
      <c r="PRV88" s="161"/>
      <c r="PRW88" s="161"/>
      <c r="PRX88" s="161"/>
      <c r="PRY88" s="161"/>
      <c r="PRZ88" s="161"/>
      <c r="PSA88" s="176"/>
      <c r="PSB88" s="176"/>
      <c r="PSC88" s="176"/>
      <c r="PSD88" s="161"/>
      <c r="PSE88" s="161"/>
      <c r="PSF88" s="161"/>
      <c r="PSG88" s="161"/>
      <c r="PSH88" s="161"/>
      <c r="PSI88" s="161"/>
      <c r="PSJ88" s="176"/>
      <c r="PSK88" s="176"/>
      <c r="PSL88" s="176"/>
      <c r="PSM88" s="161"/>
      <c r="PSN88" s="161"/>
      <c r="PSO88" s="161"/>
      <c r="PSP88" s="161"/>
      <c r="PSQ88" s="161"/>
      <c r="PSR88" s="161"/>
      <c r="PSS88" s="176"/>
      <c r="PST88" s="176"/>
      <c r="PSU88" s="176"/>
      <c r="PSV88" s="161"/>
      <c r="PSW88" s="161"/>
      <c r="PSX88" s="161"/>
      <c r="PSY88" s="161"/>
      <c r="PSZ88" s="161"/>
      <c r="PTA88" s="161"/>
      <c r="PTB88" s="176"/>
      <c r="PTC88" s="176"/>
      <c r="PTD88" s="176"/>
      <c r="PTE88" s="161"/>
      <c r="PTF88" s="161"/>
      <c r="PTG88" s="161"/>
      <c r="PTH88" s="161"/>
      <c r="PTI88" s="161"/>
      <c r="PTJ88" s="161"/>
      <c r="PTK88" s="176"/>
      <c r="PTL88" s="176"/>
      <c r="PTM88" s="176"/>
      <c r="PTN88" s="161"/>
      <c r="PTO88" s="161"/>
      <c r="PTP88" s="161"/>
      <c r="PTQ88" s="161"/>
      <c r="PTR88" s="161"/>
      <c r="PTS88" s="161"/>
      <c r="PTT88" s="176"/>
      <c r="PTU88" s="176"/>
      <c r="PTV88" s="176"/>
      <c r="PTW88" s="161"/>
      <c r="PTX88" s="161"/>
      <c r="PTY88" s="161"/>
      <c r="PTZ88" s="161"/>
      <c r="PUA88" s="161"/>
      <c r="PUB88" s="161"/>
      <c r="PUC88" s="176"/>
      <c r="PUD88" s="176"/>
      <c r="PUE88" s="176"/>
      <c r="PUF88" s="161"/>
      <c r="PUG88" s="161"/>
      <c r="PUH88" s="161"/>
      <c r="PUI88" s="161"/>
      <c r="PUJ88" s="161"/>
      <c r="PUK88" s="161"/>
      <c r="PUL88" s="176"/>
      <c r="PUM88" s="176"/>
      <c r="PUN88" s="176"/>
      <c r="PUO88" s="161"/>
      <c r="PUP88" s="161"/>
      <c r="PUQ88" s="161"/>
      <c r="PUR88" s="161"/>
      <c r="PUS88" s="161"/>
      <c r="PUT88" s="161"/>
      <c r="PUU88" s="176"/>
      <c r="PUV88" s="176"/>
      <c r="PUW88" s="176"/>
      <c r="PUX88" s="161"/>
      <c r="PUY88" s="161"/>
      <c r="PUZ88" s="161"/>
      <c r="PVA88" s="161"/>
      <c r="PVB88" s="161"/>
      <c r="PVC88" s="161"/>
      <c r="PVD88" s="176"/>
      <c r="PVE88" s="176"/>
      <c r="PVF88" s="176"/>
      <c r="PVG88" s="161"/>
      <c r="PVH88" s="161"/>
      <c r="PVI88" s="161"/>
      <c r="PVJ88" s="161"/>
      <c r="PVK88" s="161"/>
      <c r="PVL88" s="161"/>
      <c r="PVM88" s="176"/>
      <c r="PVN88" s="176"/>
      <c r="PVO88" s="176"/>
      <c r="PVP88" s="161"/>
      <c r="PVQ88" s="161"/>
      <c r="PVR88" s="161"/>
      <c r="PVS88" s="161"/>
      <c r="PVT88" s="161"/>
      <c r="PVU88" s="161"/>
      <c r="PVV88" s="176"/>
      <c r="PVW88" s="176"/>
      <c r="PVX88" s="176"/>
      <c r="PVY88" s="161"/>
      <c r="PVZ88" s="161"/>
      <c r="PWA88" s="161"/>
      <c r="PWB88" s="161"/>
      <c r="PWC88" s="161"/>
      <c r="PWD88" s="161"/>
      <c r="PWE88" s="176"/>
      <c r="PWF88" s="176"/>
      <c r="PWG88" s="176"/>
      <c r="PWH88" s="161"/>
      <c r="PWI88" s="161"/>
      <c r="PWJ88" s="161"/>
      <c r="PWK88" s="161"/>
      <c r="PWL88" s="161"/>
      <c r="PWM88" s="161"/>
      <c r="PWN88" s="176"/>
      <c r="PWO88" s="176"/>
      <c r="PWP88" s="176"/>
      <c r="PWQ88" s="161"/>
      <c r="PWR88" s="161"/>
      <c r="PWS88" s="161"/>
      <c r="PWT88" s="161"/>
      <c r="PWU88" s="161"/>
      <c r="PWV88" s="161"/>
      <c r="PWW88" s="176"/>
      <c r="PWX88" s="176"/>
      <c r="PWY88" s="176"/>
      <c r="PWZ88" s="161"/>
      <c r="PXA88" s="161"/>
      <c r="PXB88" s="161"/>
      <c r="PXC88" s="161"/>
      <c r="PXD88" s="161"/>
      <c r="PXE88" s="161"/>
      <c r="PXF88" s="176"/>
      <c r="PXG88" s="176"/>
      <c r="PXH88" s="176"/>
      <c r="PXI88" s="161"/>
      <c r="PXJ88" s="161"/>
      <c r="PXK88" s="161"/>
      <c r="PXL88" s="161"/>
      <c r="PXM88" s="161"/>
      <c r="PXN88" s="161"/>
      <c r="PXO88" s="176"/>
      <c r="PXP88" s="176"/>
      <c r="PXQ88" s="176"/>
      <c r="PXR88" s="161"/>
      <c r="PXS88" s="161"/>
      <c r="PXT88" s="161"/>
      <c r="PXU88" s="161"/>
      <c r="PXV88" s="161"/>
      <c r="PXW88" s="161"/>
      <c r="PXX88" s="176"/>
      <c r="PXY88" s="176"/>
      <c r="PXZ88" s="176"/>
      <c r="PYA88" s="161"/>
      <c r="PYB88" s="161"/>
      <c r="PYC88" s="161"/>
      <c r="PYD88" s="161"/>
      <c r="PYE88" s="161"/>
      <c r="PYF88" s="161"/>
      <c r="PYG88" s="176"/>
      <c r="PYH88" s="176"/>
      <c r="PYI88" s="176"/>
      <c r="PYJ88" s="161"/>
      <c r="PYK88" s="161"/>
      <c r="PYL88" s="161"/>
      <c r="PYM88" s="161"/>
      <c r="PYN88" s="161"/>
      <c r="PYO88" s="161"/>
      <c r="PYP88" s="176"/>
      <c r="PYQ88" s="176"/>
      <c r="PYR88" s="176"/>
      <c r="PYS88" s="161"/>
      <c r="PYT88" s="161"/>
      <c r="PYU88" s="161"/>
      <c r="PYV88" s="161"/>
      <c r="PYW88" s="161"/>
      <c r="PYX88" s="161"/>
      <c r="PYY88" s="176"/>
      <c r="PYZ88" s="176"/>
      <c r="PZA88" s="176"/>
      <c r="PZB88" s="161"/>
      <c r="PZC88" s="161"/>
      <c r="PZD88" s="161"/>
      <c r="PZE88" s="161"/>
      <c r="PZF88" s="161"/>
      <c r="PZG88" s="161"/>
      <c r="PZH88" s="176"/>
      <c r="PZI88" s="176"/>
      <c r="PZJ88" s="176"/>
      <c r="PZK88" s="161"/>
      <c r="PZL88" s="161"/>
      <c r="PZM88" s="161"/>
      <c r="PZN88" s="161"/>
      <c r="PZO88" s="161"/>
      <c r="PZP88" s="161"/>
      <c r="PZQ88" s="176"/>
      <c r="PZR88" s="176"/>
      <c r="PZS88" s="176"/>
      <c r="PZT88" s="161"/>
      <c r="PZU88" s="161"/>
      <c r="PZV88" s="161"/>
      <c r="PZW88" s="161"/>
      <c r="PZX88" s="161"/>
      <c r="PZY88" s="161"/>
      <c r="PZZ88" s="176"/>
      <c r="QAA88" s="176"/>
      <c r="QAB88" s="176"/>
      <c r="QAC88" s="161"/>
      <c r="QAD88" s="161"/>
      <c r="QAE88" s="161"/>
      <c r="QAF88" s="161"/>
      <c r="QAG88" s="161"/>
      <c r="QAH88" s="161"/>
      <c r="QAI88" s="176"/>
      <c r="QAJ88" s="176"/>
      <c r="QAK88" s="176"/>
      <c r="QAL88" s="161"/>
      <c r="QAM88" s="161"/>
      <c r="QAN88" s="161"/>
      <c r="QAO88" s="161"/>
      <c r="QAP88" s="161"/>
      <c r="QAQ88" s="161"/>
      <c r="QAR88" s="176"/>
      <c r="QAS88" s="176"/>
      <c r="QAT88" s="176"/>
      <c r="QAU88" s="161"/>
      <c r="QAV88" s="161"/>
      <c r="QAW88" s="161"/>
      <c r="QAX88" s="161"/>
      <c r="QAY88" s="161"/>
      <c r="QAZ88" s="161"/>
      <c r="QBA88" s="176"/>
      <c r="QBB88" s="176"/>
      <c r="QBC88" s="176"/>
      <c r="QBD88" s="161"/>
      <c r="QBE88" s="161"/>
      <c r="QBF88" s="161"/>
      <c r="QBG88" s="161"/>
      <c r="QBH88" s="161"/>
      <c r="QBI88" s="161"/>
      <c r="QBJ88" s="176"/>
      <c r="QBK88" s="176"/>
      <c r="QBL88" s="176"/>
      <c r="QBM88" s="161"/>
      <c r="QBN88" s="161"/>
      <c r="QBO88" s="161"/>
      <c r="QBP88" s="161"/>
      <c r="QBQ88" s="161"/>
      <c r="QBR88" s="161"/>
      <c r="QBS88" s="176"/>
      <c r="QBT88" s="176"/>
      <c r="QBU88" s="176"/>
      <c r="QBV88" s="161"/>
      <c r="QBW88" s="161"/>
      <c r="QBX88" s="161"/>
      <c r="QBY88" s="161"/>
      <c r="QBZ88" s="161"/>
      <c r="QCA88" s="161"/>
      <c r="QCB88" s="176"/>
      <c r="QCC88" s="176"/>
      <c r="QCD88" s="176"/>
      <c r="QCE88" s="161"/>
      <c r="QCF88" s="161"/>
      <c r="QCG88" s="161"/>
      <c r="QCH88" s="161"/>
      <c r="QCI88" s="161"/>
      <c r="QCJ88" s="161"/>
      <c r="QCK88" s="176"/>
      <c r="QCL88" s="176"/>
      <c r="QCM88" s="176"/>
      <c r="QCN88" s="161"/>
      <c r="QCO88" s="161"/>
      <c r="QCP88" s="161"/>
      <c r="QCQ88" s="161"/>
      <c r="QCR88" s="161"/>
      <c r="QCS88" s="161"/>
      <c r="QCT88" s="176"/>
      <c r="QCU88" s="176"/>
      <c r="QCV88" s="176"/>
      <c r="QCW88" s="161"/>
      <c r="QCX88" s="161"/>
      <c r="QCY88" s="161"/>
      <c r="QCZ88" s="161"/>
      <c r="QDA88" s="161"/>
      <c r="QDB88" s="161"/>
      <c r="QDC88" s="176"/>
      <c r="QDD88" s="176"/>
      <c r="QDE88" s="176"/>
      <c r="QDF88" s="161"/>
      <c r="QDG88" s="161"/>
      <c r="QDH88" s="161"/>
      <c r="QDI88" s="161"/>
      <c r="QDJ88" s="161"/>
      <c r="QDK88" s="161"/>
      <c r="QDL88" s="176"/>
      <c r="QDM88" s="176"/>
      <c r="QDN88" s="176"/>
      <c r="QDO88" s="161"/>
      <c r="QDP88" s="161"/>
      <c r="QDQ88" s="161"/>
      <c r="QDR88" s="161"/>
      <c r="QDS88" s="161"/>
      <c r="QDT88" s="161"/>
      <c r="QDU88" s="176"/>
      <c r="QDV88" s="176"/>
      <c r="QDW88" s="176"/>
      <c r="QDX88" s="161"/>
      <c r="QDY88" s="161"/>
      <c r="QDZ88" s="161"/>
      <c r="QEA88" s="161"/>
      <c r="QEB88" s="161"/>
      <c r="QEC88" s="161"/>
      <c r="QED88" s="176"/>
      <c r="QEE88" s="176"/>
      <c r="QEF88" s="176"/>
      <c r="QEG88" s="161"/>
      <c r="QEH88" s="161"/>
      <c r="QEI88" s="161"/>
      <c r="QEJ88" s="161"/>
      <c r="QEK88" s="161"/>
      <c r="QEL88" s="161"/>
      <c r="QEM88" s="176"/>
      <c r="QEN88" s="176"/>
      <c r="QEO88" s="176"/>
      <c r="QEP88" s="161"/>
      <c r="QEQ88" s="161"/>
      <c r="QER88" s="161"/>
      <c r="QES88" s="161"/>
      <c r="QET88" s="161"/>
      <c r="QEU88" s="161"/>
      <c r="QEV88" s="176"/>
      <c r="QEW88" s="176"/>
      <c r="QEX88" s="176"/>
      <c r="QEY88" s="161"/>
      <c r="QEZ88" s="161"/>
      <c r="QFA88" s="161"/>
      <c r="QFB88" s="161"/>
      <c r="QFC88" s="161"/>
      <c r="QFD88" s="161"/>
      <c r="QFE88" s="176"/>
      <c r="QFF88" s="176"/>
      <c r="QFG88" s="176"/>
      <c r="QFH88" s="161"/>
      <c r="QFI88" s="161"/>
      <c r="QFJ88" s="161"/>
      <c r="QFK88" s="161"/>
      <c r="QFL88" s="161"/>
      <c r="QFM88" s="161"/>
      <c r="QFN88" s="176"/>
      <c r="QFO88" s="176"/>
      <c r="QFP88" s="176"/>
      <c r="QFQ88" s="161"/>
      <c r="QFR88" s="161"/>
      <c r="QFS88" s="161"/>
      <c r="QFT88" s="161"/>
      <c r="QFU88" s="161"/>
      <c r="QFV88" s="161"/>
      <c r="QFW88" s="176"/>
      <c r="QFX88" s="176"/>
      <c r="QFY88" s="176"/>
      <c r="QFZ88" s="161"/>
      <c r="QGA88" s="161"/>
      <c r="QGB88" s="161"/>
      <c r="QGC88" s="161"/>
      <c r="QGD88" s="161"/>
      <c r="QGE88" s="161"/>
      <c r="QGF88" s="176"/>
      <c r="QGG88" s="176"/>
      <c r="QGH88" s="176"/>
      <c r="QGI88" s="161"/>
      <c r="QGJ88" s="161"/>
      <c r="QGK88" s="161"/>
      <c r="QGL88" s="161"/>
      <c r="QGM88" s="161"/>
      <c r="QGN88" s="161"/>
      <c r="QGO88" s="176"/>
      <c r="QGP88" s="176"/>
      <c r="QGQ88" s="176"/>
      <c r="QGR88" s="161"/>
      <c r="QGS88" s="161"/>
      <c r="QGT88" s="161"/>
      <c r="QGU88" s="161"/>
      <c r="QGV88" s="161"/>
      <c r="QGW88" s="161"/>
      <c r="QGX88" s="176"/>
      <c r="QGY88" s="176"/>
      <c r="QGZ88" s="176"/>
      <c r="QHA88" s="161"/>
      <c r="QHB88" s="161"/>
      <c r="QHC88" s="161"/>
      <c r="QHD88" s="161"/>
      <c r="QHE88" s="161"/>
      <c r="QHF88" s="161"/>
      <c r="QHG88" s="176"/>
      <c r="QHH88" s="176"/>
      <c r="QHI88" s="176"/>
      <c r="QHJ88" s="161"/>
      <c r="QHK88" s="161"/>
      <c r="QHL88" s="161"/>
      <c r="QHM88" s="161"/>
      <c r="QHN88" s="161"/>
      <c r="QHO88" s="161"/>
      <c r="QHP88" s="176"/>
      <c r="QHQ88" s="176"/>
      <c r="QHR88" s="176"/>
      <c r="QHS88" s="161"/>
      <c r="QHT88" s="161"/>
      <c r="QHU88" s="161"/>
      <c r="QHV88" s="161"/>
      <c r="QHW88" s="161"/>
      <c r="QHX88" s="161"/>
      <c r="QHY88" s="176"/>
      <c r="QHZ88" s="176"/>
      <c r="QIA88" s="176"/>
      <c r="QIB88" s="161"/>
      <c r="QIC88" s="161"/>
      <c r="QID88" s="161"/>
      <c r="QIE88" s="161"/>
      <c r="QIF88" s="161"/>
      <c r="QIG88" s="161"/>
      <c r="QIH88" s="176"/>
      <c r="QII88" s="176"/>
      <c r="QIJ88" s="176"/>
      <c r="QIK88" s="161"/>
      <c r="QIL88" s="161"/>
      <c r="QIM88" s="161"/>
      <c r="QIN88" s="161"/>
      <c r="QIO88" s="161"/>
      <c r="QIP88" s="161"/>
      <c r="QIQ88" s="176"/>
      <c r="QIR88" s="176"/>
      <c r="QIS88" s="176"/>
      <c r="QIT88" s="161"/>
      <c r="QIU88" s="161"/>
      <c r="QIV88" s="161"/>
      <c r="QIW88" s="161"/>
      <c r="QIX88" s="161"/>
      <c r="QIY88" s="161"/>
      <c r="QIZ88" s="176"/>
      <c r="QJA88" s="176"/>
      <c r="QJB88" s="176"/>
      <c r="QJC88" s="161"/>
      <c r="QJD88" s="161"/>
      <c r="QJE88" s="161"/>
      <c r="QJF88" s="161"/>
      <c r="QJG88" s="161"/>
      <c r="QJH88" s="161"/>
      <c r="QJI88" s="176"/>
      <c r="QJJ88" s="176"/>
      <c r="QJK88" s="176"/>
      <c r="QJL88" s="161"/>
      <c r="QJM88" s="161"/>
      <c r="QJN88" s="161"/>
      <c r="QJO88" s="161"/>
      <c r="QJP88" s="161"/>
      <c r="QJQ88" s="161"/>
      <c r="QJR88" s="176"/>
      <c r="QJS88" s="176"/>
      <c r="QJT88" s="176"/>
      <c r="QJU88" s="161"/>
      <c r="QJV88" s="161"/>
      <c r="QJW88" s="161"/>
      <c r="QJX88" s="161"/>
      <c r="QJY88" s="161"/>
      <c r="QJZ88" s="161"/>
      <c r="QKA88" s="176"/>
      <c r="QKB88" s="176"/>
      <c r="QKC88" s="176"/>
      <c r="QKD88" s="161"/>
      <c r="QKE88" s="161"/>
      <c r="QKF88" s="161"/>
      <c r="QKG88" s="161"/>
      <c r="QKH88" s="161"/>
      <c r="QKI88" s="161"/>
      <c r="QKJ88" s="176"/>
      <c r="QKK88" s="176"/>
      <c r="QKL88" s="176"/>
      <c r="QKM88" s="161"/>
      <c r="QKN88" s="161"/>
      <c r="QKO88" s="161"/>
      <c r="QKP88" s="161"/>
      <c r="QKQ88" s="161"/>
      <c r="QKR88" s="161"/>
      <c r="QKS88" s="176"/>
      <c r="QKT88" s="176"/>
      <c r="QKU88" s="176"/>
      <c r="QKV88" s="161"/>
      <c r="QKW88" s="161"/>
      <c r="QKX88" s="161"/>
      <c r="QKY88" s="161"/>
      <c r="QKZ88" s="161"/>
      <c r="QLA88" s="161"/>
      <c r="QLB88" s="176"/>
      <c r="QLC88" s="176"/>
      <c r="QLD88" s="176"/>
      <c r="QLE88" s="161"/>
      <c r="QLF88" s="161"/>
      <c r="QLG88" s="161"/>
      <c r="QLH88" s="161"/>
      <c r="QLI88" s="161"/>
      <c r="QLJ88" s="161"/>
      <c r="QLK88" s="176"/>
      <c r="QLL88" s="176"/>
      <c r="QLM88" s="176"/>
      <c r="QLN88" s="161"/>
      <c r="QLO88" s="161"/>
      <c r="QLP88" s="161"/>
      <c r="QLQ88" s="161"/>
      <c r="QLR88" s="161"/>
      <c r="QLS88" s="161"/>
      <c r="QLT88" s="176"/>
      <c r="QLU88" s="176"/>
      <c r="QLV88" s="176"/>
      <c r="QLW88" s="161"/>
      <c r="QLX88" s="161"/>
      <c r="QLY88" s="161"/>
      <c r="QLZ88" s="161"/>
      <c r="QMA88" s="161"/>
      <c r="QMB88" s="161"/>
      <c r="QMC88" s="176"/>
      <c r="QMD88" s="176"/>
      <c r="QME88" s="176"/>
      <c r="QMF88" s="161"/>
      <c r="QMG88" s="161"/>
      <c r="QMH88" s="161"/>
      <c r="QMI88" s="161"/>
      <c r="QMJ88" s="161"/>
      <c r="QMK88" s="161"/>
      <c r="QML88" s="176"/>
      <c r="QMM88" s="176"/>
      <c r="QMN88" s="176"/>
      <c r="QMO88" s="161"/>
      <c r="QMP88" s="161"/>
      <c r="QMQ88" s="161"/>
      <c r="QMR88" s="161"/>
      <c r="QMS88" s="161"/>
      <c r="QMT88" s="161"/>
      <c r="QMU88" s="176"/>
      <c r="QMV88" s="176"/>
      <c r="QMW88" s="176"/>
      <c r="QMX88" s="161"/>
      <c r="QMY88" s="161"/>
      <c r="QMZ88" s="161"/>
      <c r="QNA88" s="161"/>
      <c r="QNB88" s="161"/>
      <c r="QNC88" s="161"/>
      <c r="QND88" s="176"/>
      <c r="QNE88" s="176"/>
      <c r="QNF88" s="176"/>
      <c r="QNG88" s="161"/>
      <c r="QNH88" s="161"/>
      <c r="QNI88" s="161"/>
      <c r="QNJ88" s="161"/>
      <c r="QNK88" s="161"/>
      <c r="QNL88" s="161"/>
      <c r="QNM88" s="176"/>
      <c r="QNN88" s="176"/>
      <c r="QNO88" s="176"/>
      <c r="QNP88" s="161"/>
      <c r="QNQ88" s="161"/>
      <c r="QNR88" s="161"/>
      <c r="QNS88" s="161"/>
      <c r="QNT88" s="161"/>
      <c r="QNU88" s="161"/>
      <c r="QNV88" s="176"/>
      <c r="QNW88" s="176"/>
      <c r="QNX88" s="176"/>
      <c r="QNY88" s="161"/>
      <c r="QNZ88" s="161"/>
      <c r="QOA88" s="161"/>
      <c r="QOB88" s="161"/>
      <c r="QOC88" s="161"/>
      <c r="QOD88" s="161"/>
      <c r="QOE88" s="176"/>
      <c r="QOF88" s="176"/>
      <c r="QOG88" s="176"/>
      <c r="QOH88" s="161"/>
      <c r="QOI88" s="161"/>
      <c r="QOJ88" s="161"/>
      <c r="QOK88" s="161"/>
      <c r="QOL88" s="161"/>
      <c r="QOM88" s="161"/>
      <c r="QON88" s="176"/>
      <c r="QOO88" s="176"/>
      <c r="QOP88" s="176"/>
      <c r="QOQ88" s="161"/>
      <c r="QOR88" s="161"/>
      <c r="QOS88" s="161"/>
      <c r="QOT88" s="161"/>
      <c r="QOU88" s="161"/>
      <c r="QOV88" s="161"/>
      <c r="QOW88" s="176"/>
      <c r="QOX88" s="176"/>
      <c r="QOY88" s="176"/>
      <c r="QOZ88" s="161"/>
      <c r="QPA88" s="161"/>
      <c r="QPB88" s="161"/>
      <c r="QPC88" s="161"/>
      <c r="QPD88" s="161"/>
      <c r="QPE88" s="161"/>
      <c r="QPF88" s="176"/>
      <c r="QPG88" s="176"/>
      <c r="QPH88" s="176"/>
      <c r="QPI88" s="161"/>
      <c r="QPJ88" s="161"/>
      <c r="QPK88" s="161"/>
      <c r="QPL88" s="161"/>
      <c r="QPM88" s="161"/>
      <c r="QPN88" s="161"/>
      <c r="QPO88" s="176"/>
      <c r="QPP88" s="176"/>
      <c r="QPQ88" s="176"/>
      <c r="QPR88" s="161"/>
      <c r="QPS88" s="161"/>
      <c r="QPT88" s="161"/>
      <c r="QPU88" s="161"/>
      <c r="QPV88" s="161"/>
      <c r="QPW88" s="161"/>
      <c r="QPX88" s="176"/>
      <c r="QPY88" s="176"/>
      <c r="QPZ88" s="176"/>
      <c r="QQA88" s="161"/>
      <c r="QQB88" s="161"/>
      <c r="QQC88" s="161"/>
      <c r="QQD88" s="161"/>
      <c r="QQE88" s="161"/>
      <c r="QQF88" s="161"/>
      <c r="QQG88" s="176"/>
      <c r="QQH88" s="176"/>
      <c r="QQI88" s="176"/>
      <c r="QQJ88" s="161"/>
      <c r="QQK88" s="161"/>
      <c r="QQL88" s="161"/>
      <c r="QQM88" s="161"/>
      <c r="QQN88" s="161"/>
      <c r="QQO88" s="161"/>
      <c r="QQP88" s="176"/>
      <c r="QQQ88" s="176"/>
      <c r="QQR88" s="176"/>
      <c r="QQS88" s="161"/>
      <c r="QQT88" s="161"/>
      <c r="QQU88" s="161"/>
      <c r="QQV88" s="161"/>
      <c r="QQW88" s="161"/>
      <c r="QQX88" s="161"/>
      <c r="QQY88" s="176"/>
      <c r="QQZ88" s="176"/>
      <c r="QRA88" s="176"/>
      <c r="QRB88" s="161"/>
      <c r="QRC88" s="161"/>
      <c r="QRD88" s="161"/>
      <c r="QRE88" s="161"/>
      <c r="QRF88" s="161"/>
      <c r="QRG88" s="161"/>
      <c r="QRH88" s="176"/>
      <c r="QRI88" s="176"/>
      <c r="QRJ88" s="176"/>
      <c r="QRK88" s="161"/>
      <c r="QRL88" s="161"/>
      <c r="QRM88" s="161"/>
      <c r="QRN88" s="161"/>
      <c r="QRO88" s="161"/>
      <c r="QRP88" s="161"/>
      <c r="QRQ88" s="176"/>
      <c r="QRR88" s="176"/>
      <c r="QRS88" s="176"/>
      <c r="QRT88" s="161"/>
      <c r="QRU88" s="161"/>
      <c r="QRV88" s="161"/>
      <c r="QRW88" s="161"/>
      <c r="QRX88" s="161"/>
      <c r="QRY88" s="161"/>
      <c r="QRZ88" s="176"/>
      <c r="QSA88" s="176"/>
      <c r="QSB88" s="176"/>
      <c r="QSC88" s="161"/>
      <c r="QSD88" s="161"/>
      <c r="QSE88" s="161"/>
      <c r="QSF88" s="161"/>
      <c r="QSG88" s="161"/>
      <c r="QSH88" s="161"/>
      <c r="QSI88" s="176"/>
      <c r="QSJ88" s="176"/>
      <c r="QSK88" s="176"/>
      <c r="QSL88" s="161"/>
      <c r="QSM88" s="161"/>
      <c r="QSN88" s="161"/>
      <c r="QSO88" s="161"/>
      <c r="QSP88" s="161"/>
      <c r="QSQ88" s="161"/>
      <c r="QSR88" s="176"/>
      <c r="QSS88" s="176"/>
      <c r="QST88" s="176"/>
      <c r="QSU88" s="161"/>
      <c r="QSV88" s="161"/>
      <c r="QSW88" s="161"/>
      <c r="QSX88" s="161"/>
      <c r="QSY88" s="161"/>
      <c r="QSZ88" s="161"/>
      <c r="QTA88" s="176"/>
      <c r="QTB88" s="176"/>
      <c r="QTC88" s="176"/>
      <c r="QTD88" s="161"/>
      <c r="QTE88" s="161"/>
      <c r="QTF88" s="161"/>
      <c r="QTG88" s="161"/>
      <c r="QTH88" s="161"/>
      <c r="QTI88" s="161"/>
      <c r="QTJ88" s="176"/>
      <c r="QTK88" s="176"/>
      <c r="QTL88" s="176"/>
      <c r="QTM88" s="161"/>
      <c r="QTN88" s="161"/>
      <c r="QTO88" s="161"/>
      <c r="QTP88" s="161"/>
      <c r="QTQ88" s="161"/>
      <c r="QTR88" s="161"/>
      <c r="QTS88" s="176"/>
      <c r="QTT88" s="176"/>
      <c r="QTU88" s="176"/>
      <c r="QTV88" s="161"/>
      <c r="QTW88" s="161"/>
      <c r="QTX88" s="161"/>
      <c r="QTY88" s="161"/>
      <c r="QTZ88" s="161"/>
      <c r="QUA88" s="161"/>
      <c r="QUB88" s="176"/>
      <c r="QUC88" s="176"/>
      <c r="QUD88" s="176"/>
      <c r="QUE88" s="161"/>
      <c r="QUF88" s="161"/>
      <c r="QUG88" s="161"/>
      <c r="QUH88" s="161"/>
      <c r="QUI88" s="161"/>
      <c r="QUJ88" s="161"/>
      <c r="QUK88" s="176"/>
      <c r="QUL88" s="176"/>
      <c r="QUM88" s="176"/>
      <c r="QUN88" s="161"/>
      <c r="QUO88" s="161"/>
      <c r="QUP88" s="161"/>
      <c r="QUQ88" s="161"/>
      <c r="QUR88" s="161"/>
      <c r="QUS88" s="161"/>
      <c r="QUT88" s="176"/>
      <c r="QUU88" s="176"/>
      <c r="QUV88" s="176"/>
      <c r="QUW88" s="161"/>
      <c r="QUX88" s="161"/>
      <c r="QUY88" s="161"/>
      <c r="QUZ88" s="161"/>
      <c r="QVA88" s="161"/>
      <c r="QVB88" s="161"/>
      <c r="QVC88" s="176"/>
      <c r="QVD88" s="176"/>
      <c r="QVE88" s="176"/>
      <c r="QVF88" s="161"/>
      <c r="QVG88" s="161"/>
      <c r="QVH88" s="161"/>
      <c r="QVI88" s="161"/>
      <c r="QVJ88" s="161"/>
      <c r="QVK88" s="161"/>
      <c r="QVL88" s="176"/>
      <c r="QVM88" s="176"/>
      <c r="QVN88" s="176"/>
      <c r="QVO88" s="161"/>
      <c r="QVP88" s="161"/>
      <c r="QVQ88" s="161"/>
      <c r="QVR88" s="161"/>
      <c r="QVS88" s="161"/>
      <c r="QVT88" s="161"/>
      <c r="QVU88" s="176"/>
      <c r="QVV88" s="176"/>
      <c r="QVW88" s="176"/>
      <c r="QVX88" s="161"/>
      <c r="QVY88" s="161"/>
      <c r="QVZ88" s="161"/>
      <c r="QWA88" s="161"/>
      <c r="QWB88" s="161"/>
      <c r="QWC88" s="161"/>
      <c r="QWD88" s="176"/>
      <c r="QWE88" s="176"/>
      <c r="QWF88" s="176"/>
      <c r="QWG88" s="161"/>
      <c r="QWH88" s="161"/>
      <c r="QWI88" s="161"/>
      <c r="QWJ88" s="161"/>
      <c r="QWK88" s="161"/>
      <c r="QWL88" s="161"/>
      <c r="QWM88" s="176"/>
      <c r="QWN88" s="176"/>
      <c r="QWO88" s="176"/>
      <c r="QWP88" s="161"/>
      <c r="QWQ88" s="161"/>
      <c r="QWR88" s="161"/>
      <c r="QWS88" s="161"/>
      <c r="QWT88" s="161"/>
      <c r="QWU88" s="161"/>
      <c r="QWV88" s="176"/>
      <c r="QWW88" s="176"/>
      <c r="QWX88" s="176"/>
      <c r="QWY88" s="161"/>
      <c r="QWZ88" s="161"/>
      <c r="QXA88" s="161"/>
      <c r="QXB88" s="161"/>
      <c r="QXC88" s="161"/>
      <c r="QXD88" s="161"/>
      <c r="QXE88" s="176"/>
      <c r="QXF88" s="176"/>
      <c r="QXG88" s="176"/>
      <c r="QXH88" s="161"/>
      <c r="QXI88" s="161"/>
      <c r="QXJ88" s="161"/>
      <c r="QXK88" s="161"/>
      <c r="QXL88" s="161"/>
      <c r="QXM88" s="161"/>
      <c r="QXN88" s="176"/>
      <c r="QXO88" s="176"/>
      <c r="QXP88" s="176"/>
      <c r="QXQ88" s="161"/>
      <c r="QXR88" s="161"/>
      <c r="QXS88" s="161"/>
      <c r="QXT88" s="161"/>
      <c r="QXU88" s="161"/>
      <c r="QXV88" s="161"/>
      <c r="QXW88" s="176"/>
      <c r="QXX88" s="176"/>
      <c r="QXY88" s="176"/>
      <c r="QXZ88" s="161"/>
      <c r="QYA88" s="161"/>
      <c r="QYB88" s="161"/>
      <c r="QYC88" s="161"/>
      <c r="QYD88" s="161"/>
      <c r="QYE88" s="161"/>
      <c r="QYF88" s="176"/>
      <c r="QYG88" s="176"/>
      <c r="QYH88" s="176"/>
      <c r="QYI88" s="161"/>
      <c r="QYJ88" s="161"/>
      <c r="QYK88" s="161"/>
      <c r="QYL88" s="161"/>
      <c r="QYM88" s="161"/>
      <c r="QYN88" s="161"/>
      <c r="QYO88" s="176"/>
      <c r="QYP88" s="176"/>
      <c r="QYQ88" s="176"/>
      <c r="QYR88" s="161"/>
      <c r="QYS88" s="161"/>
      <c r="QYT88" s="161"/>
      <c r="QYU88" s="161"/>
      <c r="QYV88" s="161"/>
      <c r="QYW88" s="161"/>
      <c r="QYX88" s="176"/>
      <c r="QYY88" s="176"/>
      <c r="QYZ88" s="176"/>
      <c r="QZA88" s="161"/>
      <c r="QZB88" s="161"/>
      <c r="QZC88" s="161"/>
      <c r="QZD88" s="161"/>
      <c r="QZE88" s="161"/>
      <c r="QZF88" s="161"/>
      <c r="QZG88" s="176"/>
      <c r="QZH88" s="176"/>
      <c r="QZI88" s="176"/>
      <c r="QZJ88" s="161"/>
      <c r="QZK88" s="161"/>
      <c r="QZL88" s="161"/>
      <c r="QZM88" s="161"/>
      <c r="QZN88" s="161"/>
      <c r="QZO88" s="161"/>
      <c r="QZP88" s="176"/>
      <c r="QZQ88" s="176"/>
      <c r="QZR88" s="176"/>
      <c r="QZS88" s="161"/>
      <c r="QZT88" s="161"/>
      <c r="QZU88" s="161"/>
      <c r="QZV88" s="161"/>
      <c r="QZW88" s="161"/>
      <c r="QZX88" s="161"/>
      <c r="QZY88" s="176"/>
      <c r="QZZ88" s="176"/>
      <c r="RAA88" s="176"/>
      <c r="RAB88" s="161"/>
      <c r="RAC88" s="161"/>
      <c r="RAD88" s="161"/>
      <c r="RAE88" s="161"/>
      <c r="RAF88" s="161"/>
      <c r="RAG88" s="161"/>
      <c r="RAH88" s="176"/>
      <c r="RAI88" s="176"/>
      <c r="RAJ88" s="176"/>
      <c r="RAK88" s="161"/>
      <c r="RAL88" s="161"/>
      <c r="RAM88" s="161"/>
      <c r="RAN88" s="161"/>
      <c r="RAO88" s="161"/>
      <c r="RAP88" s="161"/>
      <c r="RAQ88" s="176"/>
      <c r="RAR88" s="176"/>
      <c r="RAS88" s="176"/>
      <c r="RAT88" s="161"/>
      <c r="RAU88" s="161"/>
      <c r="RAV88" s="161"/>
      <c r="RAW88" s="161"/>
      <c r="RAX88" s="161"/>
      <c r="RAY88" s="161"/>
      <c r="RAZ88" s="176"/>
      <c r="RBA88" s="176"/>
      <c r="RBB88" s="176"/>
      <c r="RBC88" s="161"/>
      <c r="RBD88" s="161"/>
      <c r="RBE88" s="161"/>
      <c r="RBF88" s="161"/>
      <c r="RBG88" s="161"/>
      <c r="RBH88" s="161"/>
      <c r="RBI88" s="176"/>
      <c r="RBJ88" s="176"/>
      <c r="RBK88" s="176"/>
      <c r="RBL88" s="161"/>
      <c r="RBM88" s="161"/>
      <c r="RBN88" s="161"/>
      <c r="RBO88" s="161"/>
      <c r="RBP88" s="161"/>
      <c r="RBQ88" s="161"/>
      <c r="RBR88" s="176"/>
      <c r="RBS88" s="176"/>
      <c r="RBT88" s="176"/>
      <c r="RBU88" s="161"/>
      <c r="RBV88" s="161"/>
      <c r="RBW88" s="161"/>
      <c r="RBX88" s="161"/>
      <c r="RBY88" s="161"/>
      <c r="RBZ88" s="161"/>
      <c r="RCA88" s="176"/>
      <c r="RCB88" s="176"/>
      <c r="RCC88" s="176"/>
      <c r="RCD88" s="161"/>
      <c r="RCE88" s="161"/>
      <c r="RCF88" s="161"/>
      <c r="RCG88" s="161"/>
      <c r="RCH88" s="161"/>
      <c r="RCI88" s="161"/>
      <c r="RCJ88" s="176"/>
      <c r="RCK88" s="176"/>
      <c r="RCL88" s="176"/>
      <c r="RCM88" s="161"/>
      <c r="RCN88" s="161"/>
      <c r="RCO88" s="161"/>
      <c r="RCP88" s="161"/>
      <c r="RCQ88" s="161"/>
      <c r="RCR88" s="161"/>
      <c r="RCS88" s="176"/>
      <c r="RCT88" s="176"/>
      <c r="RCU88" s="176"/>
      <c r="RCV88" s="161"/>
      <c r="RCW88" s="161"/>
      <c r="RCX88" s="161"/>
      <c r="RCY88" s="161"/>
      <c r="RCZ88" s="161"/>
      <c r="RDA88" s="161"/>
      <c r="RDB88" s="176"/>
      <c r="RDC88" s="176"/>
      <c r="RDD88" s="176"/>
      <c r="RDE88" s="161"/>
      <c r="RDF88" s="161"/>
      <c r="RDG88" s="161"/>
      <c r="RDH88" s="161"/>
      <c r="RDI88" s="161"/>
      <c r="RDJ88" s="161"/>
      <c r="RDK88" s="176"/>
      <c r="RDL88" s="176"/>
      <c r="RDM88" s="176"/>
      <c r="RDN88" s="161"/>
      <c r="RDO88" s="161"/>
      <c r="RDP88" s="161"/>
      <c r="RDQ88" s="161"/>
      <c r="RDR88" s="161"/>
      <c r="RDS88" s="161"/>
      <c r="RDT88" s="176"/>
      <c r="RDU88" s="176"/>
      <c r="RDV88" s="176"/>
      <c r="RDW88" s="161"/>
      <c r="RDX88" s="161"/>
      <c r="RDY88" s="161"/>
      <c r="RDZ88" s="161"/>
      <c r="REA88" s="161"/>
      <c r="REB88" s="161"/>
      <c r="REC88" s="176"/>
      <c r="RED88" s="176"/>
      <c r="REE88" s="176"/>
      <c r="REF88" s="161"/>
      <c r="REG88" s="161"/>
      <c r="REH88" s="161"/>
      <c r="REI88" s="161"/>
      <c r="REJ88" s="161"/>
      <c r="REK88" s="161"/>
      <c r="REL88" s="176"/>
      <c r="REM88" s="176"/>
      <c r="REN88" s="176"/>
      <c r="REO88" s="161"/>
      <c r="REP88" s="161"/>
      <c r="REQ88" s="161"/>
      <c r="RER88" s="161"/>
      <c r="RES88" s="161"/>
      <c r="RET88" s="161"/>
      <c r="REU88" s="176"/>
      <c r="REV88" s="176"/>
      <c r="REW88" s="176"/>
      <c r="REX88" s="161"/>
      <c r="REY88" s="161"/>
      <c r="REZ88" s="161"/>
      <c r="RFA88" s="161"/>
      <c r="RFB88" s="161"/>
      <c r="RFC88" s="161"/>
      <c r="RFD88" s="176"/>
      <c r="RFE88" s="176"/>
      <c r="RFF88" s="176"/>
      <c r="RFG88" s="161"/>
      <c r="RFH88" s="161"/>
      <c r="RFI88" s="161"/>
      <c r="RFJ88" s="161"/>
      <c r="RFK88" s="161"/>
      <c r="RFL88" s="161"/>
      <c r="RFM88" s="176"/>
      <c r="RFN88" s="176"/>
      <c r="RFO88" s="176"/>
      <c r="RFP88" s="161"/>
      <c r="RFQ88" s="161"/>
      <c r="RFR88" s="161"/>
      <c r="RFS88" s="161"/>
      <c r="RFT88" s="161"/>
      <c r="RFU88" s="161"/>
      <c r="RFV88" s="176"/>
      <c r="RFW88" s="176"/>
      <c r="RFX88" s="176"/>
      <c r="RFY88" s="161"/>
      <c r="RFZ88" s="161"/>
      <c r="RGA88" s="161"/>
      <c r="RGB88" s="161"/>
      <c r="RGC88" s="161"/>
      <c r="RGD88" s="161"/>
      <c r="RGE88" s="176"/>
      <c r="RGF88" s="176"/>
      <c r="RGG88" s="176"/>
      <c r="RGH88" s="161"/>
      <c r="RGI88" s="161"/>
      <c r="RGJ88" s="161"/>
      <c r="RGK88" s="161"/>
      <c r="RGL88" s="161"/>
      <c r="RGM88" s="161"/>
      <c r="RGN88" s="176"/>
      <c r="RGO88" s="176"/>
      <c r="RGP88" s="176"/>
      <c r="RGQ88" s="161"/>
      <c r="RGR88" s="161"/>
      <c r="RGS88" s="161"/>
      <c r="RGT88" s="161"/>
      <c r="RGU88" s="161"/>
      <c r="RGV88" s="161"/>
      <c r="RGW88" s="176"/>
      <c r="RGX88" s="176"/>
      <c r="RGY88" s="176"/>
      <c r="RGZ88" s="161"/>
      <c r="RHA88" s="161"/>
      <c r="RHB88" s="161"/>
      <c r="RHC88" s="161"/>
      <c r="RHD88" s="161"/>
      <c r="RHE88" s="161"/>
      <c r="RHF88" s="176"/>
      <c r="RHG88" s="176"/>
      <c r="RHH88" s="176"/>
      <c r="RHI88" s="161"/>
      <c r="RHJ88" s="161"/>
      <c r="RHK88" s="161"/>
      <c r="RHL88" s="161"/>
      <c r="RHM88" s="161"/>
      <c r="RHN88" s="161"/>
      <c r="RHO88" s="176"/>
      <c r="RHP88" s="176"/>
      <c r="RHQ88" s="176"/>
      <c r="RHR88" s="161"/>
      <c r="RHS88" s="161"/>
      <c r="RHT88" s="161"/>
      <c r="RHU88" s="161"/>
      <c r="RHV88" s="161"/>
      <c r="RHW88" s="161"/>
      <c r="RHX88" s="176"/>
      <c r="RHY88" s="176"/>
      <c r="RHZ88" s="176"/>
      <c r="RIA88" s="161"/>
      <c r="RIB88" s="161"/>
      <c r="RIC88" s="161"/>
      <c r="RID88" s="161"/>
      <c r="RIE88" s="161"/>
      <c r="RIF88" s="161"/>
      <c r="RIG88" s="176"/>
      <c r="RIH88" s="176"/>
      <c r="RII88" s="176"/>
      <c r="RIJ88" s="161"/>
      <c r="RIK88" s="161"/>
      <c r="RIL88" s="161"/>
      <c r="RIM88" s="161"/>
      <c r="RIN88" s="161"/>
      <c r="RIO88" s="161"/>
      <c r="RIP88" s="176"/>
      <c r="RIQ88" s="176"/>
      <c r="RIR88" s="176"/>
      <c r="RIS88" s="161"/>
      <c r="RIT88" s="161"/>
      <c r="RIU88" s="161"/>
      <c r="RIV88" s="161"/>
      <c r="RIW88" s="161"/>
      <c r="RIX88" s="161"/>
      <c r="RIY88" s="176"/>
      <c r="RIZ88" s="176"/>
      <c r="RJA88" s="176"/>
      <c r="RJB88" s="161"/>
      <c r="RJC88" s="161"/>
      <c r="RJD88" s="161"/>
      <c r="RJE88" s="161"/>
      <c r="RJF88" s="161"/>
      <c r="RJG88" s="161"/>
      <c r="RJH88" s="176"/>
      <c r="RJI88" s="176"/>
      <c r="RJJ88" s="176"/>
      <c r="RJK88" s="161"/>
      <c r="RJL88" s="161"/>
      <c r="RJM88" s="161"/>
      <c r="RJN88" s="161"/>
      <c r="RJO88" s="161"/>
      <c r="RJP88" s="161"/>
      <c r="RJQ88" s="176"/>
      <c r="RJR88" s="176"/>
      <c r="RJS88" s="176"/>
      <c r="RJT88" s="161"/>
      <c r="RJU88" s="161"/>
      <c r="RJV88" s="161"/>
      <c r="RJW88" s="161"/>
      <c r="RJX88" s="161"/>
      <c r="RJY88" s="161"/>
      <c r="RJZ88" s="176"/>
      <c r="RKA88" s="176"/>
      <c r="RKB88" s="176"/>
      <c r="RKC88" s="161"/>
      <c r="RKD88" s="161"/>
      <c r="RKE88" s="161"/>
      <c r="RKF88" s="161"/>
      <c r="RKG88" s="161"/>
      <c r="RKH88" s="161"/>
      <c r="RKI88" s="176"/>
      <c r="RKJ88" s="176"/>
      <c r="RKK88" s="176"/>
      <c r="RKL88" s="161"/>
      <c r="RKM88" s="161"/>
      <c r="RKN88" s="161"/>
      <c r="RKO88" s="161"/>
      <c r="RKP88" s="161"/>
      <c r="RKQ88" s="161"/>
      <c r="RKR88" s="176"/>
      <c r="RKS88" s="176"/>
      <c r="RKT88" s="176"/>
      <c r="RKU88" s="161"/>
      <c r="RKV88" s="161"/>
      <c r="RKW88" s="161"/>
      <c r="RKX88" s="161"/>
      <c r="RKY88" s="161"/>
      <c r="RKZ88" s="161"/>
      <c r="RLA88" s="176"/>
      <c r="RLB88" s="176"/>
      <c r="RLC88" s="176"/>
      <c r="RLD88" s="161"/>
      <c r="RLE88" s="161"/>
      <c r="RLF88" s="161"/>
      <c r="RLG88" s="161"/>
      <c r="RLH88" s="161"/>
      <c r="RLI88" s="161"/>
      <c r="RLJ88" s="176"/>
      <c r="RLK88" s="176"/>
      <c r="RLL88" s="176"/>
      <c r="RLM88" s="161"/>
      <c r="RLN88" s="161"/>
      <c r="RLO88" s="161"/>
      <c r="RLP88" s="161"/>
      <c r="RLQ88" s="161"/>
      <c r="RLR88" s="161"/>
      <c r="RLS88" s="176"/>
      <c r="RLT88" s="176"/>
      <c r="RLU88" s="176"/>
      <c r="RLV88" s="161"/>
      <c r="RLW88" s="161"/>
      <c r="RLX88" s="161"/>
      <c r="RLY88" s="161"/>
      <c r="RLZ88" s="161"/>
      <c r="RMA88" s="161"/>
      <c r="RMB88" s="176"/>
      <c r="RMC88" s="176"/>
      <c r="RMD88" s="176"/>
      <c r="RME88" s="161"/>
      <c r="RMF88" s="161"/>
      <c r="RMG88" s="161"/>
      <c r="RMH88" s="161"/>
      <c r="RMI88" s="161"/>
      <c r="RMJ88" s="161"/>
      <c r="RMK88" s="176"/>
      <c r="RML88" s="176"/>
      <c r="RMM88" s="176"/>
      <c r="RMN88" s="161"/>
      <c r="RMO88" s="161"/>
      <c r="RMP88" s="161"/>
      <c r="RMQ88" s="161"/>
      <c r="RMR88" s="161"/>
      <c r="RMS88" s="161"/>
      <c r="RMT88" s="176"/>
      <c r="RMU88" s="176"/>
      <c r="RMV88" s="176"/>
      <c r="RMW88" s="161"/>
      <c r="RMX88" s="161"/>
      <c r="RMY88" s="161"/>
      <c r="RMZ88" s="161"/>
      <c r="RNA88" s="161"/>
      <c r="RNB88" s="161"/>
      <c r="RNC88" s="176"/>
      <c r="RND88" s="176"/>
      <c r="RNE88" s="176"/>
      <c r="RNF88" s="161"/>
      <c r="RNG88" s="161"/>
      <c r="RNH88" s="161"/>
      <c r="RNI88" s="161"/>
      <c r="RNJ88" s="161"/>
      <c r="RNK88" s="161"/>
      <c r="RNL88" s="176"/>
      <c r="RNM88" s="176"/>
      <c r="RNN88" s="176"/>
      <c r="RNO88" s="161"/>
      <c r="RNP88" s="161"/>
      <c r="RNQ88" s="161"/>
      <c r="RNR88" s="161"/>
      <c r="RNS88" s="161"/>
      <c r="RNT88" s="161"/>
      <c r="RNU88" s="176"/>
      <c r="RNV88" s="176"/>
      <c r="RNW88" s="176"/>
      <c r="RNX88" s="161"/>
      <c r="RNY88" s="161"/>
      <c r="RNZ88" s="161"/>
      <c r="ROA88" s="161"/>
      <c r="ROB88" s="161"/>
      <c r="ROC88" s="161"/>
      <c r="ROD88" s="176"/>
      <c r="ROE88" s="176"/>
      <c r="ROF88" s="176"/>
      <c r="ROG88" s="161"/>
      <c r="ROH88" s="161"/>
      <c r="ROI88" s="161"/>
      <c r="ROJ88" s="161"/>
      <c r="ROK88" s="161"/>
      <c r="ROL88" s="161"/>
      <c r="ROM88" s="176"/>
      <c r="RON88" s="176"/>
      <c r="ROO88" s="176"/>
      <c r="ROP88" s="161"/>
      <c r="ROQ88" s="161"/>
      <c r="ROR88" s="161"/>
      <c r="ROS88" s="161"/>
      <c r="ROT88" s="161"/>
      <c r="ROU88" s="161"/>
      <c r="ROV88" s="176"/>
      <c r="ROW88" s="176"/>
      <c r="ROX88" s="176"/>
      <c r="ROY88" s="161"/>
      <c r="ROZ88" s="161"/>
      <c r="RPA88" s="161"/>
      <c r="RPB88" s="161"/>
      <c r="RPC88" s="161"/>
      <c r="RPD88" s="161"/>
      <c r="RPE88" s="176"/>
      <c r="RPF88" s="176"/>
      <c r="RPG88" s="176"/>
      <c r="RPH88" s="161"/>
      <c r="RPI88" s="161"/>
      <c r="RPJ88" s="161"/>
      <c r="RPK88" s="161"/>
      <c r="RPL88" s="161"/>
      <c r="RPM88" s="161"/>
      <c r="RPN88" s="176"/>
      <c r="RPO88" s="176"/>
      <c r="RPP88" s="176"/>
      <c r="RPQ88" s="161"/>
      <c r="RPR88" s="161"/>
      <c r="RPS88" s="161"/>
      <c r="RPT88" s="161"/>
      <c r="RPU88" s="161"/>
      <c r="RPV88" s="161"/>
      <c r="RPW88" s="176"/>
      <c r="RPX88" s="176"/>
      <c r="RPY88" s="176"/>
      <c r="RPZ88" s="161"/>
      <c r="RQA88" s="161"/>
      <c r="RQB88" s="161"/>
      <c r="RQC88" s="161"/>
      <c r="RQD88" s="161"/>
      <c r="RQE88" s="161"/>
      <c r="RQF88" s="176"/>
      <c r="RQG88" s="176"/>
      <c r="RQH88" s="176"/>
      <c r="RQI88" s="161"/>
      <c r="RQJ88" s="161"/>
      <c r="RQK88" s="161"/>
      <c r="RQL88" s="161"/>
      <c r="RQM88" s="161"/>
      <c r="RQN88" s="161"/>
      <c r="RQO88" s="176"/>
      <c r="RQP88" s="176"/>
      <c r="RQQ88" s="176"/>
      <c r="RQR88" s="161"/>
      <c r="RQS88" s="161"/>
      <c r="RQT88" s="161"/>
      <c r="RQU88" s="161"/>
      <c r="RQV88" s="161"/>
      <c r="RQW88" s="161"/>
      <c r="RQX88" s="176"/>
      <c r="RQY88" s="176"/>
      <c r="RQZ88" s="176"/>
      <c r="RRA88" s="161"/>
      <c r="RRB88" s="161"/>
      <c r="RRC88" s="161"/>
      <c r="RRD88" s="161"/>
      <c r="RRE88" s="161"/>
      <c r="RRF88" s="161"/>
      <c r="RRG88" s="176"/>
      <c r="RRH88" s="176"/>
      <c r="RRI88" s="176"/>
      <c r="RRJ88" s="161"/>
      <c r="RRK88" s="161"/>
      <c r="RRL88" s="161"/>
      <c r="RRM88" s="161"/>
      <c r="RRN88" s="161"/>
      <c r="RRO88" s="161"/>
      <c r="RRP88" s="176"/>
      <c r="RRQ88" s="176"/>
      <c r="RRR88" s="176"/>
      <c r="RRS88" s="161"/>
      <c r="RRT88" s="161"/>
      <c r="RRU88" s="161"/>
      <c r="RRV88" s="161"/>
      <c r="RRW88" s="161"/>
      <c r="RRX88" s="161"/>
      <c r="RRY88" s="176"/>
      <c r="RRZ88" s="176"/>
      <c r="RSA88" s="176"/>
      <c r="RSB88" s="161"/>
      <c r="RSC88" s="161"/>
      <c r="RSD88" s="161"/>
      <c r="RSE88" s="161"/>
      <c r="RSF88" s="161"/>
      <c r="RSG88" s="161"/>
      <c r="RSH88" s="176"/>
      <c r="RSI88" s="176"/>
      <c r="RSJ88" s="176"/>
      <c r="RSK88" s="161"/>
      <c r="RSL88" s="161"/>
      <c r="RSM88" s="161"/>
      <c r="RSN88" s="161"/>
      <c r="RSO88" s="161"/>
      <c r="RSP88" s="161"/>
      <c r="RSQ88" s="176"/>
      <c r="RSR88" s="176"/>
      <c r="RSS88" s="176"/>
      <c r="RST88" s="161"/>
      <c r="RSU88" s="161"/>
      <c r="RSV88" s="161"/>
      <c r="RSW88" s="161"/>
      <c r="RSX88" s="161"/>
      <c r="RSY88" s="161"/>
      <c r="RSZ88" s="176"/>
      <c r="RTA88" s="176"/>
      <c r="RTB88" s="176"/>
      <c r="RTC88" s="161"/>
      <c r="RTD88" s="161"/>
      <c r="RTE88" s="161"/>
      <c r="RTF88" s="161"/>
      <c r="RTG88" s="161"/>
      <c r="RTH88" s="161"/>
      <c r="RTI88" s="176"/>
      <c r="RTJ88" s="176"/>
      <c r="RTK88" s="176"/>
      <c r="RTL88" s="161"/>
      <c r="RTM88" s="161"/>
      <c r="RTN88" s="161"/>
      <c r="RTO88" s="161"/>
      <c r="RTP88" s="161"/>
      <c r="RTQ88" s="161"/>
      <c r="RTR88" s="176"/>
      <c r="RTS88" s="176"/>
      <c r="RTT88" s="176"/>
      <c r="RTU88" s="161"/>
      <c r="RTV88" s="161"/>
      <c r="RTW88" s="161"/>
      <c r="RTX88" s="161"/>
      <c r="RTY88" s="161"/>
      <c r="RTZ88" s="161"/>
      <c r="RUA88" s="176"/>
      <c r="RUB88" s="176"/>
      <c r="RUC88" s="176"/>
      <c r="RUD88" s="161"/>
      <c r="RUE88" s="161"/>
      <c r="RUF88" s="161"/>
      <c r="RUG88" s="161"/>
      <c r="RUH88" s="161"/>
      <c r="RUI88" s="161"/>
      <c r="RUJ88" s="176"/>
      <c r="RUK88" s="176"/>
      <c r="RUL88" s="176"/>
      <c r="RUM88" s="161"/>
      <c r="RUN88" s="161"/>
      <c r="RUO88" s="161"/>
      <c r="RUP88" s="161"/>
      <c r="RUQ88" s="161"/>
      <c r="RUR88" s="161"/>
      <c r="RUS88" s="176"/>
      <c r="RUT88" s="176"/>
      <c r="RUU88" s="176"/>
      <c r="RUV88" s="161"/>
      <c r="RUW88" s="161"/>
      <c r="RUX88" s="161"/>
      <c r="RUY88" s="161"/>
      <c r="RUZ88" s="161"/>
      <c r="RVA88" s="161"/>
      <c r="RVB88" s="176"/>
      <c r="RVC88" s="176"/>
      <c r="RVD88" s="176"/>
      <c r="RVE88" s="161"/>
      <c r="RVF88" s="161"/>
      <c r="RVG88" s="161"/>
      <c r="RVH88" s="161"/>
      <c r="RVI88" s="161"/>
      <c r="RVJ88" s="161"/>
      <c r="RVK88" s="176"/>
      <c r="RVL88" s="176"/>
      <c r="RVM88" s="176"/>
      <c r="RVN88" s="161"/>
      <c r="RVO88" s="161"/>
      <c r="RVP88" s="161"/>
      <c r="RVQ88" s="161"/>
      <c r="RVR88" s="161"/>
      <c r="RVS88" s="161"/>
      <c r="RVT88" s="176"/>
      <c r="RVU88" s="176"/>
      <c r="RVV88" s="176"/>
      <c r="RVW88" s="161"/>
      <c r="RVX88" s="161"/>
      <c r="RVY88" s="161"/>
      <c r="RVZ88" s="161"/>
      <c r="RWA88" s="161"/>
      <c r="RWB88" s="161"/>
      <c r="RWC88" s="176"/>
      <c r="RWD88" s="176"/>
      <c r="RWE88" s="176"/>
      <c r="RWF88" s="161"/>
      <c r="RWG88" s="161"/>
      <c r="RWH88" s="161"/>
      <c r="RWI88" s="161"/>
      <c r="RWJ88" s="161"/>
      <c r="RWK88" s="161"/>
      <c r="RWL88" s="176"/>
      <c r="RWM88" s="176"/>
      <c r="RWN88" s="176"/>
      <c r="RWO88" s="161"/>
      <c r="RWP88" s="161"/>
      <c r="RWQ88" s="161"/>
      <c r="RWR88" s="161"/>
      <c r="RWS88" s="161"/>
      <c r="RWT88" s="161"/>
      <c r="RWU88" s="176"/>
      <c r="RWV88" s="176"/>
      <c r="RWW88" s="176"/>
      <c r="RWX88" s="161"/>
      <c r="RWY88" s="161"/>
      <c r="RWZ88" s="161"/>
      <c r="RXA88" s="161"/>
      <c r="RXB88" s="161"/>
      <c r="RXC88" s="161"/>
      <c r="RXD88" s="176"/>
      <c r="RXE88" s="176"/>
      <c r="RXF88" s="176"/>
      <c r="RXG88" s="161"/>
      <c r="RXH88" s="161"/>
      <c r="RXI88" s="161"/>
      <c r="RXJ88" s="161"/>
      <c r="RXK88" s="161"/>
      <c r="RXL88" s="161"/>
      <c r="RXM88" s="176"/>
      <c r="RXN88" s="176"/>
      <c r="RXO88" s="176"/>
      <c r="RXP88" s="161"/>
      <c r="RXQ88" s="161"/>
      <c r="RXR88" s="161"/>
      <c r="RXS88" s="161"/>
      <c r="RXT88" s="161"/>
      <c r="RXU88" s="161"/>
      <c r="RXV88" s="176"/>
      <c r="RXW88" s="176"/>
      <c r="RXX88" s="176"/>
      <c r="RXY88" s="161"/>
      <c r="RXZ88" s="161"/>
      <c r="RYA88" s="161"/>
      <c r="RYB88" s="161"/>
      <c r="RYC88" s="161"/>
      <c r="RYD88" s="161"/>
      <c r="RYE88" s="176"/>
      <c r="RYF88" s="176"/>
      <c r="RYG88" s="176"/>
      <c r="RYH88" s="161"/>
      <c r="RYI88" s="161"/>
      <c r="RYJ88" s="161"/>
      <c r="RYK88" s="161"/>
      <c r="RYL88" s="161"/>
      <c r="RYM88" s="161"/>
      <c r="RYN88" s="176"/>
      <c r="RYO88" s="176"/>
      <c r="RYP88" s="176"/>
      <c r="RYQ88" s="161"/>
      <c r="RYR88" s="161"/>
      <c r="RYS88" s="161"/>
      <c r="RYT88" s="161"/>
      <c r="RYU88" s="161"/>
      <c r="RYV88" s="161"/>
      <c r="RYW88" s="176"/>
      <c r="RYX88" s="176"/>
      <c r="RYY88" s="176"/>
      <c r="RYZ88" s="161"/>
      <c r="RZA88" s="161"/>
      <c r="RZB88" s="161"/>
      <c r="RZC88" s="161"/>
      <c r="RZD88" s="161"/>
      <c r="RZE88" s="161"/>
      <c r="RZF88" s="176"/>
      <c r="RZG88" s="176"/>
      <c r="RZH88" s="176"/>
      <c r="RZI88" s="161"/>
      <c r="RZJ88" s="161"/>
      <c r="RZK88" s="161"/>
      <c r="RZL88" s="161"/>
      <c r="RZM88" s="161"/>
      <c r="RZN88" s="161"/>
      <c r="RZO88" s="176"/>
      <c r="RZP88" s="176"/>
      <c r="RZQ88" s="176"/>
      <c r="RZR88" s="161"/>
      <c r="RZS88" s="161"/>
      <c r="RZT88" s="161"/>
      <c r="RZU88" s="161"/>
      <c r="RZV88" s="161"/>
      <c r="RZW88" s="161"/>
      <c r="RZX88" s="176"/>
      <c r="RZY88" s="176"/>
      <c r="RZZ88" s="176"/>
      <c r="SAA88" s="161"/>
      <c r="SAB88" s="161"/>
      <c r="SAC88" s="161"/>
      <c r="SAD88" s="161"/>
      <c r="SAE88" s="161"/>
      <c r="SAF88" s="161"/>
      <c r="SAG88" s="176"/>
      <c r="SAH88" s="176"/>
      <c r="SAI88" s="176"/>
      <c r="SAJ88" s="161"/>
      <c r="SAK88" s="161"/>
      <c r="SAL88" s="161"/>
      <c r="SAM88" s="161"/>
      <c r="SAN88" s="161"/>
      <c r="SAO88" s="161"/>
      <c r="SAP88" s="176"/>
      <c r="SAQ88" s="176"/>
      <c r="SAR88" s="176"/>
      <c r="SAS88" s="161"/>
      <c r="SAT88" s="161"/>
      <c r="SAU88" s="161"/>
      <c r="SAV88" s="161"/>
      <c r="SAW88" s="161"/>
      <c r="SAX88" s="161"/>
      <c r="SAY88" s="176"/>
      <c r="SAZ88" s="176"/>
      <c r="SBA88" s="176"/>
      <c r="SBB88" s="161"/>
      <c r="SBC88" s="161"/>
      <c r="SBD88" s="161"/>
      <c r="SBE88" s="161"/>
      <c r="SBF88" s="161"/>
      <c r="SBG88" s="161"/>
      <c r="SBH88" s="176"/>
      <c r="SBI88" s="176"/>
      <c r="SBJ88" s="176"/>
      <c r="SBK88" s="161"/>
      <c r="SBL88" s="161"/>
      <c r="SBM88" s="161"/>
      <c r="SBN88" s="161"/>
      <c r="SBO88" s="161"/>
      <c r="SBP88" s="161"/>
      <c r="SBQ88" s="176"/>
      <c r="SBR88" s="176"/>
      <c r="SBS88" s="176"/>
      <c r="SBT88" s="161"/>
      <c r="SBU88" s="161"/>
      <c r="SBV88" s="161"/>
      <c r="SBW88" s="161"/>
      <c r="SBX88" s="161"/>
      <c r="SBY88" s="161"/>
      <c r="SBZ88" s="176"/>
      <c r="SCA88" s="176"/>
      <c r="SCB88" s="176"/>
      <c r="SCC88" s="161"/>
      <c r="SCD88" s="161"/>
      <c r="SCE88" s="161"/>
      <c r="SCF88" s="161"/>
      <c r="SCG88" s="161"/>
      <c r="SCH88" s="161"/>
      <c r="SCI88" s="176"/>
      <c r="SCJ88" s="176"/>
      <c r="SCK88" s="176"/>
      <c r="SCL88" s="161"/>
      <c r="SCM88" s="161"/>
      <c r="SCN88" s="161"/>
      <c r="SCO88" s="161"/>
      <c r="SCP88" s="161"/>
      <c r="SCQ88" s="161"/>
      <c r="SCR88" s="176"/>
      <c r="SCS88" s="176"/>
      <c r="SCT88" s="176"/>
      <c r="SCU88" s="161"/>
      <c r="SCV88" s="161"/>
      <c r="SCW88" s="161"/>
      <c r="SCX88" s="161"/>
      <c r="SCY88" s="161"/>
      <c r="SCZ88" s="161"/>
      <c r="SDA88" s="176"/>
      <c r="SDB88" s="176"/>
      <c r="SDC88" s="176"/>
      <c r="SDD88" s="161"/>
      <c r="SDE88" s="161"/>
      <c r="SDF88" s="161"/>
      <c r="SDG88" s="161"/>
      <c r="SDH88" s="161"/>
      <c r="SDI88" s="161"/>
      <c r="SDJ88" s="176"/>
      <c r="SDK88" s="176"/>
      <c r="SDL88" s="176"/>
      <c r="SDM88" s="161"/>
      <c r="SDN88" s="161"/>
      <c r="SDO88" s="161"/>
      <c r="SDP88" s="161"/>
      <c r="SDQ88" s="161"/>
      <c r="SDR88" s="161"/>
      <c r="SDS88" s="176"/>
      <c r="SDT88" s="176"/>
      <c r="SDU88" s="176"/>
      <c r="SDV88" s="161"/>
      <c r="SDW88" s="161"/>
      <c r="SDX88" s="161"/>
      <c r="SDY88" s="161"/>
      <c r="SDZ88" s="161"/>
      <c r="SEA88" s="161"/>
      <c r="SEB88" s="176"/>
      <c r="SEC88" s="176"/>
      <c r="SED88" s="176"/>
      <c r="SEE88" s="161"/>
      <c r="SEF88" s="161"/>
      <c r="SEG88" s="161"/>
      <c r="SEH88" s="161"/>
      <c r="SEI88" s="161"/>
      <c r="SEJ88" s="161"/>
      <c r="SEK88" s="176"/>
      <c r="SEL88" s="176"/>
      <c r="SEM88" s="176"/>
      <c r="SEN88" s="161"/>
      <c r="SEO88" s="161"/>
      <c r="SEP88" s="161"/>
      <c r="SEQ88" s="161"/>
      <c r="SER88" s="161"/>
      <c r="SES88" s="161"/>
      <c r="SET88" s="176"/>
      <c r="SEU88" s="176"/>
      <c r="SEV88" s="176"/>
      <c r="SEW88" s="161"/>
      <c r="SEX88" s="161"/>
      <c r="SEY88" s="161"/>
      <c r="SEZ88" s="161"/>
      <c r="SFA88" s="161"/>
      <c r="SFB88" s="161"/>
      <c r="SFC88" s="176"/>
      <c r="SFD88" s="176"/>
      <c r="SFE88" s="176"/>
      <c r="SFF88" s="161"/>
      <c r="SFG88" s="161"/>
      <c r="SFH88" s="161"/>
      <c r="SFI88" s="161"/>
      <c r="SFJ88" s="161"/>
      <c r="SFK88" s="161"/>
      <c r="SFL88" s="176"/>
      <c r="SFM88" s="176"/>
      <c r="SFN88" s="176"/>
      <c r="SFO88" s="161"/>
      <c r="SFP88" s="161"/>
      <c r="SFQ88" s="161"/>
      <c r="SFR88" s="161"/>
      <c r="SFS88" s="161"/>
      <c r="SFT88" s="161"/>
      <c r="SFU88" s="176"/>
      <c r="SFV88" s="176"/>
      <c r="SFW88" s="176"/>
      <c r="SFX88" s="161"/>
      <c r="SFY88" s="161"/>
      <c r="SFZ88" s="161"/>
      <c r="SGA88" s="161"/>
      <c r="SGB88" s="161"/>
      <c r="SGC88" s="161"/>
      <c r="SGD88" s="176"/>
      <c r="SGE88" s="176"/>
      <c r="SGF88" s="176"/>
      <c r="SGG88" s="161"/>
      <c r="SGH88" s="161"/>
      <c r="SGI88" s="161"/>
      <c r="SGJ88" s="161"/>
      <c r="SGK88" s="161"/>
      <c r="SGL88" s="161"/>
      <c r="SGM88" s="176"/>
      <c r="SGN88" s="176"/>
      <c r="SGO88" s="176"/>
      <c r="SGP88" s="161"/>
      <c r="SGQ88" s="161"/>
      <c r="SGR88" s="161"/>
      <c r="SGS88" s="161"/>
      <c r="SGT88" s="161"/>
      <c r="SGU88" s="161"/>
      <c r="SGV88" s="176"/>
      <c r="SGW88" s="176"/>
      <c r="SGX88" s="176"/>
      <c r="SGY88" s="161"/>
      <c r="SGZ88" s="161"/>
      <c r="SHA88" s="161"/>
      <c r="SHB88" s="161"/>
      <c r="SHC88" s="161"/>
      <c r="SHD88" s="161"/>
      <c r="SHE88" s="176"/>
      <c r="SHF88" s="176"/>
      <c r="SHG88" s="176"/>
      <c r="SHH88" s="161"/>
      <c r="SHI88" s="161"/>
      <c r="SHJ88" s="161"/>
      <c r="SHK88" s="161"/>
      <c r="SHL88" s="161"/>
      <c r="SHM88" s="161"/>
      <c r="SHN88" s="176"/>
      <c r="SHO88" s="176"/>
      <c r="SHP88" s="176"/>
      <c r="SHQ88" s="161"/>
      <c r="SHR88" s="161"/>
      <c r="SHS88" s="161"/>
      <c r="SHT88" s="161"/>
      <c r="SHU88" s="161"/>
      <c r="SHV88" s="161"/>
      <c r="SHW88" s="176"/>
      <c r="SHX88" s="176"/>
      <c r="SHY88" s="176"/>
      <c r="SHZ88" s="161"/>
      <c r="SIA88" s="161"/>
      <c r="SIB88" s="161"/>
      <c r="SIC88" s="161"/>
      <c r="SID88" s="161"/>
      <c r="SIE88" s="161"/>
      <c r="SIF88" s="176"/>
      <c r="SIG88" s="176"/>
      <c r="SIH88" s="176"/>
      <c r="SII88" s="161"/>
      <c r="SIJ88" s="161"/>
      <c r="SIK88" s="161"/>
      <c r="SIL88" s="161"/>
      <c r="SIM88" s="161"/>
      <c r="SIN88" s="161"/>
      <c r="SIO88" s="176"/>
      <c r="SIP88" s="176"/>
      <c r="SIQ88" s="176"/>
      <c r="SIR88" s="161"/>
      <c r="SIS88" s="161"/>
      <c r="SIT88" s="161"/>
      <c r="SIU88" s="161"/>
      <c r="SIV88" s="161"/>
      <c r="SIW88" s="161"/>
      <c r="SIX88" s="176"/>
      <c r="SIY88" s="176"/>
      <c r="SIZ88" s="176"/>
      <c r="SJA88" s="161"/>
      <c r="SJB88" s="161"/>
      <c r="SJC88" s="161"/>
      <c r="SJD88" s="161"/>
      <c r="SJE88" s="161"/>
      <c r="SJF88" s="161"/>
      <c r="SJG88" s="176"/>
      <c r="SJH88" s="176"/>
      <c r="SJI88" s="176"/>
      <c r="SJJ88" s="161"/>
      <c r="SJK88" s="161"/>
      <c r="SJL88" s="161"/>
      <c r="SJM88" s="161"/>
      <c r="SJN88" s="161"/>
      <c r="SJO88" s="161"/>
      <c r="SJP88" s="176"/>
      <c r="SJQ88" s="176"/>
      <c r="SJR88" s="176"/>
      <c r="SJS88" s="161"/>
      <c r="SJT88" s="161"/>
      <c r="SJU88" s="161"/>
      <c r="SJV88" s="161"/>
      <c r="SJW88" s="161"/>
      <c r="SJX88" s="161"/>
      <c r="SJY88" s="176"/>
      <c r="SJZ88" s="176"/>
      <c r="SKA88" s="176"/>
      <c r="SKB88" s="161"/>
      <c r="SKC88" s="161"/>
      <c r="SKD88" s="161"/>
      <c r="SKE88" s="161"/>
      <c r="SKF88" s="161"/>
      <c r="SKG88" s="161"/>
      <c r="SKH88" s="176"/>
      <c r="SKI88" s="176"/>
      <c r="SKJ88" s="176"/>
      <c r="SKK88" s="161"/>
      <c r="SKL88" s="161"/>
      <c r="SKM88" s="161"/>
      <c r="SKN88" s="161"/>
      <c r="SKO88" s="161"/>
      <c r="SKP88" s="161"/>
      <c r="SKQ88" s="176"/>
      <c r="SKR88" s="176"/>
      <c r="SKS88" s="176"/>
      <c r="SKT88" s="161"/>
      <c r="SKU88" s="161"/>
      <c r="SKV88" s="161"/>
      <c r="SKW88" s="161"/>
      <c r="SKX88" s="161"/>
      <c r="SKY88" s="161"/>
      <c r="SKZ88" s="176"/>
      <c r="SLA88" s="176"/>
      <c r="SLB88" s="176"/>
      <c r="SLC88" s="161"/>
      <c r="SLD88" s="161"/>
      <c r="SLE88" s="161"/>
      <c r="SLF88" s="161"/>
      <c r="SLG88" s="161"/>
      <c r="SLH88" s="161"/>
      <c r="SLI88" s="176"/>
      <c r="SLJ88" s="176"/>
      <c r="SLK88" s="176"/>
      <c r="SLL88" s="161"/>
      <c r="SLM88" s="161"/>
      <c r="SLN88" s="161"/>
      <c r="SLO88" s="161"/>
      <c r="SLP88" s="161"/>
      <c r="SLQ88" s="161"/>
      <c r="SLR88" s="176"/>
      <c r="SLS88" s="176"/>
      <c r="SLT88" s="176"/>
      <c r="SLU88" s="161"/>
      <c r="SLV88" s="161"/>
      <c r="SLW88" s="161"/>
      <c r="SLX88" s="161"/>
      <c r="SLY88" s="161"/>
      <c r="SLZ88" s="161"/>
      <c r="SMA88" s="176"/>
      <c r="SMB88" s="176"/>
      <c r="SMC88" s="176"/>
      <c r="SMD88" s="161"/>
      <c r="SME88" s="161"/>
      <c r="SMF88" s="161"/>
      <c r="SMG88" s="161"/>
      <c r="SMH88" s="161"/>
      <c r="SMI88" s="161"/>
      <c r="SMJ88" s="176"/>
      <c r="SMK88" s="176"/>
      <c r="SML88" s="176"/>
      <c r="SMM88" s="161"/>
      <c r="SMN88" s="161"/>
      <c r="SMO88" s="161"/>
      <c r="SMP88" s="161"/>
      <c r="SMQ88" s="161"/>
      <c r="SMR88" s="161"/>
      <c r="SMS88" s="176"/>
      <c r="SMT88" s="176"/>
      <c r="SMU88" s="176"/>
      <c r="SMV88" s="161"/>
      <c r="SMW88" s="161"/>
      <c r="SMX88" s="161"/>
      <c r="SMY88" s="161"/>
      <c r="SMZ88" s="161"/>
      <c r="SNA88" s="161"/>
      <c r="SNB88" s="176"/>
      <c r="SNC88" s="176"/>
      <c r="SND88" s="176"/>
      <c r="SNE88" s="161"/>
      <c r="SNF88" s="161"/>
      <c r="SNG88" s="161"/>
      <c r="SNH88" s="161"/>
      <c r="SNI88" s="161"/>
      <c r="SNJ88" s="161"/>
      <c r="SNK88" s="176"/>
      <c r="SNL88" s="176"/>
      <c r="SNM88" s="176"/>
      <c r="SNN88" s="161"/>
      <c r="SNO88" s="161"/>
      <c r="SNP88" s="161"/>
      <c r="SNQ88" s="161"/>
      <c r="SNR88" s="161"/>
      <c r="SNS88" s="161"/>
      <c r="SNT88" s="176"/>
      <c r="SNU88" s="176"/>
      <c r="SNV88" s="176"/>
      <c r="SNW88" s="161"/>
      <c r="SNX88" s="161"/>
      <c r="SNY88" s="161"/>
      <c r="SNZ88" s="161"/>
      <c r="SOA88" s="161"/>
      <c r="SOB88" s="161"/>
      <c r="SOC88" s="176"/>
      <c r="SOD88" s="176"/>
      <c r="SOE88" s="176"/>
      <c r="SOF88" s="161"/>
      <c r="SOG88" s="161"/>
      <c r="SOH88" s="161"/>
      <c r="SOI88" s="161"/>
      <c r="SOJ88" s="161"/>
      <c r="SOK88" s="161"/>
      <c r="SOL88" s="176"/>
      <c r="SOM88" s="176"/>
      <c r="SON88" s="176"/>
      <c r="SOO88" s="161"/>
      <c r="SOP88" s="161"/>
      <c r="SOQ88" s="161"/>
      <c r="SOR88" s="161"/>
      <c r="SOS88" s="161"/>
      <c r="SOT88" s="161"/>
      <c r="SOU88" s="176"/>
      <c r="SOV88" s="176"/>
      <c r="SOW88" s="176"/>
      <c r="SOX88" s="161"/>
      <c r="SOY88" s="161"/>
      <c r="SOZ88" s="161"/>
      <c r="SPA88" s="161"/>
      <c r="SPB88" s="161"/>
      <c r="SPC88" s="161"/>
      <c r="SPD88" s="176"/>
      <c r="SPE88" s="176"/>
      <c r="SPF88" s="176"/>
      <c r="SPG88" s="161"/>
      <c r="SPH88" s="161"/>
      <c r="SPI88" s="161"/>
      <c r="SPJ88" s="161"/>
      <c r="SPK88" s="161"/>
      <c r="SPL88" s="161"/>
      <c r="SPM88" s="176"/>
      <c r="SPN88" s="176"/>
      <c r="SPO88" s="176"/>
      <c r="SPP88" s="161"/>
      <c r="SPQ88" s="161"/>
      <c r="SPR88" s="161"/>
      <c r="SPS88" s="161"/>
      <c r="SPT88" s="161"/>
      <c r="SPU88" s="161"/>
      <c r="SPV88" s="176"/>
      <c r="SPW88" s="176"/>
      <c r="SPX88" s="176"/>
      <c r="SPY88" s="161"/>
      <c r="SPZ88" s="161"/>
      <c r="SQA88" s="161"/>
      <c r="SQB88" s="161"/>
      <c r="SQC88" s="161"/>
      <c r="SQD88" s="161"/>
      <c r="SQE88" s="176"/>
      <c r="SQF88" s="176"/>
      <c r="SQG88" s="176"/>
      <c r="SQH88" s="161"/>
      <c r="SQI88" s="161"/>
      <c r="SQJ88" s="161"/>
      <c r="SQK88" s="161"/>
      <c r="SQL88" s="161"/>
      <c r="SQM88" s="161"/>
      <c r="SQN88" s="176"/>
      <c r="SQO88" s="176"/>
      <c r="SQP88" s="176"/>
      <c r="SQQ88" s="161"/>
      <c r="SQR88" s="161"/>
      <c r="SQS88" s="161"/>
      <c r="SQT88" s="161"/>
      <c r="SQU88" s="161"/>
      <c r="SQV88" s="161"/>
      <c r="SQW88" s="176"/>
      <c r="SQX88" s="176"/>
      <c r="SQY88" s="176"/>
      <c r="SQZ88" s="161"/>
      <c r="SRA88" s="161"/>
      <c r="SRB88" s="161"/>
      <c r="SRC88" s="161"/>
      <c r="SRD88" s="161"/>
      <c r="SRE88" s="161"/>
      <c r="SRF88" s="176"/>
      <c r="SRG88" s="176"/>
      <c r="SRH88" s="176"/>
      <c r="SRI88" s="161"/>
      <c r="SRJ88" s="161"/>
      <c r="SRK88" s="161"/>
      <c r="SRL88" s="161"/>
      <c r="SRM88" s="161"/>
      <c r="SRN88" s="161"/>
      <c r="SRO88" s="176"/>
      <c r="SRP88" s="176"/>
      <c r="SRQ88" s="176"/>
      <c r="SRR88" s="161"/>
      <c r="SRS88" s="161"/>
      <c r="SRT88" s="161"/>
      <c r="SRU88" s="161"/>
      <c r="SRV88" s="161"/>
      <c r="SRW88" s="161"/>
      <c r="SRX88" s="176"/>
      <c r="SRY88" s="176"/>
      <c r="SRZ88" s="176"/>
      <c r="SSA88" s="161"/>
      <c r="SSB88" s="161"/>
      <c r="SSC88" s="161"/>
      <c r="SSD88" s="161"/>
      <c r="SSE88" s="161"/>
      <c r="SSF88" s="161"/>
      <c r="SSG88" s="176"/>
      <c r="SSH88" s="176"/>
      <c r="SSI88" s="176"/>
      <c r="SSJ88" s="161"/>
      <c r="SSK88" s="161"/>
      <c r="SSL88" s="161"/>
      <c r="SSM88" s="161"/>
      <c r="SSN88" s="161"/>
      <c r="SSO88" s="161"/>
      <c r="SSP88" s="176"/>
      <c r="SSQ88" s="176"/>
      <c r="SSR88" s="176"/>
      <c r="SSS88" s="161"/>
      <c r="SST88" s="161"/>
      <c r="SSU88" s="161"/>
      <c r="SSV88" s="161"/>
      <c r="SSW88" s="161"/>
      <c r="SSX88" s="161"/>
      <c r="SSY88" s="176"/>
      <c r="SSZ88" s="176"/>
      <c r="STA88" s="176"/>
      <c r="STB88" s="161"/>
      <c r="STC88" s="161"/>
      <c r="STD88" s="161"/>
      <c r="STE88" s="161"/>
      <c r="STF88" s="161"/>
      <c r="STG88" s="161"/>
      <c r="STH88" s="176"/>
      <c r="STI88" s="176"/>
      <c r="STJ88" s="176"/>
      <c r="STK88" s="161"/>
      <c r="STL88" s="161"/>
      <c r="STM88" s="161"/>
      <c r="STN88" s="161"/>
      <c r="STO88" s="161"/>
      <c r="STP88" s="161"/>
      <c r="STQ88" s="176"/>
      <c r="STR88" s="176"/>
      <c r="STS88" s="176"/>
      <c r="STT88" s="161"/>
      <c r="STU88" s="161"/>
      <c r="STV88" s="161"/>
      <c r="STW88" s="161"/>
      <c r="STX88" s="161"/>
      <c r="STY88" s="161"/>
      <c r="STZ88" s="176"/>
      <c r="SUA88" s="176"/>
      <c r="SUB88" s="176"/>
      <c r="SUC88" s="161"/>
      <c r="SUD88" s="161"/>
      <c r="SUE88" s="161"/>
      <c r="SUF88" s="161"/>
      <c r="SUG88" s="161"/>
      <c r="SUH88" s="161"/>
      <c r="SUI88" s="176"/>
      <c r="SUJ88" s="176"/>
      <c r="SUK88" s="176"/>
      <c r="SUL88" s="161"/>
      <c r="SUM88" s="161"/>
      <c r="SUN88" s="161"/>
      <c r="SUO88" s="161"/>
      <c r="SUP88" s="161"/>
      <c r="SUQ88" s="161"/>
      <c r="SUR88" s="176"/>
      <c r="SUS88" s="176"/>
      <c r="SUT88" s="176"/>
      <c r="SUU88" s="161"/>
      <c r="SUV88" s="161"/>
      <c r="SUW88" s="161"/>
      <c r="SUX88" s="161"/>
      <c r="SUY88" s="161"/>
      <c r="SUZ88" s="161"/>
      <c r="SVA88" s="176"/>
      <c r="SVB88" s="176"/>
      <c r="SVC88" s="176"/>
      <c r="SVD88" s="161"/>
      <c r="SVE88" s="161"/>
      <c r="SVF88" s="161"/>
      <c r="SVG88" s="161"/>
      <c r="SVH88" s="161"/>
      <c r="SVI88" s="161"/>
      <c r="SVJ88" s="176"/>
      <c r="SVK88" s="176"/>
      <c r="SVL88" s="176"/>
      <c r="SVM88" s="161"/>
      <c r="SVN88" s="161"/>
      <c r="SVO88" s="161"/>
      <c r="SVP88" s="161"/>
      <c r="SVQ88" s="161"/>
      <c r="SVR88" s="161"/>
      <c r="SVS88" s="176"/>
      <c r="SVT88" s="176"/>
      <c r="SVU88" s="176"/>
      <c r="SVV88" s="161"/>
      <c r="SVW88" s="161"/>
      <c r="SVX88" s="161"/>
      <c r="SVY88" s="161"/>
      <c r="SVZ88" s="161"/>
      <c r="SWA88" s="161"/>
      <c r="SWB88" s="176"/>
      <c r="SWC88" s="176"/>
      <c r="SWD88" s="176"/>
      <c r="SWE88" s="161"/>
      <c r="SWF88" s="161"/>
      <c r="SWG88" s="161"/>
      <c r="SWH88" s="161"/>
      <c r="SWI88" s="161"/>
      <c r="SWJ88" s="161"/>
      <c r="SWK88" s="176"/>
      <c r="SWL88" s="176"/>
      <c r="SWM88" s="176"/>
      <c r="SWN88" s="161"/>
      <c r="SWO88" s="161"/>
      <c r="SWP88" s="161"/>
      <c r="SWQ88" s="161"/>
      <c r="SWR88" s="161"/>
      <c r="SWS88" s="161"/>
      <c r="SWT88" s="176"/>
      <c r="SWU88" s="176"/>
      <c r="SWV88" s="176"/>
      <c r="SWW88" s="161"/>
      <c r="SWX88" s="161"/>
      <c r="SWY88" s="161"/>
      <c r="SWZ88" s="161"/>
      <c r="SXA88" s="161"/>
      <c r="SXB88" s="161"/>
      <c r="SXC88" s="176"/>
      <c r="SXD88" s="176"/>
      <c r="SXE88" s="176"/>
      <c r="SXF88" s="161"/>
      <c r="SXG88" s="161"/>
      <c r="SXH88" s="161"/>
      <c r="SXI88" s="161"/>
      <c r="SXJ88" s="161"/>
      <c r="SXK88" s="161"/>
      <c r="SXL88" s="176"/>
      <c r="SXM88" s="176"/>
      <c r="SXN88" s="176"/>
      <c r="SXO88" s="161"/>
      <c r="SXP88" s="161"/>
      <c r="SXQ88" s="161"/>
      <c r="SXR88" s="161"/>
      <c r="SXS88" s="161"/>
      <c r="SXT88" s="161"/>
      <c r="SXU88" s="176"/>
      <c r="SXV88" s="176"/>
      <c r="SXW88" s="176"/>
      <c r="SXX88" s="161"/>
      <c r="SXY88" s="161"/>
      <c r="SXZ88" s="161"/>
      <c r="SYA88" s="161"/>
      <c r="SYB88" s="161"/>
      <c r="SYC88" s="161"/>
      <c r="SYD88" s="176"/>
      <c r="SYE88" s="176"/>
      <c r="SYF88" s="176"/>
      <c r="SYG88" s="161"/>
      <c r="SYH88" s="161"/>
      <c r="SYI88" s="161"/>
      <c r="SYJ88" s="161"/>
      <c r="SYK88" s="161"/>
      <c r="SYL88" s="161"/>
      <c r="SYM88" s="176"/>
      <c r="SYN88" s="176"/>
      <c r="SYO88" s="176"/>
      <c r="SYP88" s="161"/>
      <c r="SYQ88" s="161"/>
      <c r="SYR88" s="161"/>
      <c r="SYS88" s="161"/>
      <c r="SYT88" s="161"/>
      <c r="SYU88" s="161"/>
      <c r="SYV88" s="176"/>
      <c r="SYW88" s="176"/>
      <c r="SYX88" s="176"/>
      <c r="SYY88" s="161"/>
      <c r="SYZ88" s="161"/>
      <c r="SZA88" s="161"/>
      <c r="SZB88" s="161"/>
      <c r="SZC88" s="161"/>
      <c r="SZD88" s="161"/>
      <c r="SZE88" s="176"/>
      <c r="SZF88" s="176"/>
      <c r="SZG88" s="176"/>
      <c r="SZH88" s="161"/>
      <c r="SZI88" s="161"/>
      <c r="SZJ88" s="161"/>
      <c r="SZK88" s="161"/>
      <c r="SZL88" s="161"/>
      <c r="SZM88" s="161"/>
      <c r="SZN88" s="176"/>
      <c r="SZO88" s="176"/>
      <c r="SZP88" s="176"/>
      <c r="SZQ88" s="161"/>
      <c r="SZR88" s="161"/>
      <c r="SZS88" s="161"/>
      <c r="SZT88" s="161"/>
      <c r="SZU88" s="161"/>
      <c r="SZV88" s="161"/>
      <c r="SZW88" s="176"/>
      <c r="SZX88" s="176"/>
      <c r="SZY88" s="176"/>
      <c r="SZZ88" s="161"/>
      <c r="TAA88" s="161"/>
      <c r="TAB88" s="161"/>
      <c r="TAC88" s="161"/>
      <c r="TAD88" s="161"/>
      <c r="TAE88" s="161"/>
      <c r="TAF88" s="176"/>
      <c r="TAG88" s="176"/>
      <c r="TAH88" s="176"/>
      <c r="TAI88" s="161"/>
      <c r="TAJ88" s="161"/>
      <c r="TAK88" s="161"/>
      <c r="TAL88" s="161"/>
      <c r="TAM88" s="161"/>
      <c r="TAN88" s="161"/>
      <c r="TAO88" s="176"/>
      <c r="TAP88" s="176"/>
      <c r="TAQ88" s="176"/>
      <c r="TAR88" s="161"/>
      <c r="TAS88" s="161"/>
      <c r="TAT88" s="161"/>
      <c r="TAU88" s="161"/>
      <c r="TAV88" s="161"/>
      <c r="TAW88" s="161"/>
      <c r="TAX88" s="176"/>
      <c r="TAY88" s="176"/>
      <c r="TAZ88" s="176"/>
      <c r="TBA88" s="161"/>
      <c r="TBB88" s="161"/>
      <c r="TBC88" s="161"/>
      <c r="TBD88" s="161"/>
      <c r="TBE88" s="161"/>
      <c r="TBF88" s="161"/>
      <c r="TBG88" s="176"/>
      <c r="TBH88" s="176"/>
      <c r="TBI88" s="176"/>
      <c r="TBJ88" s="161"/>
      <c r="TBK88" s="161"/>
      <c r="TBL88" s="161"/>
      <c r="TBM88" s="161"/>
      <c r="TBN88" s="161"/>
      <c r="TBO88" s="161"/>
      <c r="TBP88" s="176"/>
      <c r="TBQ88" s="176"/>
      <c r="TBR88" s="176"/>
      <c r="TBS88" s="161"/>
      <c r="TBT88" s="161"/>
      <c r="TBU88" s="161"/>
      <c r="TBV88" s="161"/>
      <c r="TBW88" s="161"/>
      <c r="TBX88" s="161"/>
      <c r="TBY88" s="176"/>
      <c r="TBZ88" s="176"/>
      <c r="TCA88" s="176"/>
      <c r="TCB88" s="161"/>
      <c r="TCC88" s="161"/>
      <c r="TCD88" s="161"/>
      <c r="TCE88" s="161"/>
      <c r="TCF88" s="161"/>
      <c r="TCG88" s="161"/>
      <c r="TCH88" s="176"/>
      <c r="TCI88" s="176"/>
      <c r="TCJ88" s="176"/>
      <c r="TCK88" s="161"/>
      <c r="TCL88" s="161"/>
      <c r="TCM88" s="161"/>
      <c r="TCN88" s="161"/>
      <c r="TCO88" s="161"/>
      <c r="TCP88" s="161"/>
      <c r="TCQ88" s="176"/>
      <c r="TCR88" s="176"/>
      <c r="TCS88" s="176"/>
      <c r="TCT88" s="161"/>
      <c r="TCU88" s="161"/>
      <c r="TCV88" s="161"/>
      <c r="TCW88" s="161"/>
      <c r="TCX88" s="161"/>
      <c r="TCY88" s="161"/>
      <c r="TCZ88" s="176"/>
      <c r="TDA88" s="176"/>
      <c r="TDB88" s="176"/>
      <c r="TDC88" s="161"/>
      <c r="TDD88" s="161"/>
      <c r="TDE88" s="161"/>
      <c r="TDF88" s="161"/>
      <c r="TDG88" s="161"/>
      <c r="TDH88" s="161"/>
      <c r="TDI88" s="176"/>
      <c r="TDJ88" s="176"/>
      <c r="TDK88" s="176"/>
      <c r="TDL88" s="161"/>
      <c r="TDM88" s="161"/>
      <c r="TDN88" s="161"/>
      <c r="TDO88" s="161"/>
      <c r="TDP88" s="161"/>
      <c r="TDQ88" s="161"/>
      <c r="TDR88" s="176"/>
      <c r="TDS88" s="176"/>
      <c r="TDT88" s="176"/>
      <c r="TDU88" s="161"/>
      <c r="TDV88" s="161"/>
      <c r="TDW88" s="161"/>
      <c r="TDX88" s="161"/>
      <c r="TDY88" s="161"/>
      <c r="TDZ88" s="161"/>
      <c r="TEA88" s="176"/>
      <c r="TEB88" s="176"/>
      <c r="TEC88" s="176"/>
      <c r="TED88" s="161"/>
      <c r="TEE88" s="161"/>
      <c r="TEF88" s="161"/>
      <c r="TEG88" s="161"/>
      <c r="TEH88" s="161"/>
      <c r="TEI88" s="161"/>
      <c r="TEJ88" s="176"/>
      <c r="TEK88" s="176"/>
      <c r="TEL88" s="176"/>
      <c r="TEM88" s="161"/>
      <c r="TEN88" s="161"/>
      <c r="TEO88" s="161"/>
      <c r="TEP88" s="161"/>
      <c r="TEQ88" s="161"/>
      <c r="TER88" s="161"/>
      <c r="TES88" s="176"/>
      <c r="TET88" s="176"/>
      <c r="TEU88" s="176"/>
      <c r="TEV88" s="161"/>
      <c r="TEW88" s="161"/>
      <c r="TEX88" s="161"/>
      <c r="TEY88" s="161"/>
      <c r="TEZ88" s="161"/>
      <c r="TFA88" s="161"/>
      <c r="TFB88" s="176"/>
      <c r="TFC88" s="176"/>
      <c r="TFD88" s="176"/>
      <c r="TFE88" s="161"/>
      <c r="TFF88" s="161"/>
      <c r="TFG88" s="161"/>
      <c r="TFH88" s="161"/>
      <c r="TFI88" s="161"/>
      <c r="TFJ88" s="161"/>
      <c r="TFK88" s="176"/>
      <c r="TFL88" s="176"/>
      <c r="TFM88" s="176"/>
      <c r="TFN88" s="161"/>
      <c r="TFO88" s="161"/>
      <c r="TFP88" s="161"/>
      <c r="TFQ88" s="161"/>
      <c r="TFR88" s="161"/>
      <c r="TFS88" s="161"/>
      <c r="TFT88" s="176"/>
      <c r="TFU88" s="176"/>
      <c r="TFV88" s="176"/>
      <c r="TFW88" s="161"/>
      <c r="TFX88" s="161"/>
      <c r="TFY88" s="161"/>
      <c r="TFZ88" s="161"/>
      <c r="TGA88" s="161"/>
      <c r="TGB88" s="161"/>
      <c r="TGC88" s="176"/>
      <c r="TGD88" s="176"/>
      <c r="TGE88" s="176"/>
      <c r="TGF88" s="161"/>
      <c r="TGG88" s="161"/>
      <c r="TGH88" s="161"/>
      <c r="TGI88" s="161"/>
      <c r="TGJ88" s="161"/>
      <c r="TGK88" s="161"/>
      <c r="TGL88" s="176"/>
      <c r="TGM88" s="176"/>
      <c r="TGN88" s="176"/>
      <c r="TGO88" s="161"/>
      <c r="TGP88" s="161"/>
      <c r="TGQ88" s="161"/>
      <c r="TGR88" s="161"/>
      <c r="TGS88" s="161"/>
      <c r="TGT88" s="161"/>
      <c r="TGU88" s="176"/>
      <c r="TGV88" s="176"/>
      <c r="TGW88" s="176"/>
      <c r="TGX88" s="161"/>
      <c r="TGY88" s="161"/>
      <c r="TGZ88" s="161"/>
      <c r="THA88" s="161"/>
      <c r="THB88" s="161"/>
      <c r="THC88" s="161"/>
      <c r="THD88" s="176"/>
      <c r="THE88" s="176"/>
      <c r="THF88" s="176"/>
      <c r="THG88" s="161"/>
      <c r="THH88" s="161"/>
      <c r="THI88" s="161"/>
      <c r="THJ88" s="161"/>
      <c r="THK88" s="161"/>
      <c r="THL88" s="161"/>
      <c r="THM88" s="176"/>
      <c r="THN88" s="176"/>
      <c r="THO88" s="176"/>
      <c r="THP88" s="161"/>
      <c r="THQ88" s="161"/>
      <c r="THR88" s="161"/>
      <c r="THS88" s="161"/>
      <c r="THT88" s="161"/>
      <c r="THU88" s="161"/>
      <c r="THV88" s="176"/>
      <c r="THW88" s="176"/>
      <c r="THX88" s="176"/>
      <c r="THY88" s="161"/>
      <c r="THZ88" s="161"/>
      <c r="TIA88" s="161"/>
      <c r="TIB88" s="161"/>
      <c r="TIC88" s="161"/>
      <c r="TID88" s="161"/>
      <c r="TIE88" s="176"/>
      <c r="TIF88" s="176"/>
      <c r="TIG88" s="176"/>
      <c r="TIH88" s="161"/>
      <c r="TII88" s="161"/>
      <c r="TIJ88" s="161"/>
      <c r="TIK88" s="161"/>
      <c r="TIL88" s="161"/>
      <c r="TIM88" s="161"/>
      <c r="TIN88" s="176"/>
      <c r="TIO88" s="176"/>
      <c r="TIP88" s="176"/>
      <c r="TIQ88" s="161"/>
      <c r="TIR88" s="161"/>
      <c r="TIS88" s="161"/>
      <c r="TIT88" s="161"/>
      <c r="TIU88" s="161"/>
      <c r="TIV88" s="161"/>
      <c r="TIW88" s="176"/>
      <c r="TIX88" s="176"/>
      <c r="TIY88" s="176"/>
      <c r="TIZ88" s="161"/>
      <c r="TJA88" s="161"/>
      <c r="TJB88" s="161"/>
      <c r="TJC88" s="161"/>
      <c r="TJD88" s="161"/>
      <c r="TJE88" s="161"/>
      <c r="TJF88" s="176"/>
      <c r="TJG88" s="176"/>
      <c r="TJH88" s="176"/>
      <c r="TJI88" s="161"/>
      <c r="TJJ88" s="161"/>
      <c r="TJK88" s="161"/>
      <c r="TJL88" s="161"/>
      <c r="TJM88" s="161"/>
      <c r="TJN88" s="161"/>
      <c r="TJO88" s="176"/>
      <c r="TJP88" s="176"/>
      <c r="TJQ88" s="176"/>
      <c r="TJR88" s="161"/>
      <c r="TJS88" s="161"/>
      <c r="TJT88" s="161"/>
      <c r="TJU88" s="161"/>
      <c r="TJV88" s="161"/>
      <c r="TJW88" s="161"/>
      <c r="TJX88" s="176"/>
      <c r="TJY88" s="176"/>
      <c r="TJZ88" s="176"/>
      <c r="TKA88" s="161"/>
      <c r="TKB88" s="161"/>
      <c r="TKC88" s="161"/>
      <c r="TKD88" s="161"/>
      <c r="TKE88" s="161"/>
      <c r="TKF88" s="161"/>
      <c r="TKG88" s="176"/>
      <c r="TKH88" s="176"/>
      <c r="TKI88" s="176"/>
      <c r="TKJ88" s="161"/>
      <c r="TKK88" s="161"/>
      <c r="TKL88" s="161"/>
      <c r="TKM88" s="161"/>
      <c r="TKN88" s="161"/>
      <c r="TKO88" s="161"/>
      <c r="TKP88" s="176"/>
      <c r="TKQ88" s="176"/>
      <c r="TKR88" s="176"/>
      <c r="TKS88" s="161"/>
      <c r="TKT88" s="161"/>
      <c r="TKU88" s="161"/>
      <c r="TKV88" s="161"/>
      <c r="TKW88" s="161"/>
      <c r="TKX88" s="161"/>
      <c r="TKY88" s="176"/>
      <c r="TKZ88" s="176"/>
      <c r="TLA88" s="176"/>
      <c r="TLB88" s="161"/>
      <c r="TLC88" s="161"/>
      <c r="TLD88" s="161"/>
      <c r="TLE88" s="161"/>
      <c r="TLF88" s="161"/>
      <c r="TLG88" s="161"/>
      <c r="TLH88" s="176"/>
      <c r="TLI88" s="176"/>
      <c r="TLJ88" s="176"/>
      <c r="TLK88" s="161"/>
      <c r="TLL88" s="161"/>
      <c r="TLM88" s="161"/>
      <c r="TLN88" s="161"/>
      <c r="TLO88" s="161"/>
      <c r="TLP88" s="161"/>
      <c r="TLQ88" s="176"/>
      <c r="TLR88" s="176"/>
      <c r="TLS88" s="176"/>
      <c r="TLT88" s="161"/>
      <c r="TLU88" s="161"/>
      <c r="TLV88" s="161"/>
      <c r="TLW88" s="161"/>
      <c r="TLX88" s="161"/>
      <c r="TLY88" s="161"/>
      <c r="TLZ88" s="176"/>
      <c r="TMA88" s="176"/>
      <c r="TMB88" s="176"/>
      <c r="TMC88" s="161"/>
      <c r="TMD88" s="161"/>
      <c r="TME88" s="161"/>
      <c r="TMF88" s="161"/>
      <c r="TMG88" s="161"/>
      <c r="TMH88" s="161"/>
      <c r="TMI88" s="176"/>
      <c r="TMJ88" s="176"/>
      <c r="TMK88" s="176"/>
      <c r="TML88" s="161"/>
      <c r="TMM88" s="161"/>
      <c r="TMN88" s="161"/>
      <c r="TMO88" s="161"/>
      <c r="TMP88" s="161"/>
      <c r="TMQ88" s="161"/>
      <c r="TMR88" s="176"/>
      <c r="TMS88" s="176"/>
      <c r="TMT88" s="176"/>
      <c r="TMU88" s="161"/>
      <c r="TMV88" s="161"/>
      <c r="TMW88" s="161"/>
      <c r="TMX88" s="161"/>
      <c r="TMY88" s="161"/>
      <c r="TMZ88" s="161"/>
      <c r="TNA88" s="176"/>
      <c r="TNB88" s="176"/>
      <c r="TNC88" s="176"/>
      <c r="TND88" s="161"/>
      <c r="TNE88" s="161"/>
      <c r="TNF88" s="161"/>
      <c r="TNG88" s="161"/>
      <c r="TNH88" s="161"/>
      <c r="TNI88" s="161"/>
      <c r="TNJ88" s="176"/>
      <c r="TNK88" s="176"/>
      <c r="TNL88" s="176"/>
      <c r="TNM88" s="161"/>
      <c r="TNN88" s="161"/>
      <c r="TNO88" s="161"/>
      <c r="TNP88" s="161"/>
      <c r="TNQ88" s="161"/>
      <c r="TNR88" s="161"/>
      <c r="TNS88" s="176"/>
      <c r="TNT88" s="176"/>
      <c r="TNU88" s="176"/>
      <c r="TNV88" s="161"/>
      <c r="TNW88" s="161"/>
      <c r="TNX88" s="161"/>
      <c r="TNY88" s="161"/>
      <c r="TNZ88" s="161"/>
      <c r="TOA88" s="161"/>
      <c r="TOB88" s="176"/>
      <c r="TOC88" s="176"/>
      <c r="TOD88" s="176"/>
      <c r="TOE88" s="161"/>
      <c r="TOF88" s="161"/>
      <c r="TOG88" s="161"/>
      <c r="TOH88" s="161"/>
      <c r="TOI88" s="161"/>
      <c r="TOJ88" s="161"/>
      <c r="TOK88" s="176"/>
      <c r="TOL88" s="176"/>
      <c r="TOM88" s="176"/>
      <c r="TON88" s="161"/>
      <c r="TOO88" s="161"/>
      <c r="TOP88" s="161"/>
      <c r="TOQ88" s="161"/>
      <c r="TOR88" s="161"/>
      <c r="TOS88" s="161"/>
      <c r="TOT88" s="176"/>
      <c r="TOU88" s="176"/>
      <c r="TOV88" s="176"/>
      <c r="TOW88" s="161"/>
      <c r="TOX88" s="161"/>
      <c r="TOY88" s="161"/>
      <c r="TOZ88" s="161"/>
      <c r="TPA88" s="161"/>
      <c r="TPB88" s="161"/>
      <c r="TPC88" s="176"/>
      <c r="TPD88" s="176"/>
      <c r="TPE88" s="176"/>
      <c r="TPF88" s="161"/>
      <c r="TPG88" s="161"/>
      <c r="TPH88" s="161"/>
      <c r="TPI88" s="161"/>
      <c r="TPJ88" s="161"/>
      <c r="TPK88" s="161"/>
      <c r="TPL88" s="176"/>
      <c r="TPM88" s="176"/>
      <c r="TPN88" s="176"/>
      <c r="TPO88" s="161"/>
      <c r="TPP88" s="161"/>
      <c r="TPQ88" s="161"/>
      <c r="TPR88" s="161"/>
      <c r="TPS88" s="161"/>
      <c r="TPT88" s="161"/>
      <c r="TPU88" s="176"/>
      <c r="TPV88" s="176"/>
      <c r="TPW88" s="176"/>
      <c r="TPX88" s="161"/>
      <c r="TPY88" s="161"/>
      <c r="TPZ88" s="161"/>
      <c r="TQA88" s="161"/>
      <c r="TQB88" s="161"/>
      <c r="TQC88" s="161"/>
      <c r="TQD88" s="176"/>
      <c r="TQE88" s="176"/>
      <c r="TQF88" s="176"/>
      <c r="TQG88" s="161"/>
      <c r="TQH88" s="161"/>
      <c r="TQI88" s="161"/>
      <c r="TQJ88" s="161"/>
      <c r="TQK88" s="161"/>
      <c r="TQL88" s="161"/>
      <c r="TQM88" s="176"/>
      <c r="TQN88" s="176"/>
      <c r="TQO88" s="176"/>
      <c r="TQP88" s="161"/>
      <c r="TQQ88" s="161"/>
      <c r="TQR88" s="161"/>
      <c r="TQS88" s="161"/>
      <c r="TQT88" s="161"/>
      <c r="TQU88" s="161"/>
      <c r="TQV88" s="176"/>
      <c r="TQW88" s="176"/>
      <c r="TQX88" s="176"/>
      <c r="TQY88" s="161"/>
      <c r="TQZ88" s="161"/>
      <c r="TRA88" s="161"/>
      <c r="TRB88" s="161"/>
      <c r="TRC88" s="161"/>
      <c r="TRD88" s="161"/>
      <c r="TRE88" s="176"/>
      <c r="TRF88" s="176"/>
      <c r="TRG88" s="176"/>
      <c r="TRH88" s="161"/>
      <c r="TRI88" s="161"/>
      <c r="TRJ88" s="161"/>
      <c r="TRK88" s="161"/>
      <c r="TRL88" s="161"/>
      <c r="TRM88" s="161"/>
      <c r="TRN88" s="176"/>
      <c r="TRO88" s="176"/>
      <c r="TRP88" s="176"/>
      <c r="TRQ88" s="161"/>
      <c r="TRR88" s="161"/>
      <c r="TRS88" s="161"/>
      <c r="TRT88" s="161"/>
      <c r="TRU88" s="161"/>
      <c r="TRV88" s="161"/>
      <c r="TRW88" s="176"/>
      <c r="TRX88" s="176"/>
      <c r="TRY88" s="176"/>
      <c r="TRZ88" s="161"/>
      <c r="TSA88" s="161"/>
      <c r="TSB88" s="161"/>
      <c r="TSC88" s="161"/>
      <c r="TSD88" s="161"/>
      <c r="TSE88" s="161"/>
      <c r="TSF88" s="176"/>
      <c r="TSG88" s="176"/>
      <c r="TSH88" s="176"/>
      <c r="TSI88" s="161"/>
      <c r="TSJ88" s="161"/>
      <c r="TSK88" s="161"/>
      <c r="TSL88" s="161"/>
      <c r="TSM88" s="161"/>
      <c r="TSN88" s="161"/>
      <c r="TSO88" s="176"/>
      <c r="TSP88" s="176"/>
      <c r="TSQ88" s="176"/>
      <c r="TSR88" s="161"/>
      <c r="TSS88" s="161"/>
      <c r="TST88" s="161"/>
      <c r="TSU88" s="161"/>
      <c r="TSV88" s="161"/>
      <c r="TSW88" s="161"/>
      <c r="TSX88" s="176"/>
      <c r="TSY88" s="176"/>
      <c r="TSZ88" s="176"/>
      <c r="TTA88" s="161"/>
      <c r="TTB88" s="161"/>
      <c r="TTC88" s="161"/>
      <c r="TTD88" s="161"/>
      <c r="TTE88" s="161"/>
      <c r="TTF88" s="161"/>
      <c r="TTG88" s="176"/>
      <c r="TTH88" s="176"/>
      <c r="TTI88" s="176"/>
      <c r="TTJ88" s="161"/>
      <c r="TTK88" s="161"/>
      <c r="TTL88" s="161"/>
      <c r="TTM88" s="161"/>
      <c r="TTN88" s="161"/>
      <c r="TTO88" s="161"/>
      <c r="TTP88" s="176"/>
      <c r="TTQ88" s="176"/>
      <c r="TTR88" s="176"/>
      <c r="TTS88" s="161"/>
      <c r="TTT88" s="161"/>
      <c r="TTU88" s="161"/>
      <c r="TTV88" s="161"/>
      <c r="TTW88" s="161"/>
      <c r="TTX88" s="161"/>
      <c r="TTY88" s="176"/>
      <c r="TTZ88" s="176"/>
      <c r="TUA88" s="176"/>
      <c r="TUB88" s="161"/>
      <c r="TUC88" s="161"/>
      <c r="TUD88" s="161"/>
      <c r="TUE88" s="161"/>
      <c r="TUF88" s="161"/>
      <c r="TUG88" s="161"/>
      <c r="TUH88" s="176"/>
      <c r="TUI88" s="176"/>
      <c r="TUJ88" s="176"/>
      <c r="TUK88" s="161"/>
      <c r="TUL88" s="161"/>
      <c r="TUM88" s="161"/>
      <c r="TUN88" s="161"/>
      <c r="TUO88" s="161"/>
      <c r="TUP88" s="161"/>
      <c r="TUQ88" s="176"/>
      <c r="TUR88" s="176"/>
      <c r="TUS88" s="176"/>
      <c r="TUT88" s="161"/>
      <c r="TUU88" s="161"/>
      <c r="TUV88" s="161"/>
      <c r="TUW88" s="161"/>
      <c r="TUX88" s="161"/>
      <c r="TUY88" s="161"/>
      <c r="TUZ88" s="176"/>
      <c r="TVA88" s="176"/>
      <c r="TVB88" s="176"/>
      <c r="TVC88" s="161"/>
      <c r="TVD88" s="161"/>
      <c r="TVE88" s="161"/>
      <c r="TVF88" s="161"/>
      <c r="TVG88" s="161"/>
      <c r="TVH88" s="161"/>
      <c r="TVI88" s="176"/>
      <c r="TVJ88" s="176"/>
      <c r="TVK88" s="176"/>
      <c r="TVL88" s="161"/>
      <c r="TVM88" s="161"/>
      <c r="TVN88" s="161"/>
      <c r="TVO88" s="161"/>
      <c r="TVP88" s="161"/>
      <c r="TVQ88" s="161"/>
      <c r="TVR88" s="176"/>
      <c r="TVS88" s="176"/>
      <c r="TVT88" s="176"/>
      <c r="TVU88" s="161"/>
      <c r="TVV88" s="161"/>
      <c r="TVW88" s="161"/>
      <c r="TVX88" s="161"/>
      <c r="TVY88" s="161"/>
      <c r="TVZ88" s="161"/>
      <c r="TWA88" s="176"/>
      <c r="TWB88" s="176"/>
      <c r="TWC88" s="176"/>
      <c r="TWD88" s="161"/>
      <c r="TWE88" s="161"/>
      <c r="TWF88" s="161"/>
      <c r="TWG88" s="161"/>
      <c r="TWH88" s="161"/>
      <c r="TWI88" s="161"/>
      <c r="TWJ88" s="176"/>
      <c r="TWK88" s="176"/>
      <c r="TWL88" s="176"/>
      <c r="TWM88" s="161"/>
      <c r="TWN88" s="161"/>
      <c r="TWO88" s="161"/>
      <c r="TWP88" s="161"/>
      <c r="TWQ88" s="161"/>
      <c r="TWR88" s="161"/>
      <c r="TWS88" s="176"/>
      <c r="TWT88" s="176"/>
      <c r="TWU88" s="176"/>
      <c r="TWV88" s="161"/>
      <c r="TWW88" s="161"/>
      <c r="TWX88" s="161"/>
      <c r="TWY88" s="161"/>
      <c r="TWZ88" s="161"/>
      <c r="TXA88" s="161"/>
      <c r="TXB88" s="176"/>
      <c r="TXC88" s="176"/>
      <c r="TXD88" s="176"/>
      <c r="TXE88" s="161"/>
      <c r="TXF88" s="161"/>
      <c r="TXG88" s="161"/>
      <c r="TXH88" s="161"/>
      <c r="TXI88" s="161"/>
      <c r="TXJ88" s="161"/>
      <c r="TXK88" s="176"/>
      <c r="TXL88" s="176"/>
      <c r="TXM88" s="176"/>
      <c r="TXN88" s="161"/>
      <c r="TXO88" s="161"/>
      <c r="TXP88" s="161"/>
      <c r="TXQ88" s="161"/>
      <c r="TXR88" s="161"/>
      <c r="TXS88" s="161"/>
      <c r="TXT88" s="176"/>
      <c r="TXU88" s="176"/>
      <c r="TXV88" s="176"/>
      <c r="TXW88" s="161"/>
      <c r="TXX88" s="161"/>
      <c r="TXY88" s="161"/>
      <c r="TXZ88" s="161"/>
      <c r="TYA88" s="161"/>
      <c r="TYB88" s="161"/>
      <c r="TYC88" s="176"/>
      <c r="TYD88" s="176"/>
      <c r="TYE88" s="176"/>
      <c r="TYF88" s="161"/>
      <c r="TYG88" s="161"/>
      <c r="TYH88" s="161"/>
      <c r="TYI88" s="161"/>
      <c r="TYJ88" s="161"/>
      <c r="TYK88" s="161"/>
      <c r="TYL88" s="176"/>
      <c r="TYM88" s="176"/>
      <c r="TYN88" s="176"/>
      <c r="TYO88" s="161"/>
      <c r="TYP88" s="161"/>
      <c r="TYQ88" s="161"/>
      <c r="TYR88" s="161"/>
      <c r="TYS88" s="161"/>
      <c r="TYT88" s="161"/>
      <c r="TYU88" s="176"/>
      <c r="TYV88" s="176"/>
      <c r="TYW88" s="176"/>
      <c r="TYX88" s="161"/>
      <c r="TYY88" s="161"/>
      <c r="TYZ88" s="161"/>
      <c r="TZA88" s="161"/>
      <c r="TZB88" s="161"/>
      <c r="TZC88" s="161"/>
      <c r="TZD88" s="176"/>
      <c r="TZE88" s="176"/>
      <c r="TZF88" s="176"/>
      <c r="TZG88" s="161"/>
      <c r="TZH88" s="161"/>
      <c r="TZI88" s="161"/>
      <c r="TZJ88" s="161"/>
      <c r="TZK88" s="161"/>
      <c r="TZL88" s="161"/>
      <c r="TZM88" s="176"/>
      <c r="TZN88" s="176"/>
      <c r="TZO88" s="176"/>
      <c r="TZP88" s="161"/>
      <c r="TZQ88" s="161"/>
      <c r="TZR88" s="161"/>
      <c r="TZS88" s="161"/>
      <c r="TZT88" s="161"/>
      <c r="TZU88" s="161"/>
      <c r="TZV88" s="176"/>
      <c r="TZW88" s="176"/>
      <c r="TZX88" s="176"/>
      <c r="TZY88" s="161"/>
      <c r="TZZ88" s="161"/>
      <c r="UAA88" s="161"/>
      <c r="UAB88" s="161"/>
      <c r="UAC88" s="161"/>
      <c r="UAD88" s="161"/>
      <c r="UAE88" s="176"/>
      <c r="UAF88" s="176"/>
      <c r="UAG88" s="176"/>
      <c r="UAH88" s="161"/>
      <c r="UAI88" s="161"/>
      <c r="UAJ88" s="161"/>
      <c r="UAK88" s="161"/>
      <c r="UAL88" s="161"/>
      <c r="UAM88" s="161"/>
      <c r="UAN88" s="176"/>
      <c r="UAO88" s="176"/>
      <c r="UAP88" s="176"/>
      <c r="UAQ88" s="161"/>
      <c r="UAR88" s="161"/>
      <c r="UAS88" s="161"/>
      <c r="UAT88" s="161"/>
      <c r="UAU88" s="161"/>
      <c r="UAV88" s="161"/>
      <c r="UAW88" s="176"/>
      <c r="UAX88" s="176"/>
      <c r="UAY88" s="176"/>
      <c r="UAZ88" s="161"/>
      <c r="UBA88" s="161"/>
      <c r="UBB88" s="161"/>
      <c r="UBC88" s="161"/>
      <c r="UBD88" s="161"/>
      <c r="UBE88" s="161"/>
      <c r="UBF88" s="176"/>
      <c r="UBG88" s="176"/>
      <c r="UBH88" s="176"/>
      <c r="UBI88" s="161"/>
      <c r="UBJ88" s="161"/>
      <c r="UBK88" s="161"/>
      <c r="UBL88" s="161"/>
      <c r="UBM88" s="161"/>
      <c r="UBN88" s="161"/>
      <c r="UBO88" s="176"/>
      <c r="UBP88" s="176"/>
      <c r="UBQ88" s="176"/>
      <c r="UBR88" s="161"/>
      <c r="UBS88" s="161"/>
      <c r="UBT88" s="161"/>
      <c r="UBU88" s="161"/>
      <c r="UBV88" s="161"/>
      <c r="UBW88" s="161"/>
      <c r="UBX88" s="176"/>
      <c r="UBY88" s="176"/>
      <c r="UBZ88" s="176"/>
      <c r="UCA88" s="161"/>
      <c r="UCB88" s="161"/>
      <c r="UCC88" s="161"/>
      <c r="UCD88" s="161"/>
      <c r="UCE88" s="161"/>
      <c r="UCF88" s="161"/>
      <c r="UCG88" s="176"/>
      <c r="UCH88" s="176"/>
      <c r="UCI88" s="176"/>
      <c r="UCJ88" s="161"/>
      <c r="UCK88" s="161"/>
      <c r="UCL88" s="161"/>
      <c r="UCM88" s="161"/>
      <c r="UCN88" s="161"/>
      <c r="UCO88" s="161"/>
      <c r="UCP88" s="176"/>
      <c r="UCQ88" s="176"/>
      <c r="UCR88" s="176"/>
      <c r="UCS88" s="161"/>
      <c r="UCT88" s="161"/>
      <c r="UCU88" s="161"/>
      <c r="UCV88" s="161"/>
      <c r="UCW88" s="161"/>
      <c r="UCX88" s="161"/>
      <c r="UCY88" s="176"/>
      <c r="UCZ88" s="176"/>
      <c r="UDA88" s="176"/>
      <c r="UDB88" s="161"/>
      <c r="UDC88" s="161"/>
      <c r="UDD88" s="161"/>
      <c r="UDE88" s="161"/>
      <c r="UDF88" s="161"/>
      <c r="UDG88" s="161"/>
      <c r="UDH88" s="176"/>
      <c r="UDI88" s="176"/>
      <c r="UDJ88" s="176"/>
      <c r="UDK88" s="161"/>
      <c r="UDL88" s="161"/>
      <c r="UDM88" s="161"/>
      <c r="UDN88" s="161"/>
      <c r="UDO88" s="161"/>
      <c r="UDP88" s="161"/>
      <c r="UDQ88" s="176"/>
      <c r="UDR88" s="176"/>
      <c r="UDS88" s="176"/>
      <c r="UDT88" s="161"/>
      <c r="UDU88" s="161"/>
      <c r="UDV88" s="161"/>
      <c r="UDW88" s="161"/>
      <c r="UDX88" s="161"/>
      <c r="UDY88" s="161"/>
      <c r="UDZ88" s="176"/>
      <c r="UEA88" s="176"/>
      <c r="UEB88" s="176"/>
      <c r="UEC88" s="161"/>
      <c r="UED88" s="161"/>
      <c r="UEE88" s="161"/>
      <c r="UEF88" s="161"/>
      <c r="UEG88" s="161"/>
      <c r="UEH88" s="161"/>
      <c r="UEI88" s="176"/>
      <c r="UEJ88" s="176"/>
      <c r="UEK88" s="176"/>
      <c r="UEL88" s="161"/>
      <c r="UEM88" s="161"/>
      <c r="UEN88" s="161"/>
      <c r="UEO88" s="161"/>
      <c r="UEP88" s="161"/>
      <c r="UEQ88" s="161"/>
      <c r="UER88" s="176"/>
      <c r="UES88" s="176"/>
      <c r="UET88" s="176"/>
      <c r="UEU88" s="161"/>
      <c r="UEV88" s="161"/>
      <c r="UEW88" s="161"/>
      <c r="UEX88" s="161"/>
      <c r="UEY88" s="161"/>
      <c r="UEZ88" s="161"/>
      <c r="UFA88" s="176"/>
      <c r="UFB88" s="176"/>
      <c r="UFC88" s="176"/>
      <c r="UFD88" s="161"/>
      <c r="UFE88" s="161"/>
      <c r="UFF88" s="161"/>
      <c r="UFG88" s="161"/>
      <c r="UFH88" s="161"/>
      <c r="UFI88" s="161"/>
      <c r="UFJ88" s="176"/>
      <c r="UFK88" s="176"/>
      <c r="UFL88" s="176"/>
      <c r="UFM88" s="161"/>
      <c r="UFN88" s="161"/>
      <c r="UFO88" s="161"/>
      <c r="UFP88" s="161"/>
      <c r="UFQ88" s="161"/>
      <c r="UFR88" s="161"/>
      <c r="UFS88" s="176"/>
      <c r="UFT88" s="176"/>
      <c r="UFU88" s="176"/>
      <c r="UFV88" s="161"/>
      <c r="UFW88" s="161"/>
      <c r="UFX88" s="161"/>
      <c r="UFY88" s="161"/>
      <c r="UFZ88" s="161"/>
      <c r="UGA88" s="161"/>
      <c r="UGB88" s="176"/>
      <c r="UGC88" s="176"/>
      <c r="UGD88" s="176"/>
      <c r="UGE88" s="161"/>
      <c r="UGF88" s="161"/>
      <c r="UGG88" s="161"/>
      <c r="UGH88" s="161"/>
      <c r="UGI88" s="161"/>
      <c r="UGJ88" s="161"/>
      <c r="UGK88" s="176"/>
      <c r="UGL88" s="176"/>
      <c r="UGM88" s="176"/>
      <c r="UGN88" s="161"/>
      <c r="UGO88" s="161"/>
      <c r="UGP88" s="161"/>
      <c r="UGQ88" s="161"/>
      <c r="UGR88" s="161"/>
      <c r="UGS88" s="161"/>
      <c r="UGT88" s="176"/>
      <c r="UGU88" s="176"/>
      <c r="UGV88" s="176"/>
      <c r="UGW88" s="161"/>
      <c r="UGX88" s="161"/>
      <c r="UGY88" s="161"/>
      <c r="UGZ88" s="161"/>
      <c r="UHA88" s="161"/>
      <c r="UHB88" s="161"/>
      <c r="UHC88" s="176"/>
      <c r="UHD88" s="176"/>
      <c r="UHE88" s="176"/>
      <c r="UHF88" s="161"/>
      <c r="UHG88" s="161"/>
      <c r="UHH88" s="161"/>
      <c r="UHI88" s="161"/>
      <c r="UHJ88" s="161"/>
      <c r="UHK88" s="161"/>
      <c r="UHL88" s="176"/>
      <c r="UHM88" s="176"/>
      <c r="UHN88" s="176"/>
      <c r="UHO88" s="161"/>
      <c r="UHP88" s="161"/>
      <c r="UHQ88" s="161"/>
      <c r="UHR88" s="161"/>
      <c r="UHS88" s="161"/>
      <c r="UHT88" s="161"/>
      <c r="UHU88" s="176"/>
      <c r="UHV88" s="176"/>
      <c r="UHW88" s="176"/>
      <c r="UHX88" s="161"/>
      <c r="UHY88" s="161"/>
      <c r="UHZ88" s="161"/>
      <c r="UIA88" s="161"/>
      <c r="UIB88" s="161"/>
      <c r="UIC88" s="161"/>
      <c r="UID88" s="176"/>
      <c r="UIE88" s="176"/>
      <c r="UIF88" s="176"/>
      <c r="UIG88" s="161"/>
      <c r="UIH88" s="161"/>
      <c r="UII88" s="161"/>
      <c r="UIJ88" s="161"/>
      <c r="UIK88" s="161"/>
      <c r="UIL88" s="161"/>
      <c r="UIM88" s="176"/>
      <c r="UIN88" s="176"/>
      <c r="UIO88" s="176"/>
      <c r="UIP88" s="161"/>
      <c r="UIQ88" s="161"/>
      <c r="UIR88" s="161"/>
      <c r="UIS88" s="161"/>
      <c r="UIT88" s="161"/>
      <c r="UIU88" s="161"/>
      <c r="UIV88" s="176"/>
      <c r="UIW88" s="176"/>
      <c r="UIX88" s="176"/>
      <c r="UIY88" s="161"/>
      <c r="UIZ88" s="161"/>
      <c r="UJA88" s="161"/>
      <c r="UJB88" s="161"/>
      <c r="UJC88" s="161"/>
      <c r="UJD88" s="161"/>
      <c r="UJE88" s="176"/>
      <c r="UJF88" s="176"/>
      <c r="UJG88" s="176"/>
      <c r="UJH88" s="161"/>
      <c r="UJI88" s="161"/>
      <c r="UJJ88" s="161"/>
      <c r="UJK88" s="161"/>
      <c r="UJL88" s="161"/>
      <c r="UJM88" s="161"/>
      <c r="UJN88" s="176"/>
      <c r="UJO88" s="176"/>
      <c r="UJP88" s="176"/>
      <c r="UJQ88" s="161"/>
      <c r="UJR88" s="161"/>
      <c r="UJS88" s="161"/>
      <c r="UJT88" s="161"/>
      <c r="UJU88" s="161"/>
      <c r="UJV88" s="161"/>
      <c r="UJW88" s="176"/>
      <c r="UJX88" s="176"/>
      <c r="UJY88" s="176"/>
      <c r="UJZ88" s="161"/>
      <c r="UKA88" s="161"/>
      <c r="UKB88" s="161"/>
      <c r="UKC88" s="161"/>
      <c r="UKD88" s="161"/>
      <c r="UKE88" s="161"/>
      <c r="UKF88" s="176"/>
      <c r="UKG88" s="176"/>
      <c r="UKH88" s="176"/>
      <c r="UKI88" s="161"/>
      <c r="UKJ88" s="161"/>
      <c r="UKK88" s="161"/>
      <c r="UKL88" s="161"/>
      <c r="UKM88" s="161"/>
      <c r="UKN88" s="161"/>
      <c r="UKO88" s="176"/>
      <c r="UKP88" s="176"/>
      <c r="UKQ88" s="176"/>
      <c r="UKR88" s="161"/>
      <c r="UKS88" s="161"/>
      <c r="UKT88" s="161"/>
      <c r="UKU88" s="161"/>
      <c r="UKV88" s="161"/>
      <c r="UKW88" s="161"/>
      <c r="UKX88" s="176"/>
      <c r="UKY88" s="176"/>
      <c r="UKZ88" s="176"/>
      <c r="ULA88" s="161"/>
      <c r="ULB88" s="161"/>
      <c r="ULC88" s="161"/>
      <c r="ULD88" s="161"/>
      <c r="ULE88" s="161"/>
      <c r="ULF88" s="161"/>
      <c r="ULG88" s="176"/>
      <c r="ULH88" s="176"/>
      <c r="ULI88" s="176"/>
      <c r="ULJ88" s="161"/>
      <c r="ULK88" s="161"/>
      <c r="ULL88" s="161"/>
      <c r="ULM88" s="161"/>
      <c r="ULN88" s="161"/>
      <c r="ULO88" s="161"/>
      <c r="ULP88" s="176"/>
      <c r="ULQ88" s="176"/>
      <c r="ULR88" s="176"/>
      <c r="ULS88" s="161"/>
      <c r="ULT88" s="161"/>
      <c r="ULU88" s="161"/>
      <c r="ULV88" s="161"/>
      <c r="ULW88" s="161"/>
      <c r="ULX88" s="161"/>
      <c r="ULY88" s="176"/>
      <c r="ULZ88" s="176"/>
      <c r="UMA88" s="176"/>
      <c r="UMB88" s="161"/>
      <c r="UMC88" s="161"/>
      <c r="UMD88" s="161"/>
      <c r="UME88" s="161"/>
      <c r="UMF88" s="161"/>
      <c r="UMG88" s="161"/>
      <c r="UMH88" s="176"/>
      <c r="UMI88" s="176"/>
      <c r="UMJ88" s="176"/>
      <c r="UMK88" s="161"/>
      <c r="UML88" s="161"/>
      <c r="UMM88" s="161"/>
      <c r="UMN88" s="161"/>
      <c r="UMO88" s="161"/>
      <c r="UMP88" s="161"/>
      <c r="UMQ88" s="176"/>
      <c r="UMR88" s="176"/>
      <c r="UMS88" s="176"/>
      <c r="UMT88" s="161"/>
      <c r="UMU88" s="161"/>
      <c r="UMV88" s="161"/>
      <c r="UMW88" s="161"/>
      <c r="UMX88" s="161"/>
      <c r="UMY88" s="161"/>
      <c r="UMZ88" s="176"/>
      <c r="UNA88" s="176"/>
      <c r="UNB88" s="176"/>
      <c r="UNC88" s="161"/>
      <c r="UND88" s="161"/>
      <c r="UNE88" s="161"/>
      <c r="UNF88" s="161"/>
      <c r="UNG88" s="161"/>
      <c r="UNH88" s="161"/>
      <c r="UNI88" s="176"/>
      <c r="UNJ88" s="176"/>
      <c r="UNK88" s="176"/>
      <c r="UNL88" s="161"/>
      <c r="UNM88" s="161"/>
      <c r="UNN88" s="161"/>
      <c r="UNO88" s="161"/>
      <c r="UNP88" s="161"/>
      <c r="UNQ88" s="161"/>
      <c r="UNR88" s="176"/>
      <c r="UNS88" s="176"/>
      <c r="UNT88" s="176"/>
      <c r="UNU88" s="161"/>
      <c r="UNV88" s="161"/>
      <c r="UNW88" s="161"/>
      <c r="UNX88" s="161"/>
      <c r="UNY88" s="161"/>
      <c r="UNZ88" s="161"/>
      <c r="UOA88" s="176"/>
      <c r="UOB88" s="176"/>
      <c r="UOC88" s="176"/>
      <c r="UOD88" s="161"/>
      <c r="UOE88" s="161"/>
      <c r="UOF88" s="161"/>
      <c r="UOG88" s="161"/>
      <c r="UOH88" s="161"/>
      <c r="UOI88" s="161"/>
      <c r="UOJ88" s="176"/>
      <c r="UOK88" s="176"/>
      <c r="UOL88" s="176"/>
      <c r="UOM88" s="161"/>
      <c r="UON88" s="161"/>
      <c r="UOO88" s="161"/>
      <c r="UOP88" s="161"/>
      <c r="UOQ88" s="161"/>
      <c r="UOR88" s="161"/>
      <c r="UOS88" s="176"/>
      <c r="UOT88" s="176"/>
      <c r="UOU88" s="176"/>
      <c r="UOV88" s="161"/>
      <c r="UOW88" s="161"/>
      <c r="UOX88" s="161"/>
      <c r="UOY88" s="161"/>
      <c r="UOZ88" s="161"/>
      <c r="UPA88" s="161"/>
      <c r="UPB88" s="176"/>
      <c r="UPC88" s="176"/>
      <c r="UPD88" s="176"/>
      <c r="UPE88" s="161"/>
      <c r="UPF88" s="161"/>
      <c r="UPG88" s="161"/>
      <c r="UPH88" s="161"/>
      <c r="UPI88" s="161"/>
      <c r="UPJ88" s="161"/>
      <c r="UPK88" s="176"/>
      <c r="UPL88" s="176"/>
      <c r="UPM88" s="176"/>
      <c r="UPN88" s="161"/>
      <c r="UPO88" s="161"/>
      <c r="UPP88" s="161"/>
      <c r="UPQ88" s="161"/>
      <c r="UPR88" s="161"/>
      <c r="UPS88" s="161"/>
      <c r="UPT88" s="176"/>
      <c r="UPU88" s="176"/>
      <c r="UPV88" s="176"/>
      <c r="UPW88" s="161"/>
      <c r="UPX88" s="161"/>
      <c r="UPY88" s="161"/>
      <c r="UPZ88" s="161"/>
      <c r="UQA88" s="161"/>
      <c r="UQB88" s="161"/>
      <c r="UQC88" s="176"/>
      <c r="UQD88" s="176"/>
      <c r="UQE88" s="176"/>
      <c r="UQF88" s="161"/>
      <c r="UQG88" s="161"/>
      <c r="UQH88" s="161"/>
      <c r="UQI88" s="161"/>
      <c r="UQJ88" s="161"/>
      <c r="UQK88" s="161"/>
      <c r="UQL88" s="176"/>
      <c r="UQM88" s="176"/>
      <c r="UQN88" s="176"/>
      <c r="UQO88" s="161"/>
      <c r="UQP88" s="161"/>
      <c r="UQQ88" s="161"/>
      <c r="UQR88" s="161"/>
      <c r="UQS88" s="161"/>
      <c r="UQT88" s="161"/>
      <c r="UQU88" s="176"/>
      <c r="UQV88" s="176"/>
      <c r="UQW88" s="176"/>
      <c r="UQX88" s="161"/>
      <c r="UQY88" s="161"/>
      <c r="UQZ88" s="161"/>
      <c r="URA88" s="161"/>
      <c r="URB88" s="161"/>
      <c r="URC88" s="161"/>
      <c r="URD88" s="176"/>
      <c r="URE88" s="176"/>
      <c r="URF88" s="176"/>
      <c r="URG88" s="161"/>
      <c r="URH88" s="161"/>
      <c r="URI88" s="161"/>
      <c r="URJ88" s="161"/>
      <c r="URK88" s="161"/>
      <c r="URL88" s="161"/>
      <c r="URM88" s="176"/>
      <c r="URN88" s="176"/>
      <c r="URO88" s="176"/>
      <c r="URP88" s="161"/>
      <c r="URQ88" s="161"/>
      <c r="URR88" s="161"/>
      <c r="URS88" s="161"/>
      <c r="URT88" s="161"/>
      <c r="URU88" s="161"/>
      <c r="URV88" s="176"/>
      <c r="URW88" s="176"/>
      <c r="URX88" s="176"/>
      <c r="URY88" s="161"/>
      <c r="URZ88" s="161"/>
      <c r="USA88" s="161"/>
      <c r="USB88" s="161"/>
      <c r="USC88" s="161"/>
      <c r="USD88" s="161"/>
      <c r="USE88" s="176"/>
      <c r="USF88" s="176"/>
      <c r="USG88" s="176"/>
      <c r="USH88" s="161"/>
      <c r="USI88" s="161"/>
      <c r="USJ88" s="161"/>
      <c r="USK88" s="161"/>
      <c r="USL88" s="161"/>
      <c r="USM88" s="161"/>
      <c r="USN88" s="176"/>
      <c r="USO88" s="176"/>
      <c r="USP88" s="176"/>
      <c r="USQ88" s="161"/>
      <c r="USR88" s="161"/>
      <c r="USS88" s="161"/>
      <c r="UST88" s="161"/>
      <c r="USU88" s="161"/>
      <c r="USV88" s="161"/>
      <c r="USW88" s="176"/>
      <c r="USX88" s="176"/>
      <c r="USY88" s="176"/>
      <c r="USZ88" s="161"/>
      <c r="UTA88" s="161"/>
      <c r="UTB88" s="161"/>
      <c r="UTC88" s="161"/>
      <c r="UTD88" s="161"/>
      <c r="UTE88" s="161"/>
      <c r="UTF88" s="176"/>
      <c r="UTG88" s="176"/>
      <c r="UTH88" s="176"/>
      <c r="UTI88" s="161"/>
      <c r="UTJ88" s="161"/>
      <c r="UTK88" s="161"/>
      <c r="UTL88" s="161"/>
      <c r="UTM88" s="161"/>
      <c r="UTN88" s="161"/>
      <c r="UTO88" s="176"/>
      <c r="UTP88" s="176"/>
      <c r="UTQ88" s="176"/>
      <c r="UTR88" s="161"/>
      <c r="UTS88" s="161"/>
      <c r="UTT88" s="161"/>
      <c r="UTU88" s="161"/>
      <c r="UTV88" s="161"/>
      <c r="UTW88" s="161"/>
      <c r="UTX88" s="176"/>
      <c r="UTY88" s="176"/>
      <c r="UTZ88" s="176"/>
      <c r="UUA88" s="161"/>
      <c r="UUB88" s="161"/>
      <c r="UUC88" s="161"/>
      <c r="UUD88" s="161"/>
      <c r="UUE88" s="161"/>
      <c r="UUF88" s="161"/>
      <c r="UUG88" s="176"/>
      <c r="UUH88" s="176"/>
      <c r="UUI88" s="176"/>
      <c r="UUJ88" s="161"/>
      <c r="UUK88" s="161"/>
      <c r="UUL88" s="161"/>
      <c r="UUM88" s="161"/>
      <c r="UUN88" s="161"/>
      <c r="UUO88" s="161"/>
      <c r="UUP88" s="176"/>
      <c r="UUQ88" s="176"/>
      <c r="UUR88" s="176"/>
      <c r="UUS88" s="161"/>
      <c r="UUT88" s="161"/>
      <c r="UUU88" s="161"/>
      <c r="UUV88" s="161"/>
      <c r="UUW88" s="161"/>
      <c r="UUX88" s="161"/>
      <c r="UUY88" s="176"/>
      <c r="UUZ88" s="176"/>
      <c r="UVA88" s="176"/>
      <c r="UVB88" s="161"/>
      <c r="UVC88" s="161"/>
      <c r="UVD88" s="161"/>
      <c r="UVE88" s="161"/>
      <c r="UVF88" s="161"/>
      <c r="UVG88" s="161"/>
      <c r="UVH88" s="176"/>
      <c r="UVI88" s="176"/>
      <c r="UVJ88" s="176"/>
      <c r="UVK88" s="161"/>
      <c r="UVL88" s="161"/>
      <c r="UVM88" s="161"/>
      <c r="UVN88" s="161"/>
      <c r="UVO88" s="161"/>
      <c r="UVP88" s="161"/>
      <c r="UVQ88" s="176"/>
      <c r="UVR88" s="176"/>
      <c r="UVS88" s="176"/>
      <c r="UVT88" s="161"/>
      <c r="UVU88" s="161"/>
      <c r="UVV88" s="161"/>
      <c r="UVW88" s="161"/>
      <c r="UVX88" s="161"/>
      <c r="UVY88" s="161"/>
      <c r="UVZ88" s="176"/>
      <c r="UWA88" s="176"/>
      <c r="UWB88" s="176"/>
      <c r="UWC88" s="161"/>
      <c r="UWD88" s="161"/>
      <c r="UWE88" s="161"/>
      <c r="UWF88" s="161"/>
      <c r="UWG88" s="161"/>
      <c r="UWH88" s="161"/>
      <c r="UWI88" s="176"/>
      <c r="UWJ88" s="176"/>
      <c r="UWK88" s="176"/>
      <c r="UWL88" s="161"/>
      <c r="UWM88" s="161"/>
      <c r="UWN88" s="161"/>
      <c r="UWO88" s="161"/>
      <c r="UWP88" s="161"/>
      <c r="UWQ88" s="161"/>
      <c r="UWR88" s="176"/>
      <c r="UWS88" s="176"/>
      <c r="UWT88" s="176"/>
      <c r="UWU88" s="161"/>
      <c r="UWV88" s="161"/>
      <c r="UWW88" s="161"/>
      <c r="UWX88" s="161"/>
      <c r="UWY88" s="161"/>
      <c r="UWZ88" s="161"/>
      <c r="UXA88" s="176"/>
      <c r="UXB88" s="176"/>
      <c r="UXC88" s="176"/>
      <c r="UXD88" s="161"/>
      <c r="UXE88" s="161"/>
      <c r="UXF88" s="161"/>
      <c r="UXG88" s="161"/>
      <c r="UXH88" s="161"/>
      <c r="UXI88" s="161"/>
      <c r="UXJ88" s="176"/>
      <c r="UXK88" s="176"/>
      <c r="UXL88" s="176"/>
      <c r="UXM88" s="161"/>
      <c r="UXN88" s="161"/>
      <c r="UXO88" s="161"/>
      <c r="UXP88" s="161"/>
      <c r="UXQ88" s="161"/>
      <c r="UXR88" s="161"/>
      <c r="UXS88" s="176"/>
      <c r="UXT88" s="176"/>
      <c r="UXU88" s="176"/>
      <c r="UXV88" s="161"/>
      <c r="UXW88" s="161"/>
      <c r="UXX88" s="161"/>
      <c r="UXY88" s="161"/>
      <c r="UXZ88" s="161"/>
      <c r="UYA88" s="161"/>
      <c r="UYB88" s="176"/>
      <c r="UYC88" s="176"/>
      <c r="UYD88" s="176"/>
      <c r="UYE88" s="161"/>
      <c r="UYF88" s="161"/>
      <c r="UYG88" s="161"/>
      <c r="UYH88" s="161"/>
      <c r="UYI88" s="161"/>
      <c r="UYJ88" s="161"/>
      <c r="UYK88" s="176"/>
      <c r="UYL88" s="176"/>
      <c r="UYM88" s="176"/>
      <c r="UYN88" s="161"/>
      <c r="UYO88" s="161"/>
      <c r="UYP88" s="161"/>
      <c r="UYQ88" s="161"/>
      <c r="UYR88" s="161"/>
      <c r="UYS88" s="161"/>
      <c r="UYT88" s="176"/>
      <c r="UYU88" s="176"/>
      <c r="UYV88" s="176"/>
      <c r="UYW88" s="161"/>
      <c r="UYX88" s="161"/>
      <c r="UYY88" s="161"/>
      <c r="UYZ88" s="161"/>
      <c r="UZA88" s="161"/>
      <c r="UZB88" s="161"/>
      <c r="UZC88" s="176"/>
      <c r="UZD88" s="176"/>
      <c r="UZE88" s="176"/>
      <c r="UZF88" s="161"/>
      <c r="UZG88" s="161"/>
      <c r="UZH88" s="161"/>
      <c r="UZI88" s="161"/>
      <c r="UZJ88" s="161"/>
      <c r="UZK88" s="161"/>
      <c r="UZL88" s="176"/>
      <c r="UZM88" s="176"/>
      <c r="UZN88" s="176"/>
      <c r="UZO88" s="161"/>
      <c r="UZP88" s="161"/>
      <c r="UZQ88" s="161"/>
      <c r="UZR88" s="161"/>
      <c r="UZS88" s="161"/>
      <c r="UZT88" s="161"/>
      <c r="UZU88" s="176"/>
      <c r="UZV88" s="176"/>
      <c r="UZW88" s="176"/>
      <c r="UZX88" s="161"/>
      <c r="UZY88" s="161"/>
      <c r="UZZ88" s="161"/>
      <c r="VAA88" s="161"/>
      <c r="VAB88" s="161"/>
      <c r="VAC88" s="161"/>
      <c r="VAD88" s="176"/>
      <c r="VAE88" s="176"/>
      <c r="VAF88" s="176"/>
      <c r="VAG88" s="161"/>
      <c r="VAH88" s="161"/>
      <c r="VAI88" s="161"/>
      <c r="VAJ88" s="161"/>
      <c r="VAK88" s="161"/>
      <c r="VAL88" s="161"/>
      <c r="VAM88" s="176"/>
      <c r="VAN88" s="176"/>
      <c r="VAO88" s="176"/>
      <c r="VAP88" s="161"/>
      <c r="VAQ88" s="161"/>
      <c r="VAR88" s="161"/>
      <c r="VAS88" s="161"/>
      <c r="VAT88" s="161"/>
      <c r="VAU88" s="161"/>
      <c r="VAV88" s="176"/>
      <c r="VAW88" s="176"/>
      <c r="VAX88" s="176"/>
      <c r="VAY88" s="161"/>
      <c r="VAZ88" s="161"/>
      <c r="VBA88" s="161"/>
      <c r="VBB88" s="161"/>
      <c r="VBC88" s="161"/>
      <c r="VBD88" s="161"/>
      <c r="VBE88" s="176"/>
      <c r="VBF88" s="176"/>
      <c r="VBG88" s="176"/>
      <c r="VBH88" s="161"/>
      <c r="VBI88" s="161"/>
      <c r="VBJ88" s="161"/>
      <c r="VBK88" s="161"/>
      <c r="VBL88" s="161"/>
      <c r="VBM88" s="161"/>
      <c r="VBN88" s="176"/>
      <c r="VBO88" s="176"/>
      <c r="VBP88" s="176"/>
      <c r="VBQ88" s="161"/>
      <c r="VBR88" s="161"/>
      <c r="VBS88" s="161"/>
      <c r="VBT88" s="161"/>
      <c r="VBU88" s="161"/>
      <c r="VBV88" s="161"/>
      <c r="VBW88" s="176"/>
      <c r="VBX88" s="176"/>
      <c r="VBY88" s="176"/>
      <c r="VBZ88" s="161"/>
      <c r="VCA88" s="161"/>
      <c r="VCB88" s="161"/>
      <c r="VCC88" s="161"/>
      <c r="VCD88" s="161"/>
      <c r="VCE88" s="161"/>
      <c r="VCF88" s="176"/>
      <c r="VCG88" s="176"/>
      <c r="VCH88" s="176"/>
      <c r="VCI88" s="161"/>
      <c r="VCJ88" s="161"/>
      <c r="VCK88" s="161"/>
      <c r="VCL88" s="161"/>
      <c r="VCM88" s="161"/>
      <c r="VCN88" s="161"/>
      <c r="VCO88" s="176"/>
      <c r="VCP88" s="176"/>
      <c r="VCQ88" s="176"/>
      <c r="VCR88" s="161"/>
      <c r="VCS88" s="161"/>
      <c r="VCT88" s="161"/>
      <c r="VCU88" s="161"/>
      <c r="VCV88" s="161"/>
      <c r="VCW88" s="161"/>
      <c r="VCX88" s="176"/>
      <c r="VCY88" s="176"/>
      <c r="VCZ88" s="176"/>
      <c r="VDA88" s="161"/>
      <c r="VDB88" s="161"/>
      <c r="VDC88" s="161"/>
      <c r="VDD88" s="161"/>
      <c r="VDE88" s="161"/>
      <c r="VDF88" s="161"/>
      <c r="VDG88" s="176"/>
      <c r="VDH88" s="176"/>
      <c r="VDI88" s="176"/>
      <c r="VDJ88" s="161"/>
      <c r="VDK88" s="161"/>
      <c r="VDL88" s="161"/>
      <c r="VDM88" s="161"/>
      <c r="VDN88" s="161"/>
      <c r="VDO88" s="161"/>
      <c r="VDP88" s="176"/>
      <c r="VDQ88" s="176"/>
      <c r="VDR88" s="176"/>
      <c r="VDS88" s="161"/>
      <c r="VDT88" s="161"/>
      <c r="VDU88" s="161"/>
      <c r="VDV88" s="161"/>
      <c r="VDW88" s="161"/>
      <c r="VDX88" s="161"/>
      <c r="VDY88" s="176"/>
      <c r="VDZ88" s="176"/>
      <c r="VEA88" s="176"/>
      <c r="VEB88" s="161"/>
      <c r="VEC88" s="161"/>
      <c r="VED88" s="161"/>
      <c r="VEE88" s="161"/>
      <c r="VEF88" s="161"/>
      <c r="VEG88" s="161"/>
      <c r="VEH88" s="176"/>
      <c r="VEI88" s="176"/>
      <c r="VEJ88" s="176"/>
      <c r="VEK88" s="161"/>
      <c r="VEL88" s="161"/>
      <c r="VEM88" s="161"/>
      <c r="VEN88" s="161"/>
      <c r="VEO88" s="161"/>
      <c r="VEP88" s="161"/>
      <c r="VEQ88" s="176"/>
      <c r="VER88" s="176"/>
      <c r="VES88" s="176"/>
      <c r="VET88" s="161"/>
      <c r="VEU88" s="161"/>
      <c r="VEV88" s="161"/>
      <c r="VEW88" s="161"/>
      <c r="VEX88" s="161"/>
      <c r="VEY88" s="161"/>
      <c r="VEZ88" s="176"/>
      <c r="VFA88" s="176"/>
      <c r="VFB88" s="176"/>
      <c r="VFC88" s="161"/>
      <c r="VFD88" s="161"/>
      <c r="VFE88" s="161"/>
      <c r="VFF88" s="161"/>
      <c r="VFG88" s="161"/>
      <c r="VFH88" s="161"/>
      <c r="VFI88" s="176"/>
      <c r="VFJ88" s="176"/>
      <c r="VFK88" s="176"/>
      <c r="VFL88" s="161"/>
      <c r="VFM88" s="161"/>
      <c r="VFN88" s="161"/>
      <c r="VFO88" s="161"/>
      <c r="VFP88" s="161"/>
      <c r="VFQ88" s="161"/>
      <c r="VFR88" s="176"/>
      <c r="VFS88" s="176"/>
      <c r="VFT88" s="176"/>
      <c r="VFU88" s="161"/>
      <c r="VFV88" s="161"/>
      <c r="VFW88" s="161"/>
      <c r="VFX88" s="161"/>
      <c r="VFY88" s="161"/>
      <c r="VFZ88" s="161"/>
      <c r="VGA88" s="176"/>
      <c r="VGB88" s="176"/>
      <c r="VGC88" s="176"/>
      <c r="VGD88" s="161"/>
      <c r="VGE88" s="161"/>
      <c r="VGF88" s="161"/>
      <c r="VGG88" s="161"/>
      <c r="VGH88" s="161"/>
      <c r="VGI88" s="161"/>
      <c r="VGJ88" s="176"/>
      <c r="VGK88" s="176"/>
      <c r="VGL88" s="176"/>
      <c r="VGM88" s="161"/>
      <c r="VGN88" s="161"/>
      <c r="VGO88" s="161"/>
      <c r="VGP88" s="161"/>
      <c r="VGQ88" s="161"/>
      <c r="VGR88" s="161"/>
      <c r="VGS88" s="176"/>
      <c r="VGT88" s="176"/>
      <c r="VGU88" s="176"/>
      <c r="VGV88" s="161"/>
      <c r="VGW88" s="161"/>
      <c r="VGX88" s="161"/>
      <c r="VGY88" s="161"/>
      <c r="VGZ88" s="161"/>
      <c r="VHA88" s="161"/>
      <c r="VHB88" s="176"/>
      <c r="VHC88" s="176"/>
      <c r="VHD88" s="176"/>
      <c r="VHE88" s="161"/>
      <c r="VHF88" s="161"/>
      <c r="VHG88" s="161"/>
      <c r="VHH88" s="161"/>
      <c r="VHI88" s="161"/>
      <c r="VHJ88" s="161"/>
      <c r="VHK88" s="176"/>
      <c r="VHL88" s="176"/>
      <c r="VHM88" s="176"/>
      <c r="VHN88" s="161"/>
      <c r="VHO88" s="161"/>
      <c r="VHP88" s="161"/>
      <c r="VHQ88" s="161"/>
      <c r="VHR88" s="161"/>
      <c r="VHS88" s="161"/>
      <c r="VHT88" s="176"/>
      <c r="VHU88" s="176"/>
      <c r="VHV88" s="176"/>
      <c r="VHW88" s="161"/>
      <c r="VHX88" s="161"/>
      <c r="VHY88" s="161"/>
      <c r="VHZ88" s="161"/>
      <c r="VIA88" s="161"/>
      <c r="VIB88" s="161"/>
      <c r="VIC88" s="176"/>
      <c r="VID88" s="176"/>
      <c r="VIE88" s="176"/>
      <c r="VIF88" s="161"/>
      <c r="VIG88" s="161"/>
      <c r="VIH88" s="161"/>
      <c r="VII88" s="161"/>
      <c r="VIJ88" s="161"/>
      <c r="VIK88" s="161"/>
      <c r="VIL88" s="176"/>
      <c r="VIM88" s="176"/>
      <c r="VIN88" s="176"/>
      <c r="VIO88" s="161"/>
      <c r="VIP88" s="161"/>
      <c r="VIQ88" s="161"/>
      <c r="VIR88" s="161"/>
      <c r="VIS88" s="161"/>
      <c r="VIT88" s="161"/>
      <c r="VIU88" s="176"/>
      <c r="VIV88" s="176"/>
      <c r="VIW88" s="176"/>
      <c r="VIX88" s="161"/>
      <c r="VIY88" s="161"/>
      <c r="VIZ88" s="161"/>
      <c r="VJA88" s="161"/>
      <c r="VJB88" s="161"/>
      <c r="VJC88" s="161"/>
      <c r="VJD88" s="176"/>
      <c r="VJE88" s="176"/>
      <c r="VJF88" s="176"/>
      <c r="VJG88" s="161"/>
      <c r="VJH88" s="161"/>
      <c r="VJI88" s="161"/>
      <c r="VJJ88" s="161"/>
      <c r="VJK88" s="161"/>
      <c r="VJL88" s="161"/>
      <c r="VJM88" s="176"/>
      <c r="VJN88" s="176"/>
      <c r="VJO88" s="176"/>
      <c r="VJP88" s="161"/>
      <c r="VJQ88" s="161"/>
      <c r="VJR88" s="161"/>
      <c r="VJS88" s="161"/>
      <c r="VJT88" s="161"/>
      <c r="VJU88" s="161"/>
      <c r="VJV88" s="176"/>
      <c r="VJW88" s="176"/>
      <c r="VJX88" s="176"/>
      <c r="VJY88" s="161"/>
      <c r="VJZ88" s="161"/>
      <c r="VKA88" s="161"/>
      <c r="VKB88" s="161"/>
      <c r="VKC88" s="161"/>
      <c r="VKD88" s="161"/>
      <c r="VKE88" s="176"/>
      <c r="VKF88" s="176"/>
      <c r="VKG88" s="176"/>
      <c r="VKH88" s="161"/>
      <c r="VKI88" s="161"/>
      <c r="VKJ88" s="161"/>
      <c r="VKK88" s="161"/>
      <c r="VKL88" s="161"/>
      <c r="VKM88" s="161"/>
      <c r="VKN88" s="176"/>
      <c r="VKO88" s="176"/>
      <c r="VKP88" s="176"/>
      <c r="VKQ88" s="161"/>
      <c r="VKR88" s="161"/>
      <c r="VKS88" s="161"/>
      <c r="VKT88" s="161"/>
      <c r="VKU88" s="161"/>
      <c r="VKV88" s="161"/>
      <c r="VKW88" s="176"/>
      <c r="VKX88" s="176"/>
      <c r="VKY88" s="176"/>
      <c r="VKZ88" s="161"/>
      <c r="VLA88" s="161"/>
      <c r="VLB88" s="161"/>
      <c r="VLC88" s="161"/>
      <c r="VLD88" s="161"/>
      <c r="VLE88" s="161"/>
      <c r="VLF88" s="176"/>
      <c r="VLG88" s="176"/>
      <c r="VLH88" s="176"/>
      <c r="VLI88" s="161"/>
      <c r="VLJ88" s="161"/>
      <c r="VLK88" s="161"/>
      <c r="VLL88" s="161"/>
      <c r="VLM88" s="161"/>
      <c r="VLN88" s="161"/>
      <c r="VLO88" s="176"/>
      <c r="VLP88" s="176"/>
      <c r="VLQ88" s="176"/>
      <c r="VLR88" s="161"/>
      <c r="VLS88" s="161"/>
      <c r="VLT88" s="161"/>
      <c r="VLU88" s="161"/>
      <c r="VLV88" s="161"/>
      <c r="VLW88" s="161"/>
      <c r="VLX88" s="176"/>
      <c r="VLY88" s="176"/>
      <c r="VLZ88" s="176"/>
      <c r="VMA88" s="161"/>
      <c r="VMB88" s="161"/>
      <c r="VMC88" s="161"/>
      <c r="VMD88" s="161"/>
      <c r="VME88" s="161"/>
      <c r="VMF88" s="161"/>
      <c r="VMG88" s="176"/>
      <c r="VMH88" s="176"/>
      <c r="VMI88" s="176"/>
      <c r="VMJ88" s="161"/>
      <c r="VMK88" s="161"/>
      <c r="VML88" s="161"/>
      <c r="VMM88" s="161"/>
      <c r="VMN88" s="161"/>
      <c r="VMO88" s="161"/>
      <c r="VMP88" s="176"/>
      <c r="VMQ88" s="176"/>
      <c r="VMR88" s="176"/>
      <c r="VMS88" s="161"/>
      <c r="VMT88" s="161"/>
      <c r="VMU88" s="161"/>
      <c r="VMV88" s="161"/>
      <c r="VMW88" s="161"/>
      <c r="VMX88" s="161"/>
      <c r="VMY88" s="176"/>
      <c r="VMZ88" s="176"/>
      <c r="VNA88" s="176"/>
      <c r="VNB88" s="161"/>
      <c r="VNC88" s="161"/>
      <c r="VND88" s="161"/>
      <c r="VNE88" s="161"/>
      <c r="VNF88" s="161"/>
      <c r="VNG88" s="161"/>
      <c r="VNH88" s="176"/>
      <c r="VNI88" s="176"/>
      <c r="VNJ88" s="176"/>
      <c r="VNK88" s="161"/>
      <c r="VNL88" s="161"/>
      <c r="VNM88" s="161"/>
      <c r="VNN88" s="161"/>
      <c r="VNO88" s="161"/>
      <c r="VNP88" s="161"/>
      <c r="VNQ88" s="176"/>
      <c r="VNR88" s="176"/>
      <c r="VNS88" s="176"/>
      <c r="VNT88" s="161"/>
      <c r="VNU88" s="161"/>
      <c r="VNV88" s="161"/>
      <c r="VNW88" s="161"/>
      <c r="VNX88" s="161"/>
      <c r="VNY88" s="161"/>
      <c r="VNZ88" s="176"/>
      <c r="VOA88" s="176"/>
      <c r="VOB88" s="176"/>
      <c r="VOC88" s="161"/>
      <c r="VOD88" s="161"/>
      <c r="VOE88" s="161"/>
      <c r="VOF88" s="161"/>
      <c r="VOG88" s="161"/>
      <c r="VOH88" s="161"/>
      <c r="VOI88" s="176"/>
      <c r="VOJ88" s="176"/>
      <c r="VOK88" s="176"/>
      <c r="VOL88" s="161"/>
      <c r="VOM88" s="161"/>
      <c r="VON88" s="161"/>
      <c r="VOO88" s="161"/>
      <c r="VOP88" s="161"/>
      <c r="VOQ88" s="161"/>
      <c r="VOR88" s="176"/>
      <c r="VOS88" s="176"/>
      <c r="VOT88" s="176"/>
      <c r="VOU88" s="161"/>
      <c r="VOV88" s="161"/>
      <c r="VOW88" s="161"/>
      <c r="VOX88" s="161"/>
      <c r="VOY88" s="161"/>
      <c r="VOZ88" s="161"/>
      <c r="VPA88" s="176"/>
      <c r="VPB88" s="176"/>
      <c r="VPC88" s="176"/>
      <c r="VPD88" s="161"/>
      <c r="VPE88" s="161"/>
      <c r="VPF88" s="161"/>
      <c r="VPG88" s="161"/>
      <c r="VPH88" s="161"/>
      <c r="VPI88" s="161"/>
      <c r="VPJ88" s="176"/>
      <c r="VPK88" s="176"/>
      <c r="VPL88" s="176"/>
      <c r="VPM88" s="161"/>
      <c r="VPN88" s="161"/>
      <c r="VPO88" s="161"/>
      <c r="VPP88" s="161"/>
      <c r="VPQ88" s="161"/>
      <c r="VPR88" s="161"/>
      <c r="VPS88" s="176"/>
      <c r="VPT88" s="176"/>
      <c r="VPU88" s="176"/>
      <c r="VPV88" s="161"/>
      <c r="VPW88" s="161"/>
      <c r="VPX88" s="161"/>
      <c r="VPY88" s="161"/>
      <c r="VPZ88" s="161"/>
      <c r="VQA88" s="161"/>
      <c r="VQB88" s="176"/>
      <c r="VQC88" s="176"/>
      <c r="VQD88" s="176"/>
      <c r="VQE88" s="161"/>
      <c r="VQF88" s="161"/>
      <c r="VQG88" s="161"/>
      <c r="VQH88" s="161"/>
      <c r="VQI88" s="161"/>
      <c r="VQJ88" s="161"/>
      <c r="VQK88" s="176"/>
      <c r="VQL88" s="176"/>
      <c r="VQM88" s="176"/>
      <c r="VQN88" s="161"/>
      <c r="VQO88" s="161"/>
      <c r="VQP88" s="161"/>
      <c r="VQQ88" s="161"/>
      <c r="VQR88" s="161"/>
      <c r="VQS88" s="161"/>
      <c r="VQT88" s="176"/>
      <c r="VQU88" s="176"/>
      <c r="VQV88" s="176"/>
      <c r="VQW88" s="161"/>
      <c r="VQX88" s="161"/>
      <c r="VQY88" s="161"/>
      <c r="VQZ88" s="161"/>
      <c r="VRA88" s="161"/>
      <c r="VRB88" s="161"/>
      <c r="VRC88" s="176"/>
      <c r="VRD88" s="176"/>
      <c r="VRE88" s="176"/>
      <c r="VRF88" s="161"/>
      <c r="VRG88" s="161"/>
      <c r="VRH88" s="161"/>
      <c r="VRI88" s="161"/>
      <c r="VRJ88" s="161"/>
      <c r="VRK88" s="161"/>
      <c r="VRL88" s="176"/>
      <c r="VRM88" s="176"/>
      <c r="VRN88" s="176"/>
      <c r="VRO88" s="161"/>
      <c r="VRP88" s="161"/>
      <c r="VRQ88" s="161"/>
      <c r="VRR88" s="161"/>
      <c r="VRS88" s="161"/>
      <c r="VRT88" s="161"/>
      <c r="VRU88" s="176"/>
      <c r="VRV88" s="176"/>
      <c r="VRW88" s="176"/>
      <c r="VRX88" s="161"/>
      <c r="VRY88" s="161"/>
      <c r="VRZ88" s="161"/>
      <c r="VSA88" s="161"/>
      <c r="VSB88" s="161"/>
      <c r="VSC88" s="161"/>
      <c r="VSD88" s="176"/>
      <c r="VSE88" s="176"/>
      <c r="VSF88" s="176"/>
      <c r="VSG88" s="161"/>
      <c r="VSH88" s="161"/>
      <c r="VSI88" s="161"/>
      <c r="VSJ88" s="161"/>
      <c r="VSK88" s="161"/>
      <c r="VSL88" s="161"/>
      <c r="VSM88" s="176"/>
      <c r="VSN88" s="176"/>
      <c r="VSO88" s="176"/>
      <c r="VSP88" s="161"/>
      <c r="VSQ88" s="161"/>
      <c r="VSR88" s="161"/>
      <c r="VSS88" s="161"/>
      <c r="VST88" s="161"/>
      <c r="VSU88" s="161"/>
      <c r="VSV88" s="176"/>
      <c r="VSW88" s="176"/>
      <c r="VSX88" s="176"/>
      <c r="VSY88" s="161"/>
      <c r="VSZ88" s="161"/>
      <c r="VTA88" s="161"/>
      <c r="VTB88" s="161"/>
      <c r="VTC88" s="161"/>
      <c r="VTD88" s="161"/>
      <c r="VTE88" s="176"/>
      <c r="VTF88" s="176"/>
      <c r="VTG88" s="176"/>
      <c r="VTH88" s="161"/>
      <c r="VTI88" s="161"/>
      <c r="VTJ88" s="161"/>
      <c r="VTK88" s="161"/>
      <c r="VTL88" s="161"/>
      <c r="VTM88" s="161"/>
      <c r="VTN88" s="176"/>
      <c r="VTO88" s="176"/>
      <c r="VTP88" s="176"/>
      <c r="VTQ88" s="161"/>
      <c r="VTR88" s="161"/>
      <c r="VTS88" s="161"/>
      <c r="VTT88" s="161"/>
      <c r="VTU88" s="161"/>
      <c r="VTV88" s="161"/>
      <c r="VTW88" s="176"/>
      <c r="VTX88" s="176"/>
      <c r="VTY88" s="176"/>
      <c r="VTZ88" s="161"/>
      <c r="VUA88" s="161"/>
      <c r="VUB88" s="161"/>
      <c r="VUC88" s="161"/>
      <c r="VUD88" s="161"/>
      <c r="VUE88" s="161"/>
      <c r="VUF88" s="176"/>
      <c r="VUG88" s="176"/>
      <c r="VUH88" s="176"/>
      <c r="VUI88" s="161"/>
      <c r="VUJ88" s="161"/>
      <c r="VUK88" s="161"/>
      <c r="VUL88" s="161"/>
      <c r="VUM88" s="161"/>
      <c r="VUN88" s="161"/>
      <c r="VUO88" s="176"/>
      <c r="VUP88" s="176"/>
      <c r="VUQ88" s="176"/>
      <c r="VUR88" s="161"/>
      <c r="VUS88" s="161"/>
      <c r="VUT88" s="161"/>
      <c r="VUU88" s="161"/>
      <c r="VUV88" s="161"/>
      <c r="VUW88" s="161"/>
      <c r="VUX88" s="176"/>
      <c r="VUY88" s="176"/>
      <c r="VUZ88" s="176"/>
      <c r="VVA88" s="161"/>
      <c r="VVB88" s="161"/>
      <c r="VVC88" s="161"/>
      <c r="VVD88" s="161"/>
      <c r="VVE88" s="161"/>
      <c r="VVF88" s="161"/>
      <c r="VVG88" s="176"/>
      <c r="VVH88" s="176"/>
      <c r="VVI88" s="176"/>
      <c r="VVJ88" s="161"/>
      <c r="VVK88" s="161"/>
      <c r="VVL88" s="161"/>
      <c r="VVM88" s="161"/>
      <c r="VVN88" s="161"/>
      <c r="VVO88" s="161"/>
      <c r="VVP88" s="176"/>
      <c r="VVQ88" s="176"/>
      <c r="VVR88" s="176"/>
      <c r="VVS88" s="161"/>
      <c r="VVT88" s="161"/>
      <c r="VVU88" s="161"/>
      <c r="VVV88" s="161"/>
      <c r="VVW88" s="161"/>
      <c r="VVX88" s="161"/>
      <c r="VVY88" s="176"/>
      <c r="VVZ88" s="176"/>
      <c r="VWA88" s="176"/>
      <c r="VWB88" s="161"/>
      <c r="VWC88" s="161"/>
      <c r="VWD88" s="161"/>
      <c r="VWE88" s="161"/>
      <c r="VWF88" s="161"/>
      <c r="VWG88" s="161"/>
      <c r="VWH88" s="176"/>
      <c r="VWI88" s="176"/>
      <c r="VWJ88" s="176"/>
      <c r="VWK88" s="161"/>
      <c r="VWL88" s="161"/>
      <c r="VWM88" s="161"/>
      <c r="VWN88" s="161"/>
      <c r="VWO88" s="161"/>
      <c r="VWP88" s="161"/>
      <c r="VWQ88" s="176"/>
      <c r="VWR88" s="176"/>
      <c r="VWS88" s="176"/>
      <c r="VWT88" s="161"/>
      <c r="VWU88" s="161"/>
      <c r="VWV88" s="161"/>
      <c r="VWW88" s="161"/>
      <c r="VWX88" s="161"/>
      <c r="VWY88" s="161"/>
      <c r="VWZ88" s="176"/>
      <c r="VXA88" s="176"/>
      <c r="VXB88" s="176"/>
      <c r="VXC88" s="161"/>
      <c r="VXD88" s="161"/>
      <c r="VXE88" s="161"/>
      <c r="VXF88" s="161"/>
      <c r="VXG88" s="161"/>
      <c r="VXH88" s="161"/>
      <c r="VXI88" s="176"/>
      <c r="VXJ88" s="176"/>
      <c r="VXK88" s="176"/>
      <c r="VXL88" s="161"/>
      <c r="VXM88" s="161"/>
      <c r="VXN88" s="161"/>
      <c r="VXO88" s="161"/>
      <c r="VXP88" s="161"/>
      <c r="VXQ88" s="161"/>
      <c r="VXR88" s="176"/>
      <c r="VXS88" s="176"/>
      <c r="VXT88" s="176"/>
      <c r="VXU88" s="161"/>
      <c r="VXV88" s="161"/>
      <c r="VXW88" s="161"/>
      <c r="VXX88" s="161"/>
      <c r="VXY88" s="161"/>
      <c r="VXZ88" s="161"/>
      <c r="VYA88" s="176"/>
      <c r="VYB88" s="176"/>
      <c r="VYC88" s="176"/>
      <c r="VYD88" s="161"/>
      <c r="VYE88" s="161"/>
      <c r="VYF88" s="161"/>
      <c r="VYG88" s="161"/>
      <c r="VYH88" s="161"/>
      <c r="VYI88" s="161"/>
      <c r="VYJ88" s="176"/>
      <c r="VYK88" s="176"/>
      <c r="VYL88" s="176"/>
      <c r="VYM88" s="161"/>
      <c r="VYN88" s="161"/>
      <c r="VYO88" s="161"/>
      <c r="VYP88" s="161"/>
      <c r="VYQ88" s="161"/>
      <c r="VYR88" s="161"/>
      <c r="VYS88" s="176"/>
      <c r="VYT88" s="176"/>
      <c r="VYU88" s="176"/>
      <c r="VYV88" s="161"/>
      <c r="VYW88" s="161"/>
      <c r="VYX88" s="161"/>
      <c r="VYY88" s="161"/>
      <c r="VYZ88" s="161"/>
      <c r="VZA88" s="161"/>
      <c r="VZB88" s="176"/>
      <c r="VZC88" s="176"/>
      <c r="VZD88" s="176"/>
      <c r="VZE88" s="161"/>
      <c r="VZF88" s="161"/>
      <c r="VZG88" s="161"/>
      <c r="VZH88" s="161"/>
      <c r="VZI88" s="161"/>
      <c r="VZJ88" s="161"/>
      <c r="VZK88" s="176"/>
      <c r="VZL88" s="176"/>
      <c r="VZM88" s="176"/>
      <c r="VZN88" s="161"/>
      <c r="VZO88" s="161"/>
      <c r="VZP88" s="161"/>
      <c r="VZQ88" s="161"/>
      <c r="VZR88" s="161"/>
      <c r="VZS88" s="161"/>
      <c r="VZT88" s="176"/>
      <c r="VZU88" s="176"/>
      <c r="VZV88" s="176"/>
      <c r="VZW88" s="161"/>
      <c r="VZX88" s="161"/>
      <c r="VZY88" s="161"/>
      <c r="VZZ88" s="161"/>
      <c r="WAA88" s="161"/>
      <c r="WAB88" s="161"/>
      <c r="WAC88" s="176"/>
      <c r="WAD88" s="176"/>
      <c r="WAE88" s="176"/>
      <c r="WAF88" s="161"/>
      <c r="WAG88" s="161"/>
      <c r="WAH88" s="161"/>
      <c r="WAI88" s="161"/>
      <c r="WAJ88" s="161"/>
      <c r="WAK88" s="161"/>
      <c r="WAL88" s="176"/>
      <c r="WAM88" s="176"/>
      <c r="WAN88" s="176"/>
      <c r="WAO88" s="161"/>
      <c r="WAP88" s="161"/>
      <c r="WAQ88" s="161"/>
      <c r="WAR88" s="161"/>
      <c r="WAS88" s="161"/>
      <c r="WAT88" s="161"/>
      <c r="WAU88" s="176"/>
      <c r="WAV88" s="176"/>
      <c r="WAW88" s="176"/>
      <c r="WAX88" s="161"/>
      <c r="WAY88" s="161"/>
      <c r="WAZ88" s="161"/>
      <c r="WBA88" s="161"/>
      <c r="WBB88" s="161"/>
      <c r="WBC88" s="161"/>
      <c r="WBD88" s="176"/>
      <c r="WBE88" s="176"/>
      <c r="WBF88" s="176"/>
      <c r="WBG88" s="161"/>
      <c r="WBH88" s="161"/>
      <c r="WBI88" s="161"/>
      <c r="WBJ88" s="161"/>
      <c r="WBK88" s="161"/>
      <c r="WBL88" s="161"/>
      <c r="WBM88" s="176"/>
      <c r="WBN88" s="176"/>
      <c r="WBO88" s="176"/>
      <c r="WBP88" s="161"/>
      <c r="WBQ88" s="161"/>
      <c r="WBR88" s="161"/>
      <c r="WBS88" s="161"/>
      <c r="WBT88" s="161"/>
      <c r="WBU88" s="161"/>
      <c r="WBV88" s="176"/>
      <c r="WBW88" s="176"/>
      <c r="WBX88" s="176"/>
      <c r="WBY88" s="161"/>
      <c r="WBZ88" s="161"/>
      <c r="WCA88" s="161"/>
      <c r="WCB88" s="161"/>
      <c r="WCC88" s="161"/>
      <c r="WCD88" s="161"/>
      <c r="WCE88" s="176"/>
      <c r="WCF88" s="176"/>
      <c r="WCG88" s="176"/>
      <c r="WCH88" s="161"/>
      <c r="WCI88" s="161"/>
      <c r="WCJ88" s="161"/>
      <c r="WCK88" s="161"/>
      <c r="WCL88" s="161"/>
      <c r="WCM88" s="161"/>
      <c r="WCN88" s="176"/>
      <c r="WCO88" s="176"/>
      <c r="WCP88" s="176"/>
      <c r="WCQ88" s="161"/>
      <c r="WCR88" s="161"/>
      <c r="WCS88" s="161"/>
      <c r="WCT88" s="161"/>
      <c r="WCU88" s="161"/>
      <c r="WCV88" s="161"/>
      <c r="WCW88" s="176"/>
      <c r="WCX88" s="176"/>
      <c r="WCY88" s="176"/>
      <c r="WCZ88" s="161"/>
      <c r="WDA88" s="161"/>
      <c r="WDB88" s="161"/>
      <c r="WDC88" s="161"/>
      <c r="WDD88" s="161"/>
      <c r="WDE88" s="161"/>
      <c r="WDF88" s="176"/>
      <c r="WDG88" s="176"/>
      <c r="WDH88" s="176"/>
      <c r="WDI88" s="161"/>
      <c r="WDJ88" s="161"/>
      <c r="WDK88" s="161"/>
      <c r="WDL88" s="161"/>
      <c r="WDM88" s="161"/>
      <c r="WDN88" s="161"/>
      <c r="WDO88" s="176"/>
      <c r="WDP88" s="176"/>
      <c r="WDQ88" s="176"/>
      <c r="WDR88" s="161"/>
      <c r="WDS88" s="161"/>
      <c r="WDT88" s="161"/>
      <c r="WDU88" s="161"/>
      <c r="WDV88" s="161"/>
      <c r="WDW88" s="161"/>
      <c r="WDX88" s="176"/>
      <c r="WDY88" s="176"/>
      <c r="WDZ88" s="176"/>
      <c r="WEA88" s="161"/>
      <c r="WEB88" s="161"/>
      <c r="WEC88" s="161"/>
      <c r="WED88" s="161"/>
      <c r="WEE88" s="161"/>
      <c r="WEF88" s="161"/>
      <c r="WEG88" s="176"/>
      <c r="WEH88" s="176"/>
      <c r="WEI88" s="176"/>
      <c r="WEJ88" s="161"/>
      <c r="WEK88" s="161"/>
      <c r="WEL88" s="161"/>
      <c r="WEM88" s="161"/>
      <c r="WEN88" s="161"/>
      <c r="WEO88" s="161"/>
      <c r="WEP88" s="176"/>
      <c r="WEQ88" s="176"/>
      <c r="WER88" s="176"/>
      <c r="WES88" s="161"/>
      <c r="WET88" s="161"/>
      <c r="WEU88" s="161"/>
      <c r="WEV88" s="161"/>
      <c r="WEW88" s="161"/>
      <c r="WEX88" s="161"/>
      <c r="WEY88" s="176"/>
      <c r="WEZ88" s="176"/>
      <c r="WFA88" s="176"/>
      <c r="WFB88" s="161"/>
      <c r="WFC88" s="161"/>
      <c r="WFD88" s="161"/>
      <c r="WFE88" s="161"/>
      <c r="WFF88" s="161"/>
      <c r="WFG88" s="161"/>
      <c r="WFH88" s="176"/>
      <c r="WFI88" s="176"/>
      <c r="WFJ88" s="176"/>
      <c r="WFK88" s="161"/>
      <c r="WFL88" s="161"/>
      <c r="WFM88" s="161"/>
      <c r="WFN88" s="161"/>
      <c r="WFO88" s="161"/>
      <c r="WFP88" s="161"/>
      <c r="WFQ88" s="176"/>
      <c r="WFR88" s="176"/>
      <c r="WFS88" s="176"/>
      <c r="WFT88" s="161"/>
      <c r="WFU88" s="161"/>
      <c r="WFV88" s="161"/>
      <c r="WFW88" s="161"/>
      <c r="WFX88" s="161"/>
      <c r="WFY88" s="161"/>
      <c r="WFZ88" s="176"/>
      <c r="WGA88" s="176"/>
      <c r="WGB88" s="176"/>
      <c r="WGC88" s="161"/>
      <c r="WGD88" s="161"/>
      <c r="WGE88" s="161"/>
      <c r="WGF88" s="161"/>
      <c r="WGG88" s="161"/>
      <c r="WGH88" s="161"/>
      <c r="WGI88" s="176"/>
      <c r="WGJ88" s="176"/>
      <c r="WGK88" s="176"/>
      <c r="WGL88" s="161"/>
      <c r="WGM88" s="161"/>
      <c r="WGN88" s="161"/>
      <c r="WGO88" s="161"/>
      <c r="WGP88" s="161"/>
      <c r="WGQ88" s="161"/>
      <c r="WGR88" s="176"/>
      <c r="WGS88" s="176"/>
      <c r="WGT88" s="176"/>
      <c r="WGU88" s="161"/>
      <c r="WGV88" s="161"/>
      <c r="WGW88" s="161"/>
      <c r="WGX88" s="161"/>
      <c r="WGY88" s="161"/>
      <c r="WGZ88" s="161"/>
      <c r="WHA88" s="176"/>
      <c r="WHB88" s="176"/>
      <c r="WHC88" s="176"/>
      <c r="WHD88" s="161"/>
      <c r="WHE88" s="161"/>
      <c r="WHF88" s="161"/>
      <c r="WHG88" s="161"/>
      <c r="WHH88" s="161"/>
      <c r="WHI88" s="161"/>
      <c r="WHJ88" s="176"/>
      <c r="WHK88" s="176"/>
      <c r="WHL88" s="176"/>
      <c r="WHM88" s="161"/>
      <c r="WHN88" s="161"/>
      <c r="WHO88" s="161"/>
      <c r="WHP88" s="161"/>
      <c r="WHQ88" s="161"/>
      <c r="WHR88" s="161"/>
      <c r="WHS88" s="176"/>
      <c r="WHT88" s="176"/>
      <c r="WHU88" s="176"/>
      <c r="WHV88" s="161"/>
      <c r="WHW88" s="161"/>
      <c r="WHX88" s="161"/>
      <c r="WHY88" s="161"/>
      <c r="WHZ88" s="161"/>
      <c r="WIA88" s="161"/>
      <c r="WIB88" s="176"/>
      <c r="WIC88" s="176"/>
      <c r="WID88" s="176"/>
      <c r="WIE88" s="161"/>
      <c r="WIF88" s="161"/>
      <c r="WIG88" s="161"/>
      <c r="WIH88" s="161"/>
      <c r="WII88" s="161"/>
      <c r="WIJ88" s="161"/>
      <c r="WIK88" s="176"/>
      <c r="WIL88" s="176"/>
      <c r="WIM88" s="176"/>
      <c r="WIN88" s="161"/>
      <c r="WIO88" s="161"/>
      <c r="WIP88" s="161"/>
      <c r="WIQ88" s="161"/>
      <c r="WIR88" s="161"/>
      <c r="WIS88" s="161"/>
      <c r="WIT88" s="176"/>
      <c r="WIU88" s="176"/>
      <c r="WIV88" s="176"/>
      <c r="WIW88" s="161"/>
      <c r="WIX88" s="161"/>
      <c r="WIY88" s="161"/>
      <c r="WIZ88" s="161"/>
      <c r="WJA88" s="161"/>
      <c r="WJB88" s="161"/>
      <c r="WJC88" s="176"/>
      <c r="WJD88" s="176"/>
      <c r="WJE88" s="176"/>
      <c r="WJF88" s="161"/>
      <c r="WJG88" s="161"/>
      <c r="WJH88" s="161"/>
      <c r="WJI88" s="161"/>
      <c r="WJJ88" s="161"/>
      <c r="WJK88" s="161"/>
      <c r="WJL88" s="176"/>
      <c r="WJM88" s="176"/>
      <c r="WJN88" s="176"/>
      <c r="WJO88" s="161"/>
      <c r="WJP88" s="161"/>
      <c r="WJQ88" s="161"/>
      <c r="WJR88" s="161"/>
      <c r="WJS88" s="161"/>
      <c r="WJT88" s="161"/>
      <c r="WJU88" s="176"/>
      <c r="WJV88" s="176"/>
      <c r="WJW88" s="176"/>
      <c r="WJX88" s="161"/>
      <c r="WJY88" s="161"/>
      <c r="WJZ88" s="161"/>
      <c r="WKA88" s="161"/>
      <c r="WKB88" s="161"/>
      <c r="WKC88" s="161"/>
      <c r="WKD88" s="176"/>
      <c r="WKE88" s="176"/>
      <c r="WKF88" s="176"/>
      <c r="WKG88" s="161"/>
      <c r="WKH88" s="161"/>
      <c r="WKI88" s="161"/>
      <c r="WKJ88" s="161"/>
      <c r="WKK88" s="161"/>
      <c r="WKL88" s="161"/>
      <c r="WKM88" s="176"/>
      <c r="WKN88" s="176"/>
      <c r="WKO88" s="176"/>
      <c r="WKP88" s="161"/>
      <c r="WKQ88" s="161"/>
      <c r="WKR88" s="161"/>
      <c r="WKS88" s="161"/>
      <c r="WKT88" s="161"/>
      <c r="WKU88" s="161"/>
      <c r="WKV88" s="176"/>
      <c r="WKW88" s="176"/>
      <c r="WKX88" s="176"/>
      <c r="WKY88" s="161"/>
      <c r="WKZ88" s="161"/>
      <c r="WLA88" s="161"/>
      <c r="WLB88" s="161"/>
      <c r="WLC88" s="161"/>
      <c r="WLD88" s="161"/>
      <c r="WLE88" s="176"/>
      <c r="WLF88" s="176"/>
      <c r="WLG88" s="176"/>
      <c r="WLH88" s="161"/>
      <c r="WLI88" s="161"/>
      <c r="WLJ88" s="161"/>
      <c r="WLK88" s="161"/>
      <c r="WLL88" s="161"/>
      <c r="WLM88" s="161"/>
      <c r="WLN88" s="176"/>
      <c r="WLO88" s="176"/>
      <c r="WLP88" s="176"/>
      <c r="WLQ88" s="161"/>
      <c r="WLR88" s="161"/>
      <c r="WLS88" s="161"/>
      <c r="WLT88" s="161"/>
      <c r="WLU88" s="161"/>
      <c r="WLV88" s="161"/>
      <c r="WLW88" s="176"/>
      <c r="WLX88" s="176"/>
      <c r="WLY88" s="176"/>
      <c r="WLZ88" s="161"/>
      <c r="WMA88" s="161"/>
      <c r="WMB88" s="161"/>
      <c r="WMC88" s="161"/>
      <c r="WMD88" s="161"/>
      <c r="WME88" s="161"/>
      <c r="WMF88" s="176"/>
      <c r="WMG88" s="176"/>
      <c r="WMH88" s="176"/>
      <c r="WMI88" s="161"/>
      <c r="WMJ88" s="161"/>
      <c r="WMK88" s="161"/>
      <c r="WML88" s="161"/>
      <c r="WMM88" s="161"/>
      <c r="WMN88" s="161"/>
      <c r="WMO88" s="176"/>
      <c r="WMP88" s="176"/>
      <c r="WMQ88" s="176"/>
      <c r="WMR88" s="161"/>
      <c r="WMS88" s="161"/>
      <c r="WMT88" s="161"/>
      <c r="WMU88" s="161"/>
      <c r="WMV88" s="161"/>
      <c r="WMW88" s="161"/>
      <c r="WMX88" s="176"/>
      <c r="WMY88" s="176"/>
      <c r="WMZ88" s="176"/>
      <c r="WNA88" s="161"/>
      <c r="WNB88" s="161"/>
      <c r="WNC88" s="161"/>
      <c r="WND88" s="161"/>
      <c r="WNE88" s="161"/>
      <c r="WNF88" s="161"/>
      <c r="WNG88" s="176"/>
      <c r="WNH88" s="176"/>
      <c r="WNI88" s="176"/>
      <c r="WNJ88" s="161"/>
      <c r="WNK88" s="161"/>
      <c r="WNL88" s="161"/>
      <c r="WNM88" s="161"/>
      <c r="WNN88" s="161"/>
      <c r="WNO88" s="161"/>
      <c r="WNP88" s="176"/>
      <c r="WNQ88" s="176"/>
      <c r="WNR88" s="176"/>
      <c r="WNS88" s="161"/>
      <c r="WNT88" s="161"/>
      <c r="WNU88" s="161"/>
      <c r="WNV88" s="161"/>
      <c r="WNW88" s="161"/>
      <c r="WNX88" s="161"/>
      <c r="WNY88" s="176"/>
      <c r="WNZ88" s="176"/>
      <c r="WOA88" s="176"/>
      <c r="WOB88" s="161"/>
      <c r="WOC88" s="161"/>
      <c r="WOD88" s="161"/>
      <c r="WOE88" s="161"/>
      <c r="WOF88" s="161"/>
      <c r="WOG88" s="161"/>
      <c r="WOH88" s="176"/>
      <c r="WOI88" s="176"/>
      <c r="WOJ88" s="176"/>
      <c r="WOK88" s="161"/>
      <c r="WOL88" s="161"/>
      <c r="WOM88" s="161"/>
      <c r="WON88" s="161"/>
      <c r="WOO88" s="161"/>
      <c r="WOP88" s="161"/>
      <c r="WOQ88" s="176"/>
      <c r="WOR88" s="176"/>
      <c r="WOS88" s="176"/>
      <c r="WOT88" s="161"/>
      <c r="WOU88" s="161"/>
      <c r="WOV88" s="161"/>
      <c r="WOW88" s="161"/>
      <c r="WOX88" s="161"/>
      <c r="WOY88" s="161"/>
      <c r="WOZ88" s="176"/>
      <c r="WPA88" s="176"/>
      <c r="WPB88" s="176"/>
      <c r="WPC88" s="161"/>
      <c r="WPD88" s="161"/>
      <c r="WPE88" s="161"/>
      <c r="WPF88" s="161"/>
      <c r="WPG88" s="161"/>
      <c r="WPH88" s="161"/>
      <c r="WPI88" s="176"/>
      <c r="WPJ88" s="176"/>
      <c r="WPK88" s="176"/>
      <c r="WPL88" s="161"/>
      <c r="WPM88" s="161"/>
      <c r="WPN88" s="161"/>
      <c r="WPO88" s="161"/>
      <c r="WPP88" s="161"/>
      <c r="WPQ88" s="161"/>
      <c r="WPR88" s="176"/>
      <c r="WPS88" s="176"/>
      <c r="WPT88" s="176"/>
      <c r="WPU88" s="161"/>
      <c r="WPV88" s="161"/>
      <c r="WPW88" s="161"/>
      <c r="WPX88" s="161"/>
      <c r="WPY88" s="161"/>
      <c r="WPZ88" s="161"/>
      <c r="WQA88" s="176"/>
      <c r="WQB88" s="176"/>
      <c r="WQC88" s="176"/>
      <c r="WQD88" s="161"/>
      <c r="WQE88" s="161"/>
      <c r="WQF88" s="161"/>
      <c r="WQG88" s="161"/>
      <c r="WQH88" s="161"/>
      <c r="WQI88" s="161"/>
      <c r="WQJ88" s="176"/>
      <c r="WQK88" s="176"/>
      <c r="WQL88" s="176"/>
      <c r="WQM88" s="161"/>
      <c r="WQN88" s="161"/>
      <c r="WQO88" s="161"/>
      <c r="WQP88" s="161"/>
      <c r="WQQ88" s="161"/>
      <c r="WQR88" s="161"/>
      <c r="WQS88" s="176"/>
      <c r="WQT88" s="176"/>
      <c r="WQU88" s="176"/>
      <c r="WQV88" s="161"/>
      <c r="WQW88" s="161"/>
      <c r="WQX88" s="161"/>
      <c r="WQY88" s="161"/>
      <c r="WQZ88" s="161"/>
      <c r="WRA88" s="161"/>
      <c r="WRB88" s="176"/>
      <c r="WRC88" s="176"/>
      <c r="WRD88" s="176"/>
      <c r="WRE88" s="161"/>
      <c r="WRF88" s="161"/>
      <c r="WRG88" s="161"/>
      <c r="WRH88" s="161"/>
      <c r="WRI88" s="161"/>
      <c r="WRJ88" s="161"/>
      <c r="WRK88" s="176"/>
      <c r="WRL88" s="176"/>
      <c r="WRM88" s="176"/>
      <c r="WRN88" s="161"/>
      <c r="WRO88" s="161"/>
      <c r="WRP88" s="161"/>
      <c r="WRQ88" s="161"/>
      <c r="WRR88" s="161"/>
      <c r="WRS88" s="161"/>
      <c r="WRT88" s="176"/>
      <c r="WRU88" s="176"/>
      <c r="WRV88" s="176"/>
      <c r="WRW88" s="161"/>
      <c r="WRX88" s="161"/>
      <c r="WRY88" s="161"/>
      <c r="WRZ88" s="161"/>
      <c r="WSA88" s="161"/>
      <c r="WSB88" s="161"/>
      <c r="WSC88" s="176"/>
      <c r="WSD88" s="176"/>
      <c r="WSE88" s="176"/>
      <c r="WSF88" s="161"/>
      <c r="WSG88" s="161"/>
      <c r="WSH88" s="161"/>
      <c r="WSI88" s="161"/>
      <c r="WSJ88" s="161"/>
      <c r="WSK88" s="161"/>
      <c r="WSL88" s="176"/>
      <c r="WSM88" s="176"/>
      <c r="WSN88" s="176"/>
      <c r="WSO88" s="161"/>
      <c r="WSP88" s="161"/>
      <c r="WSQ88" s="161"/>
      <c r="WSR88" s="161"/>
      <c r="WSS88" s="161"/>
      <c r="WST88" s="161"/>
      <c r="WSU88" s="176"/>
      <c r="WSV88" s="176"/>
      <c r="WSW88" s="176"/>
      <c r="WSX88" s="161"/>
      <c r="WSY88" s="161"/>
      <c r="WSZ88" s="161"/>
      <c r="WTA88" s="161"/>
      <c r="WTB88" s="161"/>
      <c r="WTC88" s="161"/>
      <c r="WTD88" s="176"/>
      <c r="WTE88" s="176"/>
      <c r="WTF88" s="176"/>
      <c r="WTG88" s="161"/>
      <c r="WTH88" s="161"/>
      <c r="WTI88" s="161"/>
      <c r="WTJ88" s="161"/>
      <c r="WTK88" s="161"/>
      <c r="WTL88" s="161"/>
      <c r="WTM88" s="176"/>
      <c r="WTN88" s="176"/>
      <c r="WTO88" s="176"/>
      <c r="WTP88" s="161"/>
      <c r="WTQ88" s="161"/>
      <c r="WTR88" s="161"/>
      <c r="WTS88" s="161"/>
      <c r="WTT88" s="161"/>
      <c r="WTU88" s="161"/>
      <c r="WTV88" s="176"/>
      <c r="WTW88" s="176"/>
      <c r="WTX88" s="176"/>
      <c r="WTY88" s="161"/>
      <c r="WTZ88" s="161"/>
      <c r="WUA88" s="161"/>
      <c r="WUB88" s="161"/>
      <c r="WUC88" s="161"/>
      <c r="WUD88" s="161"/>
      <c r="WUE88" s="176"/>
      <c r="WUF88" s="176"/>
      <c r="WUG88" s="176"/>
      <c r="WUH88" s="161"/>
      <c r="WUI88" s="161"/>
      <c r="WUJ88" s="161"/>
      <c r="WUK88" s="161"/>
      <c r="WUL88" s="161"/>
      <c r="WUM88" s="161"/>
      <c r="WUN88" s="176"/>
      <c r="WUO88" s="176"/>
      <c r="WUP88" s="176"/>
      <c r="WUQ88" s="161"/>
      <c r="WUR88" s="161"/>
      <c r="WUS88" s="161"/>
      <c r="WUT88" s="161"/>
      <c r="WUU88" s="161"/>
      <c r="WUV88" s="161"/>
      <c r="WUW88" s="176"/>
      <c r="WUX88" s="176"/>
      <c r="WUY88" s="176"/>
      <c r="WUZ88" s="161"/>
      <c r="WVA88" s="161"/>
      <c r="WVB88" s="161"/>
      <c r="WVC88" s="161"/>
      <c r="WVD88" s="161"/>
      <c r="WVE88" s="161"/>
      <c r="WVF88" s="176"/>
      <c r="WVG88" s="176"/>
      <c r="WVH88" s="176"/>
      <c r="WVI88" s="161"/>
      <c r="WVJ88" s="161"/>
      <c r="WVK88" s="161"/>
      <c r="WVL88" s="161"/>
      <c r="WVM88" s="161"/>
      <c r="WVN88" s="161"/>
      <c r="WVO88" s="176"/>
      <c r="WVP88" s="176"/>
      <c r="WVQ88" s="176"/>
      <c r="WVR88" s="161"/>
      <c r="WVS88" s="161"/>
      <c r="WVT88" s="161"/>
      <c r="WVU88" s="161"/>
      <c r="WVV88" s="161"/>
      <c r="WVW88" s="161"/>
      <c r="WVX88" s="176"/>
      <c r="WVY88" s="176"/>
      <c r="WVZ88" s="176"/>
      <c r="WWA88" s="161"/>
      <c r="WWB88" s="161"/>
      <c r="WWC88" s="161"/>
      <c r="WWD88" s="161"/>
      <c r="WWE88" s="161"/>
      <c r="WWF88" s="161"/>
      <c r="WWG88" s="176"/>
      <c r="WWH88" s="176"/>
      <c r="WWI88" s="176"/>
      <c r="WWJ88" s="161"/>
      <c r="WWK88" s="161"/>
      <c r="WWL88" s="161"/>
      <c r="WWM88" s="161"/>
      <c r="WWN88" s="161"/>
      <c r="WWO88" s="161"/>
      <c r="WWP88" s="176"/>
      <c r="WWQ88" s="176"/>
      <c r="WWR88" s="176"/>
      <c r="WWS88" s="161"/>
      <c r="WWT88" s="161"/>
      <c r="WWU88" s="161"/>
      <c r="WWV88" s="161"/>
      <c r="WWW88" s="161"/>
      <c r="WWX88" s="161"/>
      <c r="WWY88" s="176"/>
      <c r="WWZ88" s="176"/>
      <c r="WXA88" s="176"/>
      <c r="WXB88" s="161"/>
      <c r="WXC88" s="161"/>
      <c r="WXD88" s="161"/>
      <c r="WXE88" s="161"/>
      <c r="WXF88" s="161"/>
      <c r="WXG88" s="161"/>
      <c r="WXH88" s="176"/>
      <c r="WXI88" s="176"/>
      <c r="WXJ88" s="176"/>
      <c r="WXK88" s="161"/>
      <c r="WXL88" s="161"/>
      <c r="WXM88" s="161"/>
      <c r="WXN88" s="161"/>
      <c r="WXO88" s="161"/>
      <c r="WXP88" s="161"/>
      <c r="WXQ88" s="176"/>
      <c r="WXR88" s="176"/>
      <c r="WXS88" s="176"/>
      <c r="WXT88" s="161"/>
      <c r="WXU88" s="161"/>
      <c r="WXV88" s="161"/>
      <c r="WXW88" s="161"/>
      <c r="WXX88" s="161"/>
      <c r="WXY88" s="161"/>
      <c r="WXZ88" s="176"/>
      <c r="WYA88" s="176"/>
      <c r="WYB88" s="176"/>
      <c r="WYC88" s="161"/>
      <c r="WYD88" s="161"/>
      <c r="WYE88" s="161"/>
      <c r="WYF88" s="161"/>
      <c r="WYG88" s="161"/>
      <c r="WYH88" s="161"/>
      <c r="WYI88" s="176"/>
      <c r="WYJ88" s="176"/>
      <c r="WYK88" s="176"/>
      <c r="WYL88" s="161"/>
      <c r="WYM88" s="161"/>
      <c r="WYN88" s="161"/>
      <c r="WYO88" s="161"/>
      <c r="WYP88" s="161"/>
      <c r="WYQ88" s="161"/>
      <c r="WYR88" s="176"/>
      <c r="WYS88" s="176"/>
      <c r="WYT88" s="176"/>
      <c r="WYU88" s="161"/>
      <c r="WYV88" s="161"/>
      <c r="WYW88" s="161"/>
      <c r="WYX88" s="161"/>
      <c r="WYY88" s="161"/>
      <c r="WYZ88" s="161"/>
      <c r="WZA88" s="176"/>
      <c r="WZB88" s="176"/>
      <c r="WZC88" s="176"/>
      <c r="WZD88" s="161"/>
      <c r="WZE88" s="161"/>
      <c r="WZF88" s="161"/>
      <c r="WZG88" s="161"/>
      <c r="WZH88" s="161"/>
      <c r="WZI88" s="161"/>
      <c r="WZJ88" s="176"/>
      <c r="WZK88" s="176"/>
      <c r="WZL88" s="176"/>
      <c r="WZM88" s="161"/>
      <c r="WZN88" s="161"/>
      <c r="WZO88" s="161"/>
      <c r="WZP88" s="161"/>
      <c r="WZQ88" s="161"/>
      <c r="WZR88" s="161"/>
      <c r="WZS88" s="176"/>
      <c r="WZT88" s="176"/>
      <c r="WZU88" s="176"/>
      <c r="WZV88" s="161"/>
      <c r="WZW88" s="161"/>
      <c r="WZX88" s="161"/>
      <c r="WZY88" s="161"/>
      <c r="WZZ88" s="161"/>
      <c r="XAA88" s="161"/>
      <c r="XAB88" s="176"/>
      <c r="XAC88" s="176"/>
      <c r="XAD88" s="176"/>
      <c r="XAE88" s="161"/>
      <c r="XAF88" s="161"/>
      <c r="XAG88" s="161"/>
      <c r="XAH88" s="161"/>
      <c r="XAI88" s="161"/>
      <c r="XAJ88" s="161"/>
      <c r="XAK88" s="176"/>
      <c r="XAL88" s="176"/>
      <c r="XAM88" s="176"/>
      <c r="XAN88" s="161"/>
      <c r="XAO88" s="161"/>
      <c r="XAP88" s="161"/>
      <c r="XAQ88" s="161"/>
      <c r="XAR88" s="161"/>
      <c r="XAS88" s="161"/>
      <c r="XAT88" s="176"/>
      <c r="XAU88" s="176"/>
      <c r="XAV88" s="176"/>
      <c r="XAW88" s="161"/>
      <c r="XAX88" s="161"/>
      <c r="XAY88" s="161"/>
      <c r="XAZ88" s="161"/>
      <c r="XBA88" s="161"/>
      <c r="XBB88" s="161"/>
      <c r="XBC88" s="176"/>
      <c r="XBD88" s="176"/>
      <c r="XBE88" s="176"/>
      <c r="XBF88" s="161"/>
      <c r="XBG88" s="161"/>
      <c r="XBH88" s="161"/>
      <c r="XBI88" s="161"/>
      <c r="XBJ88" s="161"/>
      <c r="XBK88" s="161"/>
      <c r="XBL88" s="176"/>
      <c r="XBM88" s="176"/>
      <c r="XBN88" s="176"/>
      <c r="XBO88" s="161"/>
      <c r="XBP88" s="161"/>
      <c r="XBQ88" s="161"/>
      <c r="XBR88" s="161"/>
      <c r="XBS88" s="161"/>
      <c r="XBT88" s="161"/>
      <c r="XBU88" s="176"/>
      <c r="XBV88" s="176"/>
      <c r="XBW88" s="176"/>
      <c r="XBX88" s="161"/>
      <c r="XBY88" s="161"/>
      <c r="XBZ88" s="161"/>
      <c r="XCA88" s="161"/>
      <c r="XCB88" s="161"/>
      <c r="XCC88" s="161"/>
      <c r="XCD88" s="176"/>
      <c r="XCE88" s="176"/>
      <c r="XCF88" s="176"/>
      <c r="XCG88" s="161"/>
      <c r="XCH88" s="161"/>
      <c r="XCI88" s="161"/>
      <c r="XCJ88" s="161"/>
      <c r="XCK88" s="161"/>
      <c r="XCL88" s="161"/>
      <c r="XCM88" s="176"/>
      <c r="XCN88" s="176"/>
      <c r="XCO88" s="176"/>
      <c r="XCP88" s="161"/>
      <c r="XCQ88" s="161"/>
      <c r="XCR88" s="161"/>
      <c r="XCS88" s="161"/>
      <c r="XCT88" s="161"/>
      <c r="XCU88" s="161"/>
      <c r="XCV88" s="176"/>
      <c r="XCW88" s="176"/>
      <c r="XCX88" s="176"/>
      <c r="XCY88" s="161"/>
      <c r="XCZ88" s="161"/>
      <c r="XDA88" s="161"/>
      <c r="XDB88" s="161"/>
      <c r="XDC88" s="161"/>
      <c r="XDD88" s="161"/>
      <c r="XDE88" s="176"/>
      <c r="XDF88" s="176"/>
      <c r="XDG88" s="176"/>
      <c r="XDH88" s="161"/>
      <c r="XDI88" s="161"/>
      <c r="XDJ88" s="161"/>
      <c r="XDK88" s="161"/>
      <c r="XDL88" s="161"/>
      <c r="XDM88" s="161"/>
      <c r="XDN88" s="176"/>
      <c r="XDO88" s="176"/>
      <c r="XDP88" s="176"/>
      <c r="XDQ88" s="161"/>
      <c r="XDR88" s="161"/>
      <c r="XDS88" s="161"/>
      <c r="XDT88" s="161"/>
      <c r="XDU88" s="161"/>
      <c r="XDV88" s="161"/>
      <c r="XDW88" s="176"/>
      <c r="XDX88" s="176"/>
      <c r="XDY88" s="176"/>
      <c r="XDZ88" s="161"/>
      <c r="XEA88" s="161"/>
      <c r="XEB88" s="161"/>
      <c r="XEC88" s="161"/>
      <c r="XED88" s="161"/>
      <c r="XEE88" s="161"/>
      <c r="XEF88" s="176"/>
      <c r="XEG88" s="176"/>
      <c r="XEH88" s="176"/>
      <c r="XEI88" s="161"/>
      <c r="XEJ88" s="161"/>
      <c r="XEK88" s="161"/>
      <c r="XEL88" s="161"/>
      <c r="XEM88" s="161"/>
      <c r="XEN88" s="161"/>
      <c r="XEO88" s="176"/>
      <c r="XEP88" s="176"/>
      <c r="XEQ88" s="176"/>
      <c r="XER88" s="161"/>
      <c r="XES88" s="161"/>
      <c r="XET88" s="161"/>
      <c r="XEU88" s="161"/>
      <c r="XEV88" s="161"/>
      <c r="XEW88" s="161"/>
      <c r="XEX88" s="176"/>
      <c r="XEY88" s="176"/>
      <c r="XEZ88" s="176"/>
      <c r="XFA88" s="161"/>
      <c r="XFB88" s="161"/>
      <c r="XFC88" s="161"/>
      <c r="XFD88" s="161"/>
    </row>
    <row r="89" spans="1:16384" s="458" customFormat="1" ht="15.75">
      <c r="A89" s="409">
        <v>1</v>
      </c>
      <c r="B89" s="458" t="s">
        <v>266</v>
      </c>
      <c r="C89" s="525" t="s">
        <v>1094</v>
      </c>
      <c r="D89" s="482" t="s">
        <v>1095</v>
      </c>
      <c r="E89" s="113">
        <v>25</v>
      </c>
      <c r="F89" s="414"/>
      <c r="G89" s="176" t="s">
        <v>66</v>
      </c>
      <c r="H89" s="144">
        <v>46268</v>
      </c>
      <c r="I89" s="144">
        <v>46280</v>
      </c>
      <c r="J89" s="94"/>
      <c r="K89" s="144"/>
      <c r="L89" s="144"/>
      <c r="M89" s="113"/>
      <c r="N89" s="144"/>
      <c r="O89" s="113"/>
      <c r="P89" s="113"/>
      <c r="Q89" s="113"/>
      <c r="R89" s="113"/>
      <c r="S89" s="113"/>
      <c r="U89" s="459"/>
      <c r="AN89" s="409"/>
      <c r="AO89" s="113"/>
    </row>
    <row r="90" spans="1:16384" s="458" customFormat="1" ht="15.75">
      <c r="A90" s="409">
        <v>1</v>
      </c>
      <c r="B90" s="458" t="s">
        <v>266</v>
      </c>
      <c r="C90" s="526" t="s">
        <v>1096</v>
      </c>
      <c r="D90" s="482" t="s">
        <v>1097</v>
      </c>
      <c r="E90" s="113">
        <v>44</v>
      </c>
      <c r="F90" s="414"/>
      <c r="G90" s="99" t="s">
        <v>67</v>
      </c>
      <c r="H90" s="144">
        <v>46269</v>
      </c>
      <c r="I90" s="144">
        <v>46283</v>
      </c>
      <c r="J90" s="94"/>
      <c r="K90" s="144"/>
      <c r="L90" s="144"/>
      <c r="M90" s="113"/>
      <c r="N90" s="144"/>
      <c r="O90" s="113"/>
      <c r="P90" s="113"/>
      <c r="Q90" s="113"/>
      <c r="R90" s="113"/>
      <c r="S90" s="113"/>
      <c r="U90" s="459"/>
      <c r="AN90" s="409"/>
      <c r="AO90" s="113"/>
    </row>
    <row r="91" spans="1:16384" s="458" customFormat="1">
      <c r="A91" s="409"/>
      <c r="C91" s="113"/>
      <c r="D91" s="482"/>
      <c r="E91" s="113"/>
      <c r="F91" s="414"/>
      <c r="G91" s="99"/>
      <c r="H91" s="113"/>
      <c r="I91" s="113"/>
      <c r="J91" s="94"/>
      <c r="K91" s="144"/>
      <c r="L91" s="144"/>
      <c r="M91" s="113"/>
      <c r="N91" s="144"/>
      <c r="O91" s="113"/>
      <c r="P91" s="113"/>
      <c r="Q91" s="113"/>
      <c r="R91" s="113"/>
      <c r="S91" s="113"/>
      <c r="U91" s="459"/>
      <c r="AN91" s="409"/>
      <c r="AO91" s="113"/>
    </row>
    <row r="92" spans="1:16384" s="458" customFormat="1">
      <c r="A92" s="409"/>
      <c r="C92" s="113"/>
      <c r="D92" s="482"/>
      <c r="E92" s="113"/>
      <c r="F92" s="414"/>
      <c r="G92" s="99"/>
      <c r="H92" s="113"/>
      <c r="I92" s="113"/>
      <c r="J92" s="94"/>
      <c r="K92" s="144"/>
      <c r="L92" s="144"/>
      <c r="M92" s="113"/>
      <c r="N92" s="144"/>
      <c r="O92" s="113"/>
      <c r="P92" s="113"/>
      <c r="Q92" s="113"/>
      <c r="R92" s="113"/>
      <c r="S92" s="113"/>
      <c r="U92" s="459"/>
      <c r="AN92" s="409"/>
      <c r="AO92" s="113"/>
    </row>
    <row r="93" spans="1:16384" s="458" customFormat="1">
      <c r="A93" s="409"/>
      <c r="C93" s="113"/>
      <c r="D93" s="482"/>
      <c r="E93" s="113"/>
      <c r="F93" s="414"/>
      <c r="G93" s="99"/>
      <c r="H93" s="113"/>
      <c r="I93" s="113"/>
      <c r="J93" s="94"/>
      <c r="K93" s="144"/>
      <c r="L93" s="144"/>
      <c r="M93" s="113"/>
      <c r="N93" s="144"/>
      <c r="O93" s="113"/>
      <c r="P93" s="113"/>
      <c r="Q93" s="113"/>
      <c r="R93" s="113"/>
      <c r="S93" s="113"/>
      <c r="U93" s="459"/>
      <c r="AN93" s="409"/>
      <c r="AO93" s="113"/>
    </row>
    <row r="94" spans="1:16384" s="458" customFormat="1">
      <c r="A94" s="409"/>
      <c r="C94" s="113"/>
      <c r="D94" s="482"/>
      <c r="E94" s="113"/>
      <c r="F94" s="414"/>
      <c r="G94" s="99"/>
      <c r="H94" s="113"/>
      <c r="I94" s="113"/>
      <c r="J94" s="94"/>
      <c r="K94" s="144"/>
      <c r="L94" s="144"/>
      <c r="M94" s="113"/>
      <c r="N94" s="144"/>
      <c r="O94" s="113"/>
      <c r="P94" s="113"/>
      <c r="Q94" s="113"/>
      <c r="R94" s="113"/>
      <c r="S94" s="113"/>
      <c r="U94" s="459"/>
      <c r="AN94" s="409"/>
      <c r="AO94" s="113"/>
    </row>
    <row r="95" spans="1:16384" s="458" customFormat="1">
      <c r="A95" s="409"/>
      <c r="C95" s="113"/>
      <c r="D95" s="482"/>
      <c r="E95" s="113"/>
      <c r="F95" s="414"/>
      <c r="G95" s="99"/>
      <c r="H95" s="113"/>
      <c r="I95" s="113"/>
      <c r="J95" s="94"/>
      <c r="K95" s="144"/>
      <c r="L95" s="144"/>
      <c r="M95" s="113"/>
      <c r="N95" s="144"/>
      <c r="O95" s="113"/>
      <c r="P95" s="113"/>
      <c r="Q95" s="113"/>
      <c r="R95" s="113"/>
      <c r="S95" s="113"/>
      <c r="U95" s="459"/>
      <c r="AN95" s="409"/>
      <c r="AO95" s="113"/>
    </row>
    <row r="96" spans="1:16384" s="458" customFormat="1">
      <c r="A96" s="409"/>
      <c r="C96" s="113"/>
      <c r="D96" s="482"/>
      <c r="E96" s="113"/>
      <c r="F96" s="414"/>
      <c r="G96" s="99"/>
      <c r="H96" s="113"/>
      <c r="I96" s="113"/>
      <c r="J96" s="94"/>
      <c r="K96" s="144"/>
      <c r="L96" s="144"/>
      <c r="M96" s="113"/>
      <c r="N96" s="144"/>
      <c r="O96" s="113"/>
      <c r="P96" s="113"/>
      <c r="Q96" s="113"/>
      <c r="R96" s="113"/>
      <c r="S96" s="113"/>
      <c r="U96" s="459"/>
      <c r="AN96" s="409"/>
      <c r="AO96" s="113"/>
    </row>
    <row r="97" spans="1:41" s="458" customFormat="1">
      <c r="A97" s="409"/>
      <c r="C97" s="113"/>
      <c r="D97" s="482"/>
      <c r="E97" s="113"/>
      <c r="F97" s="414"/>
      <c r="G97" s="99"/>
      <c r="H97" s="113"/>
      <c r="I97" s="113"/>
      <c r="J97" s="94"/>
      <c r="K97" s="144"/>
      <c r="L97" s="144"/>
      <c r="M97" s="113"/>
      <c r="N97" s="144"/>
      <c r="O97" s="113"/>
      <c r="P97" s="113"/>
      <c r="Q97" s="113"/>
      <c r="R97" s="113"/>
      <c r="S97" s="113"/>
      <c r="U97" s="459"/>
      <c r="AN97" s="409"/>
      <c r="AO97" s="113"/>
    </row>
    <row r="98" spans="1:41" s="458" customFormat="1">
      <c r="A98" s="409"/>
      <c r="C98" s="113"/>
      <c r="D98" s="482"/>
      <c r="E98" s="113"/>
      <c r="F98" s="414"/>
      <c r="G98" s="99"/>
      <c r="H98" s="113"/>
      <c r="I98" s="113"/>
      <c r="J98" s="94"/>
      <c r="K98" s="144"/>
      <c r="L98" s="144"/>
      <c r="M98" s="113"/>
      <c r="N98" s="144"/>
      <c r="O98" s="113"/>
      <c r="P98" s="113"/>
      <c r="Q98" s="113"/>
      <c r="R98" s="113"/>
      <c r="S98" s="113"/>
      <c r="U98" s="459"/>
      <c r="AN98" s="409"/>
      <c r="AO98" s="113"/>
    </row>
    <row r="99" spans="1:41" s="458" customFormat="1">
      <c r="A99" s="409"/>
      <c r="C99" s="113"/>
      <c r="D99" s="482"/>
      <c r="E99" s="113"/>
      <c r="F99" s="414"/>
      <c r="G99" s="99"/>
      <c r="H99" s="113"/>
      <c r="I99" s="113"/>
      <c r="J99" s="94"/>
      <c r="K99" s="144"/>
      <c r="L99" s="144"/>
      <c r="M99" s="113"/>
      <c r="N99" s="144"/>
      <c r="O99" s="113"/>
      <c r="P99" s="113"/>
      <c r="Q99" s="113"/>
      <c r="R99" s="113"/>
      <c r="S99" s="113"/>
      <c r="U99" s="459"/>
      <c r="AN99" s="409"/>
      <c r="AO99" s="113"/>
    </row>
    <row r="100" spans="1:41" s="458" customFormat="1">
      <c r="A100" s="409"/>
      <c r="C100" s="113"/>
      <c r="D100" s="482"/>
      <c r="E100" s="113"/>
      <c r="F100" s="414"/>
      <c r="G100" s="99"/>
      <c r="H100" s="113"/>
      <c r="I100" s="113"/>
      <c r="J100" s="94"/>
      <c r="K100" s="144"/>
      <c r="L100" s="144"/>
      <c r="M100" s="113"/>
      <c r="N100" s="144"/>
      <c r="O100" s="113"/>
      <c r="P100" s="113"/>
      <c r="Q100" s="113"/>
      <c r="R100" s="113"/>
      <c r="S100" s="113"/>
      <c r="U100" s="459"/>
      <c r="AN100" s="409"/>
      <c r="AO100" s="113"/>
    </row>
    <row r="101" spans="1:41" s="458" customFormat="1">
      <c r="A101" s="409"/>
      <c r="C101" s="113"/>
      <c r="D101" s="482"/>
      <c r="E101" s="113"/>
      <c r="F101" s="414"/>
      <c r="G101" s="99"/>
      <c r="H101" s="113"/>
      <c r="I101" s="113"/>
      <c r="J101" s="94"/>
      <c r="K101" s="144"/>
      <c r="L101" s="144"/>
      <c r="M101" s="113"/>
      <c r="N101" s="144"/>
      <c r="O101" s="113"/>
      <c r="P101" s="113"/>
      <c r="Q101" s="113"/>
      <c r="R101" s="113"/>
      <c r="S101" s="113"/>
      <c r="U101" s="459"/>
      <c r="AN101" s="409"/>
      <c r="AO101" s="113"/>
    </row>
    <row r="102" spans="1:41" s="458" customFormat="1">
      <c r="A102" s="409"/>
      <c r="C102" s="113"/>
      <c r="D102" s="482"/>
      <c r="E102" s="113"/>
      <c r="F102" s="414"/>
      <c r="G102" s="99"/>
      <c r="H102" s="113"/>
      <c r="I102" s="113"/>
      <c r="J102" s="94"/>
      <c r="K102" s="144"/>
      <c r="L102" s="144"/>
      <c r="M102" s="113"/>
      <c r="N102" s="144"/>
      <c r="O102" s="113"/>
      <c r="P102" s="113"/>
      <c r="Q102" s="113"/>
      <c r="R102" s="113"/>
      <c r="S102" s="113"/>
      <c r="U102" s="459"/>
      <c r="AN102" s="409"/>
      <c r="AO102" s="113"/>
    </row>
    <row r="103" spans="1:41" s="458" customFormat="1">
      <c r="A103" s="409"/>
      <c r="C103" s="113"/>
      <c r="D103" s="482"/>
      <c r="E103" s="113"/>
      <c r="F103" s="414"/>
      <c r="G103" s="99"/>
      <c r="H103" s="113"/>
      <c r="I103" s="113"/>
      <c r="J103" s="94"/>
      <c r="K103" s="144"/>
      <c r="L103" s="144"/>
      <c r="M103" s="113"/>
      <c r="N103" s="144"/>
      <c r="O103" s="113"/>
      <c r="P103" s="113"/>
      <c r="Q103" s="113"/>
      <c r="R103" s="113"/>
      <c r="S103" s="113"/>
      <c r="U103" s="459"/>
      <c r="AN103" s="409"/>
      <c r="AO103" s="113"/>
    </row>
    <row r="104" spans="1:41" s="458" customFormat="1">
      <c r="A104" s="409"/>
      <c r="C104" s="113"/>
      <c r="D104" s="482"/>
      <c r="E104" s="113"/>
      <c r="F104" s="414"/>
      <c r="G104" s="99"/>
      <c r="H104" s="113"/>
      <c r="I104" s="113"/>
      <c r="J104" s="94"/>
      <c r="K104" s="144"/>
      <c r="L104" s="144"/>
      <c r="M104" s="113"/>
      <c r="N104" s="144"/>
      <c r="O104" s="113"/>
      <c r="P104" s="113"/>
      <c r="Q104" s="113"/>
      <c r="R104" s="113"/>
      <c r="S104" s="113"/>
      <c r="U104" s="459"/>
      <c r="AN104" s="409"/>
      <c r="AO104" s="113"/>
    </row>
    <row r="105" spans="1:41" s="458" customFormat="1">
      <c r="A105" s="409"/>
      <c r="C105" s="113"/>
      <c r="D105" s="482"/>
      <c r="E105" s="113"/>
      <c r="F105" s="414"/>
      <c r="G105" s="99"/>
      <c r="H105" s="113"/>
      <c r="I105" s="113"/>
      <c r="J105" s="94"/>
      <c r="K105" s="144"/>
      <c r="L105" s="144"/>
      <c r="M105" s="113"/>
      <c r="N105" s="144"/>
      <c r="O105" s="113"/>
      <c r="P105" s="113"/>
      <c r="Q105" s="113"/>
      <c r="R105" s="113"/>
      <c r="S105" s="113"/>
      <c r="U105" s="459"/>
      <c r="AN105" s="409"/>
      <c r="AO105" s="113"/>
    </row>
    <row r="106" spans="1:41" s="458" customFormat="1">
      <c r="A106" s="409"/>
      <c r="C106" s="113"/>
      <c r="D106" s="482"/>
      <c r="E106" s="113"/>
      <c r="F106" s="414"/>
      <c r="G106" s="99"/>
      <c r="H106" s="113"/>
      <c r="I106" s="113"/>
      <c r="J106" s="94"/>
      <c r="K106" s="144"/>
      <c r="L106" s="144"/>
      <c r="M106" s="113"/>
      <c r="N106" s="144"/>
      <c r="O106" s="113"/>
      <c r="P106" s="113"/>
      <c r="Q106" s="113"/>
      <c r="R106" s="113"/>
      <c r="S106" s="113"/>
      <c r="U106" s="459"/>
      <c r="AN106" s="409"/>
      <c r="AO106" s="113"/>
    </row>
    <row r="107" spans="1:41" s="458" customFormat="1">
      <c r="A107" s="409"/>
      <c r="C107" s="113"/>
      <c r="D107" s="482"/>
      <c r="E107" s="113"/>
      <c r="F107" s="414"/>
      <c r="G107" s="99"/>
      <c r="H107" s="113"/>
      <c r="I107" s="113"/>
      <c r="J107" s="94"/>
      <c r="K107" s="144"/>
      <c r="L107" s="144"/>
      <c r="M107" s="113"/>
      <c r="N107" s="144"/>
      <c r="O107" s="113"/>
      <c r="P107" s="113"/>
      <c r="Q107" s="113"/>
      <c r="R107" s="113"/>
      <c r="S107" s="113"/>
      <c r="U107" s="459"/>
      <c r="AN107" s="409"/>
      <c r="AO107" s="113"/>
    </row>
    <row r="108" spans="1:41" s="458" customFormat="1">
      <c r="A108" s="409"/>
      <c r="C108" s="113"/>
      <c r="D108" s="482"/>
      <c r="E108" s="113"/>
      <c r="F108" s="414"/>
      <c r="G108" s="99"/>
      <c r="H108" s="113"/>
      <c r="I108" s="113"/>
      <c r="J108" s="94"/>
      <c r="K108" s="144"/>
      <c r="L108" s="144"/>
      <c r="M108" s="113"/>
      <c r="N108" s="144"/>
      <c r="O108" s="113"/>
      <c r="P108" s="113"/>
      <c r="Q108" s="113"/>
      <c r="R108" s="113"/>
      <c r="S108" s="113"/>
      <c r="U108" s="459"/>
      <c r="AN108" s="409"/>
      <c r="AO108" s="113"/>
    </row>
    <row r="109" spans="1:41" s="458" customFormat="1">
      <c r="A109" s="409"/>
      <c r="C109" s="113"/>
      <c r="D109" s="482"/>
      <c r="E109" s="113"/>
      <c r="F109" s="414"/>
      <c r="G109" s="99"/>
      <c r="H109" s="113"/>
      <c r="I109" s="113"/>
      <c r="J109" s="94"/>
      <c r="K109" s="144"/>
      <c r="L109" s="144"/>
      <c r="M109" s="113"/>
      <c r="N109" s="144"/>
      <c r="O109" s="113"/>
      <c r="P109" s="113"/>
      <c r="Q109" s="113"/>
      <c r="R109" s="113"/>
      <c r="S109" s="113"/>
      <c r="U109" s="459"/>
      <c r="AN109" s="409"/>
      <c r="AO109" s="113"/>
    </row>
    <row r="110" spans="1:41" s="458" customFormat="1">
      <c r="A110" s="409"/>
      <c r="C110" s="113"/>
      <c r="D110" s="482"/>
      <c r="E110" s="113"/>
      <c r="F110" s="414"/>
      <c r="G110" s="99"/>
      <c r="H110" s="113"/>
      <c r="I110" s="113"/>
      <c r="J110" s="94"/>
      <c r="K110" s="144"/>
      <c r="L110" s="144"/>
      <c r="M110" s="113"/>
      <c r="N110" s="144"/>
      <c r="O110" s="113"/>
      <c r="P110" s="113"/>
      <c r="Q110" s="113"/>
      <c r="R110" s="113"/>
      <c r="S110" s="113"/>
      <c r="U110" s="459"/>
      <c r="AN110" s="409"/>
      <c r="AO110" s="113"/>
    </row>
    <row r="111" spans="1:41" s="458" customFormat="1">
      <c r="A111" s="409"/>
      <c r="C111" s="113"/>
      <c r="D111" s="482"/>
      <c r="E111" s="113"/>
      <c r="F111" s="414"/>
      <c r="G111" s="99"/>
      <c r="H111" s="113"/>
      <c r="I111" s="113"/>
      <c r="J111" s="94"/>
      <c r="K111" s="144"/>
      <c r="L111" s="144"/>
      <c r="M111" s="113"/>
      <c r="N111" s="144"/>
      <c r="O111" s="113"/>
      <c r="P111" s="113"/>
      <c r="Q111" s="113"/>
      <c r="R111" s="113"/>
      <c r="S111" s="113"/>
      <c r="U111" s="459"/>
      <c r="AN111" s="409"/>
      <c r="AO111" s="113"/>
    </row>
    <row r="112" spans="1:41" s="458" customFormat="1">
      <c r="A112" s="409"/>
      <c r="C112" s="113"/>
      <c r="D112" s="482"/>
      <c r="E112" s="113"/>
      <c r="F112" s="414"/>
      <c r="G112" s="99"/>
      <c r="H112" s="113"/>
      <c r="I112" s="113"/>
      <c r="J112" s="94"/>
      <c r="K112" s="144"/>
      <c r="L112" s="144"/>
      <c r="M112" s="113"/>
      <c r="N112" s="144"/>
      <c r="O112" s="113"/>
      <c r="P112" s="113"/>
      <c r="Q112" s="113"/>
      <c r="R112" s="113"/>
      <c r="S112" s="113"/>
      <c r="U112" s="459"/>
      <c r="AN112" s="409"/>
      <c r="AO112" s="113"/>
    </row>
    <row r="113" spans="1:41" s="458" customFormat="1">
      <c r="A113" s="409"/>
      <c r="C113" s="113"/>
      <c r="D113" s="482"/>
      <c r="E113" s="113"/>
      <c r="F113" s="414"/>
      <c r="G113" s="99"/>
      <c r="H113" s="113"/>
      <c r="I113" s="113"/>
      <c r="J113" s="94"/>
      <c r="K113" s="144"/>
      <c r="L113" s="144"/>
      <c r="M113" s="113"/>
      <c r="N113" s="144"/>
      <c r="O113" s="113"/>
      <c r="P113" s="113"/>
      <c r="Q113" s="113"/>
      <c r="R113" s="113"/>
      <c r="S113" s="113"/>
      <c r="U113" s="459"/>
      <c r="AN113" s="409"/>
      <c r="AO113" s="113"/>
    </row>
    <row r="114" spans="1:41" s="458" customFormat="1">
      <c r="A114" s="409"/>
      <c r="C114" s="113"/>
      <c r="D114" s="482"/>
      <c r="E114" s="113"/>
      <c r="F114" s="414"/>
      <c r="G114" s="99"/>
      <c r="H114" s="113"/>
      <c r="I114" s="113"/>
      <c r="J114" s="94"/>
      <c r="K114" s="144"/>
      <c r="L114" s="144"/>
      <c r="M114" s="113"/>
      <c r="N114" s="144"/>
      <c r="O114" s="113"/>
      <c r="P114" s="113"/>
      <c r="Q114" s="113"/>
      <c r="R114" s="113"/>
      <c r="S114" s="113"/>
      <c r="U114" s="459"/>
      <c r="AN114" s="409"/>
      <c r="AO114" s="113"/>
    </row>
    <row r="115" spans="1:41" s="458" customFormat="1">
      <c r="A115" s="409"/>
      <c r="C115" s="113"/>
      <c r="D115" s="482"/>
      <c r="E115" s="113"/>
      <c r="F115" s="414"/>
      <c r="G115" s="99"/>
      <c r="H115" s="113"/>
      <c r="I115" s="113"/>
      <c r="J115" s="94"/>
      <c r="K115" s="144"/>
      <c r="L115" s="144"/>
      <c r="M115" s="113"/>
      <c r="N115" s="144"/>
      <c r="O115" s="113"/>
      <c r="P115" s="113"/>
      <c r="Q115" s="113"/>
      <c r="R115" s="113"/>
      <c r="S115" s="113"/>
      <c r="U115" s="459"/>
      <c r="AN115" s="409"/>
      <c r="AO115" s="113"/>
    </row>
    <row r="116" spans="1:41" s="458" customFormat="1">
      <c r="A116" s="409"/>
      <c r="C116" s="113"/>
      <c r="D116" s="482"/>
      <c r="E116" s="113"/>
      <c r="F116" s="414"/>
      <c r="G116" s="99"/>
      <c r="H116" s="113"/>
      <c r="I116" s="113"/>
      <c r="J116" s="94"/>
      <c r="K116" s="144"/>
      <c r="L116" s="144"/>
      <c r="M116" s="113"/>
      <c r="N116" s="144"/>
      <c r="O116" s="113"/>
      <c r="P116" s="113"/>
      <c r="Q116" s="113"/>
      <c r="R116" s="113"/>
      <c r="S116" s="113"/>
      <c r="U116" s="459"/>
      <c r="AN116" s="409"/>
      <c r="AO116" s="113"/>
    </row>
    <row r="117" spans="1:41" s="458" customFormat="1">
      <c r="A117" s="409"/>
      <c r="C117" s="113"/>
      <c r="D117" s="482"/>
      <c r="E117" s="113"/>
      <c r="F117" s="414"/>
      <c r="G117" s="99"/>
      <c r="H117" s="113"/>
      <c r="I117" s="113"/>
      <c r="J117" s="94"/>
      <c r="K117" s="144"/>
      <c r="L117" s="144"/>
      <c r="M117" s="113"/>
      <c r="N117" s="144"/>
      <c r="O117" s="113"/>
      <c r="P117" s="113"/>
      <c r="Q117" s="113"/>
      <c r="R117" s="113"/>
      <c r="S117" s="113"/>
      <c r="U117" s="459"/>
      <c r="AN117" s="409"/>
      <c r="AO117" s="113"/>
    </row>
    <row r="118" spans="1:41" s="458" customFormat="1">
      <c r="A118" s="409"/>
      <c r="C118" s="113"/>
      <c r="D118" s="482"/>
      <c r="E118" s="113"/>
      <c r="F118" s="414"/>
      <c r="G118" s="99"/>
      <c r="H118" s="113"/>
      <c r="I118" s="113"/>
      <c r="J118" s="94"/>
      <c r="K118" s="144"/>
      <c r="L118" s="144"/>
      <c r="M118" s="113"/>
      <c r="N118" s="144"/>
      <c r="O118" s="113"/>
      <c r="P118" s="113"/>
      <c r="Q118" s="113"/>
      <c r="R118" s="113"/>
      <c r="S118" s="113"/>
      <c r="U118" s="459"/>
      <c r="AN118" s="409"/>
      <c r="AO118" s="113"/>
    </row>
    <row r="119" spans="1:41" s="458" customFormat="1">
      <c r="A119" s="409"/>
      <c r="C119" s="113"/>
      <c r="D119" s="482"/>
      <c r="E119" s="113"/>
      <c r="F119" s="414"/>
      <c r="G119" s="99"/>
      <c r="H119" s="113"/>
      <c r="I119" s="113"/>
      <c r="J119" s="94"/>
      <c r="K119" s="144"/>
      <c r="L119" s="144"/>
      <c r="M119" s="113"/>
      <c r="N119" s="144"/>
      <c r="O119" s="113"/>
      <c r="P119" s="113"/>
      <c r="Q119" s="113"/>
      <c r="R119" s="113"/>
      <c r="S119" s="113"/>
      <c r="U119" s="459"/>
      <c r="AN119" s="409"/>
      <c r="AO119" s="113"/>
    </row>
    <row r="120" spans="1:41" s="458" customFormat="1">
      <c r="A120" s="409"/>
      <c r="C120" s="113"/>
      <c r="D120" s="482"/>
      <c r="E120" s="113"/>
      <c r="F120" s="414"/>
      <c r="G120" s="99"/>
      <c r="H120" s="113"/>
      <c r="I120" s="113"/>
      <c r="J120" s="94"/>
      <c r="K120" s="144"/>
      <c r="L120" s="144"/>
      <c r="M120" s="113"/>
      <c r="N120" s="144"/>
      <c r="O120" s="113"/>
      <c r="P120" s="113"/>
      <c r="Q120" s="113"/>
      <c r="R120" s="113"/>
      <c r="S120" s="113"/>
      <c r="U120" s="459"/>
      <c r="AN120" s="409"/>
      <c r="AO120" s="113"/>
    </row>
    <row r="121" spans="1:41" s="458" customFormat="1">
      <c r="A121" s="409"/>
      <c r="C121" s="113"/>
      <c r="D121" s="482"/>
      <c r="E121" s="113"/>
      <c r="F121" s="414"/>
      <c r="G121" s="99"/>
      <c r="H121" s="113"/>
      <c r="I121" s="113"/>
      <c r="J121" s="94"/>
      <c r="K121" s="144"/>
      <c r="L121" s="144"/>
      <c r="M121" s="113"/>
      <c r="N121" s="144"/>
      <c r="O121" s="113"/>
      <c r="P121" s="113"/>
      <c r="Q121" s="113"/>
      <c r="R121" s="113"/>
      <c r="S121" s="113"/>
      <c r="U121" s="459"/>
      <c r="AN121" s="409"/>
      <c r="AO121" s="113"/>
    </row>
    <row r="122" spans="1:41" s="458" customFormat="1">
      <c r="A122" s="409"/>
      <c r="C122" s="113"/>
      <c r="D122" s="482"/>
      <c r="E122" s="113"/>
      <c r="F122" s="414"/>
      <c r="G122" s="99"/>
      <c r="H122" s="113"/>
      <c r="I122" s="113"/>
      <c r="J122" s="94"/>
      <c r="K122" s="144"/>
      <c r="L122" s="144"/>
      <c r="M122" s="113"/>
      <c r="N122" s="144"/>
      <c r="O122" s="113"/>
      <c r="P122" s="113"/>
      <c r="Q122" s="113"/>
      <c r="R122" s="113"/>
      <c r="S122" s="113"/>
      <c r="U122" s="459"/>
      <c r="AN122" s="409"/>
      <c r="AO122" s="113"/>
    </row>
    <row r="123" spans="1:41" s="458" customFormat="1">
      <c r="A123" s="409"/>
      <c r="C123" s="113"/>
      <c r="D123" s="482"/>
      <c r="E123" s="113"/>
      <c r="F123" s="414"/>
      <c r="G123" s="99"/>
      <c r="H123" s="113"/>
      <c r="I123" s="113"/>
      <c r="J123" s="94"/>
      <c r="K123" s="144"/>
      <c r="L123" s="144"/>
      <c r="M123" s="113"/>
      <c r="N123" s="144"/>
      <c r="O123" s="113"/>
      <c r="P123" s="113"/>
      <c r="Q123" s="113"/>
      <c r="R123" s="113"/>
      <c r="S123" s="113"/>
      <c r="U123" s="459"/>
      <c r="AN123" s="409"/>
      <c r="AO123" s="113"/>
    </row>
    <row r="124" spans="1:41" s="458" customFormat="1">
      <c r="A124" s="409"/>
      <c r="C124" s="113"/>
      <c r="D124" s="482"/>
      <c r="E124" s="113"/>
      <c r="F124" s="414"/>
      <c r="G124" s="99"/>
      <c r="H124" s="113"/>
      <c r="I124" s="113"/>
      <c r="J124" s="94"/>
      <c r="K124" s="144"/>
      <c r="L124" s="144"/>
      <c r="M124" s="113"/>
      <c r="N124" s="144"/>
      <c r="O124" s="113"/>
      <c r="P124" s="113"/>
      <c r="Q124" s="113"/>
      <c r="R124" s="113"/>
      <c r="S124" s="113"/>
      <c r="U124" s="459"/>
      <c r="AN124" s="409"/>
      <c r="AO124" s="113"/>
    </row>
    <row r="125" spans="1:41" s="458" customFormat="1">
      <c r="A125" s="409"/>
      <c r="C125" s="113"/>
      <c r="D125" s="482"/>
      <c r="E125" s="113"/>
      <c r="F125" s="414"/>
      <c r="G125" s="99"/>
      <c r="H125" s="113"/>
      <c r="I125" s="113"/>
      <c r="J125" s="94"/>
      <c r="K125" s="144"/>
      <c r="L125" s="144"/>
      <c r="M125" s="113"/>
      <c r="N125" s="144"/>
      <c r="O125" s="113"/>
      <c r="P125" s="113"/>
      <c r="Q125" s="113"/>
      <c r="R125" s="113"/>
      <c r="S125" s="113"/>
      <c r="U125" s="459"/>
      <c r="AN125" s="409"/>
      <c r="AO125" s="113"/>
    </row>
    <row r="126" spans="1:41" s="458" customFormat="1">
      <c r="A126" s="409"/>
      <c r="C126" s="113"/>
      <c r="D126" s="482"/>
      <c r="E126" s="113"/>
      <c r="F126" s="414"/>
      <c r="G126" s="99"/>
      <c r="H126" s="113"/>
      <c r="I126" s="113"/>
      <c r="J126" s="94"/>
      <c r="K126" s="144"/>
      <c r="L126" s="144"/>
      <c r="M126" s="113"/>
      <c r="N126" s="144"/>
      <c r="O126" s="113"/>
      <c r="P126" s="113"/>
      <c r="Q126" s="113"/>
      <c r="R126" s="113"/>
      <c r="S126" s="113"/>
      <c r="U126" s="459"/>
      <c r="AN126" s="409"/>
      <c r="AO126" s="113"/>
    </row>
    <row r="127" spans="1:41" s="458" customFormat="1">
      <c r="A127" s="409"/>
      <c r="C127" s="113"/>
      <c r="D127" s="482"/>
      <c r="E127" s="113"/>
      <c r="F127" s="414"/>
      <c r="G127" s="99"/>
      <c r="H127" s="113"/>
      <c r="I127" s="113"/>
      <c r="J127" s="94"/>
      <c r="K127" s="144"/>
      <c r="L127" s="144"/>
      <c r="M127" s="113"/>
      <c r="N127" s="144"/>
      <c r="O127" s="113"/>
      <c r="P127" s="113"/>
      <c r="Q127" s="113"/>
      <c r="R127" s="113"/>
      <c r="S127" s="113"/>
      <c r="U127" s="459"/>
      <c r="AN127" s="409"/>
      <c r="AO127" s="113"/>
    </row>
    <row r="128" spans="1:41" s="458" customFormat="1">
      <c r="A128" s="409"/>
      <c r="C128" s="113"/>
      <c r="D128" s="482"/>
      <c r="E128" s="113"/>
      <c r="F128" s="414"/>
      <c r="G128" s="99"/>
      <c r="H128" s="113"/>
      <c r="I128" s="113"/>
      <c r="J128" s="94"/>
      <c r="K128" s="144"/>
      <c r="L128" s="144"/>
      <c r="M128" s="113"/>
      <c r="N128" s="144"/>
      <c r="O128" s="113"/>
      <c r="P128" s="113"/>
      <c r="Q128" s="113"/>
      <c r="R128" s="113"/>
      <c r="S128" s="113"/>
      <c r="U128" s="459"/>
      <c r="AN128" s="409"/>
      <c r="AO128" s="113"/>
    </row>
    <row r="129" spans="1:41" s="458" customFormat="1">
      <c r="A129" s="409"/>
      <c r="C129" s="113"/>
      <c r="D129" s="482"/>
      <c r="E129" s="113"/>
      <c r="F129" s="414"/>
      <c r="G129" s="99"/>
      <c r="H129" s="113"/>
      <c r="I129" s="113"/>
      <c r="J129" s="94"/>
      <c r="K129" s="144"/>
      <c r="L129" s="144"/>
      <c r="M129" s="113"/>
      <c r="N129" s="144"/>
      <c r="O129" s="113"/>
      <c r="P129" s="113"/>
      <c r="Q129" s="113"/>
      <c r="R129" s="113"/>
      <c r="S129" s="113"/>
      <c r="U129" s="459"/>
      <c r="AN129" s="409"/>
      <c r="AO129" s="113"/>
    </row>
    <row r="130" spans="1:41" s="458" customFormat="1">
      <c r="A130" s="409"/>
      <c r="C130" s="113"/>
      <c r="D130" s="482"/>
      <c r="E130" s="113"/>
      <c r="F130" s="414"/>
      <c r="G130" s="99"/>
      <c r="H130" s="113"/>
      <c r="I130" s="113"/>
      <c r="J130" s="94"/>
      <c r="K130" s="144"/>
      <c r="L130" s="144"/>
      <c r="M130" s="113"/>
      <c r="N130" s="144"/>
      <c r="O130" s="113"/>
      <c r="P130" s="113"/>
      <c r="Q130" s="113"/>
      <c r="R130" s="113"/>
      <c r="S130" s="113"/>
      <c r="U130" s="459"/>
      <c r="AN130" s="409"/>
      <c r="AO130" s="113"/>
    </row>
    <row r="131" spans="1:41" s="458" customFormat="1">
      <c r="A131" s="409"/>
      <c r="C131" s="113"/>
      <c r="D131" s="482"/>
      <c r="E131" s="113"/>
      <c r="F131" s="414"/>
      <c r="G131" s="99"/>
      <c r="H131" s="113"/>
      <c r="I131" s="113"/>
      <c r="J131" s="94"/>
      <c r="K131" s="144"/>
      <c r="L131" s="144"/>
      <c r="M131" s="113"/>
      <c r="N131" s="144"/>
      <c r="O131" s="113"/>
      <c r="P131" s="113"/>
      <c r="Q131" s="113"/>
      <c r="R131" s="113"/>
      <c r="S131" s="113"/>
      <c r="U131" s="459"/>
      <c r="AN131" s="409"/>
      <c r="AO131" s="113"/>
    </row>
    <row r="132" spans="1:41" s="458" customFormat="1">
      <c r="A132" s="409"/>
      <c r="C132" s="113"/>
      <c r="D132" s="482"/>
      <c r="E132" s="113"/>
      <c r="F132" s="414"/>
      <c r="G132" s="99"/>
      <c r="H132" s="113"/>
      <c r="I132" s="113"/>
      <c r="J132" s="94"/>
      <c r="K132" s="144"/>
      <c r="L132" s="144"/>
      <c r="M132" s="113"/>
      <c r="N132" s="144"/>
      <c r="O132" s="113"/>
      <c r="P132" s="113"/>
      <c r="Q132" s="113"/>
      <c r="R132" s="113"/>
      <c r="S132" s="113"/>
      <c r="U132" s="459"/>
      <c r="AN132" s="409"/>
      <c r="AO132" s="113"/>
    </row>
    <row r="133" spans="1:41" s="458" customFormat="1">
      <c r="A133" s="409"/>
      <c r="C133" s="113"/>
      <c r="D133" s="482"/>
      <c r="E133" s="113"/>
      <c r="F133" s="414"/>
      <c r="G133" s="99"/>
      <c r="H133" s="113"/>
      <c r="I133" s="113"/>
      <c r="J133" s="94"/>
      <c r="K133" s="144"/>
      <c r="L133" s="144"/>
      <c r="M133" s="113"/>
      <c r="N133" s="144"/>
      <c r="O133" s="113"/>
      <c r="P133" s="113"/>
      <c r="Q133" s="113"/>
      <c r="R133" s="113"/>
      <c r="S133" s="113"/>
      <c r="U133" s="459"/>
      <c r="AN133" s="409"/>
      <c r="AO133" s="113"/>
    </row>
    <row r="134" spans="1:41" s="458" customFormat="1">
      <c r="A134" s="409"/>
      <c r="C134" s="113"/>
      <c r="D134" s="482"/>
      <c r="E134" s="113"/>
      <c r="F134" s="414"/>
      <c r="G134" s="99"/>
      <c r="H134" s="113"/>
      <c r="I134" s="113"/>
      <c r="J134" s="94"/>
      <c r="K134" s="144"/>
      <c r="L134" s="144"/>
      <c r="M134" s="113"/>
      <c r="N134" s="144"/>
      <c r="O134" s="113"/>
      <c r="P134" s="113"/>
      <c r="Q134" s="113"/>
      <c r="R134" s="113"/>
      <c r="S134" s="113"/>
      <c r="U134" s="459"/>
      <c r="AN134" s="409"/>
      <c r="AO134" s="113"/>
    </row>
    <row r="135" spans="1:41" s="458" customFormat="1">
      <c r="A135" s="409"/>
      <c r="C135" s="113"/>
      <c r="D135" s="482"/>
      <c r="E135" s="113"/>
      <c r="F135" s="414"/>
      <c r="G135" s="99"/>
      <c r="H135" s="113"/>
      <c r="I135" s="113"/>
      <c r="J135" s="94"/>
      <c r="K135" s="144"/>
      <c r="L135" s="144"/>
      <c r="M135" s="113"/>
      <c r="N135" s="144"/>
      <c r="O135" s="113"/>
      <c r="P135" s="113"/>
      <c r="Q135" s="113"/>
      <c r="R135" s="113"/>
      <c r="S135" s="113"/>
      <c r="U135" s="459"/>
      <c r="AN135" s="409"/>
      <c r="AO135" s="113"/>
    </row>
    <row r="136" spans="1:41" s="458" customFormat="1">
      <c r="A136" s="409"/>
      <c r="C136" s="113"/>
      <c r="D136" s="482"/>
      <c r="E136" s="113"/>
      <c r="F136" s="414"/>
      <c r="G136" s="99"/>
      <c r="H136" s="113"/>
      <c r="I136" s="113"/>
      <c r="J136" s="94"/>
      <c r="K136" s="144"/>
      <c r="L136" s="144"/>
      <c r="M136" s="113"/>
      <c r="N136" s="144"/>
      <c r="O136" s="113"/>
      <c r="P136" s="113"/>
      <c r="Q136" s="113"/>
      <c r="R136" s="113"/>
      <c r="S136" s="113"/>
      <c r="U136" s="459"/>
      <c r="AN136" s="409"/>
      <c r="AO136" s="113"/>
    </row>
    <row r="137" spans="1:41" s="458" customFormat="1">
      <c r="A137" s="409"/>
      <c r="C137" s="113"/>
      <c r="D137" s="482"/>
      <c r="E137" s="113"/>
      <c r="F137" s="414"/>
      <c r="G137" s="99"/>
      <c r="H137" s="113"/>
      <c r="I137" s="113"/>
      <c r="J137" s="94"/>
      <c r="K137" s="144"/>
      <c r="L137" s="144"/>
      <c r="M137" s="113"/>
      <c r="N137" s="144"/>
      <c r="O137" s="113"/>
      <c r="P137" s="113"/>
      <c r="Q137" s="113"/>
      <c r="R137" s="113"/>
      <c r="S137" s="113"/>
      <c r="U137" s="459"/>
      <c r="AN137" s="409"/>
      <c r="AO137" s="113"/>
    </row>
    <row r="138" spans="1:41" s="458" customFormat="1">
      <c r="A138" s="409"/>
      <c r="C138" s="113"/>
      <c r="D138" s="482"/>
      <c r="E138" s="113"/>
      <c r="F138" s="414"/>
      <c r="G138" s="99"/>
      <c r="H138" s="113"/>
      <c r="I138" s="113"/>
      <c r="J138" s="94"/>
      <c r="K138" s="144"/>
      <c r="L138" s="144"/>
      <c r="M138" s="113"/>
      <c r="N138" s="144"/>
      <c r="O138" s="113"/>
      <c r="P138" s="113"/>
      <c r="Q138" s="113"/>
      <c r="R138" s="113"/>
      <c r="S138" s="113"/>
      <c r="U138" s="459"/>
      <c r="AN138" s="409"/>
      <c r="AO138" s="113"/>
    </row>
    <row r="139" spans="1:41" s="458" customFormat="1">
      <c r="A139" s="409"/>
      <c r="C139" s="113"/>
      <c r="D139" s="482"/>
      <c r="E139" s="113"/>
      <c r="F139" s="414"/>
      <c r="G139" s="99"/>
      <c r="H139" s="113"/>
      <c r="I139" s="113"/>
      <c r="J139" s="94"/>
      <c r="K139" s="144"/>
      <c r="L139" s="144"/>
      <c r="M139" s="113"/>
      <c r="N139" s="144"/>
      <c r="O139" s="113"/>
      <c r="P139" s="113"/>
      <c r="Q139" s="113"/>
      <c r="R139" s="113"/>
      <c r="S139" s="113"/>
      <c r="U139" s="459"/>
      <c r="AN139" s="409"/>
      <c r="AO139" s="113"/>
    </row>
    <row r="140" spans="1:41" s="458" customFormat="1">
      <c r="A140" s="409"/>
      <c r="C140" s="113"/>
      <c r="D140" s="482"/>
      <c r="E140" s="113"/>
      <c r="F140" s="414"/>
      <c r="G140" s="99"/>
      <c r="H140" s="113"/>
      <c r="I140" s="113"/>
      <c r="J140" s="94"/>
      <c r="K140" s="144"/>
      <c r="L140" s="144"/>
      <c r="M140" s="113"/>
      <c r="N140" s="144"/>
      <c r="O140" s="113"/>
      <c r="P140" s="113"/>
      <c r="Q140" s="113"/>
      <c r="R140" s="113"/>
      <c r="S140" s="113"/>
      <c r="U140" s="459"/>
      <c r="AN140" s="409"/>
      <c r="AO140" s="113"/>
    </row>
    <row r="141" spans="1:41" s="458" customFormat="1">
      <c r="A141" s="409"/>
      <c r="C141" s="113"/>
      <c r="D141" s="482"/>
      <c r="E141" s="113"/>
      <c r="F141" s="414"/>
      <c r="G141" s="99"/>
      <c r="H141" s="113"/>
      <c r="I141" s="113"/>
      <c r="J141" s="94"/>
      <c r="K141" s="144"/>
      <c r="L141" s="144"/>
      <c r="M141" s="113"/>
      <c r="N141" s="144"/>
      <c r="O141" s="113"/>
      <c r="P141" s="113"/>
      <c r="Q141" s="113"/>
      <c r="R141" s="113"/>
      <c r="S141" s="113"/>
      <c r="U141" s="459"/>
      <c r="AN141" s="409"/>
      <c r="AO141" s="113"/>
    </row>
    <row r="142" spans="1:41" s="458" customFormat="1">
      <c r="A142" s="409"/>
      <c r="C142" s="113"/>
      <c r="D142" s="482"/>
      <c r="E142" s="113"/>
      <c r="F142" s="414"/>
      <c r="G142" s="99"/>
      <c r="H142" s="113"/>
      <c r="I142" s="113"/>
      <c r="J142" s="94"/>
      <c r="K142" s="144"/>
      <c r="L142" s="144"/>
      <c r="M142" s="113"/>
      <c r="N142" s="144"/>
      <c r="O142" s="113"/>
      <c r="P142" s="113"/>
      <c r="Q142" s="113"/>
      <c r="R142" s="113"/>
      <c r="S142" s="113"/>
      <c r="U142" s="459"/>
      <c r="AN142" s="409"/>
      <c r="AO142" s="113"/>
    </row>
    <row r="143" spans="1:41" s="458" customFormat="1">
      <c r="A143" s="409"/>
      <c r="C143" s="113"/>
      <c r="D143" s="482"/>
      <c r="E143" s="113"/>
      <c r="F143" s="414"/>
      <c r="G143" s="99"/>
      <c r="H143" s="113"/>
      <c r="I143" s="113"/>
      <c r="J143" s="94"/>
      <c r="K143" s="144"/>
      <c r="L143" s="144"/>
      <c r="M143" s="113"/>
      <c r="N143" s="144"/>
      <c r="O143" s="113"/>
      <c r="P143" s="113"/>
      <c r="Q143" s="113"/>
      <c r="R143" s="113"/>
      <c r="S143" s="113"/>
      <c r="U143" s="459"/>
      <c r="AN143" s="409"/>
      <c r="AO143" s="113"/>
    </row>
    <row r="144" spans="1:41" s="458" customFormat="1">
      <c r="A144" s="409"/>
      <c r="C144" s="113"/>
      <c r="D144" s="482"/>
      <c r="E144" s="113"/>
      <c r="F144" s="414"/>
      <c r="G144" s="99"/>
      <c r="H144" s="113"/>
      <c r="I144" s="113"/>
      <c r="J144" s="94"/>
      <c r="K144" s="144"/>
      <c r="L144" s="144"/>
      <c r="M144" s="113"/>
      <c r="N144" s="144"/>
      <c r="O144" s="113"/>
      <c r="P144" s="113"/>
      <c r="Q144" s="113"/>
      <c r="R144" s="113"/>
      <c r="S144" s="113"/>
      <c r="U144" s="459"/>
      <c r="AN144" s="409"/>
      <c r="AO144" s="113"/>
    </row>
    <row r="145" spans="1:41" s="458" customFormat="1">
      <c r="A145" s="409"/>
      <c r="C145" s="113"/>
      <c r="D145" s="482"/>
      <c r="E145" s="113"/>
      <c r="F145" s="414"/>
      <c r="G145" s="99"/>
      <c r="H145" s="113"/>
      <c r="I145" s="113"/>
      <c r="J145" s="94"/>
      <c r="K145" s="144"/>
      <c r="L145" s="144"/>
      <c r="M145" s="113"/>
      <c r="N145" s="144"/>
      <c r="O145" s="113"/>
      <c r="P145" s="113"/>
      <c r="Q145" s="113"/>
      <c r="R145" s="113"/>
      <c r="S145" s="113"/>
      <c r="U145" s="459"/>
      <c r="AN145" s="409"/>
      <c r="AO145" s="113"/>
    </row>
    <row r="146" spans="1:41" s="458" customFormat="1">
      <c r="A146" s="409"/>
      <c r="C146" s="113"/>
      <c r="D146" s="482"/>
      <c r="E146" s="113"/>
      <c r="F146" s="414"/>
      <c r="G146" s="99"/>
      <c r="H146" s="113"/>
      <c r="I146" s="113"/>
      <c r="J146" s="94"/>
      <c r="K146" s="144"/>
      <c r="L146" s="144"/>
      <c r="M146" s="113"/>
      <c r="N146" s="144"/>
      <c r="O146" s="113"/>
      <c r="P146" s="113"/>
      <c r="Q146" s="113"/>
      <c r="R146" s="113"/>
      <c r="S146" s="113"/>
      <c r="U146" s="459"/>
      <c r="AN146" s="409"/>
      <c r="AO146" s="113"/>
    </row>
    <row r="147" spans="1:41" s="458" customFormat="1">
      <c r="A147" s="409"/>
      <c r="C147" s="113"/>
      <c r="D147" s="482"/>
      <c r="E147" s="113"/>
      <c r="F147" s="414"/>
      <c r="G147" s="99"/>
      <c r="H147" s="113"/>
      <c r="I147" s="113"/>
      <c r="J147" s="94"/>
      <c r="K147" s="144"/>
      <c r="L147" s="144"/>
      <c r="M147" s="113"/>
      <c r="N147" s="144"/>
      <c r="O147" s="113"/>
      <c r="P147" s="113"/>
      <c r="Q147" s="113"/>
      <c r="R147" s="113"/>
      <c r="S147" s="113"/>
      <c r="U147" s="459"/>
      <c r="AN147" s="409"/>
      <c r="AO147" s="113"/>
    </row>
    <row r="148" spans="1:41" s="458" customFormat="1">
      <c r="A148" s="409"/>
      <c r="C148" s="113"/>
      <c r="D148" s="482"/>
      <c r="E148" s="113"/>
      <c r="F148" s="414"/>
      <c r="G148" s="99"/>
      <c r="H148" s="113"/>
      <c r="I148" s="113"/>
      <c r="J148" s="94"/>
      <c r="K148" s="144"/>
      <c r="L148" s="144"/>
      <c r="M148" s="113"/>
      <c r="N148" s="144"/>
      <c r="O148" s="113"/>
      <c r="P148" s="113"/>
      <c r="Q148" s="113"/>
      <c r="R148" s="113"/>
      <c r="S148" s="113"/>
      <c r="U148" s="459"/>
      <c r="AN148" s="409"/>
      <c r="AO148" s="113"/>
    </row>
    <row r="149" spans="1:41" s="458" customFormat="1">
      <c r="A149" s="409"/>
      <c r="C149" s="113"/>
      <c r="D149" s="482"/>
      <c r="E149" s="113"/>
      <c r="F149" s="414"/>
      <c r="G149" s="99"/>
      <c r="H149" s="113"/>
      <c r="I149" s="113"/>
      <c r="J149" s="94"/>
      <c r="K149" s="144"/>
      <c r="L149" s="144"/>
      <c r="M149" s="113"/>
      <c r="N149" s="144"/>
      <c r="O149" s="113"/>
      <c r="P149" s="113"/>
      <c r="Q149" s="113"/>
      <c r="R149" s="113"/>
      <c r="S149" s="113"/>
      <c r="U149" s="459"/>
      <c r="AN149" s="409"/>
      <c r="AO149" s="113"/>
    </row>
    <row r="150" spans="1:41" s="458" customFormat="1">
      <c r="A150" s="409"/>
      <c r="C150" s="113"/>
      <c r="D150" s="482"/>
      <c r="E150" s="113"/>
      <c r="F150" s="414"/>
      <c r="G150" s="99"/>
      <c r="H150" s="113"/>
      <c r="I150" s="113"/>
      <c r="J150" s="94"/>
      <c r="K150" s="144"/>
      <c r="L150" s="144"/>
      <c r="M150" s="113"/>
      <c r="N150" s="144"/>
      <c r="O150" s="113"/>
      <c r="P150" s="113"/>
      <c r="Q150" s="113"/>
      <c r="R150" s="113"/>
      <c r="S150" s="113"/>
      <c r="U150" s="459"/>
      <c r="AN150" s="409"/>
      <c r="AO150" s="113"/>
    </row>
    <row r="151" spans="1:41" s="458" customFormat="1">
      <c r="A151" s="409"/>
      <c r="C151" s="113"/>
      <c r="D151" s="482"/>
      <c r="E151" s="113"/>
      <c r="F151" s="414"/>
      <c r="G151" s="99"/>
      <c r="H151" s="113"/>
      <c r="I151" s="113"/>
      <c r="J151" s="94"/>
      <c r="K151" s="144"/>
      <c r="L151" s="144"/>
      <c r="M151" s="113"/>
      <c r="N151" s="144"/>
      <c r="O151" s="113"/>
      <c r="P151" s="113"/>
      <c r="Q151" s="113"/>
      <c r="R151" s="113"/>
      <c r="S151" s="113"/>
      <c r="U151" s="459"/>
      <c r="AN151" s="409"/>
      <c r="AO151" s="113"/>
    </row>
    <row r="152" spans="1:41" s="458" customFormat="1">
      <c r="A152" s="409"/>
      <c r="C152" s="113"/>
      <c r="D152" s="482"/>
      <c r="E152" s="113"/>
      <c r="F152" s="414"/>
      <c r="G152" s="99"/>
      <c r="H152" s="113"/>
      <c r="I152" s="113"/>
      <c r="J152" s="94"/>
      <c r="K152" s="144"/>
      <c r="L152" s="144"/>
      <c r="M152" s="113"/>
      <c r="N152" s="144"/>
      <c r="O152" s="113"/>
      <c r="P152" s="113"/>
      <c r="Q152" s="113"/>
      <c r="R152" s="113"/>
      <c r="S152" s="113"/>
      <c r="U152" s="459"/>
      <c r="AN152" s="409"/>
      <c r="AO152" s="113"/>
    </row>
    <row r="153" spans="1:41" s="458" customFormat="1">
      <c r="A153" s="409"/>
      <c r="C153" s="113"/>
      <c r="D153" s="482"/>
      <c r="E153" s="113"/>
      <c r="F153" s="414"/>
      <c r="G153" s="99"/>
      <c r="H153" s="113"/>
      <c r="I153" s="113"/>
      <c r="J153" s="94"/>
      <c r="K153" s="144"/>
      <c r="L153" s="144"/>
      <c r="M153" s="113"/>
      <c r="N153" s="144"/>
      <c r="O153" s="113"/>
      <c r="P153" s="113"/>
      <c r="Q153" s="113"/>
      <c r="R153" s="113"/>
      <c r="S153" s="113"/>
      <c r="U153" s="459"/>
      <c r="AN153" s="409"/>
      <c r="AO153" s="113"/>
    </row>
    <row r="154" spans="1:41" s="458" customFormat="1">
      <c r="A154" s="409"/>
      <c r="C154" s="113"/>
      <c r="D154" s="482"/>
      <c r="E154" s="113"/>
      <c r="F154" s="414"/>
      <c r="G154" s="99"/>
      <c r="H154" s="113"/>
      <c r="I154" s="113"/>
      <c r="J154" s="94"/>
      <c r="K154" s="144"/>
      <c r="L154" s="144"/>
      <c r="M154" s="113"/>
      <c r="N154" s="144"/>
      <c r="O154" s="113"/>
      <c r="P154" s="113"/>
      <c r="Q154" s="113"/>
      <c r="R154" s="113"/>
      <c r="S154" s="113"/>
      <c r="U154" s="459"/>
      <c r="AN154" s="409"/>
      <c r="AO154" s="113"/>
    </row>
    <row r="155" spans="1:41" s="458" customFormat="1">
      <c r="A155" s="409"/>
      <c r="C155" s="113"/>
      <c r="D155" s="482"/>
      <c r="E155" s="113"/>
      <c r="F155" s="414"/>
      <c r="G155" s="99"/>
      <c r="H155" s="113"/>
      <c r="I155" s="113"/>
      <c r="J155" s="94"/>
      <c r="K155" s="144"/>
      <c r="L155" s="144"/>
      <c r="M155" s="113"/>
      <c r="N155" s="144"/>
      <c r="O155" s="113"/>
      <c r="P155" s="113"/>
      <c r="Q155" s="113"/>
      <c r="R155" s="113"/>
      <c r="S155" s="113"/>
      <c r="U155" s="459"/>
      <c r="AN155" s="409"/>
      <c r="AO155" s="113"/>
    </row>
    <row r="156" spans="1:41" s="458" customFormat="1">
      <c r="A156" s="409"/>
      <c r="C156" s="113"/>
      <c r="D156" s="482"/>
      <c r="E156" s="113"/>
      <c r="F156" s="414"/>
      <c r="G156" s="99"/>
      <c r="H156" s="113"/>
      <c r="I156" s="113"/>
      <c r="J156" s="94"/>
      <c r="K156" s="144"/>
      <c r="L156" s="144"/>
      <c r="M156" s="113"/>
      <c r="N156" s="144"/>
      <c r="O156" s="113"/>
      <c r="P156" s="113"/>
      <c r="Q156" s="113"/>
      <c r="R156" s="113"/>
      <c r="S156" s="113"/>
      <c r="U156" s="459"/>
      <c r="AN156" s="409"/>
      <c r="AO156" s="113"/>
    </row>
    <row r="157" spans="1:41" s="458" customFormat="1">
      <c r="A157" s="409"/>
      <c r="C157" s="113"/>
      <c r="D157" s="482"/>
      <c r="E157" s="113"/>
      <c r="F157" s="414"/>
      <c r="G157" s="99"/>
      <c r="H157" s="113"/>
      <c r="I157" s="113"/>
      <c r="J157" s="94"/>
      <c r="K157" s="144"/>
      <c r="L157" s="144"/>
      <c r="M157" s="113"/>
      <c r="N157" s="144"/>
      <c r="O157" s="113"/>
      <c r="P157" s="113"/>
      <c r="Q157" s="113"/>
      <c r="R157" s="113"/>
      <c r="S157" s="113"/>
      <c r="U157" s="459"/>
      <c r="AN157" s="409"/>
      <c r="AO157" s="113"/>
    </row>
    <row r="158" spans="1:41" s="458" customFormat="1">
      <c r="A158" s="409"/>
      <c r="C158" s="113"/>
      <c r="D158" s="482"/>
      <c r="E158" s="113"/>
      <c r="F158" s="414"/>
      <c r="G158" s="99"/>
      <c r="H158" s="113"/>
      <c r="I158" s="113"/>
      <c r="J158" s="94"/>
      <c r="K158" s="144"/>
      <c r="L158" s="144"/>
      <c r="M158" s="113"/>
      <c r="N158" s="144"/>
      <c r="O158" s="113"/>
      <c r="P158" s="113"/>
      <c r="Q158" s="113"/>
      <c r="R158" s="113"/>
      <c r="S158" s="113"/>
      <c r="U158" s="459"/>
      <c r="AN158" s="409"/>
      <c r="AO158" s="113"/>
    </row>
    <row r="159" spans="1:41" s="458" customFormat="1">
      <c r="A159" s="409"/>
      <c r="C159" s="113"/>
      <c r="D159" s="482"/>
      <c r="E159" s="113"/>
      <c r="F159" s="414"/>
      <c r="G159" s="99"/>
      <c r="H159" s="113"/>
      <c r="I159" s="113"/>
      <c r="J159" s="94"/>
      <c r="K159" s="144"/>
      <c r="L159" s="144"/>
      <c r="M159" s="113"/>
      <c r="N159" s="144"/>
      <c r="O159" s="113"/>
      <c r="P159" s="113"/>
      <c r="Q159" s="113"/>
      <c r="R159" s="113"/>
      <c r="S159" s="113"/>
      <c r="U159" s="459"/>
      <c r="AN159" s="409"/>
      <c r="AO159" s="113"/>
    </row>
    <row r="160" spans="1:41" s="458" customFormat="1">
      <c r="A160" s="409"/>
      <c r="C160" s="113"/>
      <c r="D160" s="482"/>
      <c r="E160" s="113"/>
      <c r="F160" s="414"/>
      <c r="G160" s="99"/>
      <c r="H160" s="113"/>
      <c r="I160" s="113"/>
      <c r="J160" s="94"/>
      <c r="K160" s="144"/>
      <c r="L160" s="144"/>
      <c r="M160" s="113"/>
      <c r="N160" s="144"/>
      <c r="O160" s="113"/>
      <c r="P160" s="113"/>
      <c r="Q160" s="113"/>
      <c r="R160" s="113"/>
      <c r="S160" s="113"/>
      <c r="U160" s="459"/>
      <c r="AN160" s="409"/>
      <c r="AO160" s="113"/>
    </row>
    <row r="161" spans="1:41" s="458" customFormat="1">
      <c r="A161" s="409"/>
      <c r="C161" s="113"/>
      <c r="D161" s="482"/>
      <c r="E161" s="113"/>
      <c r="F161" s="414"/>
      <c r="G161" s="99"/>
      <c r="H161" s="113"/>
      <c r="I161" s="113"/>
      <c r="J161" s="94"/>
      <c r="K161" s="144"/>
      <c r="L161" s="144"/>
      <c r="M161" s="113"/>
      <c r="N161" s="144"/>
      <c r="O161" s="113"/>
      <c r="P161" s="113"/>
      <c r="Q161" s="113"/>
      <c r="R161" s="113"/>
      <c r="S161" s="113"/>
      <c r="U161" s="459"/>
      <c r="AN161" s="409"/>
      <c r="AO161" s="113"/>
    </row>
    <row r="162" spans="1:41" s="458" customFormat="1">
      <c r="A162" s="409"/>
      <c r="C162" s="113"/>
      <c r="D162" s="482"/>
      <c r="E162" s="113"/>
      <c r="F162" s="414"/>
      <c r="G162" s="99"/>
      <c r="H162" s="113"/>
      <c r="I162" s="113"/>
      <c r="J162" s="94"/>
      <c r="K162" s="144"/>
      <c r="L162" s="144"/>
      <c r="M162" s="113"/>
      <c r="N162" s="144"/>
      <c r="O162" s="113"/>
      <c r="P162" s="113"/>
      <c r="Q162" s="113"/>
      <c r="R162" s="113"/>
      <c r="S162" s="113"/>
      <c r="U162" s="459"/>
      <c r="AN162" s="409"/>
      <c r="AO162" s="113"/>
    </row>
    <row r="163" spans="1:41" s="458" customFormat="1">
      <c r="A163" s="409"/>
      <c r="C163" s="113"/>
      <c r="D163" s="482"/>
      <c r="E163" s="113"/>
      <c r="F163" s="414"/>
      <c r="G163" s="99"/>
      <c r="H163" s="113"/>
      <c r="I163" s="113"/>
      <c r="J163" s="94"/>
      <c r="K163" s="144"/>
      <c r="L163" s="144"/>
      <c r="M163" s="113"/>
      <c r="N163" s="144"/>
      <c r="O163" s="113"/>
      <c r="P163" s="113"/>
      <c r="Q163" s="113"/>
      <c r="R163" s="113"/>
      <c r="S163" s="113"/>
      <c r="U163" s="459"/>
      <c r="AN163" s="409"/>
      <c r="AO163" s="113"/>
    </row>
    <row r="164" spans="1:41" s="458" customFormat="1">
      <c r="A164" s="409"/>
      <c r="C164" s="113"/>
      <c r="D164" s="482"/>
      <c r="E164" s="113"/>
      <c r="F164" s="414"/>
      <c r="G164" s="99"/>
      <c r="H164" s="113"/>
      <c r="I164" s="113"/>
      <c r="J164" s="94"/>
      <c r="K164" s="144"/>
      <c r="L164" s="144"/>
      <c r="M164" s="113"/>
      <c r="N164" s="144"/>
      <c r="O164" s="113"/>
      <c r="P164" s="113"/>
      <c r="Q164" s="113"/>
      <c r="R164" s="113"/>
      <c r="S164" s="113"/>
      <c r="U164" s="459"/>
      <c r="AN164" s="409"/>
      <c r="AO164" s="113"/>
    </row>
    <row r="165" spans="1:41" s="458" customFormat="1">
      <c r="A165" s="409"/>
      <c r="C165" s="113"/>
      <c r="D165" s="482"/>
      <c r="E165" s="113"/>
      <c r="F165" s="414"/>
      <c r="G165" s="99"/>
      <c r="H165" s="113"/>
      <c r="I165" s="113"/>
      <c r="J165" s="94"/>
      <c r="K165" s="144"/>
      <c r="L165" s="144"/>
      <c r="M165" s="113"/>
      <c r="N165" s="144"/>
      <c r="O165" s="113"/>
      <c r="P165" s="113"/>
      <c r="Q165" s="113"/>
      <c r="R165" s="113"/>
      <c r="S165" s="113"/>
      <c r="U165" s="459"/>
      <c r="AN165" s="409"/>
      <c r="AO165" s="113"/>
    </row>
    <row r="166" spans="1:41" s="458" customFormat="1">
      <c r="A166" s="409"/>
      <c r="C166" s="113"/>
      <c r="D166" s="482"/>
      <c r="E166" s="113"/>
      <c r="F166" s="414"/>
      <c r="G166" s="99"/>
      <c r="H166" s="113"/>
      <c r="I166" s="113"/>
      <c r="J166" s="94"/>
      <c r="K166" s="144"/>
      <c r="L166" s="144"/>
      <c r="M166" s="113"/>
      <c r="N166" s="144"/>
      <c r="O166" s="113"/>
      <c r="P166" s="113"/>
      <c r="Q166" s="113"/>
      <c r="R166" s="113"/>
      <c r="S166" s="113"/>
      <c r="U166" s="459"/>
      <c r="AN166" s="409"/>
      <c r="AO166" s="113"/>
    </row>
    <row r="167" spans="1:41" s="458" customFormat="1">
      <c r="A167" s="409"/>
      <c r="C167" s="113"/>
      <c r="D167" s="482"/>
      <c r="E167" s="113"/>
      <c r="F167" s="414"/>
      <c r="G167" s="99"/>
      <c r="H167" s="113"/>
      <c r="I167" s="113"/>
      <c r="J167" s="94"/>
      <c r="K167" s="144"/>
      <c r="L167" s="144"/>
      <c r="M167" s="113"/>
      <c r="N167" s="144"/>
      <c r="O167" s="113"/>
      <c r="P167" s="113"/>
      <c r="Q167" s="113"/>
      <c r="R167" s="113"/>
      <c r="S167" s="113"/>
      <c r="U167" s="459"/>
      <c r="AN167" s="409"/>
      <c r="AO167" s="113"/>
    </row>
    <row r="168" spans="1:41" s="458" customFormat="1">
      <c r="A168" s="409"/>
      <c r="C168" s="113"/>
      <c r="D168" s="482"/>
      <c r="E168" s="113"/>
      <c r="F168" s="414"/>
      <c r="G168" s="99"/>
      <c r="H168" s="113"/>
      <c r="I168" s="113"/>
      <c r="J168" s="94"/>
      <c r="K168" s="144"/>
      <c r="L168" s="144"/>
      <c r="M168" s="113"/>
      <c r="N168" s="144"/>
      <c r="O168" s="113"/>
      <c r="P168" s="113"/>
      <c r="Q168" s="113"/>
      <c r="R168" s="113"/>
      <c r="S168" s="113"/>
      <c r="U168" s="459"/>
      <c r="AN168" s="409"/>
      <c r="AO168" s="113"/>
    </row>
    <row r="169" spans="1:41" s="458" customFormat="1">
      <c r="A169" s="409"/>
      <c r="C169" s="113"/>
      <c r="D169" s="482"/>
      <c r="E169" s="113"/>
      <c r="F169" s="414"/>
      <c r="G169" s="99"/>
      <c r="H169" s="113"/>
      <c r="I169" s="113"/>
      <c r="J169" s="94"/>
      <c r="K169" s="144"/>
      <c r="L169" s="144"/>
      <c r="M169" s="113"/>
      <c r="N169" s="144"/>
      <c r="O169" s="113"/>
      <c r="P169" s="113"/>
      <c r="Q169" s="113"/>
      <c r="R169" s="113"/>
      <c r="S169" s="113"/>
      <c r="U169" s="459"/>
      <c r="AN169" s="409"/>
      <c r="AO169" s="113"/>
    </row>
    <row r="170" spans="1:41" s="458" customFormat="1">
      <c r="A170" s="409"/>
      <c r="C170" s="113"/>
      <c r="D170" s="482"/>
      <c r="E170" s="113"/>
      <c r="F170" s="414"/>
      <c r="G170" s="99"/>
      <c r="H170" s="113"/>
      <c r="I170" s="113"/>
      <c r="J170" s="94"/>
      <c r="K170" s="144"/>
      <c r="L170" s="144"/>
      <c r="M170" s="113"/>
      <c r="N170" s="144"/>
      <c r="O170" s="113"/>
      <c r="P170" s="113"/>
      <c r="Q170" s="113"/>
      <c r="R170" s="113"/>
      <c r="S170" s="113"/>
      <c r="U170" s="459"/>
      <c r="AN170" s="409"/>
      <c r="AO170" s="113"/>
    </row>
    <row r="171" spans="1:41" s="458" customFormat="1">
      <c r="A171" s="409"/>
      <c r="C171" s="113"/>
      <c r="D171" s="482"/>
      <c r="E171" s="113"/>
      <c r="F171" s="414"/>
      <c r="G171" s="99"/>
      <c r="H171" s="113"/>
      <c r="I171" s="113"/>
      <c r="J171" s="94"/>
      <c r="K171" s="144"/>
      <c r="L171" s="144"/>
      <c r="M171" s="113"/>
      <c r="N171" s="144"/>
      <c r="O171" s="113"/>
      <c r="P171" s="113"/>
      <c r="Q171" s="113"/>
      <c r="R171" s="113"/>
      <c r="S171" s="113"/>
      <c r="U171" s="459"/>
      <c r="AN171" s="409"/>
      <c r="AO171" s="113"/>
    </row>
    <row r="172" spans="1:41" s="458" customFormat="1">
      <c r="A172" s="409"/>
      <c r="C172" s="113"/>
      <c r="D172" s="482"/>
      <c r="E172" s="113"/>
      <c r="F172" s="414"/>
      <c r="G172" s="99"/>
      <c r="H172" s="113"/>
      <c r="I172" s="113"/>
      <c r="J172" s="94"/>
      <c r="K172" s="144"/>
      <c r="L172" s="144"/>
      <c r="M172" s="113"/>
      <c r="N172" s="144"/>
      <c r="O172" s="113"/>
      <c r="P172" s="113"/>
      <c r="Q172" s="113"/>
      <c r="R172" s="113"/>
      <c r="S172" s="113"/>
      <c r="U172" s="459"/>
      <c r="AN172" s="409"/>
      <c r="AO172" s="113"/>
    </row>
    <row r="173" spans="1:41" s="458" customFormat="1">
      <c r="A173" s="409"/>
      <c r="C173" s="113"/>
      <c r="D173" s="482"/>
      <c r="E173" s="113"/>
      <c r="F173" s="414"/>
      <c r="G173" s="99"/>
      <c r="H173" s="113"/>
      <c r="I173" s="113"/>
      <c r="J173" s="94"/>
      <c r="K173" s="144"/>
      <c r="L173" s="144"/>
      <c r="M173" s="113"/>
      <c r="N173" s="144"/>
      <c r="O173" s="113"/>
      <c r="P173" s="113"/>
      <c r="Q173" s="113"/>
      <c r="R173" s="113"/>
      <c r="S173" s="113"/>
      <c r="U173" s="459"/>
      <c r="AN173" s="409"/>
      <c r="AO173" s="113"/>
    </row>
    <row r="174" spans="1:41" s="458" customFormat="1">
      <c r="A174" s="409"/>
      <c r="C174" s="113"/>
      <c r="D174" s="482"/>
      <c r="E174" s="113"/>
      <c r="F174" s="414"/>
      <c r="G174" s="99"/>
      <c r="H174" s="113"/>
      <c r="I174" s="113"/>
      <c r="J174" s="94"/>
      <c r="K174" s="144"/>
      <c r="L174" s="144"/>
      <c r="M174" s="113"/>
      <c r="N174" s="144"/>
      <c r="O174" s="113"/>
      <c r="P174" s="113"/>
      <c r="Q174" s="113"/>
      <c r="R174" s="113"/>
      <c r="S174" s="113"/>
      <c r="U174" s="459"/>
      <c r="AN174" s="409"/>
      <c r="AO174" s="113"/>
    </row>
    <row r="175" spans="1:41" s="458" customFormat="1">
      <c r="A175" s="409"/>
      <c r="C175" s="113"/>
      <c r="D175" s="482"/>
      <c r="E175" s="113"/>
      <c r="F175" s="414"/>
      <c r="G175" s="99"/>
      <c r="H175" s="113"/>
      <c r="I175" s="113"/>
      <c r="J175" s="94"/>
      <c r="K175" s="144"/>
      <c r="L175" s="144"/>
      <c r="M175" s="113"/>
      <c r="N175" s="144"/>
      <c r="O175" s="113"/>
      <c r="P175" s="113"/>
      <c r="Q175" s="113"/>
      <c r="R175" s="113"/>
      <c r="S175" s="113"/>
      <c r="U175" s="459"/>
      <c r="AN175" s="409"/>
      <c r="AO175" s="113"/>
    </row>
    <row r="176" spans="1:41" s="458" customFormat="1">
      <c r="A176" s="409"/>
      <c r="C176" s="113"/>
      <c r="D176" s="482"/>
      <c r="E176" s="113"/>
      <c r="F176" s="414"/>
      <c r="G176" s="99"/>
      <c r="H176" s="113"/>
      <c r="I176" s="113"/>
      <c r="J176" s="94"/>
      <c r="K176" s="144"/>
      <c r="L176" s="144"/>
      <c r="M176" s="113"/>
      <c r="N176" s="144"/>
      <c r="O176" s="113"/>
      <c r="P176" s="113"/>
      <c r="Q176" s="113"/>
      <c r="R176" s="113"/>
      <c r="S176" s="113"/>
      <c r="U176" s="459"/>
      <c r="AN176" s="409"/>
      <c r="AO176" s="113"/>
    </row>
    <row r="177" spans="1:41" s="458" customFormat="1">
      <c r="A177" s="409"/>
      <c r="C177" s="113"/>
      <c r="D177" s="482"/>
      <c r="E177" s="113"/>
      <c r="F177" s="414"/>
      <c r="G177" s="99"/>
      <c r="H177" s="113"/>
      <c r="I177" s="113"/>
      <c r="J177" s="94"/>
      <c r="K177" s="144"/>
      <c r="L177" s="144"/>
      <c r="M177" s="113"/>
      <c r="N177" s="144"/>
      <c r="O177" s="113"/>
      <c r="P177" s="113"/>
      <c r="Q177" s="113"/>
      <c r="R177" s="113"/>
      <c r="S177" s="113"/>
      <c r="U177" s="459"/>
      <c r="AN177" s="409"/>
      <c r="AO177" s="113"/>
    </row>
    <row r="178" spans="1:41" s="458" customFormat="1">
      <c r="A178" s="409"/>
      <c r="C178" s="113"/>
      <c r="D178" s="482"/>
      <c r="E178" s="113"/>
      <c r="F178" s="414"/>
      <c r="G178" s="99"/>
      <c r="H178" s="113"/>
      <c r="I178" s="113"/>
      <c r="J178" s="94"/>
      <c r="K178" s="144"/>
      <c r="L178" s="144"/>
      <c r="M178" s="113"/>
      <c r="N178" s="144"/>
      <c r="O178" s="113"/>
      <c r="P178" s="113"/>
      <c r="Q178" s="113"/>
      <c r="R178" s="113"/>
      <c r="S178" s="113"/>
      <c r="U178" s="459"/>
      <c r="AN178" s="409"/>
      <c r="AO178" s="113"/>
    </row>
    <row r="179" spans="1:41" s="458" customFormat="1">
      <c r="A179" s="409"/>
      <c r="C179" s="113"/>
      <c r="D179" s="482"/>
      <c r="E179" s="113"/>
      <c r="F179" s="414"/>
      <c r="G179" s="99"/>
      <c r="H179" s="113"/>
      <c r="I179" s="113"/>
      <c r="J179" s="94"/>
      <c r="K179" s="144"/>
      <c r="L179" s="144"/>
      <c r="M179" s="113"/>
      <c r="N179" s="144"/>
      <c r="O179" s="113"/>
      <c r="P179" s="113"/>
      <c r="Q179" s="113"/>
      <c r="R179" s="113"/>
      <c r="S179" s="113"/>
      <c r="U179" s="459"/>
      <c r="AN179" s="409"/>
      <c r="AO179" s="113"/>
    </row>
    <row r="180" spans="1:41" s="458" customFormat="1">
      <c r="A180" s="409"/>
      <c r="C180" s="113"/>
      <c r="D180" s="482"/>
      <c r="E180" s="113"/>
      <c r="F180" s="414"/>
      <c r="G180" s="99"/>
      <c r="H180" s="113"/>
      <c r="I180" s="113"/>
      <c r="J180" s="94"/>
      <c r="K180" s="144"/>
      <c r="L180" s="144"/>
      <c r="M180" s="113"/>
      <c r="N180" s="144"/>
      <c r="O180" s="113"/>
      <c r="P180" s="113"/>
      <c r="Q180" s="113"/>
      <c r="R180" s="113"/>
      <c r="S180" s="113"/>
      <c r="U180" s="459"/>
      <c r="AN180" s="409"/>
      <c r="AO180" s="113"/>
    </row>
    <row r="181" spans="1:41" s="458" customFormat="1">
      <c r="A181" s="409"/>
      <c r="C181" s="113"/>
      <c r="D181" s="482"/>
      <c r="E181" s="113"/>
      <c r="F181" s="414"/>
      <c r="G181" s="99"/>
      <c r="H181" s="113"/>
      <c r="I181" s="113"/>
      <c r="J181" s="94"/>
      <c r="K181" s="144"/>
      <c r="L181" s="144"/>
      <c r="M181" s="113"/>
      <c r="N181" s="144"/>
      <c r="O181" s="113"/>
      <c r="P181" s="113"/>
      <c r="Q181" s="113"/>
      <c r="R181" s="113"/>
      <c r="S181" s="113"/>
      <c r="U181" s="459"/>
      <c r="AN181" s="409"/>
      <c r="AO181" s="113"/>
    </row>
    <row r="182" spans="1:41" s="458" customFormat="1">
      <c r="A182" s="409"/>
      <c r="C182" s="113"/>
      <c r="D182" s="482"/>
      <c r="E182" s="113"/>
      <c r="F182" s="414"/>
      <c r="G182" s="99"/>
      <c r="H182" s="113"/>
      <c r="I182" s="113"/>
      <c r="J182" s="94"/>
      <c r="K182" s="144"/>
      <c r="L182" s="144"/>
      <c r="M182" s="113"/>
      <c r="N182" s="144"/>
      <c r="O182" s="113"/>
      <c r="P182" s="113"/>
      <c r="Q182" s="113"/>
      <c r="R182" s="113"/>
      <c r="S182" s="113"/>
      <c r="U182" s="459"/>
      <c r="AN182" s="409"/>
      <c r="AO182" s="113"/>
    </row>
    <row r="183" spans="1:41" s="458" customFormat="1">
      <c r="A183" s="409"/>
      <c r="C183" s="113"/>
      <c r="D183" s="482"/>
      <c r="E183" s="113"/>
      <c r="F183" s="414"/>
      <c r="G183" s="99"/>
      <c r="H183" s="113"/>
      <c r="I183" s="113"/>
      <c r="J183" s="94"/>
      <c r="K183" s="144"/>
      <c r="L183" s="144"/>
      <c r="M183" s="113"/>
      <c r="N183" s="144"/>
      <c r="O183" s="113"/>
      <c r="P183" s="113"/>
      <c r="Q183" s="113"/>
      <c r="R183" s="113"/>
      <c r="S183" s="113"/>
      <c r="U183" s="459"/>
      <c r="AN183" s="409"/>
      <c r="AO183" s="113"/>
    </row>
    <row r="184" spans="1:41" s="458" customFormat="1">
      <c r="A184" s="409"/>
      <c r="C184" s="113"/>
      <c r="D184" s="482"/>
      <c r="E184" s="113"/>
      <c r="F184" s="414"/>
      <c r="G184" s="99"/>
      <c r="H184" s="113"/>
      <c r="I184" s="113"/>
      <c r="J184" s="94"/>
      <c r="K184" s="144"/>
      <c r="L184" s="144"/>
      <c r="M184" s="113"/>
      <c r="N184" s="144"/>
      <c r="O184" s="113"/>
      <c r="P184" s="113"/>
      <c r="Q184" s="113"/>
      <c r="R184" s="113"/>
      <c r="S184" s="113"/>
      <c r="U184" s="459"/>
      <c r="AN184" s="409"/>
      <c r="AO184" s="113"/>
    </row>
    <row r="185" spans="1:41" s="458" customFormat="1">
      <c r="A185" s="409"/>
      <c r="C185" s="113"/>
      <c r="D185" s="482"/>
      <c r="E185" s="113"/>
      <c r="F185" s="414"/>
      <c r="G185" s="99"/>
      <c r="H185" s="113"/>
      <c r="I185" s="113"/>
      <c r="J185" s="94"/>
      <c r="K185" s="144"/>
      <c r="L185" s="144"/>
      <c r="M185" s="113"/>
      <c r="N185" s="144"/>
      <c r="O185" s="113"/>
      <c r="P185" s="113"/>
      <c r="Q185" s="113"/>
      <c r="R185" s="113"/>
      <c r="S185" s="113"/>
      <c r="U185" s="459"/>
      <c r="AN185" s="409"/>
      <c r="AO185" s="113"/>
    </row>
    <row r="186" spans="1:41" s="458" customFormat="1">
      <c r="A186" s="409"/>
      <c r="C186" s="113"/>
      <c r="D186" s="482"/>
      <c r="E186" s="113"/>
      <c r="F186" s="414"/>
      <c r="G186" s="99"/>
      <c r="H186" s="113"/>
      <c r="I186" s="113"/>
      <c r="J186" s="94"/>
      <c r="K186" s="144"/>
      <c r="L186" s="144"/>
      <c r="M186" s="113"/>
      <c r="N186" s="144"/>
      <c r="O186" s="113"/>
      <c r="P186" s="113"/>
      <c r="Q186" s="113"/>
      <c r="R186" s="113"/>
      <c r="S186" s="113"/>
      <c r="U186" s="459"/>
      <c r="AN186" s="409"/>
      <c r="AO186" s="113"/>
    </row>
    <row r="187" spans="1:41" s="458" customFormat="1">
      <c r="A187" s="409"/>
      <c r="C187" s="113"/>
      <c r="D187" s="482"/>
      <c r="E187" s="113"/>
      <c r="F187" s="414"/>
      <c r="G187" s="99"/>
      <c r="H187" s="113"/>
      <c r="I187" s="113"/>
      <c r="J187" s="94"/>
      <c r="K187" s="144"/>
      <c r="L187" s="144"/>
      <c r="M187" s="113"/>
      <c r="N187" s="144"/>
      <c r="O187" s="113"/>
      <c r="P187" s="113"/>
      <c r="Q187" s="113"/>
      <c r="R187" s="113"/>
      <c r="S187" s="113"/>
      <c r="U187" s="459"/>
      <c r="AN187" s="409"/>
      <c r="AO187" s="113"/>
    </row>
    <row r="188" spans="1:41" s="458" customFormat="1">
      <c r="A188" s="409"/>
      <c r="C188" s="113"/>
      <c r="D188" s="482"/>
      <c r="E188" s="113"/>
      <c r="F188" s="414"/>
      <c r="G188" s="99"/>
      <c r="H188" s="113"/>
      <c r="I188" s="113"/>
      <c r="J188" s="94"/>
      <c r="K188" s="144"/>
      <c r="L188" s="144"/>
      <c r="M188" s="113"/>
      <c r="N188" s="144"/>
      <c r="O188" s="113"/>
      <c r="P188" s="113"/>
      <c r="Q188" s="113"/>
      <c r="R188" s="113"/>
      <c r="S188" s="113"/>
      <c r="U188" s="459"/>
      <c r="AN188" s="409"/>
      <c r="AO188" s="113"/>
    </row>
    <row r="189" spans="1:41" s="458" customFormat="1">
      <c r="A189" s="409"/>
      <c r="C189" s="113"/>
      <c r="D189" s="482"/>
      <c r="E189" s="113"/>
      <c r="F189" s="414"/>
      <c r="G189" s="99"/>
      <c r="H189" s="113"/>
      <c r="I189" s="113"/>
      <c r="J189" s="94"/>
      <c r="K189" s="144"/>
      <c r="L189" s="144"/>
      <c r="M189" s="113"/>
      <c r="N189" s="144"/>
      <c r="O189" s="113"/>
      <c r="P189" s="113"/>
      <c r="Q189" s="113"/>
      <c r="R189" s="113"/>
      <c r="S189" s="113"/>
      <c r="U189" s="459"/>
      <c r="AN189" s="409"/>
      <c r="AO189" s="113"/>
    </row>
    <row r="190" spans="1:41" s="458" customFormat="1">
      <c r="A190" s="409"/>
      <c r="C190" s="113"/>
      <c r="D190" s="482"/>
      <c r="E190" s="113"/>
      <c r="F190" s="414"/>
      <c r="G190" s="99"/>
      <c r="H190" s="113"/>
      <c r="I190" s="113"/>
      <c r="J190" s="94"/>
      <c r="K190" s="144"/>
      <c r="L190" s="144"/>
      <c r="M190" s="113"/>
      <c r="N190" s="144"/>
      <c r="O190" s="113"/>
      <c r="P190" s="113"/>
      <c r="Q190" s="113"/>
      <c r="R190" s="113"/>
      <c r="S190" s="113"/>
      <c r="U190" s="459"/>
      <c r="AN190" s="409"/>
      <c r="AO190" s="113"/>
    </row>
    <row r="191" spans="1:41" s="458" customFormat="1">
      <c r="A191" s="409"/>
      <c r="C191" s="113"/>
      <c r="D191" s="482"/>
      <c r="E191" s="113"/>
      <c r="F191" s="414"/>
      <c r="G191" s="99"/>
      <c r="H191" s="113"/>
      <c r="I191" s="113"/>
      <c r="J191" s="94"/>
      <c r="K191" s="144"/>
      <c r="L191" s="144"/>
      <c r="M191" s="113"/>
      <c r="N191" s="144"/>
      <c r="O191" s="113"/>
      <c r="P191" s="113"/>
      <c r="Q191" s="113"/>
      <c r="R191" s="113"/>
      <c r="S191" s="113"/>
      <c r="U191" s="459"/>
      <c r="AN191" s="409"/>
      <c r="AO191" s="113"/>
    </row>
    <row r="192" spans="1:41" s="458" customFormat="1">
      <c r="A192" s="409"/>
      <c r="C192" s="113"/>
      <c r="D192" s="482"/>
      <c r="E192" s="113"/>
      <c r="F192" s="414"/>
      <c r="G192" s="99"/>
      <c r="H192" s="113"/>
      <c r="I192" s="113"/>
      <c r="J192" s="94"/>
      <c r="K192" s="144"/>
      <c r="L192" s="144"/>
      <c r="M192" s="113"/>
      <c r="N192" s="144"/>
      <c r="O192" s="113"/>
      <c r="P192" s="113"/>
      <c r="Q192" s="113"/>
      <c r="R192" s="113"/>
      <c r="S192" s="113"/>
      <c r="U192" s="459"/>
      <c r="AN192" s="409"/>
      <c r="AO192" s="113"/>
    </row>
    <row r="193" spans="1:41" s="458" customFormat="1">
      <c r="A193" s="409"/>
      <c r="C193" s="113"/>
      <c r="D193" s="482"/>
      <c r="E193" s="113"/>
      <c r="F193" s="414"/>
      <c r="G193" s="99"/>
      <c r="H193" s="113"/>
      <c r="I193" s="113"/>
      <c r="J193" s="94"/>
      <c r="K193" s="144"/>
      <c r="L193" s="144"/>
      <c r="M193" s="113"/>
      <c r="N193" s="144"/>
      <c r="O193" s="113"/>
      <c r="P193" s="113"/>
      <c r="Q193" s="113"/>
      <c r="R193" s="113"/>
      <c r="S193" s="113"/>
      <c r="U193" s="459"/>
      <c r="AN193" s="409"/>
      <c r="AO193" s="113"/>
    </row>
    <row r="194" spans="1:41" s="458" customFormat="1">
      <c r="A194" s="409"/>
      <c r="C194" s="113"/>
      <c r="D194" s="482"/>
      <c r="E194" s="113"/>
      <c r="F194" s="414"/>
      <c r="G194" s="99"/>
      <c r="H194" s="113"/>
      <c r="I194" s="113"/>
      <c r="J194" s="94"/>
      <c r="K194" s="144"/>
      <c r="L194" s="144"/>
      <c r="M194" s="113"/>
      <c r="N194" s="144"/>
      <c r="O194" s="113"/>
      <c r="P194" s="113"/>
      <c r="Q194" s="113"/>
      <c r="R194" s="113"/>
      <c r="S194" s="113"/>
      <c r="U194" s="459"/>
      <c r="AN194" s="409"/>
      <c r="AO194" s="113"/>
    </row>
    <row r="195" spans="1:41" s="458" customFormat="1">
      <c r="A195" s="409"/>
      <c r="C195" s="113"/>
      <c r="D195" s="482"/>
      <c r="E195" s="113"/>
      <c r="F195" s="414"/>
      <c r="G195" s="99"/>
      <c r="H195" s="113"/>
      <c r="I195" s="113"/>
      <c r="J195" s="94"/>
      <c r="K195" s="144"/>
      <c r="L195" s="144"/>
      <c r="M195" s="113"/>
      <c r="N195" s="144"/>
      <c r="O195" s="113"/>
      <c r="P195" s="113"/>
      <c r="Q195" s="113"/>
      <c r="R195" s="113"/>
      <c r="S195" s="113"/>
      <c r="U195" s="459"/>
      <c r="AN195" s="409"/>
      <c r="AO195" s="113"/>
    </row>
    <row r="196" spans="1:41" s="458" customFormat="1">
      <c r="A196" s="409"/>
      <c r="C196" s="113"/>
      <c r="D196" s="482"/>
      <c r="E196" s="113"/>
      <c r="F196" s="414"/>
      <c r="G196" s="99"/>
      <c r="H196" s="113"/>
      <c r="I196" s="113"/>
      <c r="J196" s="94"/>
      <c r="K196" s="144"/>
      <c r="L196" s="144"/>
      <c r="M196" s="113"/>
      <c r="N196" s="144"/>
      <c r="O196" s="113"/>
      <c r="P196" s="113"/>
      <c r="Q196" s="113"/>
      <c r="R196" s="113"/>
      <c r="S196" s="113"/>
      <c r="U196" s="459"/>
      <c r="AN196" s="409"/>
      <c r="AO196" s="113"/>
    </row>
    <row r="197" spans="1:41" s="458" customFormat="1">
      <c r="A197" s="409"/>
      <c r="C197" s="113"/>
      <c r="D197" s="482"/>
      <c r="E197" s="113"/>
      <c r="F197" s="414"/>
      <c r="G197" s="99"/>
      <c r="H197" s="113"/>
      <c r="I197" s="113"/>
      <c r="J197" s="94"/>
      <c r="K197" s="144"/>
      <c r="L197" s="144"/>
      <c r="M197" s="113"/>
      <c r="N197" s="144"/>
      <c r="O197" s="113"/>
      <c r="P197" s="113"/>
      <c r="Q197" s="113"/>
      <c r="R197" s="113"/>
      <c r="S197" s="113"/>
      <c r="U197" s="459"/>
      <c r="AN197" s="409"/>
      <c r="AO197" s="113"/>
    </row>
    <row r="198" spans="1:41" s="458" customFormat="1">
      <c r="A198" s="409"/>
      <c r="C198" s="113"/>
      <c r="D198" s="482"/>
      <c r="E198" s="113"/>
      <c r="F198" s="414"/>
      <c r="G198" s="99"/>
      <c r="H198" s="113"/>
      <c r="I198" s="113"/>
      <c r="J198" s="94"/>
      <c r="K198" s="144"/>
      <c r="L198" s="144"/>
      <c r="M198" s="113"/>
      <c r="N198" s="144"/>
      <c r="O198" s="113"/>
      <c r="P198" s="113"/>
      <c r="Q198" s="113"/>
      <c r="R198" s="113"/>
      <c r="S198" s="113"/>
      <c r="U198" s="459"/>
      <c r="AN198" s="409"/>
      <c r="AO198" s="113"/>
    </row>
    <row r="199" spans="1:41" s="458" customFormat="1">
      <c r="A199" s="409"/>
      <c r="C199" s="113"/>
      <c r="D199" s="482"/>
      <c r="E199" s="113"/>
      <c r="F199" s="414"/>
      <c r="G199" s="99"/>
      <c r="H199" s="113"/>
      <c r="I199" s="113"/>
      <c r="J199" s="94"/>
      <c r="K199" s="144"/>
      <c r="L199" s="144"/>
      <c r="M199" s="113"/>
      <c r="N199" s="144"/>
      <c r="O199" s="113"/>
      <c r="P199" s="113"/>
      <c r="Q199" s="113"/>
      <c r="R199" s="113"/>
      <c r="S199" s="113"/>
      <c r="U199" s="459"/>
      <c r="AN199" s="409"/>
      <c r="AO199" s="113"/>
    </row>
    <row r="200" spans="1:41" s="458" customFormat="1">
      <c r="A200" s="409"/>
      <c r="C200" s="113"/>
      <c r="D200" s="482"/>
      <c r="E200" s="113"/>
      <c r="F200" s="414"/>
      <c r="G200" s="99"/>
      <c r="H200" s="113"/>
      <c r="I200" s="113"/>
      <c r="J200" s="94"/>
      <c r="K200" s="144"/>
      <c r="L200" s="144"/>
      <c r="M200" s="113"/>
      <c r="N200" s="144"/>
      <c r="O200" s="113"/>
      <c r="P200" s="113"/>
      <c r="Q200" s="113"/>
      <c r="R200" s="113"/>
      <c r="S200" s="113"/>
      <c r="U200" s="459"/>
      <c r="AN200" s="409"/>
      <c r="AO200" s="113"/>
    </row>
    <row r="201" spans="1:41" s="458" customFormat="1">
      <c r="A201" s="409"/>
      <c r="C201" s="113"/>
      <c r="D201" s="482"/>
      <c r="E201" s="113"/>
      <c r="F201" s="414"/>
      <c r="G201" s="99"/>
      <c r="H201" s="113"/>
      <c r="I201" s="113"/>
      <c r="J201" s="94"/>
      <c r="K201" s="144"/>
      <c r="L201" s="144"/>
      <c r="M201" s="113"/>
      <c r="N201" s="144"/>
      <c r="O201" s="113"/>
      <c r="P201" s="113"/>
      <c r="Q201" s="113"/>
      <c r="R201" s="113"/>
      <c r="S201" s="113"/>
      <c r="U201" s="459"/>
      <c r="AN201" s="409"/>
      <c r="AO201" s="113"/>
    </row>
    <row r="202" spans="1:41" s="458" customFormat="1">
      <c r="A202" s="409"/>
      <c r="C202" s="113"/>
      <c r="D202" s="482"/>
      <c r="E202" s="113"/>
      <c r="F202" s="414"/>
      <c r="G202" s="99"/>
      <c r="H202" s="113"/>
      <c r="I202" s="113"/>
      <c r="J202" s="94"/>
      <c r="K202" s="144"/>
      <c r="L202" s="144"/>
      <c r="M202" s="113"/>
      <c r="N202" s="144"/>
      <c r="O202" s="113"/>
      <c r="P202" s="113"/>
      <c r="Q202" s="113"/>
      <c r="R202" s="113"/>
      <c r="S202" s="113"/>
      <c r="U202" s="459"/>
      <c r="AN202" s="409"/>
      <c r="AO202" s="113"/>
    </row>
    <row r="203" spans="1:41" s="458" customFormat="1">
      <c r="A203" s="409"/>
      <c r="C203" s="113"/>
      <c r="D203" s="482"/>
      <c r="E203" s="113"/>
      <c r="F203" s="414"/>
      <c r="G203" s="99"/>
      <c r="H203" s="113"/>
      <c r="I203" s="113"/>
      <c r="J203" s="94"/>
      <c r="K203" s="144"/>
      <c r="L203" s="144"/>
      <c r="M203" s="113"/>
      <c r="N203" s="144"/>
      <c r="O203" s="113"/>
      <c r="P203" s="113"/>
      <c r="Q203" s="113"/>
      <c r="R203" s="113"/>
      <c r="S203" s="113"/>
      <c r="U203" s="459"/>
      <c r="AN203" s="409"/>
      <c r="AO203" s="113"/>
    </row>
    <row r="204" spans="1:41" s="458" customFormat="1">
      <c r="A204" s="409"/>
      <c r="C204" s="113"/>
      <c r="D204" s="482"/>
      <c r="E204" s="113"/>
      <c r="F204" s="414"/>
      <c r="G204" s="99"/>
      <c r="H204" s="113"/>
      <c r="I204" s="113"/>
      <c r="J204" s="94"/>
      <c r="K204" s="144"/>
      <c r="L204" s="144"/>
      <c r="M204" s="113"/>
      <c r="N204" s="144"/>
      <c r="O204" s="113"/>
      <c r="P204" s="113"/>
      <c r="Q204" s="113"/>
      <c r="R204" s="113"/>
      <c r="S204" s="113"/>
      <c r="U204" s="459"/>
      <c r="AN204" s="409"/>
      <c r="AO204" s="113"/>
    </row>
    <row r="205" spans="1:41" s="458" customFormat="1">
      <c r="A205" s="409"/>
      <c r="C205" s="113"/>
      <c r="D205" s="482"/>
      <c r="E205" s="113"/>
      <c r="F205" s="414"/>
      <c r="G205" s="99"/>
      <c r="H205" s="113"/>
      <c r="I205" s="113"/>
      <c r="J205" s="94"/>
      <c r="K205" s="144"/>
      <c r="L205" s="144"/>
      <c r="M205" s="113"/>
      <c r="N205" s="144"/>
      <c r="O205" s="113"/>
      <c r="P205" s="113"/>
      <c r="Q205" s="113"/>
      <c r="R205" s="113"/>
      <c r="S205" s="113"/>
      <c r="U205" s="459"/>
      <c r="AN205" s="409"/>
      <c r="AO205" s="113"/>
    </row>
    <row r="206" spans="1:41" s="458" customFormat="1">
      <c r="A206" s="409"/>
      <c r="C206" s="113"/>
      <c r="D206" s="482"/>
      <c r="E206" s="113"/>
      <c r="F206" s="414"/>
      <c r="G206" s="99"/>
      <c r="H206" s="113"/>
      <c r="I206" s="113"/>
      <c r="J206" s="94"/>
      <c r="K206" s="144"/>
      <c r="L206" s="144"/>
      <c r="M206" s="113"/>
      <c r="N206" s="144"/>
      <c r="O206" s="113"/>
      <c r="P206" s="113"/>
      <c r="Q206" s="113"/>
      <c r="R206" s="113"/>
      <c r="S206" s="113"/>
      <c r="U206" s="459"/>
      <c r="AN206" s="409"/>
      <c r="AO206" s="113"/>
    </row>
    <row r="207" spans="1:41" s="458" customFormat="1">
      <c r="A207" s="409"/>
      <c r="C207" s="113"/>
      <c r="D207" s="482"/>
      <c r="E207" s="113"/>
      <c r="F207" s="414"/>
      <c r="G207" s="99"/>
      <c r="H207" s="113"/>
      <c r="I207" s="113"/>
      <c r="J207" s="94"/>
      <c r="K207" s="144"/>
      <c r="L207" s="144"/>
      <c r="M207" s="113"/>
      <c r="N207" s="144"/>
      <c r="O207" s="113"/>
      <c r="P207" s="113"/>
      <c r="Q207" s="113"/>
      <c r="R207" s="113"/>
      <c r="S207" s="113"/>
      <c r="U207" s="459"/>
      <c r="AN207" s="409"/>
      <c r="AO207" s="113"/>
    </row>
    <row r="208" spans="1:41" s="458" customFormat="1">
      <c r="A208" s="409"/>
      <c r="C208" s="113"/>
      <c r="D208" s="482"/>
      <c r="E208" s="113"/>
      <c r="F208" s="414"/>
      <c r="G208" s="99"/>
      <c r="H208" s="113"/>
      <c r="I208" s="113"/>
      <c r="J208" s="94"/>
      <c r="K208" s="144"/>
      <c r="L208" s="144"/>
      <c r="M208" s="113"/>
      <c r="N208" s="144"/>
      <c r="O208" s="113"/>
      <c r="P208" s="113"/>
      <c r="Q208" s="113"/>
      <c r="R208" s="113"/>
      <c r="S208" s="113"/>
      <c r="U208" s="459"/>
      <c r="AN208" s="409"/>
      <c r="AO208" s="113"/>
    </row>
    <row r="209" spans="1:41" s="458" customFormat="1">
      <c r="A209" s="409"/>
      <c r="C209" s="113"/>
      <c r="D209" s="482"/>
      <c r="E209" s="113"/>
      <c r="F209" s="414"/>
      <c r="G209" s="99"/>
      <c r="H209" s="113"/>
      <c r="I209" s="113"/>
      <c r="J209" s="94"/>
      <c r="K209" s="144"/>
      <c r="L209" s="144"/>
      <c r="M209" s="113"/>
      <c r="N209" s="144"/>
      <c r="O209" s="113"/>
      <c r="P209" s="113"/>
      <c r="Q209" s="113"/>
      <c r="R209" s="113"/>
      <c r="S209" s="113"/>
      <c r="U209" s="459"/>
      <c r="AN209" s="409"/>
      <c r="AO209" s="113"/>
    </row>
    <row r="210" spans="1:41" s="458" customFormat="1">
      <c r="A210" s="409"/>
      <c r="C210" s="113"/>
      <c r="D210" s="482"/>
      <c r="E210" s="113"/>
      <c r="F210" s="414"/>
      <c r="G210" s="99"/>
      <c r="H210" s="113"/>
      <c r="I210" s="113"/>
      <c r="J210" s="94"/>
      <c r="K210" s="144"/>
      <c r="L210" s="144"/>
      <c r="M210" s="113"/>
      <c r="N210" s="144"/>
      <c r="O210" s="113"/>
      <c r="P210" s="113"/>
      <c r="Q210" s="113"/>
      <c r="R210" s="113"/>
      <c r="S210" s="113"/>
      <c r="U210" s="459"/>
      <c r="AN210" s="409"/>
      <c r="AO210" s="113"/>
    </row>
    <row r="211" spans="1:41" s="458" customFormat="1">
      <c r="A211" s="409"/>
      <c r="C211" s="113"/>
      <c r="D211" s="482"/>
      <c r="E211" s="113"/>
      <c r="F211" s="414"/>
      <c r="G211" s="99"/>
      <c r="H211" s="113"/>
      <c r="I211" s="113"/>
      <c r="J211" s="94"/>
      <c r="K211" s="144"/>
      <c r="L211" s="144"/>
      <c r="M211" s="113"/>
      <c r="N211" s="144"/>
      <c r="O211" s="113"/>
      <c r="P211" s="113"/>
      <c r="Q211" s="113"/>
      <c r="R211" s="113"/>
      <c r="S211" s="113"/>
      <c r="U211" s="459"/>
      <c r="AN211" s="409"/>
      <c r="AO211" s="113"/>
    </row>
    <row r="212" spans="1:41" s="458" customFormat="1">
      <c r="A212" s="409"/>
      <c r="C212" s="113"/>
      <c r="D212" s="482"/>
      <c r="E212" s="113"/>
      <c r="F212" s="414"/>
      <c r="G212" s="99"/>
      <c r="H212" s="113"/>
      <c r="I212" s="113"/>
      <c r="J212" s="94"/>
      <c r="K212" s="144"/>
      <c r="L212" s="144"/>
      <c r="M212" s="113"/>
      <c r="N212" s="144"/>
      <c r="O212" s="113"/>
      <c r="P212" s="113"/>
      <c r="Q212" s="113"/>
      <c r="R212" s="113"/>
      <c r="S212" s="113"/>
      <c r="U212" s="459"/>
      <c r="AN212" s="409"/>
      <c r="AO212" s="113"/>
    </row>
    <row r="213" spans="1:41" s="458" customFormat="1">
      <c r="A213" s="409"/>
      <c r="C213" s="113"/>
      <c r="D213" s="482"/>
      <c r="E213" s="113"/>
      <c r="F213" s="414"/>
      <c r="G213" s="99"/>
      <c r="H213" s="113"/>
      <c r="I213" s="113"/>
      <c r="J213" s="94"/>
      <c r="K213" s="144"/>
      <c r="L213" s="144"/>
      <c r="M213" s="113"/>
      <c r="N213" s="144"/>
      <c r="O213" s="113"/>
      <c r="P213" s="113"/>
      <c r="Q213" s="113"/>
      <c r="R213" s="113"/>
      <c r="S213" s="113"/>
      <c r="U213" s="459"/>
      <c r="AN213" s="409"/>
      <c r="AO213" s="113"/>
    </row>
    <row r="214" spans="1:41" s="458" customFormat="1">
      <c r="A214" s="409"/>
      <c r="C214" s="113"/>
      <c r="D214" s="482"/>
      <c r="E214" s="113"/>
      <c r="F214" s="414"/>
      <c r="G214" s="99"/>
      <c r="H214" s="113"/>
      <c r="I214" s="113"/>
      <c r="J214" s="94"/>
      <c r="K214" s="144"/>
      <c r="L214" s="144"/>
      <c r="M214" s="113"/>
      <c r="N214" s="144"/>
      <c r="O214" s="113"/>
      <c r="P214" s="113"/>
      <c r="Q214" s="113"/>
      <c r="R214" s="113"/>
      <c r="S214" s="113"/>
      <c r="U214" s="459"/>
      <c r="AN214" s="409"/>
      <c r="AO214" s="113"/>
    </row>
    <row r="215" spans="1:41" s="458" customFormat="1">
      <c r="A215" s="409"/>
      <c r="C215" s="113"/>
      <c r="D215" s="482"/>
      <c r="E215" s="113"/>
      <c r="F215" s="414"/>
      <c r="G215" s="99"/>
      <c r="H215" s="113"/>
      <c r="I215" s="113"/>
      <c r="J215" s="94"/>
      <c r="K215" s="144"/>
      <c r="L215" s="144"/>
      <c r="M215" s="113"/>
      <c r="N215" s="144"/>
      <c r="O215" s="113"/>
      <c r="P215" s="113"/>
      <c r="Q215" s="113"/>
      <c r="R215" s="113"/>
      <c r="S215" s="113"/>
      <c r="U215" s="459"/>
      <c r="AN215" s="409"/>
      <c r="AO215" s="113"/>
    </row>
    <row r="216" spans="1:41" s="458" customFormat="1">
      <c r="A216" s="409"/>
      <c r="C216" s="113"/>
      <c r="D216" s="482"/>
      <c r="E216" s="113"/>
      <c r="F216" s="414"/>
      <c r="G216" s="99"/>
      <c r="H216" s="113"/>
      <c r="I216" s="113"/>
      <c r="J216" s="94"/>
      <c r="K216" s="144"/>
      <c r="L216" s="144"/>
      <c r="M216" s="113"/>
      <c r="N216" s="144"/>
      <c r="O216" s="113"/>
      <c r="P216" s="113"/>
      <c r="Q216" s="113"/>
      <c r="R216" s="113"/>
      <c r="S216" s="113"/>
      <c r="U216" s="459"/>
      <c r="AN216" s="409"/>
      <c r="AO216" s="113"/>
    </row>
    <row r="217" spans="1:41" s="458" customFormat="1">
      <c r="A217" s="409"/>
      <c r="C217" s="113"/>
      <c r="D217" s="482"/>
      <c r="E217" s="113"/>
      <c r="F217" s="414"/>
      <c r="G217" s="99"/>
      <c r="H217" s="113"/>
      <c r="I217" s="113"/>
      <c r="J217" s="94"/>
      <c r="K217" s="144"/>
      <c r="L217" s="144"/>
      <c r="M217" s="113"/>
      <c r="N217" s="144"/>
      <c r="O217" s="113"/>
      <c r="P217" s="113"/>
      <c r="Q217" s="113"/>
      <c r="R217" s="113"/>
      <c r="S217" s="113"/>
      <c r="U217" s="459"/>
      <c r="AN217" s="409"/>
      <c r="AO217" s="113"/>
    </row>
    <row r="218" spans="1:41" s="458" customFormat="1">
      <c r="A218" s="409"/>
      <c r="C218" s="113"/>
      <c r="D218" s="482"/>
      <c r="E218" s="113"/>
      <c r="F218" s="414"/>
      <c r="G218" s="99"/>
      <c r="H218" s="113"/>
      <c r="I218" s="113"/>
      <c r="J218" s="94"/>
      <c r="K218" s="144"/>
      <c r="L218" s="144"/>
      <c r="M218" s="113"/>
      <c r="N218" s="144"/>
      <c r="O218" s="113"/>
      <c r="P218" s="113"/>
      <c r="Q218" s="113"/>
      <c r="R218" s="113"/>
      <c r="S218" s="113"/>
      <c r="U218" s="459"/>
      <c r="AN218" s="409"/>
      <c r="AO218" s="113"/>
    </row>
    <row r="219" spans="1:41" s="458" customFormat="1">
      <c r="A219" s="409"/>
      <c r="C219" s="113"/>
      <c r="D219" s="482"/>
      <c r="E219" s="113"/>
      <c r="F219" s="414"/>
      <c r="G219" s="99"/>
      <c r="H219" s="113"/>
      <c r="I219" s="113"/>
      <c r="J219" s="94"/>
      <c r="K219" s="144"/>
      <c r="L219" s="144"/>
      <c r="M219" s="113"/>
      <c r="N219" s="144"/>
      <c r="O219" s="113"/>
      <c r="P219" s="113"/>
      <c r="Q219" s="113"/>
      <c r="R219" s="113"/>
      <c r="S219" s="113"/>
      <c r="U219" s="459"/>
      <c r="AN219" s="409"/>
      <c r="AO219" s="113"/>
    </row>
    <row r="220" spans="1:41" s="458" customFormat="1">
      <c r="A220" s="409"/>
      <c r="C220" s="113"/>
      <c r="D220" s="482"/>
      <c r="E220" s="113"/>
      <c r="F220" s="414"/>
      <c r="G220" s="99"/>
      <c r="H220" s="113"/>
      <c r="I220" s="113"/>
      <c r="J220" s="94"/>
      <c r="K220" s="144"/>
      <c r="L220" s="144"/>
      <c r="M220" s="113"/>
      <c r="N220" s="144"/>
      <c r="O220" s="113"/>
      <c r="P220" s="113"/>
      <c r="Q220" s="113"/>
      <c r="R220" s="113"/>
      <c r="S220" s="113"/>
      <c r="U220" s="459"/>
      <c r="AN220" s="409"/>
      <c r="AO220" s="113"/>
    </row>
    <row r="221" spans="1:41" s="458" customFormat="1">
      <c r="A221" s="409"/>
      <c r="C221" s="113"/>
      <c r="D221" s="482"/>
      <c r="E221" s="113"/>
      <c r="F221" s="414"/>
      <c r="G221" s="99"/>
      <c r="H221" s="113"/>
      <c r="I221" s="113"/>
      <c r="J221" s="94"/>
      <c r="K221" s="144"/>
      <c r="L221" s="144"/>
      <c r="M221" s="113"/>
      <c r="N221" s="144"/>
      <c r="O221" s="113"/>
      <c r="P221" s="113"/>
      <c r="Q221" s="113"/>
      <c r="R221" s="113"/>
      <c r="S221" s="113"/>
      <c r="U221" s="459"/>
      <c r="AN221" s="409"/>
      <c r="AO221" s="113"/>
    </row>
    <row r="222" spans="1:41" s="458" customFormat="1" ht="14.25">
      <c r="A222" s="409"/>
      <c r="C222" s="113"/>
      <c r="E222" s="113"/>
      <c r="F222" s="414"/>
      <c r="G222" s="99"/>
      <c r="H222" s="113"/>
      <c r="I222" s="113"/>
      <c r="J222" s="94"/>
      <c r="K222" s="144"/>
      <c r="L222" s="244"/>
      <c r="M222" s="113"/>
      <c r="N222" s="144"/>
      <c r="O222" s="113"/>
      <c r="P222" s="113"/>
      <c r="Q222" s="113"/>
      <c r="R222" s="113"/>
      <c r="S222" s="113"/>
      <c r="U222" s="459"/>
      <c r="AN222" s="409"/>
      <c r="AO222" s="113"/>
    </row>
    <row r="223" spans="1:41" s="458" customFormat="1" ht="14.25">
      <c r="A223" s="409"/>
      <c r="C223" s="113"/>
      <c r="E223" s="113"/>
      <c r="F223" s="414"/>
      <c r="G223" s="99"/>
      <c r="H223" s="113"/>
      <c r="I223" s="113"/>
      <c r="J223" s="94"/>
      <c r="K223" s="144"/>
      <c r="L223" s="244"/>
      <c r="M223" s="113"/>
      <c r="N223" s="144"/>
      <c r="O223" s="113"/>
      <c r="P223" s="113"/>
      <c r="Q223" s="113"/>
      <c r="R223" s="113"/>
      <c r="S223" s="113"/>
      <c r="U223" s="459"/>
      <c r="AN223" s="409"/>
      <c r="AO223" s="113"/>
    </row>
    <row r="224" spans="1:41" s="458" customFormat="1" ht="14.25">
      <c r="A224" s="409"/>
      <c r="C224" s="113"/>
      <c r="E224" s="113"/>
      <c r="F224" s="414"/>
      <c r="G224" s="99"/>
      <c r="H224" s="113"/>
      <c r="I224" s="113"/>
      <c r="J224" s="94"/>
      <c r="K224" s="144"/>
      <c r="L224" s="243"/>
      <c r="M224" s="113"/>
      <c r="N224" s="144"/>
      <c r="O224" s="113"/>
      <c r="P224" s="113"/>
      <c r="Q224" s="113"/>
      <c r="R224" s="113"/>
      <c r="S224" s="113"/>
      <c r="U224" s="459"/>
      <c r="AN224" s="409"/>
      <c r="AO224" s="113"/>
    </row>
    <row r="225" spans="1:41" ht="14.25">
      <c r="A225" s="469"/>
      <c r="B225" s="470"/>
      <c r="C225" s="471"/>
      <c r="D225" s="472"/>
      <c r="E225" s="473"/>
      <c r="F225" s="474"/>
      <c r="G225" s="475"/>
      <c r="H225" s="473"/>
      <c r="I225" s="473"/>
      <c r="J225" s="359"/>
      <c r="K225" s="476"/>
      <c r="L225" s="477"/>
      <c r="M225" s="473"/>
      <c r="N225" s="476"/>
      <c r="O225" s="473"/>
      <c r="P225" s="471"/>
      <c r="Q225" s="471"/>
      <c r="R225" s="471"/>
      <c r="S225" s="471"/>
      <c r="T225" s="470"/>
      <c r="U225" s="478"/>
      <c r="V225" s="470"/>
      <c r="W225" s="470"/>
      <c r="X225" s="470"/>
      <c r="Y225" s="470"/>
      <c r="Z225" s="470"/>
      <c r="AA225" s="470"/>
      <c r="AB225" s="470"/>
      <c r="AC225" s="470"/>
      <c r="AD225" s="470"/>
      <c r="AE225" s="470"/>
      <c r="AF225" s="470"/>
      <c r="AG225" s="470"/>
      <c r="AH225" s="470"/>
      <c r="AI225" s="470"/>
      <c r="AJ225" s="470"/>
      <c r="AK225" s="470"/>
      <c r="AL225" s="470"/>
      <c r="AM225" s="470"/>
      <c r="AN225" s="479"/>
      <c r="AO225" s="480"/>
    </row>
    <row r="226" spans="1:41" ht="14.25">
      <c r="A226" s="412"/>
      <c r="B226" s="141"/>
      <c r="C226" s="175"/>
      <c r="D226" s="413"/>
      <c r="E226" s="113"/>
      <c r="F226" s="414"/>
      <c r="G226" s="99"/>
      <c r="H226" s="113"/>
      <c r="I226" s="113"/>
      <c r="J226" s="94"/>
      <c r="K226" s="144"/>
      <c r="L226" s="243"/>
      <c r="M226" s="113"/>
      <c r="N226" s="144"/>
      <c r="O226" s="113"/>
      <c r="P226" s="175"/>
      <c r="Q226" s="175"/>
      <c r="R226" s="175"/>
      <c r="S226" s="175"/>
      <c r="T226" s="141"/>
      <c r="U226" s="415"/>
      <c r="V226" s="141"/>
      <c r="W226" s="141"/>
      <c r="X226" s="141"/>
      <c r="Y226" s="141"/>
      <c r="Z226" s="141"/>
      <c r="AA226" s="141"/>
      <c r="AB226" s="141"/>
      <c r="AC226" s="141"/>
      <c r="AD226" s="141"/>
      <c r="AE226" s="141"/>
      <c r="AF226" s="141"/>
      <c r="AG226" s="141"/>
      <c r="AH226" s="141"/>
      <c r="AI226" s="141"/>
      <c r="AJ226" s="141"/>
      <c r="AK226" s="141"/>
      <c r="AL226" s="141"/>
      <c r="AM226" s="141"/>
      <c r="AN226" s="364"/>
      <c r="AO226" s="363"/>
    </row>
    <row r="227" spans="1:41">
      <c r="A227" s="412"/>
      <c r="B227" s="141"/>
      <c r="C227" s="175"/>
      <c r="D227" s="416"/>
      <c r="E227" s="113"/>
      <c r="F227" s="414"/>
      <c r="G227" s="99"/>
      <c r="H227" s="113"/>
      <c r="I227" s="113"/>
      <c r="J227" s="94"/>
      <c r="K227" s="144"/>
      <c r="L227" s="243"/>
      <c r="M227" s="113"/>
      <c r="N227" s="144"/>
      <c r="O227" s="113"/>
      <c r="P227" s="175"/>
      <c r="Q227" s="175"/>
      <c r="R227" s="175"/>
      <c r="S227" s="175"/>
      <c r="T227" s="141"/>
      <c r="U227" s="415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  <c r="AF227" s="141"/>
      <c r="AG227" s="141"/>
      <c r="AH227" s="141"/>
      <c r="AI227" s="141"/>
      <c r="AJ227" s="141"/>
      <c r="AK227" s="141"/>
      <c r="AL227" s="141"/>
      <c r="AM227" s="141"/>
      <c r="AN227" s="364"/>
      <c r="AO227" s="363"/>
    </row>
    <row r="228" spans="1:41">
      <c r="A228" s="412"/>
      <c r="B228" s="141"/>
      <c r="C228" s="175"/>
      <c r="D228" s="416"/>
      <c r="E228" s="113"/>
      <c r="F228" s="414"/>
      <c r="G228" s="99"/>
      <c r="H228" s="113"/>
      <c r="I228" s="113"/>
      <c r="J228" s="94"/>
      <c r="K228" s="144"/>
      <c r="L228" s="243"/>
      <c r="M228" s="113"/>
      <c r="N228" s="144"/>
      <c r="O228" s="113"/>
      <c r="P228" s="175"/>
      <c r="Q228" s="175"/>
      <c r="R228" s="175"/>
      <c r="S228" s="175"/>
      <c r="T228" s="141"/>
      <c r="U228" s="415"/>
      <c r="V228" s="141"/>
      <c r="W228" s="141"/>
      <c r="X228" s="141"/>
      <c r="Y228" s="141"/>
      <c r="Z228" s="141"/>
      <c r="AA228" s="141"/>
      <c r="AB228" s="141"/>
      <c r="AC228" s="141"/>
      <c r="AD228" s="141"/>
      <c r="AE228" s="141"/>
      <c r="AF228" s="141"/>
      <c r="AG228" s="141"/>
      <c r="AH228" s="141"/>
      <c r="AI228" s="141"/>
      <c r="AJ228" s="141"/>
      <c r="AK228" s="141"/>
      <c r="AL228" s="141"/>
      <c r="AM228" s="141"/>
      <c r="AN228" s="364"/>
      <c r="AO228" s="363"/>
    </row>
    <row r="229" spans="1:41">
      <c r="A229" s="364"/>
      <c r="B229" s="141"/>
      <c r="C229" s="175"/>
      <c r="D229" s="416"/>
      <c r="E229" s="113"/>
      <c r="F229" s="414"/>
      <c r="G229" s="99"/>
      <c r="H229" s="113"/>
      <c r="I229" s="113"/>
      <c r="J229" s="94"/>
      <c r="K229" s="144"/>
      <c r="L229" s="243"/>
      <c r="M229" s="113"/>
      <c r="N229" s="144"/>
      <c r="O229" s="113"/>
      <c r="P229" s="175"/>
      <c r="Q229" s="175"/>
      <c r="R229" s="175"/>
      <c r="S229" s="175"/>
      <c r="T229" s="141"/>
      <c r="U229" s="415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1"/>
      <c r="AH229" s="141"/>
      <c r="AI229" s="141"/>
      <c r="AJ229" s="141"/>
      <c r="AK229" s="141"/>
      <c r="AL229" s="141"/>
      <c r="AM229" s="141"/>
      <c r="AN229" s="364"/>
      <c r="AO229" s="363"/>
    </row>
    <row r="230" spans="1:41">
      <c r="A230" s="364"/>
      <c r="B230" s="141"/>
      <c r="C230" s="175"/>
      <c r="D230" s="416"/>
      <c r="E230" s="113"/>
      <c r="F230" s="414"/>
      <c r="G230" s="99"/>
      <c r="H230" s="113"/>
      <c r="I230" s="113"/>
      <c r="J230" s="94"/>
      <c r="K230" s="144"/>
      <c r="L230" s="243"/>
      <c r="M230" s="113"/>
      <c r="N230" s="144"/>
      <c r="O230" s="113"/>
      <c r="P230" s="175"/>
      <c r="Q230" s="175"/>
      <c r="R230" s="175"/>
      <c r="S230" s="175"/>
      <c r="T230" s="141"/>
      <c r="U230" s="415"/>
      <c r="V230" s="141"/>
      <c r="W230" s="141"/>
      <c r="X230" s="141"/>
      <c r="Y230" s="141"/>
      <c r="Z230" s="141"/>
      <c r="AA230" s="141"/>
      <c r="AB230" s="141"/>
      <c r="AC230" s="141"/>
      <c r="AD230" s="141"/>
      <c r="AE230" s="141"/>
      <c r="AF230" s="141"/>
      <c r="AG230" s="141"/>
      <c r="AH230" s="141"/>
      <c r="AI230" s="141"/>
      <c r="AJ230" s="141"/>
      <c r="AK230" s="141"/>
      <c r="AL230" s="141"/>
      <c r="AM230" s="141"/>
      <c r="AN230" s="364"/>
      <c r="AO230" s="363"/>
    </row>
    <row r="231" spans="1:41">
      <c r="A231" s="364"/>
      <c r="B231" s="141"/>
      <c r="C231" s="175"/>
      <c r="D231" s="416"/>
      <c r="E231" s="113"/>
      <c r="F231" s="414"/>
      <c r="G231" s="99"/>
      <c r="H231" s="113"/>
      <c r="I231" s="113"/>
      <c r="J231" s="94"/>
      <c r="K231" s="144"/>
      <c r="L231" s="243"/>
      <c r="M231" s="113"/>
      <c r="N231" s="144"/>
      <c r="O231" s="113"/>
      <c r="P231" s="175"/>
      <c r="Q231" s="175"/>
      <c r="R231" s="175"/>
      <c r="S231" s="175"/>
      <c r="T231" s="141"/>
      <c r="U231" s="415"/>
      <c r="V231" s="141"/>
      <c r="W231" s="141"/>
      <c r="X231" s="141"/>
      <c r="Y231" s="141"/>
      <c r="Z231" s="141"/>
      <c r="AA231" s="141"/>
      <c r="AB231" s="141"/>
      <c r="AC231" s="141"/>
      <c r="AD231" s="141"/>
      <c r="AE231" s="141"/>
      <c r="AF231" s="141"/>
      <c r="AG231" s="141"/>
      <c r="AH231" s="141"/>
      <c r="AI231" s="141"/>
      <c r="AJ231" s="141"/>
      <c r="AK231" s="141"/>
      <c r="AL231" s="141"/>
      <c r="AM231" s="141"/>
      <c r="AN231" s="364"/>
      <c r="AO231" s="363"/>
    </row>
    <row r="232" spans="1:41">
      <c r="A232" s="364"/>
      <c r="B232" s="141"/>
      <c r="C232" s="175"/>
      <c r="D232" s="416"/>
      <c r="E232" s="113"/>
      <c r="F232" s="414"/>
      <c r="G232" s="99"/>
      <c r="H232" s="113"/>
      <c r="I232" s="113"/>
      <c r="J232" s="94"/>
      <c r="K232" s="144"/>
      <c r="L232" s="144"/>
      <c r="M232" s="113"/>
      <c r="N232" s="144"/>
      <c r="O232" s="113"/>
      <c r="P232" s="175"/>
      <c r="Q232" s="175"/>
      <c r="R232" s="175"/>
      <c r="S232" s="175"/>
      <c r="T232" s="141"/>
      <c r="U232" s="415"/>
      <c r="V232" s="141"/>
      <c r="W232" s="141"/>
      <c r="X232" s="141"/>
      <c r="Y232" s="141"/>
      <c r="Z232" s="141"/>
      <c r="AA232" s="141"/>
      <c r="AB232" s="141"/>
      <c r="AC232" s="141"/>
      <c r="AD232" s="141"/>
      <c r="AE232" s="141"/>
      <c r="AF232" s="141"/>
      <c r="AG232" s="141"/>
      <c r="AH232" s="141"/>
      <c r="AI232" s="141"/>
      <c r="AJ232" s="141"/>
      <c r="AK232" s="141"/>
      <c r="AL232" s="141"/>
      <c r="AM232" s="141"/>
      <c r="AN232" s="364"/>
      <c r="AO232" s="363"/>
    </row>
    <row r="233" spans="1:41">
      <c r="A233" s="364"/>
      <c r="B233" s="141"/>
      <c r="C233" s="175"/>
      <c r="D233" s="416"/>
      <c r="E233" s="113"/>
      <c r="F233" s="414"/>
      <c r="G233" s="99"/>
      <c r="H233" s="113"/>
      <c r="I233" s="113"/>
      <c r="J233" s="94"/>
      <c r="K233" s="144"/>
      <c r="L233" s="144"/>
      <c r="M233" s="113"/>
      <c r="N233" s="144"/>
      <c r="O233" s="113"/>
      <c r="P233" s="175"/>
      <c r="Q233" s="175"/>
      <c r="R233" s="175"/>
      <c r="S233" s="175"/>
      <c r="T233" s="141"/>
      <c r="U233" s="415"/>
      <c r="V233" s="141"/>
      <c r="W233" s="141"/>
      <c r="X233" s="141"/>
      <c r="Y233" s="141"/>
      <c r="Z233" s="141"/>
      <c r="AA233" s="141"/>
      <c r="AB233" s="141"/>
      <c r="AC233" s="141"/>
      <c r="AD233" s="141"/>
      <c r="AE233" s="141"/>
      <c r="AF233" s="141"/>
      <c r="AG233" s="141"/>
      <c r="AH233" s="141"/>
      <c r="AI233" s="141"/>
      <c r="AJ233" s="141"/>
      <c r="AK233" s="141"/>
      <c r="AL233" s="141"/>
      <c r="AM233" s="141"/>
      <c r="AN233" s="364"/>
      <c r="AO233" s="363"/>
    </row>
    <row r="234" spans="1:41">
      <c r="A234" s="364"/>
      <c r="B234" s="141"/>
      <c r="C234" s="175"/>
      <c r="D234" s="416"/>
      <c r="E234" s="113"/>
      <c r="F234" s="414"/>
      <c r="G234" s="99"/>
      <c r="H234" s="113"/>
      <c r="I234" s="113"/>
      <c r="J234" s="94"/>
      <c r="K234" s="144"/>
      <c r="L234" s="144"/>
      <c r="M234" s="113"/>
      <c r="N234" s="144"/>
      <c r="O234" s="113"/>
      <c r="P234" s="175"/>
      <c r="Q234" s="175"/>
      <c r="R234" s="175"/>
      <c r="S234" s="175"/>
      <c r="T234" s="141"/>
      <c r="U234" s="415"/>
      <c r="V234" s="141"/>
      <c r="W234" s="141"/>
      <c r="X234" s="141"/>
      <c r="Y234" s="141"/>
      <c r="Z234" s="141"/>
      <c r="AA234" s="141"/>
      <c r="AB234" s="141"/>
      <c r="AC234" s="141"/>
      <c r="AD234" s="141"/>
      <c r="AE234" s="141"/>
      <c r="AF234" s="141"/>
      <c r="AG234" s="141"/>
      <c r="AH234" s="141"/>
      <c r="AI234" s="141"/>
      <c r="AJ234" s="141"/>
      <c r="AK234" s="141"/>
      <c r="AL234" s="141"/>
      <c r="AM234" s="141"/>
      <c r="AN234" s="364"/>
      <c r="AO234" s="363"/>
    </row>
    <row r="235" spans="1:41">
      <c r="A235" s="364"/>
      <c r="B235" s="141"/>
      <c r="C235" s="175"/>
      <c r="D235" s="416"/>
      <c r="E235" s="113"/>
      <c r="F235" s="414"/>
      <c r="G235" s="99"/>
      <c r="H235" s="113"/>
      <c r="I235" s="113"/>
      <c r="J235" s="94"/>
      <c r="K235" s="144"/>
      <c r="L235" s="144"/>
      <c r="M235" s="113"/>
      <c r="N235" s="144"/>
      <c r="O235" s="113"/>
      <c r="P235" s="175"/>
      <c r="Q235" s="175"/>
      <c r="R235" s="175"/>
      <c r="S235" s="175"/>
      <c r="T235" s="141"/>
      <c r="U235" s="415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  <c r="AF235" s="141"/>
      <c r="AG235" s="141"/>
      <c r="AH235" s="141"/>
      <c r="AI235" s="141"/>
      <c r="AJ235" s="141"/>
      <c r="AK235" s="141"/>
      <c r="AL235" s="141"/>
      <c r="AM235" s="141"/>
      <c r="AN235" s="364"/>
      <c r="AO235" s="363"/>
    </row>
    <row r="236" spans="1:41">
      <c r="A236" s="364"/>
      <c r="B236" s="141"/>
      <c r="C236" s="175"/>
      <c r="D236" s="416"/>
      <c r="E236" s="113"/>
      <c r="F236" s="414"/>
      <c r="G236" s="99"/>
      <c r="H236" s="113"/>
      <c r="I236" s="113"/>
      <c r="J236" s="94"/>
      <c r="K236" s="144"/>
      <c r="L236" s="144"/>
      <c r="M236" s="113"/>
      <c r="N236" s="144"/>
      <c r="O236" s="113"/>
      <c r="P236" s="175"/>
      <c r="Q236" s="175"/>
      <c r="R236" s="175"/>
      <c r="S236" s="175"/>
      <c r="T236" s="141"/>
      <c r="U236" s="415"/>
      <c r="V236" s="141"/>
      <c r="W236" s="141"/>
      <c r="X236" s="141"/>
      <c r="Y236" s="141"/>
      <c r="Z236" s="141"/>
      <c r="AA236" s="141"/>
      <c r="AB236" s="141"/>
      <c r="AC236" s="141"/>
      <c r="AD236" s="141"/>
      <c r="AE236" s="141"/>
      <c r="AF236" s="141"/>
      <c r="AG236" s="141"/>
      <c r="AH236" s="141"/>
      <c r="AI236" s="141"/>
      <c r="AJ236" s="141"/>
      <c r="AK236" s="141"/>
      <c r="AL236" s="141"/>
      <c r="AM236" s="141"/>
      <c r="AN236" s="364"/>
      <c r="AO236" s="363"/>
    </row>
    <row r="237" spans="1:41">
      <c r="A237" s="364"/>
      <c r="B237" s="141"/>
      <c r="C237" s="175"/>
      <c r="D237" s="416"/>
      <c r="E237" s="113"/>
      <c r="F237" s="414"/>
      <c r="G237" s="99"/>
      <c r="H237" s="113"/>
      <c r="I237" s="113"/>
      <c r="J237" s="94"/>
      <c r="K237" s="144"/>
      <c r="L237" s="144"/>
      <c r="M237" s="113"/>
      <c r="N237" s="144"/>
      <c r="O237" s="113"/>
      <c r="P237" s="175"/>
      <c r="Q237" s="175"/>
      <c r="R237" s="175"/>
      <c r="S237" s="175"/>
      <c r="T237" s="141"/>
      <c r="U237" s="415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141"/>
      <c r="AG237" s="141"/>
      <c r="AH237" s="141"/>
      <c r="AI237" s="141"/>
      <c r="AJ237" s="141"/>
      <c r="AK237" s="141"/>
      <c r="AL237" s="141"/>
      <c r="AM237" s="141"/>
      <c r="AN237" s="364"/>
      <c r="AO237" s="363"/>
    </row>
    <row r="238" spans="1:41">
      <c r="A238" s="364"/>
      <c r="B238" s="141"/>
      <c r="C238" s="175"/>
      <c r="D238" s="416"/>
      <c r="E238" s="113"/>
      <c r="F238" s="414"/>
      <c r="G238" s="99"/>
      <c r="H238" s="113"/>
      <c r="I238" s="113"/>
      <c r="J238" s="94"/>
      <c r="K238" s="144"/>
      <c r="L238" s="144"/>
      <c r="M238" s="113"/>
      <c r="N238" s="144"/>
      <c r="O238" s="113"/>
      <c r="P238" s="175"/>
      <c r="Q238" s="175"/>
      <c r="R238" s="175"/>
      <c r="S238" s="175"/>
      <c r="T238" s="141"/>
      <c r="U238" s="415"/>
      <c r="V238" s="141"/>
      <c r="W238" s="141"/>
      <c r="X238" s="141"/>
      <c r="Y238" s="141"/>
      <c r="Z238" s="141"/>
      <c r="AA238" s="141"/>
      <c r="AB238" s="141"/>
      <c r="AC238" s="141"/>
      <c r="AD238" s="141"/>
      <c r="AE238" s="141"/>
      <c r="AF238" s="141"/>
      <c r="AG238" s="141"/>
      <c r="AH238" s="141"/>
      <c r="AI238" s="141"/>
      <c r="AJ238" s="141"/>
      <c r="AK238" s="141"/>
      <c r="AL238" s="141"/>
      <c r="AM238" s="141"/>
      <c r="AN238" s="364"/>
      <c r="AO238" s="363"/>
    </row>
    <row r="239" spans="1:41">
      <c r="A239" s="364"/>
      <c r="B239" s="141"/>
      <c r="C239" s="175"/>
      <c r="D239" s="416"/>
      <c r="E239" s="113"/>
      <c r="F239" s="414"/>
      <c r="G239" s="99"/>
      <c r="H239" s="113"/>
      <c r="I239" s="113"/>
      <c r="J239" s="94"/>
      <c r="K239" s="144"/>
      <c r="L239" s="144"/>
      <c r="M239" s="113"/>
      <c r="N239" s="144"/>
      <c r="O239" s="113"/>
      <c r="P239" s="175"/>
      <c r="Q239" s="175"/>
      <c r="R239" s="175"/>
      <c r="S239" s="175"/>
      <c r="T239" s="141"/>
      <c r="U239" s="415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  <c r="AF239" s="141"/>
      <c r="AG239" s="141"/>
      <c r="AH239" s="141"/>
      <c r="AI239" s="141"/>
      <c r="AJ239" s="141"/>
      <c r="AK239" s="141"/>
      <c r="AL239" s="141"/>
      <c r="AM239" s="141"/>
      <c r="AN239" s="364"/>
      <c r="AO239" s="363"/>
    </row>
    <row r="240" spans="1:41">
      <c r="A240" s="364"/>
      <c r="B240" s="141"/>
      <c r="C240" s="175"/>
      <c r="D240" s="416"/>
      <c r="E240" s="113"/>
      <c r="F240" s="414"/>
      <c r="G240" s="99"/>
      <c r="H240" s="113"/>
      <c r="I240" s="113"/>
      <c r="J240" s="94"/>
      <c r="K240" s="144"/>
      <c r="L240" s="144"/>
      <c r="M240" s="113"/>
      <c r="N240" s="144"/>
      <c r="O240" s="113"/>
      <c r="P240" s="175"/>
      <c r="Q240" s="175"/>
      <c r="R240" s="175"/>
      <c r="S240" s="175"/>
      <c r="T240" s="141"/>
      <c r="U240" s="415"/>
      <c r="V240" s="141"/>
      <c r="W240" s="141"/>
      <c r="X240" s="141"/>
      <c r="Y240" s="141"/>
      <c r="Z240" s="141"/>
      <c r="AA240" s="141"/>
      <c r="AB240" s="141"/>
      <c r="AC240" s="141"/>
      <c r="AD240" s="141"/>
      <c r="AE240" s="141"/>
      <c r="AF240" s="141"/>
      <c r="AG240" s="141"/>
      <c r="AH240" s="141"/>
      <c r="AI240" s="141"/>
      <c r="AJ240" s="141"/>
      <c r="AK240" s="141"/>
      <c r="AL240" s="141"/>
      <c r="AM240" s="141"/>
      <c r="AN240" s="364"/>
      <c r="AO240" s="363"/>
    </row>
    <row r="241" spans="1:41">
      <c r="A241" s="364"/>
      <c r="B241" s="141"/>
      <c r="C241" s="175"/>
      <c r="D241" s="416"/>
      <c r="E241" s="113"/>
      <c r="F241" s="414"/>
      <c r="G241" s="99"/>
      <c r="H241" s="113"/>
      <c r="I241" s="113"/>
      <c r="J241" s="94"/>
      <c r="K241" s="144"/>
      <c r="L241" s="144"/>
      <c r="M241" s="113"/>
      <c r="N241" s="144"/>
      <c r="O241" s="113"/>
      <c r="P241" s="175"/>
      <c r="Q241" s="175"/>
      <c r="R241" s="175"/>
      <c r="S241" s="175"/>
      <c r="T241" s="141"/>
      <c r="U241" s="415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141"/>
      <c r="AG241" s="141"/>
      <c r="AH241" s="141"/>
      <c r="AI241" s="141"/>
      <c r="AJ241" s="141"/>
      <c r="AK241" s="141"/>
      <c r="AL241" s="141"/>
      <c r="AM241" s="141"/>
      <c r="AN241" s="364"/>
      <c r="AO241" s="363"/>
    </row>
    <row r="242" spans="1:41">
      <c r="A242" s="364"/>
      <c r="B242" s="141"/>
      <c r="C242" s="175"/>
      <c r="D242" s="416"/>
      <c r="E242" s="113"/>
      <c r="F242" s="414"/>
      <c r="G242" s="99"/>
      <c r="H242" s="113"/>
      <c r="I242" s="113"/>
      <c r="J242" s="94"/>
      <c r="K242" s="144"/>
      <c r="L242" s="144"/>
      <c r="M242" s="113"/>
      <c r="N242" s="144"/>
      <c r="O242" s="113"/>
      <c r="P242" s="175"/>
      <c r="Q242" s="175"/>
      <c r="R242" s="175"/>
      <c r="S242" s="175"/>
      <c r="T242" s="141"/>
      <c r="U242" s="415"/>
      <c r="V242" s="141"/>
      <c r="W242" s="141"/>
      <c r="X242" s="141"/>
      <c r="Y242" s="141"/>
      <c r="Z242" s="141"/>
      <c r="AA242" s="141"/>
      <c r="AB242" s="141"/>
      <c r="AC242" s="141"/>
      <c r="AD242" s="141"/>
      <c r="AE242" s="141"/>
      <c r="AF242" s="141"/>
      <c r="AG242" s="141"/>
      <c r="AH242" s="141"/>
      <c r="AI242" s="141"/>
      <c r="AJ242" s="141"/>
      <c r="AK242" s="141"/>
      <c r="AL242" s="141"/>
      <c r="AM242" s="141"/>
      <c r="AN242" s="364"/>
      <c r="AO242" s="363"/>
    </row>
    <row r="243" spans="1:41">
      <c r="A243" s="364"/>
      <c r="B243" s="141"/>
      <c r="C243" s="175"/>
      <c r="D243" s="416"/>
      <c r="E243" s="113"/>
      <c r="F243" s="414"/>
      <c r="G243" s="99"/>
      <c r="H243" s="113"/>
      <c r="I243" s="113"/>
      <c r="J243" s="94"/>
      <c r="K243" s="144"/>
      <c r="L243" s="144"/>
      <c r="M243" s="113"/>
      <c r="N243" s="144"/>
      <c r="O243" s="113"/>
      <c r="P243" s="175"/>
      <c r="Q243" s="175"/>
      <c r="R243" s="175"/>
      <c r="S243" s="175"/>
      <c r="T243" s="141"/>
      <c r="U243" s="415"/>
      <c r="V243" s="141"/>
      <c r="W243" s="141"/>
      <c r="X243" s="141"/>
      <c r="Y243" s="141"/>
      <c r="Z243" s="141"/>
      <c r="AA243" s="141"/>
      <c r="AB243" s="141"/>
      <c r="AC243" s="141"/>
      <c r="AD243" s="141"/>
      <c r="AE243" s="141"/>
      <c r="AF243" s="141"/>
      <c r="AG243" s="141"/>
      <c r="AH243" s="141"/>
      <c r="AI243" s="141"/>
      <c r="AJ243" s="141"/>
      <c r="AK243" s="141"/>
      <c r="AL243" s="141"/>
      <c r="AM243" s="141"/>
      <c r="AN243" s="364"/>
      <c r="AO243" s="363"/>
    </row>
    <row r="244" spans="1:41">
      <c r="A244" s="364"/>
      <c r="B244" s="141"/>
      <c r="C244" s="175"/>
      <c r="D244" s="416"/>
      <c r="E244" s="113"/>
      <c r="F244" s="414"/>
      <c r="G244" s="99"/>
      <c r="H244" s="113"/>
      <c r="I244" s="113"/>
      <c r="J244" s="94"/>
      <c r="K244" s="144"/>
      <c r="L244" s="144"/>
      <c r="M244" s="113"/>
      <c r="N244" s="144"/>
      <c r="O244" s="113"/>
      <c r="P244" s="175"/>
      <c r="Q244" s="175"/>
      <c r="R244" s="175"/>
      <c r="S244" s="175"/>
      <c r="T244" s="141"/>
      <c r="U244" s="415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  <c r="AF244" s="141"/>
      <c r="AG244" s="141"/>
      <c r="AH244" s="141"/>
      <c r="AI244" s="141"/>
      <c r="AJ244" s="141"/>
      <c r="AK244" s="141"/>
      <c r="AL244" s="141"/>
      <c r="AM244" s="141"/>
      <c r="AN244" s="364"/>
      <c r="AO244" s="363"/>
    </row>
    <row r="245" spans="1:41">
      <c r="A245" s="364"/>
      <c r="B245" s="141"/>
      <c r="C245" s="175"/>
      <c r="D245" s="416"/>
      <c r="E245" s="113"/>
      <c r="F245" s="414"/>
      <c r="G245" s="99"/>
      <c r="H245" s="113"/>
      <c r="I245" s="113"/>
      <c r="J245" s="94"/>
      <c r="K245" s="144"/>
      <c r="L245" s="144"/>
      <c r="M245" s="113"/>
      <c r="N245" s="144"/>
      <c r="O245" s="113"/>
      <c r="P245" s="175"/>
      <c r="Q245" s="175"/>
      <c r="R245" s="175"/>
      <c r="S245" s="175"/>
      <c r="T245" s="141"/>
      <c r="U245" s="415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141"/>
      <c r="AG245" s="141"/>
      <c r="AH245" s="141"/>
      <c r="AI245" s="141"/>
      <c r="AJ245" s="141"/>
      <c r="AK245" s="141"/>
      <c r="AL245" s="141"/>
      <c r="AM245" s="141"/>
      <c r="AN245" s="364"/>
      <c r="AO245" s="363"/>
    </row>
    <row r="246" spans="1:41">
      <c r="A246" s="364"/>
      <c r="B246" s="141"/>
      <c r="C246" s="175"/>
      <c r="D246" s="416"/>
      <c r="E246" s="113"/>
      <c r="F246" s="414"/>
      <c r="G246" s="99"/>
      <c r="H246" s="113"/>
      <c r="I246" s="113"/>
      <c r="J246" s="94"/>
      <c r="K246" s="144"/>
      <c r="L246" s="144"/>
      <c r="M246" s="113"/>
      <c r="N246" s="144"/>
      <c r="O246" s="113"/>
      <c r="P246" s="175"/>
      <c r="Q246" s="175"/>
      <c r="R246" s="175"/>
      <c r="S246" s="175"/>
      <c r="T246" s="141"/>
      <c r="U246" s="415"/>
      <c r="V246" s="141"/>
      <c r="W246" s="141"/>
      <c r="X246" s="141"/>
      <c r="Y246" s="141"/>
      <c r="Z246" s="141"/>
      <c r="AA246" s="141"/>
      <c r="AB246" s="141"/>
      <c r="AC246" s="141"/>
      <c r="AD246" s="141"/>
      <c r="AE246" s="141"/>
      <c r="AF246" s="141"/>
      <c r="AG246" s="141"/>
      <c r="AH246" s="141"/>
      <c r="AI246" s="141"/>
      <c r="AJ246" s="141"/>
      <c r="AK246" s="141"/>
      <c r="AL246" s="141"/>
      <c r="AM246" s="141"/>
      <c r="AN246" s="364"/>
      <c r="AO246" s="363"/>
    </row>
    <row r="247" spans="1:41">
      <c r="A247" s="364"/>
      <c r="B247" s="141"/>
      <c r="C247" s="175"/>
      <c r="D247" s="416"/>
      <c r="E247" s="113"/>
      <c r="F247" s="414"/>
      <c r="G247" s="99"/>
      <c r="H247" s="113"/>
      <c r="I247" s="113"/>
      <c r="J247" s="94"/>
      <c r="K247" s="144"/>
      <c r="L247" s="144"/>
      <c r="M247" s="113"/>
      <c r="N247" s="144"/>
      <c r="O247" s="113"/>
      <c r="P247" s="175"/>
      <c r="Q247" s="175"/>
      <c r="R247" s="175"/>
      <c r="S247" s="175"/>
      <c r="T247" s="141"/>
      <c r="U247" s="415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141"/>
      <c r="AG247" s="141"/>
      <c r="AH247" s="141"/>
      <c r="AI247" s="141"/>
      <c r="AJ247" s="141"/>
      <c r="AK247" s="141"/>
      <c r="AL247" s="141"/>
      <c r="AM247" s="141"/>
      <c r="AN247" s="364"/>
      <c r="AO247" s="363"/>
    </row>
    <row r="248" spans="1:41">
      <c r="A248" s="364"/>
      <c r="B248" s="141"/>
      <c r="C248" s="175"/>
      <c r="D248" s="416"/>
      <c r="E248" s="113"/>
      <c r="F248" s="414"/>
      <c r="G248" s="99"/>
      <c r="H248" s="113"/>
      <c r="I248" s="113"/>
      <c r="J248" s="94"/>
      <c r="K248" s="144"/>
      <c r="L248" s="144"/>
      <c r="M248" s="175"/>
      <c r="N248" s="332"/>
      <c r="O248" s="113"/>
      <c r="P248" s="175"/>
      <c r="Q248" s="175"/>
      <c r="R248" s="175"/>
      <c r="S248" s="175"/>
      <c r="T248" s="141"/>
      <c r="U248" s="415"/>
      <c r="V248" s="141"/>
      <c r="W248" s="141"/>
      <c r="X248" s="141"/>
      <c r="Y248" s="141"/>
      <c r="Z248" s="141"/>
      <c r="AA248" s="141"/>
      <c r="AB248" s="141"/>
      <c r="AC248" s="141"/>
      <c r="AD248" s="141"/>
      <c r="AE248" s="141"/>
      <c r="AF248" s="141"/>
      <c r="AG248" s="141"/>
      <c r="AH248" s="141"/>
      <c r="AI248" s="141"/>
      <c r="AJ248" s="141"/>
      <c r="AK248" s="141"/>
      <c r="AL248" s="141"/>
      <c r="AM248" s="141"/>
      <c r="AN248" s="364"/>
      <c r="AO248" s="363"/>
    </row>
    <row r="249" spans="1:41">
      <c r="A249" s="364"/>
      <c r="B249" s="141"/>
      <c r="C249" s="175"/>
      <c r="D249" s="416"/>
      <c r="E249" s="113"/>
      <c r="F249" s="414"/>
      <c r="G249" s="99"/>
      <c r="H249" s="113"/>
      <c r="I249" s="113"/>
      <c r="J249" s="94"/>
      <c r="K249" s="144"/>
      <c r="L249" s="144"/>
      <c r="M249" s="175"/>
      <c r="N249" s="332"/>
      <c r="O249" s="113"/>
      <c r="P249" s="175"/>
      <c r="Q249" s="175"/>
      <c r="R249" s="175"/>
      <c r="S249" s="175"/>
      <c r="T249" s="141"/>
      <c r="U249" s="415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41"/>
      <c r="AJ249" s="141"/>
      <c r="AK249" s="141"/>
      <c r="AL249" s="141"/>
      <c r="AM249" s="141"/>
      <c r="AN249" s="364"/>
      <c r="AO249" s="363"/>
    </row>
    <row r="250" spans="1:41">
      <c r="A250" s="364"/>
      <c r="B250" s="141"/>
      <c r="C250" s="175"/>
      <c r="D250" s="416"/>
      <c r="E250" s="363"/>
      <c r="F250" s="302"/>
      <c r="G250" s="92"/>
      <c r="H250" s="175"/>
      <c r="I250" s="175"/>
      <c r="J250" s="52"/>
      <c r="K250" s="332"/>
      <c r="L250" s="332"/>
      <c r="M250" s="175"/>
      <c r="N250" s="332"/>
      <c r="O250" s="175"/>
      <c r="P250" s="175"/>
      <c r="Q250" s="175"/>
      <c r="R250" s="175"/>
      <c r="S250" s="175"/>
      <c r="T250" s="141"/>
      <c r="U250" s="415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  <c r="AG250" s="141"/>
      <c r="AH250" s="141"/>
      <c r="AI250" s="141"/>
      <c r="AJ250" s="141"/>
      <c r="AK250" s="141"/>
      <c r="AL250" s="141"/>
      <c r="AM250" s="141"/>
      <c r="AN250" s="364"/>
      <c r="AO250" s="363"/>
    </row>
    <row r="251" spans="1:41">
      <c r="A251" s="364"/>
      <c r="B251" s="141"/>
      <c r="C251" s="175"/>
      <c r="D251" s="416"/>
      <c r="E251" s="363"/>
      <c r="F251" s="302"/>
      <c r="G251" s="92"/>
      <c r="H251" s="175"/>
      <c r="I251" s="175"/>
      <c r="J251" s="52"/>
      <c r="K251" s="332"/>
      <c r="L251" s="332"/>
      <c r="M251" s="175"/>
      <c r="N251" s="332"/>
      <c r="O251" s="175"/>
      <c r="P251" s="175"/>
      <c r="Q251" s="175"/>
      <c r="R251" s="175"/>
      <c r="S251" s="175"/>
      <c r="T251" s="141"/>
      <c r="U251" s="415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41"/>
      <c r="AJ251" s="141"/>
      <c r="AK251" s="141"/>
      <c r="AL251" s="141"/>
      <c r="AM251" s="141"/>
      <c r="AN251" s="364"/>
      <c r="AO251" s="363"/>
    </row>
    <row r="252" spans="1:41">
      <c r="A252" s="364"/>
      <c r="B252" s="141"/>
      <c r="C252" s="175"/>
      <c r="D252" s="416"/>
      <c r="E252" s="363"/>
      <c r="F252" s="302"/>
      <c r="G252" s="92"/>
      <c r="H252" s="175"/>
      <c r="I252" s="175"/>
      <c r="J252" s="52"/>
      <c r="K252" s="332"/>
      <c r="L252" s="332"/>
      <c r="M252" s="175"/>
      <c r="N252" s="332"/>
      <c r="O252" s="175"/>
      <c r="P252" s="175"/>
      <c r="Q252" s="175"/>
      <c r="R252" s="175"/>
      <c r="S252" s="175"/>
      <c r="T252" s="141"/>
      <c r="U252" s="415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  <c r="AH252" s="141"/>
      <c r="AI252" s="141"/>
      <c r="AJ252" s="141"/>
      <c r="AK252" s="141"/>
      <c r="AL252" s="141"/>
      <c r="AM252" s="141"/>
      <c r="AN252" s="364"/>
      <c r="AO252" s="363"/>
    </row>
    <row r="253" spans="1:41">
      <c r="A253" s="364"/>
      <c r="B253" s="141"/>
      <c r="C253" s="175"/>
      <c r="D253" s="416"/>
      <c r="E253" s="363"/>
      <c r="F253" s="302"/>
      <c r="G253" s="92"/>
      <c r="H253" s="175"/>
      <c r="I253" s="175"/>
      <c r="J253" s="52"/>
      <c r="K253" s="332"/>
      <c r="L253" s="332"/>
      <c r="M253" s="175"/>
      <c r="N253" s="332"/>
      <c r="O253" s="175"/>
      <c r="P253" s="175"/>
      <c r="Q253" s="175"/>
      <c r="R253" s="175"/>
      <c r="S253" s="175"/>
      <c r="T253" s="141"/>
      <c r="U253" s="415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41"/>
      <c r="AJ253" s="141"/>
      <c r="AK253" s="141"/>
      <c r="AL253" s="141"/>
      <c r="AM253" s="141"/>
      <c r="AN253" s="364"/>
      <c r="AO253" s="363"/>
    </row>
    <row r="254" spans="1:41">
      <c r="A254" s="364"/>
      <c r="B254" s="141"/>
      <c r="C254" s="175"/>
      <c r="D254" s="416"/>
      <c r="E254" s="363"/>
      <c r="F254" s="302"/>
      <c r="G254" s="92"/>
      <c r="H254" s="175"/>
      <c r="I254" s="175"/>
      <c r="J254" s="52"/>
      <c r="K254" s="332"/>
      <c r="L254" s="332"/>
      <c r="M254" s="175"/>
      <c r="N254" s="332"/>
      <c r="O254" s="175"/>
      <c r="P254" s="175"/>
      <c r="Q254" s="175"/>
      <c r="R254" s="175"/>
      <c r="S254" s="175"/>
      <c r="T254" s="141"/>
      <c r="U254" s="415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41"/>
      <c r="AJ254" s="141"/>
      <c r="AK254" s="141"/>
      <c r="AL254" s="141"/>
      <c r="AM254" s="141"/>
      <c r="AN254" s="364"/>
      <c r="AO254" s="363"/>
    </row>
    <row r="255" spans="1:41">
      <c r="A255" s="364"/>
      <c r="B255" s="141"/>
      <c r="C255" s="175"/>
      <c r="D255" s="416"/>
      <c r="E255" s="363"/>
      <c r="F255" s="302"/>
      <c r="G255" s="92"/>
      <c r="H255" s="175"/>
      <c r="I255" s="175"/>
      <c r="J255" s="52"/>
      <c r="K255" s="332"/>
      <c r="L255" s="332"/>
      <c r="M255" s="175"/>
      <c r="N255" s="332"/>
      <c r="O255" s="175"/>
      <c r="P255" s="175"/>
      <c r="Q255" s="175"/>
      <c r="R255" s="175"/>
      <c r="S255" s="175"/>
      <c r="T255" s="141"/>
      <c r="U255" s="415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41"/>
      <c r="AJ255" s="141"/>
      <c r="AK255" s="141"/>
      <c r="AL255" s="141"/>
      <c r="AM255" s="141"/>
      <c r="AN255" s="364"/>
      <c r="AO255" s="363"/>
    </row>
    <row r="256" spans="1:41">
      <c r="A256" s="364"/>
      <c r="B256" s="141"/>
      <c r="C256" s="175"/>
      <c r="D256" s="416"/>
      <c r="E256" s="363"/>
      <c r="F256" s="302"/>
      <c r="G256" s="92"/>
      <c r="H256" s="175"/>
      <c r="I256" s="175"/>
      <c r="J256" s="52"/>
      <c r="K256" s="332"/>
      <c r="L256" s="332"/>
      <c r="M256" s="175"/>
      <c r="N256" s="332"/>
      <c r="O256" s="175"/>
      <c r="P256" s="175"/>
      <c r="Q256" s="175"/>
      <c r="R256" s="175"/>
      <c r="S256" s="175"/>
      <c r="T256" s="141"/>
      <c r="U256" s="415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41"/>
      <c r="AJ256" s="141"/>
      <c r="AK256" s="141"/>
      <c r="AL256" s="141"/>
      <c r="AM256" s="141"/>
      <c r="AN256" s="364"/>
      <c r="AO256" s="363"/>
    </row>
    <row r="257" spans="1:41">
      <c r="A257" s="364"/>
      <c r="B257" s="141"/>
      <c r="C257" s="175"/>
      <c r="D257" s="416"/>
      <c r="E257" s="363"/>
      <c r="F257" s="302"/>
      <c r="G257" s="92"/>
      <c r="H257" s="175"/>
      <c r="I257" s="175"/>
      <c r="J257" s="52"/>
      <c r="K257" s="332"/>
      <c r="L257" s="332"/>
      <c r="M257" s="175"/>
      <c r="N257" s="332"/>
      <c r="O257" s="175"/>
      <c r="P257" s="175"/>
      <c r="Q257" s="175"/>
      <c r="R257" s="175"/>
      <c r="S257" s="175"/>
      <c r="T257" s="141"/>
      <c r="U257" s="415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  <c r="AI257" s="141"/>
      <c r="AJ257" s="141"/>
      <c r="AK257" s="141"/>
      <c r="AL257" s="141"/>
      <c r="AM257" s="141"/>
      <c r="AN257" s="364"/>
      <c r="AO257" s="363"/>
    </row>
    <row r="258" spans="1:41">
      <c r="A258" s="364"/>
      <c r="B258" s="141"/>
      <c r="C258" s="175"/>
      <c r="D258" s="416"/>
      <c r="E258" s="363"/>
      <c r="F258" s="302"/>
      <c r="G258" s="92"/>
      <c r="H258" s="175"/>
      <c r="I258" s="175"/>
      <c r="J258" s="52"/>
      <c r="K258" s="332"/>
      <c r="L258" s="332"/>
      <c r="M258" s="175"/>
      <c r="N258" s="332"/>
      <c r="O258" s="175"/>
      <c r="P258" s="175"/>
      <c r="Q258" s="175"/>
      <c r="R258" s="175"/>
      <c r="S258" s="175"/>
      <c r="T258" s="141"/>
      <c r="U258" s="415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41"/>
      <c r="AJ258" s="141"/>
      <c r="AK258" s="141"/>
      <c r="AL258" s="141"/>
      <c r="AM258" s="141"/>
      <c r="AN258" s="364"/>
      <c r="AO258" s="363"/>
    </row>
    <row r="259" spans="1:41">
      <c r="A259" s="364"/>
      <c r="B259" s="141"/>
      <c r="C259" s="175"/>
      <c r="D259" s="416"/>
      <c r="E259" s="363"/>
      <c r="F259" s="302"/>
      <c r="G259" s="92"/>
      <c r="H259" s="175"/>
      <c r="I259" s="175"/>
      <c r="J259" s="52"/>
      <c r="K259" s="332"/>
      <c r="L259" s="332"/>
      <c r="M259" s="175"/>
      <c r="N259" s="332"/>
      <c r="O259" s="175"/>
      <c r="P259" s="175"/>
      <c r="Q259" s="175"/>
      <c r="R259" s="175"/>
      <c r="S259" s="175"/>
      <c r="T259" s="141"/>
      <c r="U259" s="415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141"/>
      <c r="AH259" s="141"/>
      <c r="AI259" s="141"/>
      <c r="AJ259" s="141"/>
      <c r="AK259" s="141"/>
      <c r="AL259" s="141"/>
      <c r="AM259" s="141"/>
      <c r="AN259" s="364"/>
      <c r="AO259" s="363"/>
    </row>
    <row r="260" spans="1:41">
      <c r="A260" s="364"/>
      <c r="B260" s="141"/>
      <c r="C260" s="175"/>
      <c r="D260" s="416"/>
      <c r="E260" s="363"/>
      <c r="F260" s="302"/>
      <c r="G260" s="92"/>
      <c r="H260" s="175"/>
      <c r="I260" s="175"/>
      <c r="J260" s="52"/>
      <c r="K260" s="332"/>
      <c r="L260" s="332"/>
      <c r="M260" s="175"/>
      <c r="N260" s="332"/>
      <c r="O260" s="175"/>
      <c r="P260" s="175"/>
      <c r="Q260" s="175"/>
      <c r="R260" s="175"/>
      <c r="S260" s="175"/>
      <c r="T260" s="141"/>
      <c r="U260" s="415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41"/>
      <c r="AJ260" s="141"/>
      <c r="AK260" s="141"/>
      <c r="AL260" s="141"/>
      <c r="AM260" s="141"/>
      <c r="AN260" s="364"/>
      <c r="AO260" s="363"/>
    </row>
    <row r="261" spans="1:41">
      <c r="A261" s="364"/>
      <c r="B261" s="141"/>
      <c r="C261" s="175"/>
      <c r="D261" s="416"/>
      <c r="E261" s="363"/>
      <c r="F261" s="302"/>
      <c r="G261" s="92"/>
      <c r="H261" s="175"/>
      <c r="I261" s="175"/>
      <c r="J261" s="52"/>
      <c r="K261" s="332"/>
      <c r="L261" s="332"/>
      <c r="M261" s="175"/>
      <c r="N261" s="332"/>
      <c r="O261" s="175"/>
      <c r="P261" s="175"/>
      <c r="Q261" s="175"/>
      <c r="R261" s="175"/>
      <c r="S261" s="175"/>
      <c r="T261" s="141"/>
      <c r="U261" s="415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  <c r="AH261" s="141"/>
      <c r="AI261" s="141"/>
      <c r="AJ261" s="141"/>
      <c r="AK261" s="141"/>
      <c r="AL261" s="141"/>
      <c r="AM261" s="141"/>
      <c r="AN261" s="364"/>
      <c r="AO261" s="363"/>
    </row>
    <row r="262" spans="1:41">
      <c r="A262" s="364"/>
      <c r="B262" s="141"/>
      <c r="C262" s="175"/>
      <c r="D262" s="416"/>
      <c r="E262" s="363"/>
      <c r="F262" s="302"/>
      <c r="G262" s="92"/>
      <c r="H262" s="175"/>
      <c r="I262" s="175"/>
      <c r="J262" s="52"/>
      <c r="K262" s="332"/>
      <c r="L262" s="332"/>
      <c r="M262" s="175"/>
      <c r="N262" s="332"/>
      <c r="O262" s="175"/>
      <c r="P262" s="175"/>
      <c r="Q262" s="175"/>
      <c r="R262" s="175"/>
      <c r="S262" s="175"/>
      <c r="T262" s="141"/>
      <c r="U262" s="415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  <c r="AH262" s="141"/>
      <c r="AI262" s="141"/>
      <c r="AJ262" s="141"/>
      <c r="AK262" s="141"/>
      <c r="AL262" s="141"/>
      <c r="AM262" s="141"/>
      <c r="AN262" s="364"/>
      <c r="AO262" s="363"/>
    </row>
    <row r="263" spans="1:41">
      <c r="A263" s="364"/>
      <c r="B263" s="141"/>
      <c r="C263" s="175"/>
      <c r="D263" s="416"/>
      <c r="E263" s="363"/>
      <c r="F263" s="302"/>
      <c r="G263" s="92"/>
      <c r="H263" s="175"/>
      <c r="I263" s="175"/>
      <c r="J263" s="52"/>
      <c r="K263" s="332"/>
      <c r="L263" s="332"/>
      <c r="M263" s="175"/>
      <c r="N263" s="332"/>
      <c r="O263" s="175"/>
      <c r="P263" s="175"/>
      <c r="Q263" s="175"/>
      <c r="R263" s="175"/>
      <c r="S263" s="175"/>
      <c r="T263" s="141"/>
      <c r="U263" s="415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41"/>
      <c r="AJ263" s="141"/>
      <c r="AK263" s="141"/>
      <c r="AL263" s="141"/>
      <c r="AM263" s="141"/>
      <c r="AN263" s="364"/>
      <c r="AO263" s="363"/>
    </row>
    <row r="264" spans="1:41">
      <c r="A264" s="364"/>
      <c r="B264" s="141"/>
      <c r="C264" s="175"/>
      <c r="D264" s="416"/>
      <c r="E264" s="363"/>
      <c r="F264" s="302"/>
      <c r="G264" s="92"/>
      <c r="H264" s="175"/>
      <c r="I264" s="175"/>
      <c r="J264" s="52"/>
      <c r="K264" s="332"/>
      <c r="L264" s="332"/>
      <c r="M264" s="175"/>
      <c r="N264" s="332"/>
      <c r="O264" s="175"/>
      <c r="P264" s="175"/>
      <c r="Q264" s="175"/>
      <c r="R264" s="175"/>
      <c r="S264" s="175"/>
      <c r="T264" s="141"/>
      <c r="U264" s="415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41"/>
      <c r="AJ264" s="141"/>
      <c r="AK264" s="141"/>
      <c r="AL264" s="141"/>
      <c r="AM264" s="141"/>
      <c r="AN264" s="364"/>
      <c r="AO264" s="363"/>
    </row>
    <row r="265" spans="1:41">
      <c r="A265" s="364"/>
      <c r="B265" s="141"/>
      <c r="C265" s="175"/>
      <c r="D265" s="416"/>
      <c r="E265" s="363"/>
      <c r="F265" s="302"/>
      <c r="G265" s="92"/>
      <c r="H265" s="175"/>
      <c r="I265" s="175"/>
      <c r="J265" s="52"/>
      <c r="K265" s="332"/>
      <c r="L265" s="332"/>
      <c r="M265" s="175"/>
      <c r="N265" s="332"/>
      <c r="O265" s="175"/>
      <c r="P265" s="175"/>
      <c r="Q265" s="175"/>
      <c r="R265" s="175"/>
      <c r="S265" s="175"/>
      <c r="T265" s="141"/>
      <c r="U265" s="415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41"/>
      <c r="AJ265" s="141"/>
      <c r="AK265" s="141"/>
      <c r="AL265" s="141"/>
      <c r="AM265" s="141"/>
      <c r="AN265" s="364"/>
      <c r="AO265" s="363"/>
    </row>
    <row r="266" spans="1:41">
      <c r="A266" s="364"/>
      <c r="B266" s="141"/>
      <c r="C266" s="175"/>
      <c r="D266" s="416"/>
      <c r="E266" s="363"/>
      <c r="F266" s="302"/>
      <c r="G266" s="92"/>
      <c r="H266" s="175"/>
      <c r="I266" s="175"/>
      <c r="J266" s="52"/>
      <c r="K266" s="332"/>
      <c r="L266" s="332"/>
      <c r="M266" s="175"/>
      <c r="N266" s="332"/>
      <c r="O266" s="175"/>
      <c r="P266" s="175"/>
      <c r="Q266" s="175"/>
      <c r="R266" s="175"/>
      <c r="S266" s="175"/>
      <c r="T266" s="141"/>
      <c r="U266" s="415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  <c r="AH266" s="141"/>
      <c r="AI266" s="141"/>
      <c r="AJ266" s="141"/>
      <c r="AK266" s="141"/>
      <c r="AL266" s="141"/>
      <c r="AM266" s="141"/>
      <c r="AN266" s="364"/>
      <c r="AO266" s="363"/>
    </row>
    <row r="267" spans="1:41">
      <c r="A267" s="364"/>
      <c r="B267" s="141"/>
      <c r="C267" s="175"/>
      <c r="D267" s="416"/>
      <c r="E267" s="363"/>
      <c r="F267" s="302"/>
      <c r="G267" s="92"/>
      <c r="H267" s="175"/>
      <c r="I267" s="175"/>
      <c r="J267" s="52"/>
      <c r="K267" s="332"/>
      <c r="L267" s="332"/>
      <c r="M267" s="175"/>
      <c r="N267" s="332"/>
      <c r="O267" s="175"/>
      <c r="P267" s="175"/>
      <c r="Q267" s="175"/>
      <c r="R267" s="175"/>
      <c r="S267" s="175"/>
      <c r="T267" s="141"/>
      <c r="U267" s="415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41"/>
      <c r="AJ267" s="141"/>
      <c r="AK267" s="141"/>
      <c r="AL267" s="141"/>
      <c r="AM267" s="141"/>
      <c r="AN267" s="364"/>
      <c r="AO267" s="363"/>
    </row>
    <row r="268" spans="1:41">
      <c r="A268" s="364"/>
      <c r="B268" s="141"/>
      <c r="C268" s="175"/>
      <c r="D268" s="416"/>
      <c r="E268" s="363"/>
      <c r="F268" s="302"/>
      <c r="G268" s="92"/>
      <c r="H268" s="175"/>
      <c r="I268" s="175"/>
      <c r="J268" s="52"/>
      <c r="K268" s="332"/>
      <c r="L268" s="332"/>
      <c r="M268" s="175"/>
      <c r="N268" s="332"/>
      <c r="O268" s="175"/>
      <c r="P268" s="175"/>
      <c r="Q268" s="175"/>
      <c r="R268" s="175"/>
      <c r="S268" s="175"/>
      <c r="T268" s="141"/>
      <c r="U268" s="415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  <c r="AF268" s="141"/>
      <c r="AG268" s="141"/>
      <c r="AH268" s="141"/>
      <c r="AI268" s="141"/>
      <c r="AJ268" s="141"/>
      <c r="AK268" s="141"/>
      <c r="AL268" s="141"/>
      <c r="AM268" s="141"/>
      <c r="AN268" s="364"/>
      <c r="AO268" s="363"/>
    </row>
    <row r="269" spans="1:41">
      <c r="A269" s="364"/>
      <c r="B269" s="141"/>
      <c r="C269" s="175"/>
      <c r="D269" s="416"/>
      <c r="E269" s="363"/>
      <c r="F269" s="302"/>
      <c r="G269" s="92"/>
      <c r="H269" s="175"/>
      <c r="I269" s="175"/>
      <c r="J269" s="52"/>
      <c r="K269" s="332"/>
      <c r="L269" s="332"/>
      <c r="M269" s="175"/>
      <c r="N269" s="332"/>
      <c r="O269" s="175"/>
      <c r="P269" s="175"/>
      <c r="Q269" s="175"/>
      <c r="R269" s="175"/>
      <c r="S269" s="175"/>
      <c r="T269" s="141"/>
      <c r="U269" s="415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41"/>
      <c r="AJ269" s="141"/>
      <c r="AK269" s="141"/>
      <c r="AL269" s="141"/>
      <c r="AM269" s="141"/>
      <c r="AN269" s="364"/>
      <c r="AO269" s="363"/>
    </row>
    <row r="270" spans="1:41">
      <c r="A270" s="364"/>
      <c r="B270" s="141"/>
      <c r="C270" s="175"/>
      <c r="D270" s="416"/>
      <c r="E270" s="363"/>
      <c r="F270" s="302"/>
      <c r="G270" s="92"/>
      <c r="H270" s="175"/>
      <c r="I270" s="175"/>
      <c r="J270" s="52"/>
      <c r="K270" s="332"/>
      <c r="L270" s="332"/>
      <c r="M270" s="175"/>
      <c r="N270" s="332"/>
      <c r="O270" s="175"/>
      <c r="P270" s="175"/>
      <c r="Q270" s="175"/>
      <c r="R270" s="175"/>
      <c r="S270" s="175"/>
      <c r="T270" s="141"/>
      <c r="U270" s="415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41"/>
      <c r="AJ270" s="141"/>
      <c r="AK270" s="141"/>
      <c r="AL270" s="141"/>
      <c r="AM270" s="141"/>
      <c r="AN270" s="364"/>
      <c r="AO270" s="363"/>
    </row>
    <row r="271" spans="1:41">
      <c r="A271" s="364"/>
      <c r="B271" s="141"/>
      <c r="C271" s="175"/>
      <c r="D271" s="416"/>
      <c r="E271" s="363"/>
      <c r="F271" s="302"/>
      <c r="G271" s="92"/>
      <c r="H271" s="175"/>
      <c r="I271" s="175"/>
      <c r="J271" s="52"/>
      <c r="K271" s="332"/>
      <c r="L271" s="332"/>
      <c r="M271" s="175"/>
      <c r="N271" s="332"/>
      <c r="O271" s="175"/>
      <c r="P271" s="175"/>
      <c r="Q271" s="175"/>
      <c r="R271" s="175"/>
      <c r="S271" s="175"/>
      <c r="T271" s="141"/>
      <c r="U271" s="415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41"/>
      <c r="AJ271" s="141"/>
      <c r="AK271" s="141"/>
      <c r="AL271" s="141"/>
      <c r="AM271" s="141"/>
      <c r="AN271" s="364"/>
      <c r="AO271" s="363"/>
    </row>
    <row r="272" spans="1:41">
      <c r="A272" s="364"/>
      <c r="B272" s="141"/>
      <c r="C272" s="175"/>
      <c r="D272" s="416"/>
      <c r="E272" s="363"/>
      <c r="F272" s="302"/>
      <c r="G272" s="92"/>
      <c r="H272" s="175"/>
      <c r="I272" s="175"/>
      <c r="J272" s="52"/>
      <c r="K272" s="332"/>
      <c r="L272" s="332"/>
      <c r="M272" s="175"/>
      <c r="N272" s="332"/>
      <c r="O272" s="175"/>
      <c r="P272" s="175"/>
      <c r="Q272" s="175"/>
      <c r="R272" s="175"/>
      <c r="S272" s="175"/>
      <c r="T272" s="141"/>
      <c r="U272" s="415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41"/>
      <c r="AJ272" s="141"/>
      <c r="AK272" s="141"/>
      <c r="AL272" s="141"/>
      <c r="AM272" s="141"/>
      <c r="AN272" s="364"/>
      <c r="AO272" s="363"/>
    </row>
    <row r="273" spans="1:41">
      <c r="A273" s="364"/>
      <c r="B273" s="141"/>
      <c r="C273" s="175"/>
      <c r="D273" s="416"/>
      <c r="E273" s="363"/>
      <c r="F273" s="302"/>
      <c r="G273" s="92"/>
      <c r="H273" s="175"/>
      <c r="I273" s="175"/>
      <c r="J273" s="52"/>
      <c r="K273" s="332"/>
      <c r="L273" s="332"/>
      <c r="M273" s="175"/>
      <c r="N273" s="332"/>
      <c r="O273" s="175"/>
      <c r="P273" s="175"/>
      <c r="Q273" s="175"/>
      <c r="R273" s="175"/>
      <c r="S273" s="175"/>
      <c r="T273" s="141"/>
      <c r="U273" s="415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  <c r="AH273" s="141"/>
      <c r="AI273" s="141"/>
      <c r="AJ273" s="141"/>
      <c r="AK273" s="141"/>
      <c r="AL273" s="141"/>
      <c r="AM273" s="141"/>
      <c r="AN273" s="364"/>
      <c r="AO273" s="363"/>
    </row>
    <row r="274" spans="1:41">
      <c r="A274" s="364"/>
      <c r="B274" s="141"/>
      <c r="C274" s="175"/>
      <c r="D274" s="416"/>
      <c r="E274" s="363"/>
      <c r="F274" s="302"/>
      <c r="G274" s="92"/>
      <c r="H274" s="175"/>
      <c r="I274" s="175"/>
      <c r="J274" s="52"/>
      <c r="K274" s="332"/>
      <c r="L274" s="332"/>
      <c r="M274" s="175"/>
      <c r="N274" s="332"/>
      <c r="O274" s="175"/>
      <c r="P274" s="175"/>
      <c r="Q274" s="175"/>
      <c r="R274" s="175"/>
      <c r="S274" s="175"/>
      <c r="T274" s="141"/>
      <c r="U274" s="415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41"/>
      <c r="AJ274" s="141"/>
      <c r="AK274" s="141"/>
      <c r="AL274" s="141"/>
      <c r="AM274" s="141"/>
      <c r="AN274" s="364"/>
      <c r="AO274" s="363"/>
    </row>
    <row r="275" spans="1:41">
      <c r="A275" s="364"/>
      <c r="B275" s="141"/>
      <c r="C275" s="175"/>
      <c r="D275" s="416"/>
      <c r="E275" s="363"/>
      <c r="F275" s="302"/>
      <c r="G275" s="92"/>
      <c r="H275" s="175"/>
      <c r="I275" s="175"/>
      <c r="J275" s="52"/>
      <c r="K275" s="332"/>
      <c r="L275" s="332"/>
      <c r="M275" s="175"/>
      <c r="N275" s="332"/>
      <c r="O275" s="175"/>
      <c r="P275" s="175"/>
      <c r="Q275" s="175"/>
      <c r="R275" s="175"/>
      <c r="S275" s="175"/>
      <c r="T275" s="141"/>
      <c r="U275" s="415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  <c r="AH275" s="141"/>
      <c r="AI275" s="141"/>
      <c r="AJ275" s="141"/>
      <c r="AK275" s="141"/>
      <c r="AL275" s="141"/>
      <c r="AM275" s="141"/>
      <c r="AN275" s="364"/>
      <c r="AO275" s="363"/>
    </row>
    <row r="276" spans="1:41">
      <c r="A276" s="364"/>
      <c r="B276" s="141"/>
      <c r="C276" s="175"/>
      <c r="D276" s="416"/>
      <c r="E276" s="363"/>
      <c r="F276" s="302"/>
      <c r="G276" s="92"/>
      <c r="H276" s="175"/>
      <c r="I276" s="175"/>
      <c r="J276" s="52"/>
      <c r="K276" s="332"/>
      <c r="L276" s="332"/>
      <c r="M276" s="175"/>
      <c r="N276" s="332"/>
      <c r="O276" s="175"/>
      <c r="P276" s="175"/>
      <c r="Q276" s="175"/>
      <c r="R276" s="175"/>
      <c r="S276" s="175"/>
      <c r="T276" s="141"/>
      <c r="U276" s="415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41"/>
      <c r="AJ276" s="141"/>
      <c r="AK276" s="141"/>
      <c r="AL276" s="141"/>
      <c r="AM276" s="141"/>
      <c r="AN276" s="364"/>
      <c r="AO276" s="363"/>
    </row>
    <row r="277" spans="1:41">
      <c r="A277" s="364"/>
      <c r="B277" s="141"/>
      <c r="C277" s="175"/>
      <c r="D277" s="416"/>
      <c r="E277" s="363"/>
      <c r="F277" s="302"/>
      <c r="G277" s="92"/>
      <c r="H277" s="175"/>
      <c r="I277" s="175"/>
      <c r="J277" s="52"/>
      <c r="K277" s="332"/>
      <c r="L277" s="332"/>
      <c r="M277" s="175"/>
      <c r="N277" s="332"/>
      <c r="O277" s="175"/>
      <c r="P277" s="175"/>
      <c r="Q277" s="175"/>
      <c r="R277" s="175"/>
      <c r="S277" s="175"/>
      <c r="T277" s="141"/>
      <c r="U277" s="415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41"/>
      <c r="AJ277" s="141"/>
      <c r="AK277" s="141"/>
      <c r="AL277" s="141"/>
      <c r="AM277" s="141"/>
      <c r="AN277" s="364"/>
      <c r="AO277" s="363"/>
    </row>
    <row r="278" spans="1:41">
      <c r="A278" s="364"/>
      <c r="B278" s="141"/>
      <c r="C278" s="175"/>
      <c r="D278" s="416"/>
      <c r="E278" s="363"/>
      <c r="F278" s="302"/>
      <c r="G278" s="92"/>
      <c r="H278" s="175"/>
      <c r="I278" s="175"/>
      <c r="J278" s="52"/>
      <c r="K278" s="332"/>
      <c r="L278" s="332"/>
      <c r="M278" s="175"/>
      <c r="N278" s="332"/>
      <c r="O278" s="175"/>
      <c r="P278" s="175"/>
      <c r="Q278" s="175"/>
      <c r="R278" s="175"/>
      <c r="S278" s="175"/>
      <c r="T278" s="141"/>
      <c r="U278" s="415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41"/>
      <c r="AJ278" s="141"/>
      <c r="AK278" s="141"/>
      <c r="AL278" s="141"/>
      <c r="AM278" s="141"/>
      <c r="AN278" s="364"/>
      <c r="AO278" s="363"/>
    </row>
    <row r="279" spans="1:41">
      <c r="A279" s="364"/>
      <c r="B279" s="141"/>
      <c r="C279" s="175"/>
      <c r="D279" s="416"/>
      <c r="E279" s="363"/>
      <c r="F279" s="302"/>
      <c r="G279" s="92"/>
      <c r="H279" s="175"/>
      <c r="I279" s="175"/>
      <c r="J279" s="52"/>
      <c r="K279" s="332"/>
      <c r="L279" s="332"/>
      <c r="M279" s="175"/>
      <c r="N279" s="332"/>
      <c r="O279" s="175"/>
      <c r="P279" s="175"/>
      <c r="Q279" s="175"/>
      <c r="R279" s="175"/>
      <c r="S279" s="175"/>
      <c r="T279" s="141"/>
      <c r="U279" s="415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  <c r="AH279" s="141"/>
      <c r="AI279" s="141"/>
      <c r="AJ279" s="141"/>
      <c r="AK279" s="141"/>
      <c r="AL279" s="141"/>
      <c r="AM279" s="141"/>
      <c r="AN279" s="364"/>
      <c r="AO279" s="363"/>
    </row>
    <row r="280" spans="1:41">
      <c r="A280" s="364"/>
      <c r="B280" s="141"/>
      <c r="C280" s="175"/>
      <c r="D280" s="416"/>
      <c r="E280" s="363"/>
      <c r="F280" s="302"/>
      <c r="G280" s="92"/>
      <c r="H280" s="175"/>
      <c r="I280" s="175"/>
      <c r="J280" s="52"/>
      <c r="K280" s="332"/>
      <c r="L280" s="332"/>
      <c r="M280" s="175"/>
      <c r="N280" s="332"/>
      <c r="O280" s="175"/>
      <c r="P280" s="175"/>
      <c r="Q280" s="175"/>
      <c r="R280" s="175"/>
      <c r="S280" s="175"/>
      <c r="T280" s="141"/>
      <c r="U280" s="415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  <c r="AF280" s="141"/>
      <c r="AG280" s="141"/>
      <c r="AH280" s="141"/>
      <c r="AI280" s="141"/>
      <c r="AJ280" s="141"/>
      <c r="AK280" s="141"/>
      <c r="AL280" s="141"/>
      <c r="AM280" s="141"/>
      <c r="AN280" s="364"/>
      <c r="AO280" s="363"/>
    </row>
    <row r="281" spans="1:41">
      <c r="A281" s="364"/>
      <c r="B281" s="141"/>
      <c r="C281" s="175"/>
      <c r="D281" s="416"/>
      <c r="E281" s="363"/>
      <c r="F281" s="302"/>
      <c r="G281" s="92"/>
      <c r="H281" s="175"/>
      <c r="I281" s="175"/>
      <c r="J281" s="52"/>
      <c r="K281" s="332"/>
      <c r="L281" s="332"/>
      <c r="M281" s="175"/>
      <c r="N281" s="332"/>
      <c r="O281" s="175"/>
      <c r="P281" s="175"/>
      <c r="Q281" s="175"/>
      <c r="R281" s="175"/>
      <c r="S281" s="175"/>
      <c r="T281" s="141"/>
      <c r="U281" s="415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41"/>
      <c r="AJ281" s="141"/>
      <c r="AK281" s="141"/>
      <c r="AL281" s="141"/>
      <c r="AM281" s="141"/>
      <c r="AN281" s="364"/>
      <c r="AO281" s="363"/>
    </row>
    <row r="282" spans="1:41">
      <c r="A282" s="364"/>
      <c r="B282" s="141"/>
      <c r="C282" s="175"/>
      <c r="D282" s="416"/>
      <c r="E282" s="363"/>
      <c r="F282" s="302"/>
      <c r="G282" s="92"/>
      <c r="H282" s="175"/>
      <c r="I282" s="175"/>
      <c r="J282" s="52"/>
      <c r="K282" s="332"/>
      <c r="L282" s="332"/>
      <c r="M282" s="175"/>
      <c r="N282" s="332"/>
      <c r="O282" s="175"/>
      <c r="P282" s="175"/>
      <c r="Q282" s="175"/>
      <c r="R282" s="175"/>
      <c r="S282" s="175"/>
      <c r="T282" s="141"/>
      <c r="U282" s="415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41"/>
      <c r="AJ282" s="141"/>
      <c r="AK282" s="141"/>
      <c r="AL282" s="141"/>
      <c r="AM282" s="141"/>
      <c r="AN282" s="364"/>
      <c r="AO282" s="363"/>
    </row>
    <row r="283" spans="1:41">
      <c r="A283" s="364"/>
      <c r="B283" s="141"/>
      <c r="C283" s="175"/>
      <c r="D283" s="416"/>
      <c r="E283" s="363"/>
      <c r="F283" s="302"/>
      <c r="G283" s="92"/>
      <c r="H283" s="175"/>
      <c r="I283" s="175"/>
      <c r="J283" s="52"/>
      <c r="K283" s="332"/>
      <c r="L283" s="332"/>
      <c r="M283" s="175"/>
      <c r="N283" s="332"/>
      <c r="O283" s="175"/>
      <c r="P283" s="175"/>
      <c r="Q283" s="175"/>
      <c r="R283" s="175"/>
      <c r="S283" s="175"/>
      <c r="T283" s="141"/>
      <c r="U283" s="415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41"/>
      <c r="AJ283" s="141"/>
      <c r="AK283" s="141"/>
      <c r="AL283" s="141"/>
      <c r="AM283" s="141"/>
      <c r="AN283" s="364"/>
      <c r="AO283" s="363"/>
    </row>
    <row r="284" spans="1:41">
      <c r="A284" s="364"/>
      <c r="B284" s="141"/>
      <c r="C284" s="175"/>
      <c r="D284" s="416"/>
      <c r="E284" s="363"/>
      <c r="F284" s="302"/>
      <c r="G284" s="92"/>
      <c r="H284" s="175"/>
      <c r="I284" s="175"/>
      <c r="J284" s="52"/>
      <c r="K284" s="332"/>
      <c r="L284" s="332"/>
      <c r="M284" s="175"/>
      <c r="N284" s="332"/>
      <c r="O284" s="175"/>
      <c r="P284" s="175"/>
      <c r="Q284" s="175"/>
      <c r="R284" s="175"/>
      <c r="S284" s="175"/>
      <c r="T284" s="141"/>
      <c r="U284" s="415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41"/>
      <c r="AJ284" s="141"/>
      <c r="AK284" s="141"/>
      <c r="AL284" s="141"/>
      <c r="AM284" s="141"/>
      <c r="AN284" s="364"/>
      <c r="AO284" s="363"/>
    </row>
    <row r="285" spans="1:41">
      <c r="A285" s="364"/>
      <c r="B285" s="141"/>
      <c r="C285" s="175"/>
      <c r="D285" s="416"/>
      <c r="E285" s="363"/>
      <c r="F285" s="302"/>
      <c r="G285" s="92"/>
      <c r="H285" s="175"/>
      <c r="I285" s="175"/>
      <c r="J285" s="52"/>
      <c r="K285" s="332"/>
      <c r="L285" s="332"/>
      <c r="M285" s="175"/>
      <c r="N285" s="332"/>
      <c r="O285" s="175"/>
      <c r="P285" s="175"/>
      <c r="Q285" s="175"/>
      <c r="R285" s="175"/>
      <c r="S285" s="175"/>
      <c r="T285" s="141"/>
      <c r="U285" s="415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  <c r="AH285" s="141"/>
      <c r="AI285" s="141"/>
      <c r="AJ285" s="141"/>
      <c r="AK285" s="141"/>
      <c r="AL285" s="141"/>
      <c r="AM285" s="141"/>
      <c r="AN285" s="364"/>
      <c r="AO285" s="363"/>
    </row>
    <row r="286" spans="1:41">
      <c r="A286" s="364"/>
      <c r="B286" s="141"/>
      <c r="C286" s="175"/>
      <c r="D286" s="416"/>
      <c r="E286" s="363"/>
      <c r="F286" s="302"/>
      <c r="G286" s="92"/>
      <c r="H286" s="175"/>
      <c r="I286" s="175"/>
      <c r="J286" s="52"/>
      <c r="K286" s="332"/>
      <c r="L286" s="332"/>
      <c r="M286" s="175"/>
      <c r="N286" s="332"/>
      <c r="O286" s="175"/>
      <c r="P286" s="175"/>
      <c r="Q286" s="175"/>
      <c r="R286" s="175"/>
      <c r="S286" s="175"/>
      <c r="T286" s="141"/>
      <c r="U286" s="415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41"/>
      <c r="AJ286" s="141"/>
      <c r="AK286" s="141"/>
      <c r="AL286" s="141"/>
      <c r="AM286" s="141"/>
      <c r="AN286" s="364"/>
      <c r="AO286" s="363"/>
    </row>
    <row r="287" spans="1:41">
      <c r="A287" s="364"/>
      <c r="B287" s="141"/>
      <c r="C287" s="175"/>
      <c r="D287" s="416"/>
      <c r="E287" s="363"/>
      <c r="F287" s="302"/>
      <c r="G287" s="92"/>
      <c r="H287" s="175"/>
      <c r="I287" s="175"/>
      <c r="J287" s="52"/>
      <c r="K287" s="332"/>
      <c r="L287" s="332"/>
      <c r="M287" s="175"/>
      <c r="N287" s="332"/>
      <c r="O287" s="175"/>
      <c r="P287" s="175"/>
      <c r="Q287" s="175"/>
      <c r="R287" s="175"/>
      <c r="S287" s="175"/>
      <c r="T287" s="141"/>
      <c r="U287" s="415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41"/>
      <c r="AJ287" s="141"/>
      <c r="AK287" s="141"/>
      <c r="AL287" s="141"/>
      <c r="AM287" s="141"/>
      <c r="AN287" s="364"/>
      <c r="AO287" s="363"/>
    </row>
    <row r="288" spans="1:41">
      <c r="A288" s="364"/>
      <c r="B288" s="141"/>
      <c r="C288" s="175"/>
      <c r="D288" s="416"/>
      <c r="E288" s="363"/>
      <c r="F288" s="302"/>
      <c r="G288" s="92"/>
      <c r="H288" s="175"/>
      <c r="I288" s="175"/>
      <c r="J288" s="52"/>
      <c r="K288" s="332"/>
      <c r="L288" s="332"/>
      <c r="M288" s="175"/>
      <c r="N288" s="332"/>
      <c r="O288" s="175"/>
      <c r="P288" s="175"/>
      <c r="Q288" s="175"/>
      <c r="R288" s="175"/>
      <c r="S288" s="175"/>
      <c r="T288" s="141"/>
      <c r="U288" s="415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41"/>
      <c r="AJ288" s="141"/>
      <c r="AK288" s="141"/>
      <c r="AL288" s="141"/>
      <c r="AM288" s="141"/>
      <c r="AN288" s="364"/>
      <c r="AO288" s="363"/>
    </row>
    <row r="289" spans="1:41">
      <c r="A289" s="364"/>
      <c r="B289" s="141"/>
      <c r="C289" s="175"/>
      <c r="D289" s="416"/>
      <c r="E289" s="363"/>
      <c r="F289" s="302"/>
      <c r="G289" s="92"/>
      <c r="H289" s="175"/>
      <c r="I289" s="175"/>
      <c r="J289" s="52"/>
      <c r="K289" s="332"/>
      <c r="L289" s="332"/>
      <c r="M289" s="175"/>
      <c r="N289" s="332"/>
      <c r="O289" s="175"/>
      <c r="P289" s="175"/>
      <c r="Q289" s="175"/>
      <c r="R289" s="175"/>
      <c r="S289" s="175"/>
      <c r="T289" s="141"/>
      <c r="U289" s="415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  <c r="AH289" s="141"/>
      <c r="AI289" s="141"/>
      <c r="AJ289" s="141"/>
      <c r="AK289" s="141"/>
      <c r="AL289" s="141"/>
      <c r="AM289" s="141"/>
      <c r="AN289" s="364"/>
      <c r="AO289" s="363"/>
    </row>
    <row r="290" spans="1:41">
      <c r="A290" s="364"/>
      <c r="B290" s="141"/>
      <c r="C290" s="175"/>
      <c r="D290" s="416"/>
      <c r="E290" s="363"/>
      <c r="F290" s="302"/>
      <c r="G290" s="92"/>
      <c r="H290" s="175"/>
      <c r="I290" s="175"/>
      <c r="J290" s="52"/>
      <c r="K290" s="332"/>
      <c r="L290" s="332"/>
      <c r="M290" s="175"/>
      <c r="N290" s="332"/>
      <c r="O290" s="175"/>
      <c r="P290" s="175"/>
      <c r="Q290" s="175"/>
      <c r="R290" s="175"/>
      <c r="S290" s="175"/>
      <c r="T290" s="141"/>
      <c r="U290" s="415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  <c r="AG290" s="141"/>
      <c r="AH290" s="141"/>
      <c r="AI290" s="141"/>
      <c r="AJ290" s="141"/>
      <c r="AK290" s="141"/>
      <c r="AL290" s="141"/>
      <c r="AM290" s="141"/>
      <c r="AN290" s="364"/>
      <c r="AO290" s="363"/>
    </row>
    <row r="291" spans="1:41">
      <c r="A291" s="364"/>
      <c r="B291" s="141"/>
      <c r="C291" s="175"/>
      <c r="D291" s="416"/>
      <c r="E291" s="363"/>
      <c r="F291" s="302"/>
      <c r="G291" s="92"/>
      <c r="H291" s="175"/>
      <c r="I291" s="175"/>
      <c r="J291" s="52"/>
      <c r="K291" s="332"/>
      <c r="L291" s="332"/>
      <c r="M291" s="175"/>
      <c r="N291" s="332"/>
      <c r="O291" s="175"/>
      <c r="P291" s="175"/>
      <c r="Q291" s="175"/>
      <c r="R291" s="175"/>
      <c r="S291" s="175"/>
      <c r="T291" s="141"/>
      <c r="U291" s="415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  <c r="AH291" s="141"/>
      <c r="AI291" s="141"/>
      <c r="AJ291" s="141"/>
      <c r="AK291" s="141"/>
      <c r="AL291" s="141"/>
      <c r="AM291" s="141"/>
      <c r="AN291" s="364"/>
      <c r="AO291" s="363"/>
    </row>
    <row r="292" spans="1:41">
      <c r="A292" s="364"/>
      <c r="B292" s="141"/>
      <c r="C292" s="175"/>
      <c r="D292" s="416"/>
      <c r="E292" s="363"/>
      <c r="F292" s="302"/>
      <c r="G292" s="92"/>
      <c r="H292" s="175"/>
      <c r="I292" s="175"/>
      <c r="J292" s="52"/>
      <c r="K292" s="332"/>
      <c r="L292" s="332"/>
      <c r="M292" s="175"/>
      <c r="N292" s="332"/>
      <c r="O292" s="175"/>
      <c r="P292" s="175"/>
      <c r="Q292" s="175"/>
      <c r="R292" s="175"/>
      <c r="S292" s="175"/>
      <c r="T292" s="141"/>
      <c r="U292" s="415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41"/>
      <c r="AJ292" s="141"/>
      <c r="AK292" s="141"/>
      <c r="AL292" s="141"/>
      <c r="AM292" s="141"/>
      <c r="AN292" s="364"/>
      <c r="AO292" s="363"/>
    </row>
    <row r="293" spans="1:41">
      <c r="A293" s="364"/>
      <c r="B293" s="141"/>
      <c r="C293" s="175"/>
      <c r="D293" s="416"/>
      <c r="E293" s="363"/>
      <c r="F293" s="302"/>
      <c r="G293" s="92"/>
      <c r="H293" s="175"/>
      <c r="I293" s="175"/>
      <c r="J293" s="52"/>
      <c r="K293" s="332"/>
      <c r="L293" s="332"/>
      <c r="M293" s="175"/>
      <c r="N293" s="332"/>
      <c r="O293" s="175"/>
      <c r="P293" s="175"/>
      <c r="Q293" s="175"/>
      <c r="R293" s="175"/>
      <c r="S293" s="175"/>
      <c r="T293" s="141"/>
      <c r="U293" s="415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41"/>
      <c r="AJ293" s="141"/>
      <c r="AK293" s="141"/>
      <c r="AL293" s="141"/>
      <c r="AM293" s="141"/>
      <c r="AN293" s="364"/>
      <c r="AO293" s="363"/>
    </row>
    <row r="294" spans="1:41">
      <c r="A294" s="364"/>
      <c r="B294" s="141"/>
      <c r="C294" s="175"/>
      <c r="D294" s="416"/>
      <c r="E294" s="363"/>
      <c r="F294" s="302"/>
      <c r="G294" s="92"/>
      <c r="H294" s="175"/>
      <c r="I294" s="175"/>
      <c r="J294" s="52"/>
      <c r="K294" s="332"/>
      <c r="L294" s="332"/>
      <c r="M294" s="175"/>
      <c r="N294" s="332"/>
      <c r="O294" s="175"/>
      <c r="P294" s="175"/>
      <c r="Q294" s="175"/>
      <c r="R294" s="175"/>
      <c r="S294" s="175"/>
      <c r="T294" s="141"/>
      <c r="U294" s="415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  <c r="AH294" s="141"/>
      <c r="AI294" s="141"/>
      <c r="AJ294" s="141"/>
      <c r="AK294" s="141"/>
      <c r="AL294" s="141"/>
      <c r="AM294" s="141"/>
      <c r="AN294" s="364"/>
      <c r="AO294" s="363"/>
    </row>
    <row r="295" spans="1:41">
      <c r="A295" s="364"/>
      <c r="B295" s="141"/>
      <c r="C295" s="175"/>
      <c r="D295" s="416"/>
      <c r="E295" s="363"/>
      <c r="F295" s="302"/>
      <c r="G295" s="92"/>
      <c r="H295" s="175"/>
      <c r="I295" s="175"/>
      <c r="J295" s="52"/>
      <c r="K295" s="332"/>
      <c r="L295" s="332"/>
      <c r="M295" s="175"/>
      <c r="N295" s="332"/>
      <c r="O295" s="175"/>
      <c r="P295" s="175"/>
      <c r="Q295" s="175"/>
      <c r="R295" s="175"/>
      <c r="S295" s="175"/>
      <c r="T295" s="141"/>
      <c r="U295" s="415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  <c r="AH295" s="141"/>
      <c r="AI295" s="141"/>
      <c r="AJ295" s="141"/>
      <c r="AK295" s="141"/>
      <c r="AL295" s="141"/>
      <c r="AM295" s="141"/>
      <c r="AN295" s="364"/>
      <c r="AO295" s="363"/>
    </row>
    <row r="296" spans="1:41">
      <c r="A296" s="364"/>
      <c r="B296" s="141"/>
      <c r="C296" s="175"/>
      <c r="D296" s="416"/>
      <c r="E296" s="363"/>
      <c r="F296" s="302"/>
      <c r="G296" s="92"/>
      <c r="H296" s="175"/>
      <c r="I296" s="175"/>
      <c r="J296" s="52"/>
      <c r="K296" s="332"/>
      <c r="L296" s="332"/>
      <c r="M296" s="175"/>
      <c r="N296" s="332"/>
      <c r="O296" s="175"/>
      <c r="P296" s="175"/>
      <c r="Q296" s="175"/>
      <c r="R296" s="175"/>
      <c r="S296" s="175"/>
      <c r="T296" s="141"/>
      <c r="U296" s="415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41"/>
      <c r="AJ296" s="141"/>
      <c r="AK296" s="141"/>
      <c r="AL296" s="141"/>
      <c r="AM296" s="141"/>
      <c r="AN296" s="364"/>
      <c r="AO296" s="363"/>
    </row>
    <row r="297" spans="1:41">
      <c r="A297" s="364"/>
      <c r="B297" s="141"/>
      <c r="C297" s="175"/>
      <c r="D297" s="416"/>
      <c r="E297" s="363"/>
      <c r="F297" s="302"/>
      <c r="G297" s="92"/>
      <c r="H297" s="175"/>
      <c r="I297" s="175"/>
      <c r="J297" s="52"/>
      <c r="K297" s="332"/>
      <c r="L297" s="332"/>
      <c r="M297" s="175"/>
      <c r="N297" s="332"/>
      <c r="O297" s="175"/>
      <c r="P297" s="175"/>
      <c r="Q297" s="175"/>
      <c r="R297" s="175"/>
      <c r="S297" s="175"/>
      <c r="T297" s="141"/>
      <c r="U297" s="415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41"/>
      <c r="AJ297" s="141"/>
      <c r="AK297" s="141"/>
      <c r="AL297" s="141"/>
      <c r="AM297" s="141"/>
      <c r="AN297" s="364"/>
      <c r="AO297" s="363"/>
    </row>
    <row r="298" spans="1:41">
      <c r="A298" s="364"/>
      <c r="B298" s="141"/>
      <c r="C298" s="175"/>
      <c r="D298" s="416"/>
      <c r="E298" s="363"/>
      <c r="F298" s="302"/>
      <c r="G298" s="92"/>
      <c r="H298" s="175"/>
      <c r="I298" s="175"/>
      <c r="J298" s="52"/>
      <c r="K298" s="332"/>
      <c r="L298" s="332"/>
      <c r="M298" s="175"/>
      <c r="N298" s="332"/>
      <c r="O298" s="175"/>
      <c r="P298" s="175"/>
      <c r="Q298" s="175"/>
      <c r="R298" s="175"/>
      <c r="S298" s="175"/>
      <c r="T298" s="141"/>
      <c r="U298" s="415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41"/>
      <c r="AJ298" s="141"/>
      <c r="AK298" s="141"/>
      <c r="AL298" s="141"/>
      <c r="AM298" s="141"/>
      <c r="AN298" s="364"/>
      <c r="AO298" s="363"/>
    </row>
    <row r="299" spans="1:41">
      <c r="A299" s="364"/>
      <c r="B299" s="141"/>
      <c r="C299" s="175"/>
      <c r="D299" s="416"/>
      <c r="E299" s="363"/>
      <c r="F299" s="302"/>
      <c r="G299" s="92"/>
      <c r="H299" s="175"/>
      <c r="I299" s="175"/>
      <c r="J299" s="52"/>
      <c r="K299" s="332"/>
      <c r="L299" s="332"/>
      <c r="M299" s="175"/>
      <c r="N299" s="332"/>
      <c r="O299" s="175"/>
      <c r="P299" s="175"/>
      <c r="Q299" s="175"/>
      <c r="R299" s="175"/>
      <c r="S299" s="175"/>
      <c r="T299" s="141"/>
      <c r="U299" s="415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  <c r="AH299" s="141"/>
      <c r="AI299" s="141"/>
      <c r="AJ299" s="141"/>
      <c r="AK299" s="141"/>
      <c r="AL299" s="141"/>
      <c r="AM299" s="141"/>
      <c r="AN299" s="364"/>
      <c r="AO299" s="363"/>
    </row>
    <row r="300" spans="1:41">
      <c r="A300" s="364"/>
      <c r="B300" s="141"/>
      <c r="C300" s="175"/>
      <c r="D300" s="416"/>
      <c r="E300" s="363"/>
      <c r="F300" s="302"/>
      <c r="G300" s="92"/>
      <c r="H300" s="175"/>
      <c r="I300" s="175"/>
      <c r="J300" s="52"/>
      <c r="K300" s="332"/>
      <c r="L300" s="332"/>
      <c r="M300" s="175"/>
      <c r="N300" s="332"/>
      <c r="O300" s="175"/>
      <c r="P300" s="175"/>
      <c r="Q300" s="175"/>
      <c r="R300" s="175"/>
      <c r="S300" s="175"/>
      <c r="T300" s="141"/>
      <c r="U300" s="415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41"/>
      <c r="AJ300" s="141"/>
      <c r="AK300" s="141"/>
      <c r="AL300" s="141"/>
      <c r="AM300" s="141"/>
      <c r="AN300" s="364"/>
      <c r="AO300" s="363"/>
    </row>
    <row r="301" spans="1:41">
      <c r="A301" s="364"/>
      <c r="B301" s="141"/>
      <c r="C301" s="175"/>
      <c r="D301" s="416"/>
      <c r="E301" s="363"/>
      <c r="F301" s="302"/>
      <c r="G301" s="92"/>
      <c r="H301" s="175"/>
      <c r="I301" s="175"/>
      <c r="J301" s="52"/>
      <c r="K301" s="332"/>
      <c r="L301" s="332"/>
      <c r="M301" s="175"/>
      <c r="N301" s="332"/>
      <c r="O301" s="175"/>
      <c r="P301" s="175"/>
      <c r="Q301" s="175"/>
      <c r="R301" s="175"/>
      <c r="S301" s="175"/>
      <c r="T301" s="141"/>
      <c r="U301" s="415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41"/>
      <c r="AJ301" s="141"/>
      <c r="AK301" s="141"/>
      <c r="AL301" s="141"/>
      <c r="AM301" s="141"/>
      <c r="AN301" s="364"/>
      <c r="AO301" s="363"/>
    </row>
    <row r="302" spans="1:41">
      <c r="A302" s="364"/>
      <c r="B302" s="141"/>
      <c r="C302" s="175"/>
      <c r="D302" s="416"/>
      <c r="E302" s="363"/>
      <c r="F302" s="302"/>
      <c r="G302" s="92"/>
      <c r="H302" s="175"/>
      <c r="I302" s="175"/>
      <c r="J302" s="52"/>
      <c r="K302" s="332"/>
      <c r="L302" s="332"/>
      <c r="M302" s="175"/>
      <c r="N302" s="332"/>
      <c r="O302" s="175"/>
      <c r="P302" s="175"/>
      <c r="Q302" s="175"/>
      <c r="R302" s="175"/>
      <c r="S302" s="175"/>
      <c r="T302" s="141"/>
      <c r="U302" s="415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41"/>
      <c r="AJ302" s="141"/>
      <c r="AK302" s="141"/>
      <c r="AL302" s="141"/>
      <c r="AM302" s="141"/>
      <c r="AN302" s="364"/>
      <c r="AO302" s="363"/>
    </row>
    <row r="303" spans="1:41">
      <c r="A303" s="364"/>
      <c r="B303" s="141"/>
      <c r="C303" s="175"/>
      <c r="D303" s="416"/>
      <c r="E303" s="363"/>
      <c r="F303" s="302"/>
      <c r="G303" s="92"/>
      <c r="H303" s="175"/>
      <c r="I303" s="175"/>
      <c r="J303" s="52"/>
      <c r="K303" s="332"/>
      <c r="L303" s="332"/>
      <c r="M303" s="175"/>
      <c r="N303" s="332"/>
      <c r="O303" s="175"/>
      <c r="P303" s="175"/>
      <c r="Q303" s="175"/>
      <c r="R303" s="175"/>
      <c r="S303" s="175"/>
      <c r="T303" s="141"/>
      <c r="U303" s="415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  <c r="AH303" s="141"/>
      <c r="AI303" s="141"/>
      <c r="AJ303" s="141"/>
      <c r="AK303" s="141"/>
      <c r="AL303" s="141"/>
      <c r="AM303" s="141"/>
      <c r="AN303" s="364"/>
      <c r="AO303" s="363"/>
    </row>
    <row r="304" spans="1:41">
      <c r="A304" s="364"/>
      <c r="B304" s="141"/>
      <c r="C304" s="175"/>
      <c r="D304" s="416"/>
      <c r="E304" s="363"/>
      <c r="F304" s="302"/>
      <c r="G304" s="92"/>
      <c r="H304" s="175"/>
      <c r="I304" s="175"/>
      <c r="J304" s="52"/>
      <c r="K304" s="332"/>
      <c r="L304" s="332"/>
      <c r="M304" s="175"/>
      <c r="N304" s="332"/>
      <c r="O304" s="175"/>
      <c r="P304" s="175"/>
      <c r="Q304" s="175"/>
      <c r="R304" s="175"/>
      <c r="S304" s="175"/>
      <c r="T304" s="141"/>
      <c r="U304" s="415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41"/>
      <c r="AJ304" s="141"/>
      <c r="AK304" s="141"/>
      <c r="AL304" s="141"/>
      <c r="AM304" s="141"/>
      <c r="AN304" s="364"/>
      <c r="AO304" s="363"/>
    </row>
    <row r="305" spans="1:41">
      <c r="A305" s="364"/>
      <c r="B305" s="141"/>
      <c r="C305" s="175"/>
      <c r="D305" s="416"/>
      <c r="E305" s="363"/>
      <c r="F305" s="302"/>
      <c r="G305" s="92"/>
      <c r="H305" s="175"/>
      <c r="I305" s="175"/>
      <c r="J305" s="52"/>
      <c r="K305" s="332"/>
      <c r="L305" s="332"/>
      <c r="M305" s="175"/>
      <c r="N305" s="332"/>
      <c r="O305" s="175"/>
      <c r="P305" s="175"/>
      <c r="Q305" s="175"/>
      <c r="R305" s="175"/>
      <c r="S305" s="175"/>
      <c r="T305" s="141"/>
      <c r="U305" s="415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41"/>
      <c r="AJ305" s="141"/>
      <c r="AK305" s="141"/>
      <c r="AL305" s="141"/>
      <c r="AM305" s="141"/>
      <c r="AN305" s="364"/>
      <c r="AO305" s="363"/>
    </row>
    <row r="306" spans="1:41">
      <c r="A306" s="364"/>
      <c r="B306" s="141"/>
      <c r="C306" s="175"/>
      <c r="D306" s="416"/>
      <c r="E306" s="363"/>
      <c r="F306" s="302"/>
      <c r="G306" s="92"/>
      <c r="H306" s="175"/>
      <c r="I306" s="175"/>
      <c r="J306" s="52"/>
      <c r="K306" s="332"/>
      <c r="L306" s="332"/>
      <c r="M306" s="175"/>
      <c r="N306" s="332"/>
      <c r="O306" s="175"/>
      <c r="P306" s="175"/>
      <c r="Q306" s="175"/>
      <c r="R306" s="175"/>
      <c r="S306" s="175"/>
      <c r="T306" s="141"/>
      <c r="U306" s="415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41"/>
      <c r="AJ306" s="141"/>
      <c r="AK306" s="141"/>
      <c r="AL306" s="141"/>
      <c r="AM306" s="141"/>
      <c r="AN306" s="364"/>
      <c r="AO306" s="363"/>
    </row>
    <row r="307" spans="1:41">
      <c r="A307" s="364"/>
      <c r="B307" s="141"/>
      <c r="C307" s="175"/>
      <c r="D307" s="416"/>
      <c r="E307" s="363"/>
      <c r="F307" s="302"/>
      <c r="G307" s="92"/>
      <c r="H307" s="175"/>
      <c r="I307" s="175"/>
      <c r="J307" s="52"/>
      <c r="K307" s="332"/>
      <c r="L307" s="332"/>
      <c r="M307" s="175"/>
      <c r="N307" s="332"/>
      <c r="O307" s="175"/>
      <c r="P307" s="175"/>
      <c r="Q307" s="175"/>
      <c r="R307" s="175"/>
      <c r="S307" s="175"/>
      <c r="T307" s="141"/>
      <c r="U307" s="415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  <c r="AH307" s="141"/>
      <c r="AI307" s="141"/>
      <c r="AJ307" s="141"/>
      <c r="AK307" s="141"/>
      <c r="AL307" s="141"/>
      <c r="AM307" s="141"/>
      <c r="AN307" s="364"/>
      <c r="AO307" s="363"/>
    </row>
    <row r="308" spans="1:41">
      <c r="A308" s="364"/>
      <c r="B308" s="141"/>
      <c r="C308" s="175"/>
      <c r="D308" s="416"/>
      <c r="E308" s="363"/>
      <c r="F308" s="302"/>
      <c r="G308" s="92"/>
      <c r="H308" s="175"/>
      <c r="I308" s="175"/>
      <c r="J308" s="52"/>
      <c r="K308" s="332"/>
      <c r="L308" s="332"/>
      <c r="M308" s="175"/>
      <c r="N308" s="332"/>
      <c r="O308" s="175"/>
      <c r="P308" s="175"/>
      <c r="Q308" s="175"/>
      <c r="R308" s="175"/>
      <c r="S308" s="175"/>
      <c r="T308" s="141"/>
      <c r="U308" s="415"/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  <c r="AF308" s="141"/>
      <c r="AG308" s="141"/>
      <c r="AH308" s="141"/>
      <c r="AI308" s="141"/>
      <c r="AJ308" s="141"/>
      <c r="AK308" s="141"/>
      <c r="AL308" s="141"/>
      <c r="AM308" s="141"/>
      <c r="AN308" s="364"/>
      <c r="AO308" s="363"/>
    </row>
    <row r="309" spans="1:41">
      <c r="A309" s="364"/>
      <c r="B309" s="141"/>
      <c r="C309" s="175"/>
      <c r="D309" s="416"/>
      <c r="E309" s="363"/>
      <c r="F309" s="302"/>
      <c r="G309" s="92"/>
      <c r="H309" s="175"/>
      <c r="I309" s="175"/>
      <c r="J309" s="52"/>
      <c r="K309" s="332"/>
      <c r="L309" s="332"/>
      <c r="M309" s="175"/>
      <c r="N309" s="332"/>
      <c r="O309" s="175"/>
      <c r="P309" s="175"/>
      <c r="Q309" s="175"/>
      <c r="R309" s="175"/>
      <c r="S309" s="175"/>
      <c r="T309" s="141"/>
      <c r="U309" s="415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  <c r="AH309" s="141"/>
      <c r="AI309" s="141"/>
      <c r="AJ309" s="141"/>
      <c r="AK309" s="141"/>
      <c r="AL309" s="141"/>
      <c r="AM309" s="141"/>
      <c r="AN309" s="364"/>
      <c r="AO309" s="363"/>
    </row>
    <row r="310" spans="1:41">
      <c r="A310" s="364"/>
      <c r="B310" s="141"/>
      <c r="C310" s="175"/>
      <c r="D310" s="416"/>
      <c r="E310" s="363"/>
      <c r="F310" s="302"/>
      <c r="G310" s="92"/>
      <c r="H310" s="175"/>
      <c r="I310" s="175"/>
      <c r="J310" s="52"/>
      <c r="K310" s="332"/>
      <c r="L310" s="332"/>
      <c r="M310" s="175"/>
      <c r="N310" s="332"/>
      <c r="O310" s="175"/>
      <c r="P310" s="175"/>
      <c r="Q310" s="175"/>
      <c r="R310" s="175"/>
      <c r="S310" s="175"/>
      <c r="T310" s="141"/>
      <c r="U310" s="415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41"/>
      <c r="AJ310" s="141"/>
      <c r="AK310" s="141"/>
      <c r="AL310" s="141"/>
      <c r="AM310" s="141"/>
      <c r="AN310" s="364"/>
      <c r="AO310" s="363"/>
    </row>
    <row r="311" spans="1:41">
      <c r="A311" s="364"/>
      <c r="B311" s="141"/>
      <c r="C311" s="175"/>
      <c r="D311" s="416"/>
      <c r="E311" s="363"/>
      <c r="F311" s="302"/>
      <c r="G311" s="92"/>
      <c r="H311" s="175"/>
      <c r="I311" s="175"/>
      <c r="J311" s="52"/>
      <c r="K311" s="332"/>
      <c r="L311" s="332"/>
      <c r="M311" s="175"/>
      <c r="N311" s="332"/>
      <c r="O311" s="175"/>
      <c r="P311" s="175"/>
      <c r="Q311" s="175"/>
      <c r="R311" s="175"/>
      <c r="S311" s="175"/>
      <c r="T311" s="141"/>
      <c r="U311" s="415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  <c r="AG311" s="141"/>
      <c r="AH311" s="141"/>
      <c r="AI311" s="141"/>
      <c r="AJ311" s="141"/>
      <c r="AK311" s="141"/>
      <c r="AL311" s="141"/>
      <c r="AM311" s="141"/>
      <c r="AN311" s="364"/>
      <c r="AO311" s="363"/>
    </row>
    <row r="312" spans="1:41">
      <c r="A312" s="364"/>
      <c r="B312" s="141"/>
      <c r="C312" s="175"/>
      <c r="D312" s="416"/>
      <c r="E312" s="363"/>
      <c r="F312" s="302"/>
      <c r="G312" s="92"/>
      <c r="H312" s="175"/>
      <c r="I312" s="175"/>
      <c r="J312" s="52"/>
      <c r="K312" s="332"/>
      <c r="L312" s="332"/>
      <c r="M312" s="175"/>
      <c r="N312" s="332"/>
      <c r="O312" s="175"/>
      <c r="P312" s="175"/>
      <c r="Q312" s="175"/>
      <c r="R312" s="175"/>
      <c r="S312" s="175"/>
      <c r="T312" s="141"/>
      <c r="U312" s="415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41"/>
      <c r="AJ312" s="141"/>
      <c r="AK312" s="141"/>
      <c r="AL312" s="141"/>
      <c r="AM312" s="141"/>
      <c r="AN312" s="364"/>
      <c r="AO312" s="363"/>
    </row>
    <row r="313" spans="1:41">
      <c r="A313" s="364"/>
      <c r="B313" s="141"/>
      <c r="C313" s="175"/>
      <c r="D313" s="416"/>
      <c r="E313" s="363"/>
      <c r="F313" s="302"/>
      <c r="G313" s="92"/>
      <c r="H313" s="175"/>
      <c r="I313" s="175"/>
      <c r="J313" s="52"/>
      <c r="K313" s="332"/>
      <c r="L313" s="332"/>
      <c r="M313" s="175"/>
      <c r="N313" s="332"/>
      <c r="O313" s="175"/>
      <c r="P313" s="175"/>
      <c r="Q313" s="175"/>
      <c r="R313" s="175"/>
      <c r="S313" s="175"/>
      <c r="T313" s="141"/>
      <c r="U313" s="415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  <c r="AH313" s="141"/>
      <c r="AI313" s="141"/>
      <c r="AJ313" s="141"/>
      <c r="AK313" s="141"/>
      <c r="AL313" s="141"/>
      <c r="AM313" s="141"/>
      <c r="AN313" s="364"/>
      <c r="AO313" s="363"/>
    </row>
    <row r="314" spans="1:41">
      <c r="A314" s="364"/>
      <c r="B314" s="141"/>
      <c r="C314" s="175"/>
      <c r="D314" s="416"/>
      <c r="E314" s="363"/>
      <c r="F314" s="302"/>
      <c r="G314" s="92"/>
      <c r="H314" s="175"/>
      <c r="I314" s="175"/>
      <c r="J314" s="52"/>
      <c r="K314" s="332"/>
      <c r="L314" s="332"/>
      <c r="M314" s="175"/>
      <c r="N314" s="332"/>
      <c r="O314" s="175"/>
      <c r="P314" s="175"/>
      <c r="Q314" s="175"/>
      <c r="R314" s="175"/>
      <c r="S314" s="175"/>
      <c r="T314" s="141"/>
      <c r="U314" s="415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  <c r="AH314" s="141"/>
      <c r="AI314" s="141"/>
      <c r="AJ314" s="141"/>
      <c r="AK314" s="141"/>
      <c r="AL314" s="141"/>
      <c r="AM314" s="141"/>
      <c r="AN314" s="364"/>
      <c r="AO314" s="363"/>
    </row>
    <row r="315" spans="1:41">
      <c r="A315" s="364"/>
      <c r="B315" s="141"/>
      <c r="C315" s="175"/>
      <c r="D315" s="416"/>
      <c r="E315" s="363"/>
      <c r="F315" s="302"/>
      <c r="G315" s="92"/>
      <c r="H315" s="175"/>
      <c r="I315" s="175"/>
      <c r="J315" s="52"/>
      <c r="K315" s="332"/>
      <c r="L315" s="332"/>
      <c r="M315" s="175"/>
      <c r="N315" s="332"/>
      <c r="O315" s="175"/>
      <c r="P315" s="175"/>
      <c r="Q315" s="175"/>
      <c r="R315" s="175"/>
      <c r="S315" s="175"/>
      <c r="T315" s="141"/>
      <c r="U315" s="415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  <c r="AH315" s="141"/>
      <c r="AI315" s="141"/>
      <c r="AJ315" s="141"/>
      <c r="AK315" s="141"/>
      <c r="AL315" s="141"/>
      <c r="AM315" s="141"/>
      <c r="AN315" s="364"/>
      <c r="AO315" s="363"/>
    </row>
    <row r="316" spans="1:41">
      <c r="A316" s="364"/>
      <c r="B316" s="141"/>
      <c r="C316" s="175"/>
      <c r="D316" s="416"/>
      <c r="E316" s="363"/>
      <c r="F316" s="302"/>
      <c r="G316" s="92"/>
      <c r="H316" s="175"/>
      <c r="I316" s="175"/>
      <c r="J316" s="52"/>
      <c r="K316" s="332"/>
      <c r="L316" s="332"/>
      <c r="M316" s="175"/>
      <c r="N316" s="332"/>
      <c r="O316" s="175"/>
      <c r="P316" s="175"/>
      <c r="Q316" s="175"/>
      <c r="R316" s="175"/>
      <c r="S316" s="175"/>
      <c r="T316" s="141"/>
      <c r="U316" s="415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  <c r="AH316" s="141"/>
      <c r="AI316" s="141"/>
      <c r="AJ316" s="141"/>
      <c r="AK316" s="141"/>
      <c r="AL316" s="141"/>
      <c r="AM316" s="141"/>
      <c r="AN316" s="364"/>
      <c r="AO316" s="363"/>
    </row>
    <row r="317" spans="1:41">
      <c r="A317" s="364"/>
      <c r="B317" s="141"/>
      <c r="C317" s="175"/>
      <c r="D317" s="416"/>
      <c r="E317" s="363"/>
      <c r="F317" s="302"/>
      <c r="G317" s="92"/>
      <c r="H317" s="175"/>
      <c r="I317" s="175"/>
      <c r="J317" s="52"/>
      <c r="K317" s="332"/>
      <c r="L317" s="332"/>
      <c r="M317" s="175"/>
      <c r="N317" s="332"/>
      <c r="O317" s="175"/>
      <c r="P317" s="175"/>
      <c r="Q317" s="175"/>
      <c r="R317" s="175"/>
      <c r="S317" s="175"/>
      <c r="T317" s="141"/>
      <c r="U317" s="415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  <c r="AG317" s="141"/>
      <c r="AH317" s="141"/>
      <c r="AI317" s="141"/>
      <c r="AJ317" s="141"/>
      <c r="AK317" s="141"/>
      <c r="AL317" s="141"/>
      <c r="AM317" s="141"/>
      <c r="AN317" s="364"/>
      <c r="AO317" s="363"/>
    </row>
    <row r="318" spans="1:41">
      <c r="A318" s="364"/>
      <c r="B318" s="141"/>
      <c r="C318" s="175"/>
      <c r="D318" s="416"/>
      <c r="E318" s="363"/>
      <c r="F318" s="302"/>
      <c r="G318" s="92"/>
      <c r="H318" s="175"/>
      <c r="I318" s="175"/>
      <c r="J318" s="52"/>
      <c r="K318" s="332"/>
      <c r="L318" s="332"/>
      <c r="M318" s="175"/>
      <c r="N318" s="332"/>
      <c r="O318" s="175"/>
      <c r="P318" s="175"/>
      <c r="Q318" s="175"/>
      <c r="R318" s="175"/>
      <c r="S318" s="175"/>
      <c r="T318" s="141"/>
      <c r="U318" s="415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  <c r="AH318" s="141"/>
      <c r="AI318" s="141"/>
      <c r="AJ318" s="141"/>
      <c r="AK318" s="141"/>
      <c r="AL318" s="141"/>
      <c r="AM318" s="141"/>
      <c r="AN318" s="364"/>
      <c r="AO318" s="363"/>
    </row>
    <row r="319" spans="1:41">
      <c r="A319" s="364"/>
      <c r="B319" s="141"/>
      <c r="C319" s="175"/>
      <c r="D319" s="416"/>
      <c r="E319" s="363"/>
      <c r="F319" s="302"/>
      <c r="G319" s="92"/>
      <c r="H319" s="175"/>
      <c r="I319" s="175"/>
      <c r="J319" s="52"/>
      <c r="K319" s="332"/>
      <c r="L319" s="332"/>
      <c r="M319" s="175"/>
      <c r="N319" s="332"/>
      <c r="O319" s="175"/>
      <c r="P319" s="175"/>
      <c r="Q319" s="175"/>
      <c r="R319" s="175"/>
      <c r="S319" s="175"/>
      <c r="T319" s="141"/>
      <c r="U319" s="415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  <c r="AH319" s="141"/>
      <c r="AI319" s="141"/>
      <c r="AJ319" s="141"/>
      <c r="AK319" s="141"/>
      <c r="AL319" s="141"/>
      <c r="AM319" s="141"/>
      <c r="AN319" s="364"/>
      <c r="AO319" s="363"/>
    </row>
    <row r="320" spans="1:41">
      <c r="A320" s="364"/>
      <c r="B320" s="141"/>
      <c r="C320" s="175"/>
      <c r="D320" s="416"/>
      <c r="E320" s="363"/>
      <c r="F320" s="302"/>
      <c r="G320" s="92"/>
      <c r="H320" s="175"/>
      <c r="I320" s="175"/>
      <c r="J320" s="52"/>
      <c r="K320" s="332"/>
      <c r="L320" s="332"/>
      <c r="M320" s="175"/>
      <c r="N320" s="332"/>
      <c r="O320" s="175"/>
      <c r="P320" s="175"/>
      <c r="Q320" s="175"/>
      <c r="R320" s="175"/>
      <c r="S320" s="175"/>
      <c r="T320" s="141"/>
      <c r="U320" s="415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  <c r="AH320" s="141"/>
      <c r="AI320" s="141"/>
      <c r="AJ320" s="141"/>
      <c r="AK320" s="141"/>
      <c r="AL320" s="141"/>
      <c r="AM320" s="141"/>
      <c r="AN320" s="364"/>
      <c r="AO320" s="363"/>
    </row>
    <row r="321" spans="1:41">
      <c r="A321" s="364"/>
      <c r="B321" s="141"/>
      <c r="C321" s="175"/>
      <c r="D321" s="416"/>
      <c r="E321" s="363"/>
      <c r="F321" s="302"/>
      <c r="G321" s="92"/>
      <c r="H321" s="175"/>
      <c r="I321" s="175"/>
      <c r="J321" s="52"/>
      <c r="K321" s="332"/>
      <c r="L321" s="332"/>
      <c r="M321" s="175"/>
      <c r="N321" s="332"/>
      <c r="O321" s="175"/>
      <c r="P321" s="175"/>
      <c r="Q321" s="175"/>
      <c r="R321" s="175"/>
      <c r="S321" s="175"/>
      <c r="T321" s="141"/>
      <c r="U321" s="415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  <c r="AH321" s="141"/>
      <c r="AI321" s="141"/>
      <c r="AJ321" s="141"/>
      <c r="AK321" s="141"/>
      <c r="AL321" s="141"/>
      <c r="AM321" s="141"/>
      <c r="AN321" s="364"/>
      <c r="AO321" s="363"/>
    </row>
    <row r="322" spans="1:41">
      <c r="A322" s="364"/>
      <c r="B322" s="141"/>
      <c r="C322" s="175"/>
      <c r="D322" s="416"/>
      <c r="E322" s="363"/>
      <c r="F322" s="302"/>
      <c r="G322" s="92"/>
      <c r="H322" s="175"/>
      <c r="I322" s="175"/>
      <c r="J322" s="52"/>
      <c r="K322" s="332"/>
      <c r="L322" s="332"/>
      <c r="M322" s="175"/>
      <c r="N322" s="332"/>
      <c r="O322" s="175"/>
      <c r="P322" s="175"/>
      <c r="Q322" s="175"/>
      <c r="R322" s="175"/>
      <c r="S322" s="175"/>
      <c r="T322" s="141"/>
      <c r="U322" s="415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  <c r="AF322" s="141"/>
      <c r="AG322" s="141"/>
      <c r="AH322" s="141"/>
      <c r="AI322" s="141"/>
      <c r="AJ322" s="141"/>
      <c r="AK322" s="141"/>
      <c r="AL322" s="141"/>
      <c r="AM322" s="141"/>
      <c r="AN322" s="364"/>
      <c r="AO322" s="363"/>
    </row>
    <row r="323" spans="1:41">
      <c r="A323" s="364"/>
      <c r="B323" s="141"/>
      <c r="C323" s="175"/>
      <c r="D323" s="416"/>
      <c r="E323" s="363"/>
      <c r="F323" s="302"/>
      <c r="G323" s="92"/>
      <c r="H323" s="175"/>
      <c r="I323" s="175"/>
      <c r="J323" s="52"/>
      <c r="K323" s="332"/>
      <c r="L323" s="332"/>
      <c r="M323" s="175"/>
      <c r="N323" s="332"/>
      <c r="O323" s="175"/>
      <c r="P323" s="175"/>
      <c r="Q323" s="175"/>
      <c r="R323" s="175"/>
      <c r="S323" s="175"/>
      <c r="T323" s="141"/>
      <c r="U323" s="415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  <c r="AF323" s="141"/>
      <c r="AG323" s="141"/>
      <c r="AH323" s="141"/>
      <c r="AI323" s="141"/>
      <c r="AJ323" s="141"/>
      <c r="AK323" s="141"/>
      <c r="AL323" s="141"/>
      <c r="AM323" s="141"/>
      <c r="AN323" s="364"/>
      <c r="AO323" s="363"/>
    </row>
    <row r="324" spans="1:41">
      <c r="A324" s="364"/>
      <c r="B324" s="141"/>
      <c r="C324" s="175"/>
      <c r="D324" s="416"/>
      <c r="E324" s="363"/>
      <c r="F324" s="302"/>
      <c r="G324" s="92"/>
      <c r="H324" s="175"/>
      <c r="I324" s="175"/>
      <c r="J324" s="52"/>
      <c r="K324" s="332"/>
      <c r="L324" s="332"/>
      <c r="M324" s="175"/>
      <c r="N324" s="332"/>
      <c r="O324" s="175"/>
      <c r="P324" s="175"/>
      <c r="Q324" s="175"/>
      <c r="R324" s="175"/>
      <c r="S324" s="175"/>
      <c r="T324" s="141"/>
      <c r="U324" s="415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  <c r="AH324" s="141"/>
      <c r="AI324" s="141"/>
      <c r="AJ324" s="141"/>
      <c r="AK324" s="141"/>
      <c r="AL324" s="141"/>
      <c r="AM324" s="141"/>
      <c r="AN324" s="364"/>
      <c r="AO324" s="363"/>
    </row>
    <row r="325" spans="1:41">
      <c r="A325" s="364"/>
      <c r="B325" s="141"/>
      <c r="C325" s="175"/>
      <c r="D325" s="416"/>
      <c r="E325" s="363"/>
      <c r="F325" s="302"/>
      <c r="G325" s="92"/>
      <c r="H325" s="175"/>
      <c r="I325" s="175"/>
      <c r="J325" s="52"/>
      <c r="K325" s="332"/>
      <c r="L325" s="332"/>
      <c r="M325" s="175"/>
      <c r="N325" s="332"/>
      <c r="O325" s="175"/>
      <c r="P325" s="175"/>
      <c r="Q325" s="175"/>
      <c r="R325" s="175"/>
      <c r="S325" s="175"/>
      <c r="T325" s="141"/>
      <c r="U325" s="415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41"/>
      <c r="AJ325" s="141"/>
      <c r="AK325" s="141"/>
      <c r="AL325" s="141"/>
      <c r="AM325" s="141"/>
      <c r="AN325" s="364"/>
      <c r="AO325" s="363"/>
    </row>
    <row r="326" spans="1:41">
      <c r="A326" s="364"/>
      <c r="B326" s="141"/>
      <c r="C326" s="175"/>
      <c r="D326" s="416"/>
      <c r="E326" s="363"/>
      <c r="F326" s="302"/>
      <c r="G326" s="92"/>
      <c r="H326" s="175"/>
      <c r="I326" s="175"/>
      <c r="J326" s="52"/>
      <c r="K326" s="332"/>
      <c r="L326" s="332"/>
      <c r="M326" s="175"/>
      <c r="N326" s="332"/>
      <c r="O326" s="175"/>
      <c r="P326" s="175"/>
      <c r="Q326" s="175"/>
      <c r="R326" s="175"/>
      <c r="S326" s="175"/>
      <c r="T326" s="141"/>
      <c r="U326" s="415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41"/>
      <c r="AJ326" s="141"/>
      <c r="AK326" s="141"/>
      <c r="AL326" s="141"/>
      <c r="AM326" s="141"/>
      <c r="AN326" s="364"/>
      <c r="AO326" s="363"/>
    </row>
    <row r="327" spans="1:41">
      <c r="A327" s="364"/>
      <c r="B327" s="141"/>
      <c r="C327" s="175"/>
      <c r="D327" s="416"/>
      <c r="E327" s="363"/>
      <c r="F327" s="302"/>
      <c r="G327" s="92"/>
      <c r="H327" s="175"/>
      <c r="I327" s="175"/>
      <c r="J327" s="52"/>
      <c r="K327" s="332"/>
      <c r="L327" s="332"/>
      <c r="M327" s="175"/>
      <c r="N327" s="332"/>
      <c r="O327" s="175"/>
      <c r="P327" s="175"/>
      <c r="Q327" s="175"/>
      <c r="R327" s="175"/>
      <c r="S327" s="175"/>
      <c r="T327" s="141"/>
      <c r="U327" s="415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41"/>
      <c r="AJ327" s="141"/>
      <c r="AK327" s="141"/>
      <c r="AL327" s="141"/>
      <c r="AM327" s="141"/>
      <c r="AN327" s="364"/>
      <c r="AO327" s="363"/>
    </row>
    <row r="328" spans="1:41">
      <c r="A328" s="364"/>
      <c r="B328" s="141"/>
      <c r="C328" s="175"/>
      <c r="D328" s="416"/>
      <c r="E328" s="363"/>
      <c r="F328" s="302"/>
      <c r="G328" s="92"/>
      <c r="H328" s="175"/>
      <c r="I328" s="175"/>
      <c r="J328" s="52"/>
      <c r="K328" s="332"/>
      <c r="L328" s="332"/>
      <c r="M328" s="175"/>
      <c r="N328" s="332"/>
      <c r="O328" s="175"/>
      <c r="P328" s="175"/>
      <c r="Q328" s="175"/>
      <c r="R328" s="175"/>
      <c r="S328" s="175"/>
      <c r="T328" s="141"/>
      <c r="U328" s="415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  <c r="AH328" s="141"/>
      <c r="AI328" s="141"/>
      <c r="AJ328" s="141"/>
      <c r="AK328" s="141"/>
      <c r="AL328" s="141"/>
      <c r="AM328" s="141"/>
      <c r="AN328" s="364"/>
      <c r="AO328" s="363"/>
    </row>
    <row r="329" spans="1:41">
      <c r="A329" s="364"/>
      <c r="B329" s="141"/>
      <c r="C329" s="175"/>
      <c r="D329" s="416"/>
      <c r="E329" s="363"/>
      <c r="F329" s="302"/>
      <c r="G329" s="92"/>
      <c r="H329" s="175"/>
      <c r="I329" s="175"/>
      <c r="J329" s="52"/>
      <c r="K329" s="332"/>
      <c r="L329" s="332"/>
      <c r="M329" s="175"/>
      <c r="N329" s="332"/>
      <c r="O329" s="175"/>
      <c r="P329" s="175"/>
      <c r="Q329" s="175"/>
      <c r="R329" s="175"/>
      <c r="S329" s="175"/>
      <c r="T329" s="141"/>
      <c r="U329" s="415"/>
      <c r="V329" s="141"/>
      <c r="W329" s="141"/>
      <c r="X329" s="141"/>
      <c r="Y329" s="141"/>
      <c r="Z329" s="141"/>
      <c r="AA329" s="141"/>
      <c r="AB329" s="141"/>
      <c r="AC329" s="141"/>
      <c r="AD329" s="141"/>
      <c r="AE329" s="141"/>
      <c r="AF329" s="141"/>
      <c r="AG329" s="141"/>
      <c r="AH329" s="141"/>
      <c r="AI329" s="141"/>
      <c r="AJ329" s="141"/>
      <c r="AK329" s="141"/>
      <c r="AL329" s="141"/>
      <c r="AM329" s="141"/>
      <c r="AN329" s="364"/>
      <c r="AO329" s="363"/>
    </row>
    <row r="330" spans="1:41">
      <c r="A330" s="364"/>
      <c r="B330" s="141"/>
      <c r="C330" s="175"/>
      <c r="D330" s="416"/>
      <c r="E330" s="363"/>
      <c r="F330" s="302"/>
      <c r="G330" s="92"/>
      <c r="H330" s="175"/>
      <c r="I330" s="175"/>
      <c r="J330" s="52"/>
      <c r="K330" s="332"/>
      <c r="L330" s="332"/>
      <c r="M330" s="175"/>
      <c r="N330" s="332"/>
      <c r="O330" s="175"/>
      <c r="P330" s="175"/>
      <c r="Q330" s="175"/>
      <c r="R330" s="175"/>
      <c r="S330" s="175"/>
      <c r="T330" s="141"/>
      <c r="U330" s="415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  <c r="AH330" s="141"/>
      <c r="AI330" s="141"/>
      <c r="AJ330" s="141"/>
      <c r="AK330" s="141"/>
      <c r="AL330" s="141"/>
      <c r="AM330" s="141"/>
      <c r="AN330" s="364"/>
      <c r="AO330" s="363"/>
    </row>
    <row r="331" spans="1:41">
      <c r="A331" s="364"/>
      <c r="B331" s="141"/>
      <c r="C331" s="175"/>
      <c r="D331" s="416"/>
      <c r="E331" s="363"/>
      <c r="F331" s="302"/>
      <c r="G331" s="92"/>
      <c r="H331" s="175"/>
      <c r="I331" s="175"/>
      <c r="J331" s="52"/>
      <c r="K331" s="332"/>
      <c r="L331" s="332"/>
      <c r="M331" s="175"/>
      <c r="N331" s="332"/>
      <c r="O331" s="175"/>
      <c r="P331" s="175"/>
      <c r="Q331" s="175"/>
      <c r="R331" s="175"/>
      <c r="S331" s="175"/>
      <c r="T331" s="141"/>
      <c r="U331" s="415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  <c r="AH331" s="141"/>
      <c r="AI331" s="141"/>
      <c r="AJ331" s="141"/>
      <c r="AK331" s="141"/>
      <c r="AL331" s="141"/>
      <c r="AM331" s="141"/>
      <c r="AN331" s="364"/>
      <c r="AO331" s="363"/>
    </row>
    <row r="332" spans="1:41">
      <c r="A332" s="364"/>
      <c r="B332" s="141"/>
      <c r="C332" s="175"/>
      <c r="D332" s="416"/>
      <c r="E332" s="363"/>
      <c r="F332" s="302"/>
      <c r="G332" s="92"/>
      <c r="H332" s="175"/>
      <c r="I332" s="175"/>
      <c r="J332" s="52"/>
      <c r="K332" s="332"/>
      <c r="L332" s="332"/>
      <c r="M332" s="175"/>
      <c r="N332" s="332"/>
      <c r="O332" s="175"/>
      <c r="P332" s="175"/>
      <c r="Q332" s="175"/>
      <c r="R332" s="175"/>
      <c r="S332" s="175"/>
      <c r="T332" s="141"/>
      <c r="U332" s="415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41"/>
      <c r="AJ332" s="141"/>
      <c r="AK332" s="141"/>
      <c r="AL332" s="141"/>
      <c r="AM332" s="141"/>
      <c r="AN332" s="364"/>
      <c r="AO332" s="363"/>
    </row>
    <row r="333" spans="1:41">
      <c r="A333" s="364"/>
      <c r="B333" s="141"/>
      <c r="C333" s="175"/>
      <c r="D333" s="416"/>
      <c r="E333" s="363"/>
      <c r="F333" s="302"/>
      <c r="G333" s="92"/>
      <c r="H333" s="175"/>
      <c r="I333" s="175"/>
      <c r="J333" s="52"/>
      <c r="K333" s="332"/>
      <c r="L333" s="332"/>
      <c r="M333" s="175"/>
      <c r="N333" s="332"/>
      <c r="O333" s="175"/>
      <c r="P333" s="175"/>
      <c r="Q333" s="175"/>
      <c r="R333" s="175"/>
      <c r="S333" s="175"/>
      <c r="T333" s="141"/>
      <c r="U333" s="415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  <c r="AH333" s="141"/>
      <c r="AI333" s="141"/>
      <c r="AJ333" s="141"/>
      <c r="AK333" s="141"/>
      <c r="AL333" s="141"/>
      <c r="AM333" s="141"/>
      <c r="AN333" s="364"/>
      <c r="AO333" s="363"/>
    </row>
    <row r="334" spans="1:41">
      <c r="A334" s="364"/>
      <c r="B334" s="141"/>
      <c r="C334" s="175"/>
      <c r="D334" s="416"/>
      <c r="E334" s="363"/>
      <c r="F334" s="302"/>
      <c r="G334" s="92"/>
      <c r="H334" s="175"/>
      <c r="I334" s="175"/>
      <c r="J334" s="52"/>
      <c r="K334" s="332"/>
      <c r="L334" s="332"/>
      <c r="M334" s="175"/>
      <c r="N334" s="332"/>
      <c r="O334" s="175"/>
      <c r="P334" s="175"/>
      <c r="Q334" s="175"/>
      <c r="R334" s="175"/>
      <c r="S334" s="175"/>
      <c r="T334" s="141"/>
      <c r="U334" s="415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  <c r="AH334" s="141"/>
      <c r="AI334" s="141"/>
      <c r="AJ334" s="141"/>
      <c r="AK334" s="141"/>
      <c r="AL334" s="141"/>
      <c r="AM334" s="141"/>
      <c r="AN334" s="364"/>
      <c r="AO334" s="363"/>
    </row>
    <row r="335" spans="1:41">
      <c r="A335" s="364"/>
      <c r="B335" s="141"/>
      <c r="C335" s="175"/>
      <c r="D335" s="416"/>
      <c r="E335" s="363"/>
      <c r="F335" s="302"/>
      <c r="G335" s="92"/>
      <c r="H335" s="175"/>
      <c r="I335" s="175"/>
      <c r="J335" s="52"/>
      <c r="K335" s="332"/>
      <c r="L335" s="332"/>
      <c r="M335" s="175"/>
      <c r="N335" s="332"/>
      <c r="O335" s="175"/>
      <c r="P335" s="175"/>
      <c r="Q335" s="175"/>
      <c r="R335" s="175"/>
      <c r="S335" s="175"/>
      <c r="T335" s="141"/>
      <c r="U335" s="415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  <c r="AH335" s="141"/>
      <c r="AI335" s="141"/>
      <c r="AJ335" s="141"/>
      <c r="AK335" s="141"/>
      <c r="AL335" s="141"/>
      <c r="AM335" s="141"/>
      <c r="AN335" s="364"/>
      <c r="AO335" s="363"/>
    </row>
    <row r="336" spans="1:41">
      <c r="A336" s="364"/>
      <c r="B336" s="141"/>
      <c r="C336" s="175"/>
      <c r="D336" s="416"/>
      <c r="E336" s="363"/>
      <c r="F336" s="302"/>
      <c r="G336" s="92"/>
      <c r="H336" s="175"/>
      <c r="I336" s="175"/>
      <c r="J336" s="52"/>
      <c r="K336" s="332"/>
      <c r="L336" s="332"/>
      <c r="M336" s="175"/>
      <c r="N336" s="332"/>
      <c r="O336" s="175"/>
      <c r="P336" s="175"/>
      <c r="Q336" s="175"/>
      <c r="R336" s="175"/>
      <c r="S336" s="175"/>
      <c r="T336" s="141"/>
      <c r="U336" s="415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  <c r="AG336" s="141"/>
      <c r="AH336" s="141"/>
      <c r="AI336" s="141"/>
      <c r="AJ336" s="141"/>
      <c r="AK336" s="141"/>
      <c r="AL336" s="141"/>
      <c r="AM336" s="141"/>
      <c r="AN336" s="364"/>
      <c r="AO336" s="363"/>
    </row>
    <row r="337" spans="1:41">
      <c r="A337" s="364"/>
      <c r="B337" s="141"/>
      <c r="C337" s="175"/>
      <c r="D337" s="416"/>
      <c r="E337" s="363"/>
      <c r="F337" s="302"/>
      <c r="G337" s="92"/>
      <c r="H337" s="175"/>
      <c r="I337" s="175"/>
      <c r="J337" s="52"/>
      <c r="K337" s="332"/>
      <c r="L337" s="332"/>
      <c r="M337" s="175"/>
      <c r="N337" s="332"/>
      <c r="O337" s="175"/>
      <c r="P337" s="175"/>
      <c r="Q337" s="175"/>
      <c r="R337" s="175"/>
      <c r="S337" s="175"/>
      <c r="T337" s="141"/>
      <c r="U337" s="415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41"/>
      <c r="AJ337" s="141"/>
      <c r="AK337" s="141"/>
      <c r="AL337" s="141"/>
      <c r="AM337" s="141"/>
      <c r="AN337" s="364"/>
      <c r="AO337" s="363"/>
    </row>
    <row r="338" spans="1:41">
      <c r="A338" s="364"/>
      <c r="B338" s="141"/>
      <c r="C338" s="175"/>
      <c r="D338" s="416"/>
      <c r="E338" s="363"/>
      <c r="F338" s="302"/>
      <c r="G338" s="92"/>
      <c r="H338" s="175"/>
      <c r="I338" s="175"/>
      <c r="J338" s="52"/>
      <c r="K338" s="332"/>
      <c r="L338" s="332"/>
      <c r="M338" s="175"/>
      <c r="N338" s="332"/>
      <c r="O338" s="175"/>
      <c r="P338" s="175"/>
      <c r="Q338" s="175"/>
      <c r="R338" s="175"/>
      <c r="S338" s="175"/>
      <c r="T338" s="141"/>
      <c r="U338" s="415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41"/>
      <c r="AJ338" s="141"/>
      <c r="AK338" s="141"/>
      <c r="AL338" s="141"/>
      <c r="AM338" s="141"/>
      <c r="AN338" s="364"/>
      <c r="AO338" s="363"/>
    </row>
    <row r="339" spans="1:41">
      <c r="A339" s="364"/>
      <c r="B339" s="141"/>
      <c r="C339" s="175"/>
      <c r="D339" s="416"/>
      <c r="E339" s="363"/>
      <c r="F339" s="302"/>
      <c r="G339" s="92"/>
      <c r="H339" s="175"/>
      <c r="I339" s="175"/>
      <c r="J339" s="52"/>
      <c r="K339" s="332"/>
      <c r="L339" s="332"/>
      <c r="M339" s="175"/>
      <c r="N339" s="332"/>
      <c r="O339" s="175"/>
      <c r="P339" s="175"/>
      <c r="Q339" s="175"/>
      <c r="R339" s="175"/>
      <c r="S339" s="175"/>
      <c r="T339" s="141"/>
      <c r="U339" s="415"/>
      <c r="V339" s="141"/>
      <c r="W339" s="141"/>
      <c r="X339" s="141"/>
      <c r="Y339" s="141"/>
      <c r="Z339" s="141"/>
      <c r="AA339" s="141"/>
      <c r="AB339" s="141"/>
      <c r="AC339" s="141"/>
      <c r="AD339" s="141"/>
      <c r="AE339" s="141"/>
      <c r="AF339" s="141"/>
      <c r="AG339" s="141"/>
      <c r="AH339" s="141"/>
      <c r="AI339" s="141"/>
      <c r="AJ339" s="141"/>
      <c r="AK339" s="141"/>
      <c r="AL339" s="141"/>
      <c r="AM339" s="141"/>
      <c r="AN339" s="364"/>
      <c r="AO339" s="363"/>
    </row>
    <row r="340" spans="1:41">
      <c r="A340" s="364"/>
      <c r="B340" s="141"/>
      <c r="C340" s="175"/>
      <c r="D340" s="416"/>
      <c r="E340" s="363"/>
      <c r="F340" s="302"/>
      <c r="G340" s="92"/>
      <c r="H340" s="175"/>
      <c r="I340" s="175"/>
      <c r="J340" s="52"/>
      <c r="K340" s="332"/>
      <c r="L340" s="332"/>
      <c r="M340" s="175"/>
      <c r="N340" s="332"/>
      <c r="O340" s="175"/>
      <c r="P340" s="175"/>
      <c r="Q340" s="175"/>
      <c r="R340" s="175"/>
      <c r="S340" s="175"/>
      <c r="T340" s="141"/>
      <c r="U340" s="415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  <c r="AH340" s="141"/>
      <c r="AI340" s="141"/>
      <c r="AJ340" s="141"/>
      <c r="AK340" s="141"/>
      <c r="AL340" s="141"/>
      <c r="AM340" s="141"/>
      <c r="AN340" s="364"/>
      <c r="AO340" s="363"/>
    </row>
    <row r="341" spans="1:41">
      <c r="A341" s="364"/>
      <c r="B341" s="141"/>
      <c r="C341" s="175"/>
      <c r="D341" s="416"/>
      <c r="E341" s="363"/>
      <c r="F341" s="302"/>
      <c r="G341" s="92"/>
      <c r="H341" s="175"/>
      <c r="I341" s="175"/>
      <c r="J341" s="52"/>
      <c r="K341" s="332"/>
      <c r="L341" s="332"/>
      <c r="M341" s="175"/>
      <c r="N341" s="332"/>
      <c r="O341" s="175"/>
      <c r="P341" s="175"/>
      <c r="Q341" s="175"/>
      <c r="R341" s="175"/>
      <c r="S341" s="175"/>
      <c r="T341" s="141"/>
      <c r="U341" s="415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  <c r="AH341" s="141"/>
      <c r="AI341" s="141"/>
      <c r="AJ341" s="141"/>
      <c r="AK341" s="141"/>
      <c r="AL341" s="141"/>
      <c r="AM341" s="141"/>
      <c r="AN341" s="364"/>
      <c r="AO341" s="363"/>
    </row>
    <row r="342" spans="1:41">
      <c r="A342" s="364"/>
      <c r="B342" s="141"/>
      <c r="C342" s="175"/>
      <c r="D342" s="416"/>
      <c r="E342" s="363"/>
      <c r="F342" s="302"/>
      <c r="G342" s="92"/>
      <c r="H342" s="175"/>
      <c r="I342" s="175"/>
      <c r="J342" s="52"/>
      <c r="K342" s="332"/>
      <c r="L342" s="332"/>
      <c r="M342" s="175"/>
      <c r="N342" s="332"/>
      <c r="O342" s="175"/>
      <c r="P342" s="175"/>
      <c r="Q342" s="175"/>
      <c r="R342" s="175"/>
      <c r="S342" s="175"/>
      <c r="T342" s="141"/>
      <c r="U342" s="415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  <c r="AH342" s="141"/>
      <c r="AI342" s="141"/>
      <c r="AJ342" s="141"/>
      <c r="AK342" s="141"/>
      <c r="AL342" s="141"/>
      <c r="AM342" s="141"/>
      <c r="AN342" s="364"/>
      <c r="AO342" s="363"/>
    </row>
    <row r="343" spans="1:41">
      <c r="A343" s="364"/>
      <c r="B343" s="141"/>
      <c r="C343" s="175"/>
      <c r="D343" s="416"/>
      <c r="E343" s="363"/>
      <c r="F343" s="302"/>
      <c r="G343" s="92"/>
      <c r="H343" s="175"/>
      <c r="I343" s="175"/>
      <c r="J343" s="52"/>
      <c r="K343" s="332"/>
      <c r="L343" s="332"/>
      <c r="M343" s="175"/>
      <c r="N343" s="332"/>
      <c r="O343" s="175"/>
      <c r="P343" s="175"/>
      <c r="Q343" s="175"/>
      <c r="R343" s="175"/>
      <c r="S343" s="175"/>
      <c r="T343" s="141"/>
      <c r="U343" s="415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  <c r="AH343" s="141"/>
      <c r="AI343" s="141"/>
      <c r="AJ343" s="141"/>
      <c r="AK343" s="141"/>
      <c r="AL343" s="141"/>
      <c r="AM343" s="141"/>
      <c r="AN343" s="364"/>
      <c r="AO343" s="363"/>
    </row>
    <row r="344" spans="1:41">
      <c r="A344" s="364"/>
      <c r="B344" s="141"/>
      <c r="C344" s="175"/>
      <c r="D344" s="416"/>
      <c r="E344" s="363"/>
      <c r="F344" s="302"/>
      <c r="G344" s="92"/>
      <c r="H344" s="175"/>
      <c r="I344" s="175"/>
      <c r="J344" s="52"/>
      <c r="K344" s="332"/>
      <c r="L344" s="332"/>
      <c r="M344" s="175"/>
      <c r="N344" s="332"/>
      <c r="O344" s="175"/>
      <c r="P344" s="175"/>
      <c r="Q344" s="175"/>
      <c r="R344" s="175"/>
      <c r="S344" s="175"/>
      <c r="T344" s="141"/>
      <c r="U344" s="415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41"/>
      <c r="AJ344" s="141"/>
      <c r="AK344" s="141"/>
      <c r="AL344" s="141"/>
      <c r="AM344" s="141"/>
      <c r="AN344" s="364"/>
      <c r="AO344" s="363"/>
    </row>
    <row r="345" spans="1:41">
      <c r="A345" s="364"/>
      <c r="B345" s="141"/>
      <c r="C345" s="175"/>
      <c r="D345" s="416"/>
      <c r="E345" s="363"/>
      <c r="F345" s="302"/>
      <c r="G345" s="92"/>
      <c r="H345" s="175"/>
      <c r="I345" s="175"/>
      <c r="J345" s="52"/>
      <c r="K345" s="332"/>
      <c r="L345" s="332"/>
      <c r="M345" s="175"/>
      <c r="N345" s="332"/>
      <c r="O345" s="175"/>
      <c r="P345" s="175"/>
      <c r="Q345" s="175"/>
      <c r="R345" s="175"/>
      <c r="S345" s="175"/>
      <c r="T345" s="141"/>
      <c r="U345" s="415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41"/>
      <c r="AJ345" s="141"/>
      <c r="AK345" s="141"/>
      <c r="AL345" s="141"/>
      <c r="AM345" s="141"/>
      <c r="AN345" s="364"/>
      <c r="AO345" s="363"/>
    </row>
    <row r="346" spans="1:41">
      <c r="A346" s="364"/>
      <c r="B346" s="141"/>
      <c r="C346" s="175"/>
      <c r="D346" s="416"/>
      <c r="E346" s="363"/>
      <c r="F346" s="302"/>
      <c r="G346" s="92"/>
      <c r="H346" s="175"/>
      <c r="I346" s="175"/>
      <c r="J346" s="52"/>
      <c r="K346" s="332"/>
      <c r="L346" s="332"/>
      <c r="M346" s="175"/>
      <c r="N346" s="332"/>
      <c r="O346" s="175"/>
      <c r="P346" s="175"/>
      <c r="Q346" s="175"/>
      <c r="R346" s="175"/>
      <c r="S346" s="175"/>
      <c r="T346" s="141"/>
      <c r="U346" s="415"/>
      <c r="V346" s="141"/>
      <c r="W346" s="141"/>
      <c r="X346" s="141"/>
      <c r="Y346" s="141"/>
      <c r="Z346" s="141"/>
      <c r="AA346" s="141"/>
      <c r="AB346" s="141"/>
      <c r="AC346" s="141"/>
      <c r="AD346" s="141"/>
      <c r="AE346" s="141"/>
      <c r="AF346" s="141"/>
      <c r="AG346" s="141"/>
      <c r="AH346" s="141"/>
      <c r="AI346" s="141"/>
      <c r="AJ346" s="141"/>
      <c r="AK346" s="141"/>
      <c r="AL346" s="141"/>
      <c r="AM346" s="141"/>
      <c r="AN346" s="364"/>
      <c r="AO346" s="363"/>
    </row>
    <row r="347" spans="1:41">
      <c r="A347" s="364"/>
      <c r="B347" s="141"/>
      <c r="C347" s="175"/>
      <c r="D347" s="416"/>
      <c r="E347" s="363"/>
      <c r="F347" s="302"/>
      <c r="G347" s="92"/>
      <c r="H347" s="175"/>
      <c r="I347" s="175"/>
      <c r="J347" s="52"/>
      <c r="K347" s="332"/>
      <c r="L347" s="332"/>
      <c r="M347" s="175"/>
      <c r="N347" s="332"/>
      <c r="O347" s="175"/>
      <c r="P347" s="175"/>
      <c r="Q347" s="175"/>
      <c r="R347" s="175"/>
      <c r="S347" s="175"/>
      <c r="T347" s="141"/>
      <c r="U347" s="415"/>
      <c r="V347" s="141"/>
      <c r="W347" s="141"/>
      <c r="X347" s="141"/>
      <c r="Y347" s="141"/>
      <c r="Z347" s="141"/>
      <c r="AA347" s="141"/>
      <c r="AB347" s="141"/>
      <c r="AC347" s="141"/>
      <c r="AD347" s="141"/>
      <c r="AE347" s="141"/>
      <c r="AF347" s="141"/>
      <c r="AG347" s="141"/>
      <c r="AH347" s="141"/>
      <c r="AI347" s="141"/>
      <c r="AJ347" s="141"/>
      <c r="AK347" s="141"/>
      <c r="AL347" s="141"/>
      <c r="AM347" s="141"/>
      <c r="AN347" s="364"/>
      <c r="AO347" s="363"/>
    </row>
    <row r="348" spans="1:41">
      <c r="A348" s="364"/>
      <c r="B348" s="141"/>
      <c r="C348" s="175"/>
      <c r="D348" s="416"/>
      <c r="E348" s="363"/>
      <c r="F348" s="302"/>
      <c r="G348" s="92"/>
      <c r="H348" s="175"/>
      <c r="I348" s="175"/>
      <c r="J348" s="52"/>
      <c r="K348" s="332"/>
      <c r="L348" s="332"/>
      <c r="M348" s="175"/>
      <c r="N348" s="332"/>
      <c r="O348" s="175"/>
      <c r="P348" s="175"/>
      <c r="Q348" s="175"/>
      <c r="R348" s="175"/>
      <c r="S348" s="175"/>
      <c r="T348" s="141"/>
      <c r="U348" s="415"/>
      <c r="V348" s="141"/>
      <c r="W348" s="141"/>
      <c r="X348" s="141"/>
      <c r="Y348" s="141"/>
      <c r="Z348" s="141"/>
      <c r="AA348" s="141"/>
      <c r="AB348" s="141"/>
      <c r="AC348" s="141"/>
      <c r="AD348" s="141"/>
      <c r="AE348" s="141"/>
      <c r="AF348" s="141"/>
      <c r="AG348" s="141"/>
      <c r="AH348" s="141"/>
      <c r="AI348" s="141"/>
      <c r="AJ348" s="141"/>
      <c r="AK348" s="141"/>
      <c r="AL348" s="141"/>
      <c r="AM348" s="141"/>
      <c r="AN348" s="364"/>
      <c r="AO348" s="363"/>
    </row>
    <row r="349" spans="1:41">
      <c r="A349" s="364"/>
      <c r="B349" s="141"/>
      <c r="C349" s="175"/>
      <c r="D349" s="416"/>
      <c r="E349" s="363"/>
      <c r="F349" s="302"/>
      <c r="G349" s="92"/>
      <c r="H349" s="175"/>
      <c r="I349" s="175"/>
      <c r="J349" s="52"/>
      <c r="K349" s="332"/>
      <c r="L349" s="332"/>
      <c r="M349" s="175"/>
      <c r="N349" s="332"/>
      <c r="O349" s="175"/>
      <c r="P349" s="175"/>
      <c r="Q349" s="175"/>
      <c r="R349" s="175"/>
      <c r="S349" s="175"/>
      <c r="T349" s="141"/>
      <c r="U349" s="415"/>
      <c r="V349" s="141"/>
      <c r="W349" s="141"/>
      <c r="X349" s="141"/>
      <c r="Y349" s="141"/>
      <c r="Z349" s="141"/>
      <c r="AA349" s="141"/>
      <c r="AB349" s="141"/>
      <c r="AC349" s="141"/>
      <c r="AD349" s="141"/>
      <c r="AE349" s="141"/>
      <c r="AF349" s="141"/>
      <c r="AG349" s="141"/>
      <c r="AH349" s="141"/>
      <c r="AI349" s="141"/>
      <c r="AJ349" s="141"/>
      <c r="AK349" s="141"/>
      <c r="AL349" s="141"/>
      <c r="AM349" s="141"/>
      <c r="AN349" s="364"/>
      <c r="AO349" s="363"/>
    </row>
    <row r="350" spans="1:41">
      <c r="A350" s="364"/>
      <c r="B350" s="141"/>
      <c r="C350" s="175"/>
      <c r="D350" s="416"/>
      <c r="E350" s="363"/>
      <c r="F350" s="302"/>
      <c r="G350" s="92"/>
      <c r="H350" s="175"/>
      <c r="I350" s="175"/>
      <c r="J350" s="52"/>
      <c r="K350" s="332"/>
      <c r="L350" s="332"/>
      <c r="M350" s="175"/>
      <c r="N350" s="332"/>
      <c r="O350" s="175"/>
      <c r="P350" s="175"/>
      <c r="Q350" s="175"/>
      <c r="R350" s="175"/>
      <c r="S350" s="175"/>
      <c r="T350" s="141"/>
      <c r="U350" s="415"/>
      <c r="V350" s="141"/>
      <c r="W350" s="141"/>
      <c r="X350" s="141"/>
      <c r="Y350" s="141"/>
      <c r="Z350" s="141"/>
      <c r="AA350" s="141"/>
      <c r="AB350" s="141"/>
      <c r="AC350" s="141"/>
      <c r="AD350" s="141"/>
      <c r="AE350" s="141"/>
      <c r="AF350" s="141"/>
      <c r="AG350" s="141"/>
      <c r="AH350" s="141"/>
      <c r="AI350" s="141"/>
      <c r="AJ350" s="141"/>
      <c r="AK350" s="141"/>
      <c r="AL350" s="141"/>
      <c r="AM350" s="141"/>
      <c r="AN350" s="364"/>
      <c r="AO350" s="363"/>
    </row>
    <row r="351" spans="1:41">
      <c r="A351" s="364"/>
      <c r="B351" s="141"/>
      <c r="C351" s="175"/>
      <c r="D351" s="416"/>
      <c r="E351" s="363"/>
      <c r="F351" s="302"/>
      <c r="G351" s="92"/>
      <c r="H351" s="175"/>
      <c r="I351" s="175"/>
      <c r="J351" s="52"/>
      <c r="K351" s="332"/>
      <c r="L351" s="332"/>
      <c r="M351" s="175"/>
      <c r="N351" s="332"/>
      <c r="O351" s="175"/>
      <c r="P351" s="175"/>
      <c r="Q351" s="175"/>
      <c r="R351" s="175"/>
      <c r="S351" s="175"/>
      <c r="T351" s="141"/>
      <c r="U351" s="415"/>
      <c r="V351" s="141"/>
      <c r="W351" s="141"/>
      <c r="X351" s="141"/>
      <c r="Y351" s="141"/>
      <c r="Z351" s="141"/>
      <c r="AA351" s="141"/>
      <c r="AB351" s="141"/>
      <c r="AC351" s="141"/>
      <c r="AD351" s="141"/>
      <c r="AE351" s="141"/>
      <c r="AF351" s="141"/>
      <c r="AG351" s="141"/>
      <c r="AH351" s="141"/>
      <c r="AI351" s="141"/>
      <c r="AJ351" s="141"/>
      <c r="AK351" s="141"/>
      <c r="AL351" s="141"/>
      <c r="AM351" s="141"/>
      <c r="AN351" s="364"/>
      <c r="AO351" s="363"/>
    </row>
    <row r="352" spans="1:41">
      <c r="A352" s="364"/>
      <c r="B352" s="141"/>
      <c r="C352" s="175"/>
      <c r="D352" s="416"/>
      <c r="E352" s="363"/>
      <c r="F352" s="302"/>
      <c r="G352" s="92"/>
      <c r="H352" s="175"/>
      <c r="I352" s="175"/>
      <c r="J352" s="52"/>
      <c r="K352" s="332"/>
      <c r="L352" s="332"/>
      <c r="M352" s="175"/>
      <c r="N352" s="332"/>
      <c r="O352" s="175"/>
      <c r="P352" s="175"/>
      <c r="Q352" s="175"/>
      <c r="R352" s="175"/>
      <c r="S352" s="175"/>
      <c r="T352" s="141"/>
      <c r="U352" s="415"/>
      <c r="V352" s="141"/>
      <c r="W352" s="141"/>
      <c r="X352" s="141"/>
      <c r="Y352" s="141"/>
      <c r="Z352" s="141"/>
      <c r="AA352" s="141"/>
      <c r="AB352" s="141"/>
      <c r="AC352" s="141"/>
      <c r="AD352" s="141"/>
      <c r="AE352" s="141"/>
      <c r="AF352" s="141"/>
      <c r="AG352" s="141"/>
      <c r="AH352" s="141"/>
      <c r="AI352" s="141"/>
      <c r="AJ352" s="141"/>
      <c r="AK352" s="141"/>
      <c r="AL352" s="141"/>
      <c r="AM352" s="141"/>
      <c r="AN352" s="364"/>
      <c r="AO352" s="363"/>
    </row>
    <row r="353" spans="1:41">
      <c r="A353" s="364"/>
      <c r="B353" s="141"/>
      <c r="C353" s="175"/>
      <c r="D353" s="416"/>
      <c r="E353" s="363"/>
      <c r="F353" s="302"/>
      <c r="G353" s="92"/>
      <c r="H353" s="175"/>
      <c r="I353" s="175"/>
      <c r="J353" s="52"/>
      <c r="K353" s="332"/>
      <c r="L353" s="332"/>
      <c r="M353" s="175"/>
      <c r="N353" s="332"/>
      <c r="O353" s="175"/>
      <c r="P353" s="175"/>
      <c r="Q353" s="175"/>
      <c r="R353" s="175"/>
      <c r="S353" s="175"/>
      <c r="T353" s="141"/>
      <c r="U353" s="415"/>
      <c r="V353" s="141"/>
      <c r="W353" s="141"/>
      <c r="X353" s="141"/>
      <c r="Y353" s="141"/>
      <c r="Z353" s="141"/>
      <c r="AA353" s="141"/>
      <c r="AB353" s="141"/>
      <c r="AC353" s="141"/>
      <c r="AD353" s="141"/>
      <c r="AE353" s="141"/>
      <c r="AF353" s="141"/>
      <c r="AG353" s="141"/>
      <c r="AH353" s="141"/>
      <c r="AI353" s="141"/>
      <c r="AJ353" s="141"/>
      <c r="AK353" s="141"/>
      <c r="AL353" s="141"/>
      <c r="AM353" s="141"/>
      <c r="AN353" s="364"/>
      <c r="AO353" s="363"/>
    </row>
    <row r="354" spans="1:41">
      <c r="A354" s="364"/>
      <c r="B354" s="141"/>
      <c r="C354" s="175"/>
      <c r="D354" s="416"/>
      <c r="E354" s="363"/>
      <c r="F354" s="302"/>
      <c r="G354" s="92"/>
      <c r="H354" s="175"/>
      <c r="I354" s="175"/>
      <c r="J354" s="52"/>
      <c r="K354" s="332"/>
      <c r="L354" s="332"/>
      <c r="M354" s="175"/>
      <c r="N354" s="332"/>
      <c r="O354" s="175"/>
      <c r="P354" s="175"/>
      <c r="Q354" s="175"/>
      <c r="R354" s="175"/>
      <c r="S354" s="175"/>
      <c r="T354" s="141"/>
      <c r="U354" s="415"/>
      <c r="V354" s="141"/>
      <c r="W354" s="141"/>
      <c r="X354" s="141"/>
      <c r="Y354" s="141"/>
      <c r="Z354" s="141"/>
      <c r="AA354" s="141"/>
      <c r="AB354" s="141"/>
      <c r="AC354" s="141"/>
      <c r="AD354" s="141"/>
      <c r="AE354" s="141"/>
      <c r="AF354" s="141"/>
      <c r="AG354" s="141"/>
      <c r="AH354" s="141"/>
      <c r="AI354" s="141"/>
      <c r="AJ354" s="141"/>
      <c r="AK354" s="141"/>
      <c r="AL354" s="141"/>
      <c r="AM354" s="141"/>
      <c r="AN354" s="364"/>
      <c r="AO354" s="363"/>
    </row>
    <row r="355" spans="1:41">
      <c r="A355" s="364"/>
      <c r="B355" s="141"/>
      <c r="C355" s="175"/>
      <c r="D355" s="416"/>
      <c r="E355" s="363"/>
      <c r="F355" s="302"/>
      <c r="G355" s="92"/>
      <c r="H355" s="175"/>
      <c r="I355" s="175"/>
      <c r="J355" s="52"/>
      <c r="K355" s="332"/>
      <c r="L355" s="332"/>
      <c r="M355" s="175"/>
      <c r="N355" s="332"/>
      <c r="O355" s="175"/>
      <c r="P355" s="175"/>
      <c r="Q355" s="175"/>
      <c r="R355" s="175"/>
      <c r="S355" s="175"/>
      <c r="T355" s="141"/>
      <c r="U355" s="415"/>
      <c r="V355" s="141"/>
      <c r="W355" s="141"/>
      <c r="X355" s="141"/>
      <c r="Y355" s="141"/>
      <c r="Z355" s="141"/>
      <c r="AA355" s="141"/>
      <c r="AB355" s="141"/>
      <c r="AC355" s="141"/>
      <c r="AD355" s="141"/>
      <c r="AE355" s="141"/>
      <c r="AF355" s="141"/>
      <c r="AG355" s="141"/>
      <c r="AH355" s="141"/>
      <c r="AI355" s="141"/>
      <c r="AJ355" s="141"/>
      <c r="AK355" s="141"/>
      <c r="AL355" s="141"/>
      <c r="AM355" s="141"/>
      <c r="AN355" s="364"/>
      <c r="AO355" s="363"/>
    </row>
    <row r="356" spans="1:41">
      <c r="A356" s="364"/>
      <c r="B356" s="141"/>
      <c r="C356" s="175"/>
      <c r="D356" s="416"/>
      <c r="E356" s="363"/>
      <c r="F356" s="302"/>
      <c r="G356" s="92"/>
      <c r="H356" s="175"/>
      <c r="I356" s="175"/>
      <c r="J356" s="52"/>
      <c r="K356" s="332"/>
      <c r="L356" s="332"/>
      <c r="M356" s="175"/>
      <c r="N356" s="332"/>
      <c r="O356" s="175"/>
      <c r="P356" s="175"/>
      <c r="Q356" s="175"/>
      <c r="R356" s="175"/>
      <c r="S356" s="175"/>
      <c r="T356" s="141"/>
      <c r="U356" s="415"/>
      <c r="V356" s="141"/>
      <c r="W356" s="141"/>
      <c r="X356" s="141"/>
      <c r="Y356" s="141"/>
      <c r="Z356" s="141"/>
      <c r="AA356" s="141"/>
      <c r="AB356" s="141"/>
      <c r="AC356" s="141"/>
      <c r="AD356" s="141"/>
      <c r="AE356" s="141"/>
      <c r="AF356" s="141"/>
      <c r="AG356" s="141"/>
      <c r="AH356" s="141"/>
      <c r="AI356" s="141"/>
      <c r="AJ356" s="141"/>
      <c r="AK356" s="141"/>
      <c r="AL356" s="141"/>
      <c r="AM356" s="141"/>
      <c r="AN356" s="364"/>
      <c r="AO356" s="363"/>
    </row>
    <row r="357" spans="1:41">
      <c r="A357" s="364"/>
      <c r="B357" s="141"/>
      <c r="C357" s="175"/>
      <c r="D357" s="416"/>
      <c r="E357" s="363"/>
      <c r="F357" s="302"/>
      <c r="G357" s="92"/>
      <c r="H357" s="175"/>
      <c r="I357" s="175"/>
      <c r="J357" s="52"/>
      <c r="K357" s="332"/>
      <c r="L357" s="332"/>
      <c r="M357" s="175"/>
      <c r="N357" s="332"/>
      <c r="O357" s="175"/>
      <c r="P357" s="175"/>
      <c r="Q357" s="175"/>
      <c r="R357" s="175"/>
      <c r="S357" s="175"/>
      <c r="T357" s="141"/>
      <c r="U357" s="415"/>
      <c r="V357" s="141"/>
      <c r="W357" s="141"/>
      <c r="X357" s="141"/>
      <c r="Y357" s="141"/>
      <c r="Z357" s="141"/>
      <c r="AA357" s="141"/>
      <c r="AB357" s="141"/>
      <c r="AC357" s="141"/>
      <c r="AD357" s="141"/>
      <c r="AE357" s="141"/>
      <c r="AF357" s="141"/>
      <c r="AG357" s="141"/>
      <c r="AH357" s="141"/>
      <c r="AI357" s="141"/>
      <c r="AJ357" s="141"/>
      <c r="AK357" s="141"/>
      <c r="AL357" s="141"/>
      <c r="AM357" s="141"/>
      <c r="AN357" s="364"/>
      <c r="AO357" s="363"/>
    </row>
    <row r="358" spans="1:41">
      <c r="A358" s="364"/>
      <c r="B358" s="141"/>
      <c r="C358" s="175"/>
      <c r="D358" s="416"/>
      <c r="E358" s="363"/>
      <c r="F358" s="302"/>
      <c r="G358" s="92"/>
      <c r="H358" s="175"/>
      <c r="I358" s="175"/>
      <c r="J358" s="52"/>
      <c r="K358" s="332"/>
      <c r="L358" s="332"/>
      <c r="M358" s="175"/>
      <c r="N358" s="332"/>
      <c r="O358" s="175"/>
      <c r="P358" s="175"/>
      <c r="Q358" s="175"/>
      <c r="R358" s="175"/>
      <c r="S358" s="175"/>
      <c r="T358" s="141"/>
      <c r="U358" s="415"/>
      <c r="V358" s="141"/>
      <c r="W358" s="141"/>
      <c r="X358" s="141"/>
      <c r="Y358" s="141"/>
      <c r="Z358" s="141"/>
      <c r="AA358" s="141"/>
      <c r="AB358" s="141"/>
      <c r="AC358" s="141"/>
      <c r="AD358" s="141"/>
      <c r="AE358" s="141"/>
      <c r="AF358" s="141"/>
      <c r="AG358" s="141"/>
      <c r="AH358" s="141"/>
      <c r="AI358" s="141"/>
      <c r="AJ358" s="141"/>
      <c r="AK358" s="141"/>
      <c r="AL358" s="141"/>
      <c r="AM358" s="141"/>
      <c r="AN358" s="364"/>
      <c r="AO358" s="363"/>
    </row>
    <row r="359" spans="1:41">
      <c r="A359" s="364"/>
      <c r="B359" s="141"/>
      <c r="C359" s="175"/>
      <c r="D359" s="416"/>
      <c r="E359" s="363"/>
      <c r="F359" s="302"/>
      <c r="G359" s="92"/>
      <c r="H359" s="175"/>
      <c r="I359" s="175"/>
      <c r="J359" s="52"/>
      <c r="K359" s="332"/>
      <c r="L359" s="332"/>
      <c r="M359" s="175"/>
      <c r="N359" s="332"/>
      <c r="O359" s="175"/>
      <c r="P359" s="175"/>
      <c r="Q359" s="175"/>
      <c r="R359" s="175"/>
      <c r="S359" s="175"/>
      <c r="T359" s="141"/>
      <c r="U359" s="415"/>
      <c r="V359" s="141"/>
      <c r="W359" s="141"/>
      <c r="X359" s="141"/>
      <c r="Y359" s="141"/>
      <c r="Z359" s="141"/>
      <c r="AA359" s="141"/>
      <c r="AB359" s="141"/>
      <c r="AC359" s="141"/>
      <c r="AD359" s="141"/>
      <c r="AE359" s="141"/>
      <c r="AF359" s="141"/>
      <c r="AG359" s="141"/>
      <c r="AH359" s="141"/>
      <c r="AI359" s="141"/>
      <c r="AJ359" s="141"/>
      <c r="AK359" s="141"/>
      <c r="AL359" s="141"/>
      <c r="AM359" s="141"/>
      <c r="AN359" s="364"/>
      <c r="AO359" s="363"/>
    </row>
    <row r="360" spans="1:41">
      <c r="A360" s="364"/>
      <c r="B360" s="141"/>
      <c r="C360" s="175"/>
      <c r="D360" s="416"/>
      <c r="E360" s="363"/>
      <c r="F360" s="302"/>
      <c r="G360" s="92"/>
      <c r="H360" s="175"/>
      <c r="I360" s="175"/>
      <c r="J360" s="52"/>
      <c r="K360" s="332"/>
      <c r="L360" s="332"/>
      <c r="M360" s="175"/>
      <c r="N360" s="332"/>
      <c r="O360" s="175"/>
      <c r="P360" s="175"/>
      <c r="Q360" s="175"/>
      <c r="R360" s="175"/>
      <c r="S360" s="175"/>
      <c r="T360" s="141"/>
      <c r="U360" s="415"/>
      <c r="V360" s="141"/>
      <c r="W360" s="141"/>
      <c r="X360" s="141"/>
      <c r="Y360" s="141"/>
      <c r="Z360" s="141"/>
      <c r="AA360" s="141"/>
      <c r="AB360" s="141"/>
      <c r="AC360" s="141"/>
      <c r="AD360" s="141"/>
      <c r="AE360" s="141"/>
      <c r="AF360" s="141"/>
      <c r="AG360" s="141"/>
      <c r="AH360" s="141"/>
      <c r="AI360" s="141"/>
      <c r="AJ360" s="141"/>
      <c r="AK360" s="141"/>
      <c r="AL360" s="141"/>
      <c r="AM360" s="141"/>
      <c r="AN360" s="364"/>
      <c r="AO360" s="363"/>
    </row>
    <row r="361" spans="1:41">
      <c r="A361" s="364"/>
      <c r="B361" s="141"/>
      <c r="C361" s="175"/>
      <c r="D361" s="416"/>
      <c r="E361" s="363"/>
      <c r="F361" s="302"/>
      <c r="G361" s="92"/>
      <c r="H361" s="175"/>
      <c r="I361" s="175"/>
      <c r="J361" s="52"/>
      <c r="K361" s="332"/>
      <c r="L361" s="332"/>
      <c r="M361" s="175"/>
      <c r="N361" s="332"/>
      <c r="O361" s="175"/>
      <c r="P361" s="175"/>
      <c r="Q361" s="175"/>
      <c r="R361" s="175"/>
      <c r="S361" s="175"/>
      <c r="T361" s="141"/>
      <c r="U361" s="415"/>
      <c r="V361" s="141"/>
      <c r="W361" s="141"/>
      <c r="X361" s="141"/>
      <c r="Y361" s="141"/>
      <c r="Z361" s="141"/>
      <c r="AA361" s="141"/>
      <c r="AB361" s="141"/>
      <c r="AC361" s="141"/>
      <c r="AD361" s="141"/>
      <c r="AE361" s="141"/>
      <c r="AF361" s="141"/>
      <c r="AG361" s="141"/>
      <c r="AH361" s="141"/>
      <c r="AI361" s="141"/>
      <c r="AJ361" s="141"/>
      <c r="AK361" s="141"/>
      <c r="AL361" s="141"/>
      <c r="AM361" s="141"/>
      <c r="AN361" s="364"/>
      <c r="AO361" s="363"/>
    </row>
    <row r="362" spans="1:41">
      <c r="A362" s="364"/>
      <c r="B362" s="141"/>
      <c r="C362" s="175"/>
      <c r="D362" s="416"/>
      <c r="E362" s="363"/>
      <c r="F362" s="302"/>
      <c r="G362" s="92"/>
      <c r="H362" s="175"/>
      <c r="I362" s="175"/>
      <c r="J362" s="52"/>
      <c r="K362" s="332"/>
      <c r="L362" s="332"/>
      <c r="M362" s="175"/>
      <c r="N362" s="332"/>
      <c r="O362" s="175"/>
      <c r="P362" s="175"/>
      <c r="Q362" s="175"/>
      <c r="R362" s="175"/>
      <c r="S362" s="175"/>
      <c r="T362" s="141"/>
      <c r="U362" s="415"/>
      <c r="V362" s="141"/>
      <c r="W362" s="141"/>
      <c r="X362" s="141"/>
      <c r="Y362" s="141"/>
      <c r="Z362" s="141"/>
      <c r="AA362" s="141"/>
      <c r="AB362" s="141"/>
      <c r="AC362" s="141"/>
      <c r="AD362" s="141"/>
      <c r="AE362" s="141"/>
      <c r="AF362" s="141"/>
      <c r="AG362" s="141"/>
      <c r="AH362" s="141"/>
      <c r="AI362" s="141"/>
      <c r="AJ362" s="141"/>
      <c r="AK362" s="141"/>
      <c r="AL362" s="141"/>
      <c r="AM362" s="141"/>
      <c r="AN362" s="364"/>
      <c r="AO362" s="363"/>
    </row>
    <row r="363" spans="1:41">
      <c r="A363" s="364"/>
      <c r="B363" s="141"/>
      <c r="C363" s="175"/>
      <c r="D363" s="416"/>
      <c r="E363" s="363"/>
      <c r="F363" s="302"/>
      <c r="G363" s="92"/>
      <c r="H363" s="175"/>
      <c r="I363" s="175"/>
      <c r="J363" s="52"/>
      <c r="K363" s="332"/>
      <c r="L363" s="332"/>
      <c r="M363" s="175"/>
      <c r="N363" s="332"/>
      <c r="O363" s="175"/>
      <c r="P363" s="175"/>
      <c r="Q363" s="175"/>
      <c r="R363" s="175"/>
      <c r="S363" s="175"/>
      <c r="T363" s="141"/>
      <c r="U363" s="415"/>
      <c r="V363" s="141"/>
      <c r="W363" s="141"/>
      <c r="X363" s="141"/>
      <c r="Y363" s="141"/>
      <c r="Z363" s="141"/>
      <c r="AA363" s="141"/>
      <c r="AB363" s="141"/>
      <c r="AC363" s="141"/>
      <c r="AD363" s="141"/>
      <c r="AE363" s="141"/>
      <c r="AF363" s="141"/>
      <c r="AG363" s="141"/>
      <c r="AH363" s="141"/>
      <c r="AI363" s="141"/>
      <c r="AJ363" s="141"/>
      <c r="AK363" s="141"/>
      <c r="AL363" s="141"/>
      <c r="AM363" s="141"/>
      <c r="AN363" s="364"/>
      <c r="AO363" s="363"/>
    </row>
    <row r="364" spans="1:41">
      <c r="A364" s="364"/>
      <c r="B364" s="141"/>
      <c r="C364" s="175"/>
      <c r="D364" s="416"/>
      <c r="E364" s="363"/>
      <c r="F364" s="302"/>
      <c r="G364" s="92"/>
      <c r="H364" s="175"/>
      <c r="I364" s="175"/>
      <c r="J364" s="52"/>
      <c r="K364" s="332"/>
      <c r="L364" s="332"/>
      <c r="M364" s="175"/>
      <c r="N364" s="332"/>
      <c r="O364" s="175"/>
      <c r="P364" s="175"/>
      <c r="Q364" s="175"/>
      <c r="R364" s="175"/>
      <c r="S364" s="175"/>
      <c r="T364" s="141"/>
      <c r="U364" s="415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1"/>
      <c r="AH364" s="141"/>
      <c r="AI364" s="141"/>
      <c r="AJ364" s="141"/>
      <c r="AK364" s="141"/>
      <c r="AL364" s="141"/>
      <c r="AM364" s="141"/>
      <c r="AN364" s="364"/>
      <c r="AO364" s="363"/>
    </row>
    <row r="365" spans="1:41">
      <c r="A365" s="364"/>
      <c r="B365" s="141"/>
      <c r="C365" s="175"/>
      <c r="D365" s="416"/>
      <c r="E365" s="363"/>
      <c r="F365" s="302"/>
      <c r="G365" s="92"/>
      <c r="H365" s="175"/>
      <c r="I365" s="175"/>
      <c r="J365" s="52"/>
      <c r="K365" s="332"/>
      <c r="L365" s="332"/>
      <c r="M365" s="175"/>
      <c r="N365" s="332"/>
      <c r="O365" s="175"/>
      <c r="P365" s="175"/>
      <c r="Q365" s="175"/>
      <c r="R365" s="175"/>
      <c r="S365" s="175"/>
      <c r="T365" s="141"/>
      <c r="U365" s="415"/>
      <c r="V365" s="141"/>
      <c r="W365" s="141"/>
      <c r="X365" s="141"/>
      <c r="Y365" s="141"/>
      <c r="Z365" s="141"/>
      <c r="AA365" s="141"/>
      <c r="AB365" s="141"/>
      <c r="AC365" s="141"/>
      <c r="AD365" s="141"/>
      <c r="AE365" s="141"/>
      <c r="AF365" s="141"/>
      <c r="AG365" s="141"/>
      <c r="AH365" s="141"/>
      <c r="AI365" s="141"/>
      <c r="AJ365" s="141"/>
      <c r="AK365" s="141"/>
      <c r="AL365" s="141"/>
      <c r="AM365" s="141"/>
      <c r="AN365" s="364"/>
      <c r="AO365" s="363"/>
    </row>
    <row r="366" spans="1:41">
      <c r="A366" s="364"/>
      <c r="B366" s="141"/>
      <c r="C366" s="175"/>
      <c r="D366" s="416"/>
      <c r="E366" s="363"/>
      <c r="F366" s="302"/>
      <c r="G366" s="92"/>
      <c r="H366" s="175"/>
      <c r="I366" s="175"/>
      <c r="J366" s="52"/>
      <c r="K366" s="332"/>
      <c r="L366" s="332"/>
      <c r="M366" s="175"/>
      <c r="N366" s="332"/>
      <c r="O366" s="175"/>
      <c r="P366" s="175"/>
      <c r="Q366" s="175"/>
      <c r="R366" s="175"/>
      <c r="S366" s="175"/>
      <c r="T366" s="141"/>
      <c r="U366" s="415"/>
      <c r="V366" s="141"/>
      <c r="W366" s="141"/>
      <c r="X366" s="141"/>
      <c r="Y366" s="141"/>
      <c r="Z366" s="141"/>
      <c r="AA366" s="141"/>
      <c r="AB366" s="141"/>
      <c r="AC366" s="141"/>
      <c r="AD366" s="141"/>
      <c r="AE366" s="141"/>
      <c r="AF366" s="141"/>
      <c r="AG366" s="141"/>
      <c r="AH366" s="141"/>
      <c r="AI366" s="141"/>
      <c r="AJ366" s="141"/>
      <c r="AK366" s="141"/>
      <c r="AL366" s="141"/>
      <c r="AM366" s="141"/>
      <c r="AN366" s="364"/>
      <c r="AO366" s="363"/>
    </row>
    <row r="367" spans="1:41">
      <c r="A367" s="364"/>
      <c r="B367" s="141"/>
      <c r="C367" s="175"/>
      <c r="D367" s="416"/>
      <c r="E367" s="363"/>
      <c r="F367" s="302"/>
      <c r="G367" s="92"/>
      <c r="H367" s="175"/>
      <c r="I367" s="175"/>
      <c r="J367" s="52"/>
      <c r="K367" s="332"/>
      <c r="L367" s="332"/>
      <c r="M367" s="175"/>
      <c r="N367" s="332"/>
      <c r="O367" s="175"/>
      <c r="P367" s="175"/>
      <c r="Q367" s="175"/>
      <c r="R367" s="175"/>
      <c r="S367" s="175"/>
      <c r="T367" s="141"/>
      <c r="U367" s="415"/>
      <c r="V367" s="141"/>
      <c r="W367" s="141"/>
      <c r="X367" s="141"/>
      <c r="Y367" s="141"/>
      <c r="Z367" s="141"/>
      <c r="AA367" s="141"/>
      <c r="AB367" s="141"/>
      <c r="AC367" s="141"/>
      <c r="AD367" s="141"/>
      <c r="AE367" s="141"/>
      <c r="AF367" s="141"/>
      <c r="AG367" s="141"/>
      <c r="AH367" s="141"/>
      <c r="AI367" s="141"/>
      <c r="AJ367" s="141"/>
      <c r="AK367" s="141"/>
      <c r="AL367" s="141"/>
      <c r="AM367" s="141"/>
      <c r="AN367" s="364"/>
      <c r="AO367" s="363"/>
    </row>
    <row r="368" spans="1:41">
      <c r="A368" s="364"/>
      <c r="B368" s="141"/>
      <c r="C368" s="175"/>
      <c r="D368" s="416"/>
      <c r="E368" s="363"/>
      <c r="F368" s="302"/>
      <c r="G368" s="92"/>
      <c r="H368" s="175"/>
      <c r="I368" s="175"/>
      <c r="J368" s="52"/>
      <c r="K368" s="332"/>
      <c r="L368" s="332"/>
      <c r="M368" s="175"/>
      <c r="N368" s="332"/>
      <c r="O368" s="175"/>
      <c r="P368" s="175"/>
      <c r="Q368" s="175"/>
      <c r="R368" s="175"/>
      <c r="S368" s="175"/>
      <c r="T368" s="141"/>
      <c r="U368" s="415"/>
      <c r="V368" s="141"/>
      <c r="W368" s="141"/>
      <c r="X368" s="141"/>
      <c r="Y368" s="141"/>
      <c r="Z368" s="141"/>
      <c r="AA368" s="141"/>
      <c r="AB368" s="141"/>
      <c r="AC368" s="141"/>
      <c r="AD368" s="141"/>
      <c r="AE368" s="141"/>
      <c r="AF368" s="141"/>
      <c r="AG368" s="141"/>
      <c r="AH368" s="141"/>
      <c r="AI368" s="141"/>
      <c r="AJ368" s="141"/>
      <c r="AK368" s="141"/>
      <c r="AL368" s="141"/>
      <c r="AM368" s="141"/>
      <c r="AN368" s="364"/>
      <c r="AO368" s="363"/>
    </row>
    <row r="369" spans="1:41">
      <c r="A369" s="364"/>
      <c r="B369" s="141"/>
      <c r="C369" s="175"/>
      <c r="D369" s="416"/>
      <c r="E369" s="363"/>
      <c r="F369" s="302"/>
      <c r="G369" s="92"/>
      <c r="H369" s="175"/>
      <c r="I369" s="175"/>
      <c r="J369" s="52"/>
      <c r="K369" s="332"/>
      <c r="L369" s="332"/>
      <c r="M369" s="175"/>
      <c r="N369" s="332"/>
      <c r="O369" s="175"/>
      <c r="P369" s="175"/>
      <c r="Q369" s="175"/>
      <c r="R369" s="175"/>
      <c r="S369" s="175"/>
      <c r="T369" s="141"/>
      <c r="U369" s="415"/>
      <c r="V369" s="141"/>
      <c r="W369" s="141"/>
      <c r="X369" s="141"/>
      <c r="Y369" s="141"/>
      <c r="Z369" s="141"/>
      <c r="AA369" s="141"/>
      <c r="AB369" s="141"/>
      <c r="AC369" s="141"/>
      <c r="AD369" s="141"/>
      <c r="AE369" s="141"/>
      <c r="AF369" s="141"/>
      <c r="AG369" s="141"/>
      <c r="AH369" s="141"/>
      <c r="AI369" s="141"/>
      <c r="AJ369" s="141"/>
      <c r="AK369" s="141"/>
      <c r="AL369" s="141"/>
      <c r="AM369" s="141"/>
      <c r="AN369" s="364"/>
      <c r="AO369" s="363"/>
    </row>
    <row r="370" spans="1:41">
      <c r="A370" s="364"/>
      <c r="B370" s="141"/>
      <c r="C370" s="175"/>
      <c r="D370" s="416"/>
      <c r="E370" s="363"/>
      <c r="F370" s="302"/>
      <c r="G370" s="92"/>
      <c r="H370" s="175"/>
      <c r="I370" s="175"/>
      <c r="J370" s="52"/>
      <c r="K370" s="332"/>
      <c r="L370" s="332"/>
      <c r="M370" s="175"/>
      <c r="N370" s="332"/>
      <c r="O370" s="175"/>
      <c r="P370" s="175"/>
      <c r="Q370" s="175"/>
      <c r="R370" s="175"/>
      <c r="S370" s="175"/>
      <c r="T370" s="141"/>
      <c r="U370" s="415"/>
      <c r="V370" s="141"/>
      <c r="W370" s="141"/>
      <c r="X370" s="141"/>
      <c r="Y370" s="141"/>
      <c r="Z370" s="141"/>
      <c r="AA370" s="141"/>
      <c r="AB370" s="141"/>
      <c r="AC370" s="141"/>
      <c r="AD370" s="141"/>
      <c r="AE370" s="141"/>
      <c r="AF370" s="141"/>
      <c r="AG370" s="141"/>
      <c r="AH370" s="141"/>
      <c r="AI370" s="141"/>
      <c r="AJ370" s="141"/>
      <c r="AK370" s="141"/>
      <c r="AL370" s="141"/>
      <c r="AM370" s="141"/>
      <c r="AN370" s="364"/>
      <c r="AO370" s="363"/>
    </row>
    <row r="371" spans="1:41">
      <c r="A371" s="364"/>
      <c r="B371" s="141"/>
      <c r="C371" s="175"/>
      <c r="D371" s="416"/>
      <c r="E371" s="363"/>
      <c r="F371" s="302"/>
      <c r="G371" s="92"/>
      <c r="H371" s="175"/>
      <c r="I371" s="175"/>
      <c r="J371" s="52"/>
      <c r="K371" s="332"/>
      <c r="L371" s="332"/>
      <c r="M371" s="175"/>
      <c r="N371" s="332"/>
      <c r="O371" s="175"/>
      <c r="P371" s="175"/>
      <c r="Q371" s="175"/>
      <c r="R371" s="175"/>
      <c r="S371" s="175"/>
      <c r="T371" s="141"/>
      <c r="U371" s="415"/>
      <c r="V371" s="141"/>
      <c r="W371" s="141"/>
      <c r="X371" s="141"/>
      <c r="Y371" s="141"/>
      <c r="Z371" s="141"/>
      <c r="AA371" s="141"/>
      <c r="AB371" s="141"/>
      <c r="AC371" s="141"/>
      <c r="AD371" s="141"/>
      <c r="AE371" s="141"/>
      <c r="AF371" s="141"/>
      <c r="AG371" s="141"/>
      <c r="AH371" s="141"/>
      <c r="AI371" s="141"/>
      <c r="AJ371" s="141"/>
      <c r="AK371" s="141"/>
      <c r="AL371" s="141"/>
      <c r="AM371" s="141"/>
      <c r="AN371" s="364"/>
      <c r="AO371" s="363"/>
    </row>
    <row r="372" spans="1:41">
      <c r="A372" s="364"/>
      <c r="B372" s="141"/>
      <c r="C372" s="175"/>
      <c r="D372" s="416"/>
      <c r="E372" s="363"/>
      <c r="F372" s="302"/>
      <c r="G372" s="92"/>
      <c r="H372" s="175"/>
      <c r="I372" s="175"/>
      <c r="J372" s="52"/>
      <c r="K372" s="332"/>
      <c r="L372" s="332"/>
      <c r="M372" s="175"/>
      <c r="N372" s="332"/>
      <c r="O372" s="175"/>
      <c r="P372" s="175"/>
      <c r="Q372" s="175"/>
      <c r="R372" s="175"/>
      <c r="S372" s="175"/>
      <c r="T372" s="141"/>
      <c r="U372" s="415"/>
      <c r="V372" s="141"/>
      <c r="W372" s="141"/>
      <c r="X372" s="141"/>
      <c r="Y372" s="141"/>
      <c r="Z372" s="141"/>
      <c r="AA372" s="141"/>
      <c r="AB372" s="141"/>
      <c r="AC372" s="141"/>
      <c r="AD372" s="141"/>
      <c r="AE372" s="141"/>
      <c r="AF372" s="141"/>
      <c r="AG372" s="141"/>
      <c r="AH372" s="141"/>
      <c r="AI372" s="141"/>
      <c r="AJ372" s="141"/>
      <c r="AK372" s="141"/>
      <c r="AL372" s="141"/>
      <c r="AM372" s="141"/>
      <c r="AN372" s="364"/>
      <c r="AO372" s="363"/>
    </row>
    <row r="373" spans="1:41">
      <c r="A373" s="364"/>
      <c r="B373" s="141"/>
      <c r="C373" s="175"/>
      <c r="D373" s="416"/>
      <c r="E373" s="363"/>
      <c r="F373" s="302"/>
      <c r="G373" s="92"/>
      <c r="H373" s="175"/>
      <c r="I373" s="175"/>
      <c r="J373" s="52"/>
      <c r="K373" s="332"/>
      <c r="L373" s="332"/>
      <c r="M373" s="175"/>
      <c r="N373" s="332"/>
      <c r="O373" s="175"/>
      <c r="P373" s="175"/>
      <c r="Q373" s="175"/>
      <c r="R373" s="175"/>
      <c r="S373" s="175"/>
      <c r="T373" s="141"/>
      <c r="U373" s="415"/>
      <c r="V373" s="141"/>
      <c r="W373" s="141"/>
      <c r="X373" s="141"/>
      <c r="Y373" s="141"/>
      <c r="Z373" s="141"/>
      <c r="AA373" s="141"/>
      <c r="AB373" s="141"/>
      <c r="AC373" s="141"/>
      <c r="AD373" s="141"/>
      <c r="AE373" s="141"/>
      <c r="AF373" s="141"/>
      <c r="AG373" s="141"/>
      <c r="AH373" s="141"/>
      <c r="AI373" s="141"/>
      <c r="AJ373" s="141"/>
      <c r="AK373" s="141"/>
      <c r="AL373" s="141"/>
      <c r="AM373" s="141"/>
      <c r="AN373" s="364"/>
      <c r="AO373" s="363"/>
    </row>
    <row r="374" spans="1:41">
      <c r="A374" s="364"/>
      <c r="B374" s="141"/>
      <c r="C374" s="175"/>
      <c r="D374" s="416"/>
      <c r="E374" s="363"/>
      <c r="F374" s="302"/>
      <c r="G374" s="92"/>
      <c r="H374" s="175"/>
      <c r="I374" s="175"/>
      <c r="J374" s="52"/>
      <c r="K374" s="332"/>
      <c r="L374" s="332"/>
      <c r="M374" s="175"/>
      <c r="N374" s="332"/>
      <c r="O374" s="175"/>
      <c r="P374" s="175"/>
      <c r="Q374" s="175"/>
      <c r="R374" s="175"/>
      <c r="S374" s="175"/>
      <c r="T374" s="141"/>
      <c r="U374" s="415"/>
      <c r="V374" s="141"/>
      <c r="W374" s="141"/>
      <c r="X374" s="141"/>
      <c r="Y374" s="141"/>
      <c r="Z374" s="141"/>
      <c r="AA374" s="141"/>
      <c r="AB374" s="141"/>
      <c r="AC374" s="141"/>
      <c r="AD374" s="141"/>
      <c r="AE374" s="141"/>
      <c r="AF374" s="141"/>
      <c r="AG374" s="141"/>
      <c r="AH374" s="141"/>
      <c r="AI374" s="141"/>
      <c r="AJ374" s="141"/>
      <c r="AK374" s="141"/>
      <c r="AL374" s="141"/>
      <c r="AM374" s="141"/>
      <c r="AN374" s="364"/>
      <c r="AO374" s="363"/>
    </row>
    <row r="375" spans="1:41">
      <c r="A375" s="364"/>
      <c r="B375" s="141"/>
      <c r="C375" s="175"/>
      <c r="D375" s="416"/>
      <c r="E375" s="363"/>
      <c r="F375" s="302"/>
      <c r="G375" s="92"/>
      <c r="H375" s="175"/>
      <c r="I375" s="175"/>
      <c r="J375" s="52"/>
      <c r="K375" s="332"/>
      <c r="L375" s="332"/>
      <c r="M375" s="175"/>
      <c r="N375" s="332"/>
      <c r="O375" s="175"/>
      <c r="P375" s="175"/>
      <c r="Q375" s="175"/>
      <c r="R375" s="175"/>
      <c r="S375" s="175"/>
      <c r="T375" s="141"/>
      <c r="U375" s="415"/>
      <c r="V375" s="141"/>
      <c r="W375" s="141"/>
      <c r="X375" s="141"/>
      <c r="Y375" s="141"/>
      <c r="Z375" s="141"/>
      <c r="AA375" s="141"/>
      <c r="AB375" s="141"/>
      <c r="AC375" s="141"/>
      <c r="AD375" s="141"/>
      <c r="AE375" s="141"/>
      <c r="AF375" s="141"/>
      <c r="AG375" s="141"/>
      <c r="AH375" s="141"/>
      <c r="AI375" s="141"/>
      <c r="AJ375" s="141"/>
      <c r="AK375" s="141"/>
      <c r="AL375" s="141"/>
      <c r="AM375" s="141"/>
      <c r="AN375" s="364"/>
      <c r="AO375" s="363"/>
    </row>
    <row r="376" spans="1:41">
      <c r="A376" s="364"/>
      <c r="B376" s="141"/>
      <c r="C376" s="175"/>
      <c r="D376" s="416"/>
      <c r="E376" s="363"/>
      <c r="F376" s="302"/>
      <c r="G376" s="92"/>
      <c r="H376" s="175"/>
      <c r="I376" s="175"/>
      <c r="J376" s="52"/>
      <c r="K376" s="332"/>
      <c r="L376" s="332"/>
      <c r="M376" s="175"/>
      <c r="N376" s="332"/>
      <c r="O376" s="175"/>
      <c r="P376" s="175"/>
      <c r="Q376" s="175"/>
      <c r="R376" s="175"/>
      <c r="S376" s="175"/>
      <c r="T376" s="141"/>
      <c r="U376" s="415"/>
      <c r="V376" s="141"/>
      <c r="W376" s="141"/>
      <c r="X376" s="141"/>
      <c r="Y376" s="141"/>
      <c r="Z376" s="141"/>
      <c r="AA376" s="141"/>
      <c r="AB376" s="141"/>
      <c r="AC376" s="141"/>
      <c r="AD376" s="141"/>
      <c r="AE376" s="141"/>
      <c r="AF376" s="141"/>
      <c r="AG376" s="141"/>
      <c r="AH376" s="141"/>
      <c r="AI376" s="141"/>
      <c r="AJ376" s="141"/>
      <c r="AK376" s="141"/>
      <c r="AL376" s="141"/>
      <c r="AM376" s="141"/>
      <c r="AN376" s="364"/>
      <c r="AO376" s="363"/>
    </row>
    <row r="377" spans="1:41">
      <c r="A377" s="364"/>
      <c r="B377" s="141"/>
      <c r="C377" s="175"/>
      <c r="D377" s="416"/>
      <c r="E377" s="363"/>
      <c r="F377" s="302"/>
      <c r="G377" s="92"/>
      <c r="H377" s="175"/>
      <c r="I377" s="175"/>
      <c r="J377" s="52"/>
      <c r="K377" s="332"/>
      <c r="L377" s="332"/>
      <c r="M377" s="175"/>
      <c r="N377" s="332"/>
      <c r="O377" s="175"/>
      <c r="P377" s="175"/>
      <c r="Q377" s="175"/>
      <c r="R377" s="175"/>
      <c r="S377" s="175"/>
      <c r="T377" s="141"/>
      <c r="U377" s="415"/>
      <c r="V377" s="141"/>
      <c r="W377" s="141"/>
      <c r="X377" s="141"/>
      <c r="Y377" s="141"/>
      <c r="Z377" s="141"/>
      <c r="AA377" s="141"/>
      <c r="AB377" s="141"/>
      <c r="AC377" s="141"/>
      <c r="AD377" s="141"/>
      <c r="AE377" s="141"/>
      <c r="AF377" s="141"/>
      <c r="AG377" s="141"/>
      <c r="AH377" s="141"/>
      <c r="AI377" s="141"/>
      <c r="AJ377" s="141"/>
      <c r="AK377" s="141"/>
      <c r="AL377" s="141"/>
      <c r="AM377" s="141"/>
      <c r="AN377" s="364"/>
      <c r="AO377" s="363"/>
    </row>
    <row r="378" spans="1:41">
      <c r="A378" s="364"/>
      <c r="B378" s="141"/>
      <c r="C378" s="175"/>
      <c r="D378" s="416"/>
      <c r="E378" s="363"/>
      <c r="F378" s="302"/>
      <c r="G378" s="92"/>
      <c r="H378" s="175"/>
      <c r="I378" s="175"/>
      <c r="J378" s="52"/>
      <c r="K378" s="332"/>
      <c r="L378" s="332"/>
      <c r="M378" s="175"/>
      <c r="N378" s="332"/>
      <c r="O378" s="175"/>
      <c r="P378" s="175"/>
      <c r="Q378" s="175"/>
      <c r="R378" s="175"/>
      <c r="S378" s="175"/>
      <c r="T378" s="141"/>
      <c r="U378" s="415"/>
      <c r="V378" s="141"/>
      <c r="W378" s="141"/>
      <c r="X378" s="141"/>
      <c r="Y378" s="141"/>
      <c r="Z378" s="141"/>
      <c r="AA378" s="141"/>
      <c r="AB378" s="141"/>
      <c r="AC378" s="141"/>
      <c r="AD378" s="141"/>
      <c r="AE378" s="141"/>
      <c r="AF378" s="141"/>
      <c r="AG378" s="141"/>
      <c r="AH378" s="141"/>
      <c r="AI378" s="141"/>
      <c r="AJ378" s="141"/>
      <c r="AK378" s="141"/>
      <c r="AL378" s="141"/>
      <c r="AM378" s="141"/>
      <c r="AN378" s="364"/>
      <c r="AO378" s="363"/>
    </row>
    <row r="379" spans="1:41">
      <c r="A379" s="364"/>
      <c r="B379" s="141"/>
      <c r="C379" s="175"/>
      <c r="D379" s="416"/>
      <c r="E379" s="363"/>
      <c r="F379" s="302"/>
      <c r="G379" s="92"/>
      <c r="H379" s="175"/>
      <c r="I379" s="175"/>
      <c r="J379" s="52"/>
      <c r="K379" s="332"/>
      <c r="L379" s="332"/>
      <c r="M379" s="175"/>
      <c r="N379" s="332"/>
      <c r="O379" s="175"/>
      <c r="P379" s="175"/>
      <c r="Q379" s="175"/>
      <c r="R379" s="175"/>
      <c r="S379" s="175"/>
      <c r="T379" s="141"/>
      <c r="U379" s="415"/>
      <c r="V379" s="141"/>
      <c r="W379" s="141"/>
      <c r="X379" s="141"/>
      <c r="Y379" s="141"/>
      <c r="Z379" s="141"/>
      <c r="AA379" s="141"/>
      <c r="AB379" s="141"/>
      <c r="AC379" s="141"/>
      <c r="AD379" s="141"/>
      <c r="AE379" s="141"/>
      <c r="AF379" s="141"/>
      <c r="AG379" s="141"/>
      <c r="AH379" s="141"/>
      <c r="AI379" s="141"/>
      <c r="AJ379" s="141"/>
      <c r="AK379" s="141"/>
      <c r="AL379" s="141"/>
      <c r="AM379" s="141"/>
      <c r="AN379" s="364"/>
      <c r="AO379" s="363"/>
    </row>
    <row r="380" spans="1:41">
      <c r="A380" s="364"/>
      <c r="B380" s="141"/>
      <c r="C380" s="175"/>
      <c r="D380" s="416"/>
      <c r="E380" s="363"/>
      <c r="F380" s="302"/>
      <c r="G380" s="92"/>
      <c r="H380" s="175"/>
      <c r="I380" s="175"/>
      <c r="J380" s="52"/>
      <c r="K380" s="332"/>
      <c r="L380" s="332"/>
      <c r="M380" s="175"/>
      <c r="N380" s="332"/>
      <c r="O380" s="175"/>
      <c r="P380" s="175"/>
      <c r="Q380" s="175"/>
      <c r="R380" s="175"/>
      <c r="S380" s="175"/>
      <c r="T380" s="141"/>
      <c r="U380" s="415"/>
      <c r="V380" s="141"/>
      <c r="W380" s="141"/>
      <c r="X380" s="141"/>
      <c r="Y380" s="141"/>
      <c r="Z380" s="141"/>
      <c r="AA380" s="141"/>
      <c r="AB380" s="141"/>
      <c r="AC380" s="141"/>
      <c r="AD380" s="141"/>
      <c r="AE380" s="141"/>
      <c r="AF380" s="141"/>
      <c r="AG380" s="141"/>
      <c r="AH380" s="141"/>
      <c r="AI380" s="141"/>
      <c r="AJ380" s="141"/>
      <c r="AK380" s="141"/>
      <c r="AL380" s="141"/>
      <c r="AM380" s="141"/>
      <c r="AN380" s="364"/>
      <c r="AO380" s="363"/>
    </row>
    <row r="381" spans="1:41">
      <c r="A381" s="364"/>
      <c r="B381" s="141"/>
      <c r="C381" s="175"/>
      <c r="D381" s="416"/>
      <c r="E381" s="363"/>
      <c r="F381" s="302"/>
      <c r="G381" s="92"/>
      <c r="H381" s="175"/>
      <c r="I381" s="175"/>
      <c r="J381" s="52"/>
      <c r="K381" s="332"/>
      <c r="L381" s="332"/>
      <c r="M381" s="175"/>
      <c r="N381" s="332"/>
      <c r="O381" s="175"/>
      <c r="P381" s="175"/>
      <c r="Q381" s="175"/>
      <c r="R381" s="175"/>
      <c r="S381" s="175"/>
      <c r="T381" s="141"/>
      <c r="U381" s="415"/>
      <c r="V381" s="141"/>
      <c r="W381" s="141"/>
      <c r="X381" s="141"/>
      <c r="Y381" s="141"/>
      <c r="Z381" s="141"/>
      <c r="AA381" s="141"/>
      <c r="AB381" s="141"/>
      <c r="AC381" s="141"/>
      <c r="AD381" s="141"/>
      <c r="AE381" s="141"/>
      <c r="AF381" s="141"/>
      <c r="AG381" s="141"/>
      <c r="AH381" s="141"/>
      <c r="AI381" s="141"/>
      <c r="AJ381" s="141"/>
      <c r="AK381" s="141"/>
      <c r="AL381" s="141"/>
      <c r="AM381" s="141"/>
      <c r="AN381" s="364"/>
      <c r="AO381" s="363"/>
    </row>
    <row r="382" spans="1:41">
      <c r="A382" s="364"/>
      <c r="B382" s="141"/>
      <c r="C382" s="175"/>
      <c r="D382" s="416"/>
      <c r="E382" s="363"/>
      <c r="F382" s="302"/>
      <c r="G382" s="92"/>
      <c r="H382" s="175"/>
      <c r="I382" s="175"/>
      <c r="J382" s="52"/>
      <c r="K382" s="332"/>
      <c r="L382" s="332"/>
      <c r="M382" s="175"/>
      <c r="N382" s="332"/>
      <c r="O382" s="175"/>
      <c r="P382" s="175"/>
      <c r="Q382" s="175"/>
      <c r="R382" s="175"/>
      <c r="S382" s="175"/>
      <c r="T382" s="141"/>
      <c r="U382" s="415"/>
      <c r="V382" s="141"/>
      <c r="W382" s="141"/>
      <c r="X382" s="141"/>
      <c r="Y382" s="141"/>
      <c r="Z382" s="141"/>
      <c r="AA382" s="141"/>
      <c r="AB382" s="141"/>
      <c r="AC382" s="141"/>
      <c r="AD382" s="141"/>
      <c r="AE382" s="141"/>
      <c r="AF382" s="141"/>
      <c r="AG382" s="141"/>
      <c r="AH382" s="141"/>
      <c r="AI382" s="141"/>
      <c r="AJ382" s="141"/>
      <c r="AK382" s="141"/>
      <c r="AL382" s="141"/>
      <c r="AM382" s="141"/>
      <c r="AN382" s="364"/>
      <c r="AO382" s="363"/>
    </row>
    <row r="383" spans="1:41">
      <c r="A383" s="364"/>
      <c r="B383" s="141"/>
      <c r="C383" s="175"/>
      <c r="D383" s="416"/>
      <c r="E383" s="363"/>
      <c r="F383" s="302"/>
      <c r="G383" s="92"/>
      <c r="H383" s="175"/>
      <c r="I383" s="175"/>
      <c r="J383" s="52"/>
      <c r="K383" s="332"/>
      <c r="L383" s="332"/>
      <c r="M383" s="175"/>
      <c r="N383" s="332"/>
      <c r="O383" s="175"/>
      <c r="P383" s="175"/>
      <c r="Q383" s="175"/>
      <c r="R383" s="175"/>
      <c r="S383" s="175"/>
      <c r="T383" s="141"/>
      <c r="U383" s="415"/>
      <c r="V383" s="141"/>
      <c r="W383" s="141"/>
      <c r="X383" s="141"/>
      <c r="Y383" s="141"/>
      <c r="Z383" s="141"/>
      <c r="AA383" s="141"/>
      <c r="AB383" s="141"/>
      <c r="AC383" s="141"/>
      <c r="AD383" s="141"/>
      <c r="AE383" s="141"/>
      <c r="AF383" s="141"/>
      <c r="AG383" s="141"/>
      <c r="AH383" s="141"/>
      <c r="AI383" s="141"/>
      <c r="AJ383" s="141"/>
      <c r="AK383" s="141"/>
      <c r="AL383" s="141"/>
      <c r="AM383" s="141"/>
      <c r="AN383" s="364"/>
      <c r="AO383" s="363"/>
    </row>
    <row r="384" spans="1:41">
      <c r="A384" s="364"/>
      <c r="B384" s="141"/>
      <c r="C384" s="175"/>
      <c r="D384" s="416"/>
      <c r="E384" s="363"/>
      <c r="F384" s="302"/>
      <c r="G384" s="92"/>
      <c r="H384" s="175"/>
      <c r="I384" s="175"/>
      <c r="J384" s="52"/>
      <c r="K384" s="332"/>
      <c r="L384" s="332"/>
      <c r="M384" s="175"/>
      <c r="N384" s="332"/>
      <c r="O384" s="175"/>
      <c r="P384" s="175"/>
      <c r="Q384" s="175"/>
      <c r="R384" s="175"/>
      <c r="S384" s="175"/>
      <c r="T384" s="141"/>
      <c r="U384" s="415"/>
      <c r="V384" s="141"/>
      <c r="W384" s="141"/>
      <c r="X384" s="141"/>
      <c r="Y384" s="141"/>
      <c r="Z384" s="141"/>
      <c r="AA384" s="141"/>
      <c r="AB384" s="141"/>
      <c r="AC384" s="141"/>
      <c r="AD384" s="141"/>
      <c r="AE384" s="141"/>
      <c r="AF384" s="141"/>
      <c r="AG384" s="141"/>
      <c r="AH384" s="141"/>
      <c r="AI384" s="141"/>
      <c r="AJ384" s="141"/>
      <c r="AK384" s="141"/>
      <c r="AL384" s="141"/>
      <c r="AM384" s="141"/>
      <c r="AN384" s="364"/>
      <c r="AO384" s="363"/>
    </row>
    <row r="385" spans="1:41">
      <c r="A385" s="364"/>
      <c r="B385" s="141"/>
      <c r="C385" s="175"/>
      <c r="D385" s="416"/>
      <c r="E385" s="363"/>
      <c r="F385" s="302"/>
      <c r="G385" s="92"/>
      <c r="H385" s="175"/>
      <c r="I385" s="175"/>
      <c r="J385" s="52"/>
      <c r="K385" s="332"/>
      <c r="L385" s="332"/>
      <c r="M385" s="175"/>
      <c r="N385" s="332"/>
      <c r="O385" s="175"/>
      <c r="P385" s="175"/>
      <c r="Q385" s="175"/>
      <c r="R385" s="175"/>
      <c r="S385" s="175"/>
      <c r="T385" s="141"/>
      <c r="U385" s="415"/>
      <c r="V385" s="141"/>
      <c r="W385" s="141"/>
      <c r="X385" s="141"/>
      <c r="Y385" s="141"/>
      <c r="Z385" s="141"/>
      <c r="AA385" s="141"/>
      <c r="AB385" s="141"/>
      <c r="AC385" s="141"/>
      <c r="AD385" s="141"/>
      <c r="AE385" s="141"/>
      <c r="AF385" s="141"/>
      <c r="AG385" s="141"/>
      <c r="AH385" s="141"/>
      <c r="AI385" s="141"/>
      <c r="AJ385" s="141"/>
      <c r="AK385" s="141"/>
      <c r="AL385" s="141"/>
      <c r="AM385" s="141"/>
      <c r="AN385" s="364"/>
      <c r="AO385" s="363"/>
    </row>
    <row r="386" spans="1:41">
      <c r="A386" s="364"/>
      <c r="B386" s="141"/>
      <c r="C386" s="175"/>
      <c r="D386" s="416"/>
      <c r="E386" s="363"/>
      <c r="F386" s="302"/>
      <c r="G386" s="92"/>
      <c r="H386" s="175"/>
      <c r="I386" s="175"/>
      <c r="J386" s="52"/>
      <c r="K386" s="332"/>
      <c r="L386" s="332"/>
      <c r="M386" s="175"/>
      <c r="N386" s="332"/>
      <c r="O386" s="175"/>
      <c r="P386" s="175"/>
      <c r="Q386" s="175"/>
      <c r="R386" s="175"/>
      <c r="S386" s="175"/>
      <c r="T386" s="141"/>
      <c r="U386" s="415"/>
      <c r="V386" s="141"/>
      <c r="W386" s="141"/>
      <c r="X386" s="141"/>
      <c r="Y386" s="141"/>
      <c r="Z386" s="141"/>
      <c r="AA386" s="141"/>
      <c r="AB386" s="141"/>
      <c r="AC386" s="141"/>
      <c r="AD386" s="141"/>
      <c r="AE386" s="141"/>
      <c r="AF386" s="141"/>
      <c r="AG386" s="141"/>
      <c r="AH386" s="141"/>
      <c r="AI386" s="141"/>
      <c r="AJ386" s="141"/>
      <c r="AK386" s="141"/>
      <c r="AL386" s="141"/>
      <c r="AM386" s="141"/>
      <c r="AN386" s="364"/>
      <c r="AO386" s="363"/>
    </row>
    <row r="387" spans="1:41">
      <c r="A387" s="364"/>
      <c r="B387" s="141"/>
      <c r="C387" s="175"/>
      <c r="D387" s="416"/>
      <c r="E387" s="363"/>
      <c r="F387" s="302"/>
      <c r="G387" s="92"/>
      <c r="H387" s="175"/>
      <c r="I387" s="175"/>
      <c r="J387" s="52"/>
      <c r="K387" s="332"/>
      <c r="L387" s="332"/>
      <c r="M387" s="175"/>
      <c r="N387" s="332"/>
      <c r="O387" s="175"/>
      <c r="P387" s="175"/>
      <c r="Q387" s="175"/>
      <c r="R387" s="175"/>
      <c r="S387" s="175"/>
      <c r="T387" s="141"/>
      <c r="U387" s="415"/>
      <c r="V387" s="141"/>
      <c r="W387" s="141"/>
      <c r="X387" s="141"/>
      <c r="Y387" s="141"/>
      <c r="Z387" s="141"/>
      <c r="AA387" s="141"/>
      <c r="AB387" s="141"/>
      <c r="AC387" s="141"/>
      <c r="AD387" s="141"/>
      <c r="AE387" s="141"/>
      <c r="AF387" s="141"/>
      <c r="AG387" s="141"/>
      <c r="AH387" s="141"/>
      <c r="AI387" s="141"/>
      <c r="AJ387" s="141"/>
      <c r="AK387" s="141"/>
      <c r="AL387" s="141"/>
      <c r="AM387" s="141"/>
      <c r="AN387" s="364"/>
      <c r="AO387" s="363"/>
    </row>
    <row r="388" spans="1:41">
      <c r="A388" s="364"/>
      <c r="B388" s="141"/>
      <c r="C388" s="175"/>
      <c r="D388" s="416"/>
      <c r="E388" s="363"/>
      <c r="F388" s="302"/>
      <c r="G388" s="92"/>
      <c r="H388" s="175"/>
      <c r="I388" s="175"/>
      <c r="J388" s="52"/>
      <c r="K388" s="332"/>
      <c r="L388" s="332"/>
      <c r="M388" s="175"/>
      <c r="N388" s="332"/>
      <c r="O388" s="175"/>
      <c r="P388" s="175"/>
      <c r="Q388" s="175"/>
      <c r="R388" s="175"/>
      <c r="S388" s="175"/>
      <c r="T388" s="141"/>
      <c r="U388" s="415"/>
      <c r="V388" s="141"/>
      <c r="W388" s="141"/>
      <c r="X388" s="141"/>
      <c r="Y388" s="141"/>
      <c r="Z388" s="141"/>
      <c r="AA388" s="141"/>
      <c r="AB388" s="141"/>
      <c r="AC388" s="141"/>
      <c r="AD388" s="141"/>
      <c r="AE388" s="141"/>
      <c r="AF388" s="141"/>
      <c r="AG388" s="141"/>
      <c r="AH388" s="141"/>
      <c r="AI388" s="141"/>
      <c r="AJ388" s="141"/>
      <c r="AK388" s="141"/>
      <c r="AL388" s="141"/>
      <c r="AM388" s="141"/>
      <c r="AN388" s="364"/>
      <c r="AO388" s="363"/>
    </row>
    <row r="389" spans="1:41">
      <c r="A389" s="364"/>
      <c r="B389" s="141"/>
      <c r="C389" s="175"/>
      <c r="D389" s="416"/>
      <c r="E389" s="363"/>
      <c r="F389" s="302"/>
      <c r="G389" s="92"/>
      <c r="H389" s="175"/>
      <c r="I389" s="175"/>
      <c r="J389" s="52"/>
      <c r="K389" s="332"/>
      <c r="L389" s="332"/>
      <c r="M389" s="175"/>
      <c r="N389" s="332"/>
      <c r="O389" s="175"/>
      <c r="P389" s="175"/>
      <c r="Q389" s="175"/>
      <c r="R389" s="175"/>
      <c r="S389" s="175"/>
      <c r="T389" s="141"/>
      <c r="U389" s="415"/>
      <c r="V389" s="141"/>
      <c r="W389" s="141"/>
      <c r="X389" s="141"/>
      <c r="Y389" s="141"/>
      <c r="Z389" s="141"/>
      <c r="AA389" s="141"/>
      <c r="AB389" s="141"/>
      <c r="AC389" s="141"/>
      <c r="AD389" s="141"/>
      <c r="AE389" s="141"/>
      <c r="AF389" s="141"/>
      <c r="AG389" s="141"/>
      <c r="AH389" s="141"/>
      <c r="AI389" s="141"/>
      <c r="AJ389" s="141"/>
      <c r="AK389" s="141"/>
      <c r="AL389" s="141"/>
      <c r="AM389" s="141"/>
      <c r="AN389" s="364"/>
      <c r="AO389" s="363"/>
    </row>
    <row r="390" spans="1:41">
      <c r="A390" s="364"/>
      <c r="B390" s="141"/>
      <c r="C390" s="175"/>
      <c r="D390" s="416"/>
      <c r="E390" s="363"/>
      <c r="F390" s="302"/>
      <c r="G390" s="92"/>
      <c r="H390" s="175"/>
      <c r="I390" s="175"/>
      <c r="J390" s="52"/>
      <c r="K390" s="332"/>
      <c r="L390" s="332"/>
      <c r="M390" s="175"/>
      <c r="N390" s="332"/>
      <c r="O390" s="175"/>
      <c r="P390" s="175"/>
      <c r="Q390" s="175"/>
      <c r="R390" s="175"/>
      <c r="S390" s="175"/>
      <c r="T390" s="141"/>
      <c r="U390" s="415"/>
      <c r="V390" s="141"/>
      <c r="W390" s="141"/>
      <c r="X390" s="141"/>
      <c r="Y390" s="141"/>
      <c r="Z390" s="141"/>
      <c r="AA390" s="141"/>
      <c r="AB390" s="141"/>
      <c r="AC390" s="141"/>
      <c r="AD390" s="141"/>
      <c r="AE390" s="141"/>
      <c r="AF390" s="141"/>
      <c r="AG390" s="141"/>
      <c r="AH390" s="141"/>
      <c r="AI390" s="141"/>
      <c r="AJ390" s="141"/>
      <c r="AK390" s="141"/>
      <c r="AL390" s="141"/>
      <c r="AM390" s="141"/>
      <c r="AN390" s="364"/>
      <c r="AO390" s="363"/>
    </row>
    <row r="391" spans="1:41">
      <c r="A391" s="364"/>
      <c r="B391" s="141"/>
      <c r="C391" s="175"/>
      <c r="D391" s="416"/>
      <c r="E391" s="363"/>
      <c r="F391" s="302"/>
      <c r="G391" s="92"/>
      <c r="H391" s="175"/>
      <c r="I391" s="175"/>
      <c r="J391" s="52"/>
      <c r="K391" s="332"/>
      <c r="L391" s="332"/>
      <c r="M391" s="175"/>
      <c r="N391" s="332"/>
      <c r="O391" s="175"/>
      <c r="P391" s="175"/>
      <c r="Q391" s="175"/>
      <c r="R391" s="175"/>
      <c r="S391" s="175"/>
      <c r="T391" s="141"/>
      <c r="U391" s="415"/>
      <c r="V391" s="141"/>
      <c r="W391" s="141"/>
      <c r="X391" s="141"/>
      <c r="Y391" s="141"/>
      <c r="Z391" s="141"/>
      <c r="AA391" s="141"/>
      <c r="AB391" s="141"/>
      <c r="AC391" s="141"/>
      <c r="AD391" s="141"/>
      <c r="AE391" s="141"/>
      <c r="AF391" s="141"/>
      <c r="AG391" s="141"/>
      <c r="AH391" s="141"/>
      <c r="AI391" s="141"/>
      <c r="AJ391" s="141"/>
      <c r="AK391" s="141"/>
      <c r="AL391" s="141"/>
      <c r="AM391" s="141"/>
      <c r="AN391" s="364"/>
      <c r="AO391" s="363"/>
    </row>
    <row r="392" spans="1:41">
      <c r="A392" s="364"/>
      <c r="B392" s="141"/>
      <c r="C392" s="175"/>
      <c r="D392" s="416"/>
      <c r="E392" s="363"/>
      <c r="F392" s="302"/>
      <c r="G392" s="92"/>
      <c r="H392" s="175"/>
      <c r="I392" s="175"/>
      <c r="J392" s="52"/>
      <c r="K392" s="332"/>
      <c r="L392" s="332"/>
      <c r="M392" s="175"/>
      <c r="N392" s="332"/>
      <c r="O392" s="175"/>
      <c r="P392" s="175"/>
      <c r="Q392" s="175"/>
      <c r="R392" s="175"/>
      <c r="S392" s="175"/>
      <c r="T392" s="141"/>
      <c r="U392" s="415"/>
      <c r="V392" s="141"/>
      <c r="W392" s="141"/>
      <c r="X392" s="141"/>
      <c r="Y392" s="141"/>
      <c r="Z392" s="141"/>
      <c r="AA392" s="141"/>
      <c r="AB392" s="141"/>
      <c r="AC392" s="141"/>
      <c r="AD392" s="141"/>
      <c r="AE392" s="141"/>
      <c r="AF392" s="141"/>
      <c r="AG392" s="141"/>
      <c r="AH392" s="141"/>
      <c r="AI392" s="141"/>
      <c r="AJ392" s="141"/>
      <c r="AK392" s="141"/>
      <c r="AL392" s="141"/>
      <c r="AM392" s="141"/>
      <c r="AN392" s="364"/>
      <c r="AO392" s="363"/>
    </row>
    <row r="393" spans="1:41">
      <c r="A393" s="364"/>
      <c r="B393" s="141"/>
      <c r="C393" s="175"/>
      <c r="D393" s="416"/>
      <c r="E393" s="363"/>
      <c r="F393" s="302"/>
      <c r="G393" s="92"/>
      <c r="H393" s="175"/>
      <c r="I393" s="175"/>
      <c r="J393" s="52"/>
      <c r="K393" s="332"/>
      <c r="L393" s="332"/>
      <c r="M393" s="175"/>
      <c r="N393" s="332"/>
      <c r="O393" s="175"/>
      <c r="P393" s="175"/>
      <c r="Q393" s="175"/>
      <c r="R393" s="175"/>
      <c r="S393" s="175"/>
      <c r="T393" s="141"/>
      <c r="U393" s="415"/>
      <c r="V393" s="141"/>
      <c r="W393" s="141"/>
      <c r="X393" s="141"/>
      <c r="Y393" s="141"/>
      <c r="Z393" s="141"/>
      <c r="AA393" s="141"/>
      <c r="AB393" s="141"/>
      <c r="AC393" s="141"/>
      <c r="AD393" s="141"/>
      <c r="AE393" s="141"/>
      <c r="AF393" s="141"/>
      <c r="AG393" s="141"/>
      <c r="AH393" s="141"/>
      <c r="AI393" s="141"/>
      <c r="AJ393" s="141"/>
      <c r="AK393" s="141"/>
      <c r="AL393" s="141"/>
      <c r="AM393" s="141"/>
      <c r="AN393" s="364"/>
      <c r="AO393" s="363"/>
    </row>
    <row r="394" spans="1:41">
      <c r="A394" s="364"/>
      <c r="B394" s="141"/>
      <c r="C394" s="175"/>
      <c r="D394" s="416"/>
      <c r="E394" s="363"/>
      <c r="F394" s="302"/>
      <c r="G394" s="92"/>
      <c r="H394" s="175"/>
      <c r="I394" s="175"/>
      <c r="J394" s="52"/>
      <c r="K394" s="332"/>
      <c r="L394" s="332"/>
      <c r="M394" s="175"/>
      <c r="N394" s="332"/>
      <c r="O394" s="175"/>
      <c r="P394" s="175"/>
      <c r="Q394" s="175"/>
      <c r="R394" s="175"/>
      <c r="S394" s="175"/>
      <c r="T394" s="141"/>
      <c r="U394" s="415"/>
      <c r="V394" s="141"/>
      <c r="W394" s="141"/>
      <c r="X394" s="141"/>
      <c r="Y394" s="141"/>
      <c r="Z394" s="141"/>
      <c r="AA394" s="141"/>
      <c r="AB394" s="141"/>
      <c r="AC394" s="141"/>
      <c r="AD394" s="141"/>
      <c r="AE394" s="141"/>
      <c r="AF394" s="141"/>
      <c r="AG394" s="141"/>
      <c r="AH394" s="141"/>
      <c r="AI394" s="141"/>
      <c r="AJ394" s="141"/>
      <c r="AK394" s="141"/>
      <c r="AL394" s="141"/>
      <c r="AM394" s="141"/>
      <c r="AN394" s="364"/>
      <c r="AO394" s="363"/>
    </row>
    <row r="395" spans="1:41">
      <c r="A395" s="364"/>
      <c r="B395" s="141"/>
      <c r="C395" s="175"/>
      <c r="D395" s="416"/>
      <c r="E395" s="363"/>
      <c r="F395" s="302"/>
      <c r="G395" s="92"/>
      <c r="H395" s="175"/>
      <c r="I395" s="175"/>
      <c r="J395" s="52"/>
      <c r="K395" s="332"/>
      <c r="L395" s="332"/>
      <c r="M395" s="175"/>
      <c r="N395" s="332"/>
      <c r="O395" s="175"/>
      <c r="P395" s="175"/>
      <c r="Q395" s="175"/>
      <c r="R395" s="175"/>
      <c r="S395" s="175"/>
      <c r="T395" s="141"/>
      <c r="U395" s="415"/>
      <c r="V395" s="141"/>
      <c r="W395" s="141"/>
      <c r="X395" s="141"/>
      <c r="Y395" s="141"/>
      <c r="Z395" s="141"/>
      <c r="AA395" s="141"/>
      <c r="AB395" s="141"/>
      <c r="AC395" s="141"/>
      <c r="AD395" s="141"/>
      <c r="AE395" s="141"/>
      <c r="AF395" s="141"/>
      <c r="AG395" s="141"/>
      <c r="AH395" s="141"/>
      <c r="AI395" s="141"/>
      <c r="AJ395" s="141"/>
      <c r="AK395" s="141"/>
      <c r="AL395" s="141"/>
      <c r="AM395" s="141"/>
      <c r="AN395" s="364"/>
      <c r="AO395" s="363"/>
    </row>
    <row r="396" spans="1:41">
      <c r="A396" s="364"/>
      <c r="B396" s="141"/>
      <c r="C396" s="175"/>
      <c r="D396" s="416"/>
      <c r="E396" s="363"/>
      <c r="F396" s="302"/>
      <c r="G396" s="92"/>
      <c r="H396" s="175"/>
      <c r="I396" s="175"/>
      <c r="J396" s="52"/>
      <c r="K396" s="332"/>
      <c r="L396" s="332"/>
      <c r="M396" s="175"/>
      <c r="N396" s="332"/>
      <c r="O396" s="175"/>
      <c r="P396" s="175"/>
      <c r="Q396" s="175"/>
      <c r="R396" s="175"/>
      <c r="S396" s="175"/>
      <c r="T396" s="141"/>
      <c r="U396" s="415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  <c r="AF396" s="141"/>
      <c r="AG396" s="141"/>
      <c r="AH396" s="141"/>
      <c r="AI396" s="141"/>
      <c r="AJ396" s="141"/>
      <c r="AK396" s="141"/>
      <c r="AL396" s="141"/>
      <c r="AM396" s="141"/>
      <c r="AN396" s="364"/>
      <c r="AO396" s="363"/>
    </row>
    <row r="397" spans="1:41">
      <c r="A397" s="364"/>
      <c r="B397" s="141"/>
      <c r="C397" s="175"/>
      <c r="D397" s="416"/>
      <c r="E397" s="363"/>
      <c r="F397" s="302"/>
      <c r="G397" s="92"/>
      <c r="H397" s="175"/>
      <c r="I397" s="175"/>
      <c r="J397" s="52"/>
      <c r="K397" s="332"/>
      <c r="L397" s="332"/>
      <c r="M397" s="175"/>
      <c r="N397" s="332"/>
      <c r="O397" s="175"/>
      <c r="P397" s="175"/>
      <c r="Q397" s="175"/>
      <c r="R397" s="175"/>
      <c r="S397" s="175"/>
      <c r="T397" s="141"/>
      <c r="U397" s="415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  <c r="AF397" s="141"/>
      <c r="AG397" s="141"/>
      <c r="AH397" s="141"/>
      <c r="AI397" s="141"/>
      <c r="AJ397" s="141"/>
      <c r="AK397" s="141"/>
      <c r="AL397" s="141"/>
      <c r="AM397" s="141"/>
      <c r="AN397" s="364"/>
      <c r="AO397" s="363"/>
    </row>
    <row r="398" spans="1:41">
      <c r="A398" s="364"/>
      <c r="B398" s="141"/>
      <c r="C398" s="175"/>
      <c r="D398" s="416"/>
      <c r="E398" s="363"/>
      <c r="F398" s="302"/>
      <c r="G398" s="92"/>
      <c r="H398" s="175"/>
      <c r="I398" s="175"/>
      <c r="J398" s="52"/>
      <c r="K398" s="332"/>
      <c r="L398" s="332"/>
      <c r="M398" s="175"/>
      <c r="N398" s="332"/>
      <c r="O398" s="175"/>
      <c r="P398" s="175"/>
      <c r="Q398" s="175"/>
      <c r="R398" s="175"/>
      <c r="S398" s="175"/>
      <c r="T398" s="141"/>
      <c r="U398" s="415"/>
      <c r="V398" s="141"/>
      <c r="W398" s="141"/>
      <c r="X398" s="141"/>
      <c r="Y398" s="141"/>
      <c r="Z398" s="141"/>
      <c r="AA398" s="141"/>
      <c r="AB398" s="141"/>
      <c r="AC398" s="141"/>
      <c r="AD398" s="141"/>
      <c r="AE398" s="141"/>
      <c r="AF398" s="141"/>
      <c r="AG398" s="141"/>
      <c r="AH398" s="141"/>
      <c r="AI398" s="141"/>
      <c r="AJ398" s="141"/>
      <c r="AK398" s="141"/>
      <c r="AL398" s="141"/>
      <c r="AM398" s="141"/>
      <c r="AN398" s="364"/>
      <c r="AO398" s="363"/>
    </row>
    <row r="399" spans="1:41">
      <c r="A399" s="364"/>
      <c r="B399" s="141"/>
      <c r="C399" s="175"/>
      <c r="D399" s="416"/>
      <c r="E399" s="363"/>
      <c r="F399" s="302"/>
      <c r="G399" s="92"/>
      <c r="H399" s="175"/>
      <c r="I399" s="175"/>
      <c r="J399" s="52"/>
      <c r="K399" s="332"/>
      <c r="L399" s="332"/>
      <c r="M399" s="175"/>
      <c r="N399" s="332"/>
      <c r="O399" s="175"/>
      <c r="P399" s="175"/>
      <c r="Q399" s="175"/>
      <c r="R399" s="175"/>
      <c r="S399" s="175"/>
      <c r="T399" s="141"/>
      <c r="U399" s="415"/>
      <c r="V399" s="141"/>
      <c r="W399" s="141"/>
      <c r="X399" s="141"/>
      <c r="Y399" s="141"/>
      <c r="Z399" s="141"/>
      <c r="AA399" s="141"/>
      <c r="AB399" s="141"/>
      <c r="AC399" s="141"/>
      <c r="AD399" s="141"/>
      <c r="AE399" s="141"/>
      <c r="AF399" s="141"/>
      <c r="AG399" s="141"/>
      <c r="AH399" s="141"/>
      <c r="AI399" s="141"/>
      <c r="AJ399" s="141"/>
      <c r="AK399" s="141"/>
      <c r="AL399" s="141"/>
      <c r="AM399" s="141"/>
      <c r="AN399" s="364"/>
      <c r="AO399" s="363"/>
    </row>
    <row r="400" spans="1:41">
      <c r="A400" s="364"/>
      <c r="B400" s="141"/>
      <c r="C400" s="175"/>
      <c r="D400" s="416"/>
      <c r="E400" s="363"/>
      <c r="F400" s="302"/>
      <c r="G400" s="92"/>
      <c r="H400" s="175"/>
      <c r="I400" s="175"/>
      <c r="J400" s="52"/>
      <c r="K400" s="332"/>
      <c r="L400" s="332"/>
      <c r="M400" s="175"/>
      <c r="N400" s="332"/>
      <c r="O400" s="175"/>
      <c r="P400" s="175"/>
      <c r="Q400" s="175"/>
      <c r="R400" s="175"/>
      <c r="S400" s="175"/>
      <c r="T400" s="141"/>
      <c r="U400" s="415"/>
      <c r="V400" s="141"/>
      <c r="W400" s="141"/>
      <c r="X400" s="141"/>
      <c r="Y400" s="141"/>
      <c r="Z400" s="141"/>
      <c r="AA400" s="141"/>
      <c r="AB400" s="141"/>
      <c r="AC400" s="141"/>
      <c r="AD400" s="141"/>
      <c r="AE400" s="141"/>
      <c r="AF400" s="141"/>
      <c r="AG400" s="141"/>
      <c r="AH400" s="141"/>
      <c r="AI400" s="141"/>
      <c r="AJ400" s="141"/>
      <c r="AK400" s="141"/>
      <c r="AL400" s="141"/>
      <c r="AM400" s="141"/>
      <c r="AN400" s="364"/>
      <c r="AO400" s="363"/>
    </row>
    <row r="401" spans="1:41">
      <c r="A401" s="364"/>
      <c r="B401" s="141"/>
      <c r="C401" s="175"/>
      <c r="D401" s="416"/>
      <c r="E401" s="363"/>
      <c r="F401" s="302"/>
      <c r="G401" s="92"/>
      <c r="H401" s="175"/>
      <c r="I401" s="175"/>
      <c r="J401" s="52"/>
      <c r="K401" s="332"/>
      <c r="L401" s="332"/>
      <c r="M401" s="175"/>
      <c r="N401" s="332"/>
      <c r="O401" s="175"/>
      <c r="P401" s="175"/>
      <c r="Q401" s="175"/>
      <c r="R401" s="175"/>
      <c r="S401" s="175"/>
      <c r="T401" s="141"/>
      <c r="U401" s="415"/>
      <c r="V401" s="141"/>
      <c r="W401" s="141"/>
      <c r="X401" s="141"/>
      <c r="Y401" s="141"/>
      <c r="Z401" s="141"/>
      <c r="AA401" s="141"/>
      <c r="AB401" s="141"/>
      <c r="AC401" s="141"/>
      <c r="AD401" s="141"/>
      <c r="AE401" s="141"/>
      <c r="AF401" s="141"/>
      <c r="AG401" s="141"/>
      <c r="AH401" s="141"/>
      <c r="AI401" s="141"/>
      <c r="AJ401" s="141"/>
      <c r="AK401" s="141"/>
      <c r="AL401" s="141"/>
      <c r="AM401" s="141"/>
      <c r="AN401" s="364"/>
      <c r="AO401" s="363"/>
    </row>
    <row r="402" spans="1:41">
      <c r="A402" s="364"/>
      <c r="B402" s="141"/>
      <c r="C402" s="175"/>
      <c r="D402" s="416"/>
      <c r="E402" s="363"/>
      <c r="F402" s="302"/>
      <c r="G402" s="92"/>
      <c r="H402" s="175"/>
      <c r="I402" s="175"/>
      <c r="J402" s="52"/>
      <c r="K402" s="332"/>
      <c r="L402" s="332"/>
      <c r="M402" s="175"/>
      <c r="N402" s="332"/>
      <c r="O402" s="175"/>
      <c r="P402" s="175"/>
      <c r="Q402" s="175"/>
      <c r="R402" s="175"/>
      <c r="S402" s="175"/>
      <c r="T402" s="141"/>
      <c r="U402" s="415"/>
      <c r="V402" s="141"/>
      <c r="W402" s="141"/>
      <c r="X402" s="141"/>
      <c r="Y402" s="141"/>
      <c r="Z402" s="141"/>
      <c r="AA402" s="141"/>
      <c r="AB402" s="141"/>
      <c r="AC402" s="141"/>
      <c r="AD402" s="141"/>
      <c r="AE402" s="141"/>
      <c r="AF402" s="141"/>
      <c r="AG402" s="141"/>
      <c r="AH402" s="141"/>
      <c r="AI402" s="141"/>
      <c r="AJ402" s="141"/>
      <c r="AK402" s="141"/>
      <c r="AL402" s="141"/>
      <c r="AM402" s="141"/>
      <c r="AN402" s="364"/>
      <c r="AO402" s="363"/>
    </row>
    <row r="403" spans="1:41">
      <c r="A403" s="364"/>
      <c r="B403" s="141"/>
      <c r="C403" s="175"/>
      <c r="D403" s="416"/>
      <c r="E403" s="363"/>
      <c r="F403" s="302"/>
      <c r="G403" s="92"/>
      <c r="H403" s="175"/>
      <c r="I403" s="175"/>
      <c r="J403" s="52"/>
      <c r="K403" s="332"/>
      <c r="L403" s="332"/>
      <c r="M403" s="175"/>
      <c r="N403" s="332"/>
      <c r="O403" s="175"/>
      <c r="P403" s="175"/>
      <c r="Q403" s="175"/>
      <c r="R403" s="175"/>
      <c r="S403" s="175"/>
      <c r="T403" s="141"/>
      <c r="U403" s="415"/>
      <c r="V403" s="141"/>
      <c r="W403" s="141"/>
      <c r="X403" s="141"/>
      <c r="Y403" s="141"/>
      <c r="Z403" s="141"/>
      <c r="AA403" s="141"/>
      <c r="AB403" s="141"/>
      <c r="AC403" s="141"/>
      <c r="AD403" s="141"/>
      <c r="AE403" s="141"/>
      <c r="AF403" s="141"/>
      <c r="AG403" s="141"/>
      <c r="AH403" s="141"/>
      <c r="AI403" s="141"/>
      <c r="AJ403" s="141"/>
      <c r="AK403" s="141"/>
      <c r="AL403" s="141"/>
      <c r="AM403" s="141"/>
      <c r="AN403" s="364"/>
      <c r="AO403" s="363"/>
    </row>
    <row r="404" spans="1:41">
      <c r="A404" s="364"/>
      <c r="B404" s="141"/>
      <c r="C404" s="175"/>
      <c r="D404" s="416"/>
      <c r="E404" s="363"/>
      <c r="F404" s="302"/>
      <c r="G404" s="92"/>
      <c r="H404" s="175"/>
      <c r="I404" s="175"/>
      <c r="J404" s="52"/>
      <c r="K404" s="332"/>
      <c r="L404" s="332"/>
      <c r="M404" s="175"/>
      <c r="N404" s="332"/>
      <c r="O404" s="175"/>
      <c r="P404" s="175"/>
      <c r="Q404" s="175"/>
      <c r="R404" s="175"/>
      <c r="S404" s="175"/>
      <c r="T404" s="141"/>
      <c r="U404" s="415"/>
      <c r="V404" s="141"/>
      <c r="W404" s="141"/>
      <c r="X404" s="141"/>
      <c r="Y404" s="141"/>
      <c r="Z404" s="141"/>
      <c r="AA404" s="141"/>
      <c r="AB404" s="141"/>
      <c r="AC404" s="141"/>
      <c r="AD404" s="141"/>
      <c r="AE404" s="141"/>
      <c r="AF404" s="141"/>
      <c r="AG404" s="141"/>
      <c r="AH404" s="141"/>
      <c r="AI404" s="141"/>
      <c r="AJ404" s="141"/>
      <c r="AK404" s="141"/>
      <c r="AL404" s="141"/>
      <c r="AM404" s="141"/>
      <c r="AN404" s="364"/>
      <c r="AO404" s="363"/>
    </row>
    <row r="405" spans="1:41">
      <c r="A405" s="364"/>
      <c r="B405" s="141"/>
      <c r="C405" s="175"/>
      <c r="D405" s="416"/>
      <c r="E405" s="363"/>
      <c r="F405" s="302"/>
      <c r="G405" s="92"/>
      <c r="H405" s="175"/>
      <c r="I405" s="175"/>
      <c r="J405" s="52"/>
      <c r="K405" s="332"/>
      <c r="L405" s="332"/>
      <c r="M405" s="175"/>
      <c r="N405" s="332"/>
      <c r="O405" s="175"/>
      <c r="P405" s="175"/>
      <c r="Q405" s="175"/>
      <c r="R405" s="175"/>
      <c r="S405" s="175"/>
      <c r="T405" s="141"/>
      <c r="U405" s="415"/>
      <c r="V405" s="141"/>
      <c r="W405" s="141"/>
      <c r="X405" s="141"/>
      <c r="Y405" s="141"/>
      <c r="Z405" s="141"/>
      <c r="AA405" s="141"/>
      <c r="AB405" s="141"/>
      <c r="AC405" s="141"/>
      <c r="AD405" s="141"/>
      <c r="AE405" s="141"/>
      <c r="AF405" s="141"/>
      <c r="AG405" s="141"/>
      <c r="AH405" s="141"/>
      <c r="AI405" s="141"/>
      <c r="AJ405" s="141"/>
      <c r="AK405" s="141"/>
      <c r="AL405" s="141"/>
      <c r="AM405" s="141"/>
      <c r="AN405" s="364"/>
      <c r="AO405" s="363"/>
    </row>
    <row r="406" spans="1:41">
      <c r="A406" s="364"/>
      <c r="B406" s="141"/>
      <c r="C406" s="175"/>
      <c r="D406" s="416"/>
      <c r="E406" s="363"/>
      <c r="F406" s="302"/>
      <c r="G406" s="92"/>
      <c r="H406" s="175"/>
      <c r="I406" s="175"/>
      <c r="J406" s="52"/>
      <c r="K406" s="332"/>
      <c r="L406" s="332"/>
      <c r="M406" s="175"/>
      <c r="N406" s="332"/>
      <c r="O406" s="175"/>
      <c r="P406" s="175"/>
      <c r="Q406" s="175"/>
      <c r="R406" s="175"/>
      <c r="S406" s="175"/>
      <c r="T406" s="141"/>
      <c r="U406" s="415"/>
      <c r="V406" s="141"/>
      <c r="W406" s="141"/>
      <c r="X406" s="141"/>
      <c r="Y406" s="141"/>
      <c r="Z406" s="141"/>
      <c r="AA406" s="141"/>
      <c r="AB406" s="141"/>
      <c r="AC406" s="141"/>
      <c r="AD406" s="141"/>
      <c r="AE406" s="141"/>
      <c r="AF406" s="141"/>
      <c r="AG406" s="141"/>
      <c r="AH406" s="141"/>
      <c r="AI406" s="141"/>
      <c r="AJ406" s="141"/>
      <c r="AK406" s="141"/>
      <c r="AL406" s="141"/>
      <c r="AM406" s="141"/>
      <c r="AN406" s="364"/>
      <c r="AO406" s="363"/>
    </row>
    <row r="407" spans="1:41">
      <c r="A407" s="364"/>
      <c r="B407" s="141"/>
      <c r="C407" s="175"/>
      <c r="D407" s="416"/>
      <c r="E407" s="363"/>
      <c r="F407" s="302"/>
      <c r="G407" s="92"/>
      <c r="H407" s="175"/>
      <c r="I407" s="175"/>
      <c r="J407" s="52"/>
      <c r="K407" s="332"/>
      <c r="L407" s="332"/>
      <c r="M407" s="175"/>
      <c r="N407" s="332"/>
      <c r="O407" s="175"/>
      <c r="P407" s="175"/>
      <c r="Q407" s="175"/>
      <c r="R407" s="175"/>
      <c r="S407" s="175"/>
      <c r="T407" s="141"/>
      <c r="U407" s="415"/>
      <c r="V407" s="141"/>
      <c r="W407" s="141"/>
      <c r="X407" s="141"/>
      <c r="Y407" s="141"/>
      <c r="Z407" s="141"/>
      <c r="AA407" s="141"/>
      <c r="AB407" s="141"/>
      <c r="AC407" s="141"/>
      <c r="AD407" s="141"/>
      <c r="AE407" s="141"/>
      <c r="AF407" s="141"/>
      <c r="AG407" s="141"/>
      <c r="AH407" s="141"/>
      <c r="AI407" s="141"/>
      <c r="AJ407" s="141"/>
      <c r="AK407" s="141"/>
      <c r="AL407" s="141"/>
      <c r="AM407" s="141"/>
      <c r="AN407" s="364"/>
      <c r="AO407" s="363"/>
    </row>
    <row r="408" spans="1:41">
      <c r="A408" s="364"/>
      <c r="B408" s="141"/>
      <c r="C408" s="175"/>
      <c r="D408" s="416"/>
      <c r="E408" s="363"/>
      <c r="F408" s="302"/>
      <c r="G408" s="92"/>
      <c r="H408" s="175"/>
      <c r="I408" s="175"/>
      <c r="J408" s="52"/>
      <c r="K408" s="332"/>
      <c r="L408" s="332"/>
      <c r="M408" s="175"/>
      <c r="N408" s="332"/>
      <c r="O408" s="175"/>
      <c r="P408" s="175"/>
      <c r="Q408" s="175"/>
      <c r="R408" s="175"/>
      <c r="S408" s="175"/>
      <c r="T408" s="141"/>
      <c r="U408" s="415"/>
      <c r="V408" s="141"/>
      <c r="W408" s="141"/>
      <c r="X408" s="141"/>
      <c r="Y408" s="141"/>
      <c r="Z408" s="141"/>
      <c r="AA408" s="141"/>
      <c r="AB408" s="141"/>
      <c r="AC408" s="141"/>
      <c r="AD408" s="141"/>
      <c r="AE408" s="141"/>
      <c r="AF408" s="141"/>
      <c r="AG408" s="141"/>
      <c r="AH408" s="141"/>
      <c r="AI408" s="141"/>
      <c r="AJ408" s="141"/>
      <c r="AK408" s="141"/>
      <c r="AL408" s="141"/>
      <c r="AM408" s="141"/>
      <c r="AN408" s="364"/>
      <c r="AO408" s="363"/>
    </row>
    <row r="409" spans="1:41">
      <c r="A409" s="364"/>
      <c r="B409" s="141"/>
      <c r="C409" s="175"/>
      <c r="D409" s="416"/>
      <c r="E409" s="363"/>
      <c r="F409" s="302"/>
      <c r="G409" s="92"/>
      <c r="H409" s="175"/>
      <c r="I409" s="175"/>
      <c r="J409" s="52"/>
      <c r="K409" s="332"/>
      <c r="L409" s="332"/>
      <c r="M409" s="175"/>
      <c r="N409" s="332"/>
      <c r="O409" s="175"/>
      <c r="P409" s="175"/>
      <c r="Q409" s="175"/>
      <c r="R409" s="175"/>
      <c r="S409" s="175"/>
      <c r="T409" s="141"/>
      <c r="U409" s="415"/>
      <c r="V409" s="141"/>
      <c r="W409" s="141"/>
      <c r="X409" s="141"/>
      <c r="Y409" s="141"/>
      <c r="Z409" s="141"/>
      <c r="AA409" s="141"/>
      <c r="AB409" s="141"/>
      <c r="AC409" s="141"/>
      <c r="AD409" s="141"/>
      <c r="AE409" s="141"/>
      <c r="AF409" s="141"/>
      <c r="AG409" s="141"/>
      <c r="AH409" s="141"/>
      <c r="AI409" s="141"/>
      <c r="AJ409" s="141"/>
      <c r="AK409" s="141"/>
      <c r="AL409" s="141"/>
      <c r="AM409" s="141"/>
      <c r="AN409" s="364"/>
      <c r="AO409" s="363"/>
    </row>
    <row r="410" spans="1:41">
      <c r="A410" s="364"/>
      <c r="B410" s="141"/>
      <c r="C410" s="175"/>
      <c r="D410" s="416"/>
      <c r="E410" s="363"/>
      <c r="F410" s="302"/>
      <c r="G410" s="92"/>
      <c r="H410" s="175"/>
      <c r="I410" s="175"/>
      <c r="J410" s="52"/>
      <c r="K410" s="332"/>
      <c r="L410" s="332"/>
      <c r="M410" s="175"/>
      <c r="N410" s="332"/>
      <c r="O410" s="175"/>
      <c r="P410" s="175"/>
      <c r="Q410" s="175"/>
      <c r="R410" s="175"/>
      <c r="S410" s="175"/>
      <c r="T410" s="141"/>
      <c r="U410" s="415"/>
      <c r="V410" s="141"/>
      <c r="W410" s="141"/>
      <c r="X410" s="141"/>
      <c r="Y410" s="141"/>
      <c r="Z410" s="141"/>
      <c r="AA410" s="141"/>
      <c r="AB410" s="141"/>
      <c r="AC410" s="141"/>
      <c r="AD410" s="141"/>
      <c r="AE410" s="141"/>
      <c r="AF410" s="141"/>
      <c r="AG410" s="141"/>
      <c r="AH410" s="141"/>
      <c r="AI410" s="141"/>
      <c r="AJ410" s="141"/>
      <c r="AK410" s="141"/>
      <c r="AL410" s="141"/>
      <c r="AM410" s="141"/>
      <c r="AN410" s="364"/>
      <c r="AO410" s="363"/>
    </row>
    <row r="411" spans="1:41">
      <c r="A411" s="364"/>
      <c r="B411" s="141"/>
      <c r="C411" s="175"/>
      <c r="D411" s="416"/>
      <c r="E411" s="363"/>
      <c r="F411" s="302"/>
      <c r="G411" s="92"/>
      <c r="H411" s="175"/>
      <c r="I411" s="175"/>
      <c r="J411" s="52"/>
      <c r="K411" s="332"/>
      <c r="L411" s="332"/>
      <c r="M411" s="175"/>
      <c r="N411" s="332"/>
      <c r="O411" s="175"/>
      <c r="P411" s="175"/>
      <c r="Q411" s="175"/>
      <c r="R411" s="175"/>
      <c r="S411" s="175"/>
      <c r="T411" s="141"/>
      <c r="U411" s="415"/>
      <c r="V411" s="141"/>
      <c r="W411" s="141"/>
      <c r="X411" s="141"/>
      <c r="Y411" s="141"/>
      <c r="Z411" s="141"/>
      <c r="AA411" s="141"/>
      <c r="AB411" s="141"/>
      <c r="AC411" s="141"/>
      <c r="AD411" s="141"/>
      <c r="AE411" s="141"/>
      <c r="AF411" s="141"/>
      <c r="AG411" s="141"/>
      <c r="AH411" s="141"/>
      <c r="AI411" s="141"/>
      <c r="AJ411" s="141"/>
      <c r="AK411" s="141"/>
      <c r="AL411" s="141"/>
      <c r="AM411" s="141"/>
      <c r="AN411" s="364"/>
      <c r="AO411" s="363"/>
    </row>
    <row r="412" spans="1:41">
      <c r="A412" s="364"/>
      <c r="B412" s="141"/>
      <c r="C412" s="175"/>
      <c r="D412" s="416"/>
      <c r="E412" s="363"/>
      <c r="F412" s="302"/>
      <c r="G412" s="92"/>
      <c r="H412" s="175"/>
      <c r="I412" s="175"/>
      <c r="J412" s="52"/>
      <c r="K412" s="332"/>
      <c r="L412" s="332"/>
      <c r="M412" s="175"/>
      <c r="N412" s="332"/>
      <c r="O412" s="175"/>
      <c r="P412" s="175"/>
      <c r="Q412" s="175"/>
      <c r="R412" s="175"/>
      <c r="S412" s="175"/>
      <c r="T412" s="141"/>
      <c r="U412" s="415"/>
      <c r="V412" s="141"/>
      <c r="W412" s="141"/>
      <c r="X412" s="141"/>
      <c r="Y412" s="141"/>
      <c r="Z412" s="141"/>
      <c r="AA412" s="141"/>
      <c r="AB412" s="141"/>
      <c r="AC412" s="141"/>
      <c r="AD412" s="141"/>
      <c r="AE412" s="141"/>
      <c r="AF412" s="141"/>
      <c r="AG412" s="141"/>
      <c r="AH412" s="141"/>
      <c r="AI412" s="141"/>
      <c r="AJ412" s="141"/>
      <c r="AK412" s="141"/>
      <c r="AL412" s="141"/>
      <c r="AM412" s="141"/>
      <c r="AN412" s="364"/>
      <c r="AO412" s="363"/>
    </row>
    <row r="413" spans="1:41">
      <c r="A413" s="364"/>
      <c r="B413" s="141"/>
      <c r="C413" s="175"/>
      <c r="D413" s="416"/>
      <c r="E413" s="363"/>
      <c r="F413" s="302"/>
      <c r="G413" s="92"/>
      <c r="H413" s="175"/>
      <c r="I413" s="175"/>
      <c r="J413" s="52"/>
      <c r="K413" s="332"/>
      <c r="L413" s="332"/>
      <c r="M413" s="175"/>
      <c r="N413" s="332"/>
      <c r="O413" s="175"/>
      <c r="P413" s="175"/>
      <c r="Q413" s="175"/>
      <c r="R413" s="175"/>
      <c r="S413" s="175"/>
      <c r="T413" s="141"/>
      <c r="U413" s="415"/>
      <c r="V413" s="141"/>
      <c r="W413" s="141"/>
      <c r="X413" s="141"/>
      <c r="Y413" s="141"/>
      <c r="Z413" s="141"/>
      <c r="AA413" s="141"/>
      <c r="AB413" s="141"/>
      <c r="AC413" s="141"/>
      <c r="AD413" s="141"/>
      <c r="AE413" s="141"/>
      <c r="AF413" s="141"/>
      <c r="AG413" s="141"/>
      <c r="AH413" s="141"/>
      <c r="AI413" s="141"/>
      <c r="AJ413" s="141"/>
      <c r="AK413" s="141"/>
      <c r="AL413" s="141"/>
      <c r="AM413" s="141"/>
      <c r="AN413" s="364"/>
      <c r="AO413" s="363"/>
    </row>
    <row r="414" spans="1:41">
      <c r="A414" s="364"/>
      <c r="B414" s="141"/>
      <c r="C414" s="175"/>
      <c r="D414" s="416"/>
      <c r="E414" s="363"/>
      <c r="F414" s="302"/>
      <c r="G414" s="92"/>
      <c r="H414" s="175"/>
      <c r="I414" s="175"/>
      <c r="J414" s="52"/>
      <c r="K414" s="332"/>
      <c r="L414" s="332"/>
      <c r="M414" s="175"/>
      <c r="N414" s="332"/>
      <c r="O414" s="175"/>
      <c r="P414" s="175"/>
      <c r="Q414" s="175"/>
      <c r="R414" s="175"/>
      <c r="S414" s="175"/>
      <c r="T414" s="141"/>
      <c r="U414" s="415"/>
      <c r="V414" s="141"/>
      <c r="W414" s="141"/>
      <c r="X414" s="141"/>
      <c r="Y414" s="141"/>
      <c r="Z414" s="141"/>
      <c r="AA414" s="141"/>
      <c r="AB414" s="141"/>
      <c r="AC414" s="141"/>
      <c r="AD414" s="141"/>
      <c r="AE414" s="141"/>
      <c r="AF414" s="141"/>
      <c r="AG414" s="141"/>
      <c r="AH414" s="141"/>
      <c r="AI414" s="141"/>
      <c r="AJ414" s="141"/>
      <c r="AK414" s="141"/>
      <c r="AL414" s="141"/>
      <c r="AM414" s="141"/>
      <c r="AN414" s="364"/>
      <c r="AO414" s="363"/>
    </row>
    <row r="415" spans="1:41">
      <c r="A415" s="364"/>
      <c r="B415" s="141"/>
      <c r="C415" s="175"/>
      <c r="D415" s="416"/>
      <c r="E415" s="363"/>
      <c r="F415" s="302"/>
      <c r="G415" s="92"/>
      <c r="H415" s="175"/>
      <c r="I415" s="175"/>
      <c r="J415" s="52"/>
      <c r="K415" s="332"/>
      <c r="L415" s="332"/>
      <c r="M415" s="175"/>
      <c r="N415" s="332"/>
      <c r="O415" s="175"/>
      <c r="P415" s="175"/>
      <c r="Q415" s="175"/>
      <c r="R415" s="175"/>
      <c r="S415" s="175"/>
      <c r="T415" s="141"/>
      <c r="U415" s="415"/>
      <c r="V415" s="141"/>
      <c r="W415" s="141"/>
      <c r="X415" s="141"/>
      <c r="Y415" s="141"/>
      <c r="Z415" s="141"/>
      <c r="AA415" s="141"/>
      <c r="AB415" s="141"/>
      <c r="AC415" s="141"/>
      <c r="AD415" s="141"/>
      <c r="AE415" s="141"/>
      <c r="AF415" s="141"/>
      <c r="AG415" s="141"/>
      <c r="AH415" s="141"/>
      <c r="AI415" s="141"/>
      <c r="AJ415" s="141"/>
      <c r="AK415" s="141"/>
      <c r="AL415" s="141"/>
      <c r="AM415" s="141"/>
      <c r="AN415" s="364"/>
      <c r="AO415" s="363"/>
    </row>
    <row r="416" spans="1:41">
      <c r="A416" s="364"/>
      <c r="B416" s="141"/>
      <c r="C416" s="175"/>
      <c r="D416" s="416"/>
      <c r="E416" s="363"/>
      <c r="F416" s="302"/>
      <c r="G416" s="92"/>
      <c r="H416" s="175"/>
      <c r="I416" s="175"/>
      <c r="J416" s="52"/>
      <c r="K416" s="332"/>
      <c r="L416" s="332"/>
      <c r="M416" s="175"/>
      <c r="N416" s="332"/>
      <c r="O416" s="175"/>
      <c r="P416" s="175"/>
      <c r="Q416" s="175"/>
      <c r="R416" s="175"/>
      <c r="S416" s="175"/>
      <c r="T416" s="141"/>
      <c r="U416" s="415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1"/>
      <c r="AH416" s="141"/>
      <c r="AI416" s="141"/>
      <c r="AJ416" s="141"/>
      <c r="AK416" s="141"/>
      <c r="AL416" s="141"/>
      <c r="AM416" s="141"/>
      <c r="AN416" s="364"/>
      <c r="AO416" s="363"/>
    </row>
    <row r="417" spans="1:41">
      <c r="A417" s="364"/>
      <c r="B417" s="141"/>
      <c r="C417" s="175"/>
      <c r="D417" s="416"/>
      <c r="E417" s="363"/>
      <c r="F417" s="302"/>
      <c r="G417" s="92"/>
      <c r="H417" s="175"/>
      <c r="I417" s="175"/>
      <c r="J417" s="52"/>
      <c r="K417" s="332"/>
      <c r="L417" s="332"/>
      <c r="M417" s="175"/>
      <c r="N417" s="332"/>
      <c r="O417" s="175"/>
      <c r="P417" s="175"/>
      <c r="Q417" s="175"/>
      <c r="R417" s="175"/>
      <c r="S417" s="175"/>
      <c r="T417" s="141"/>
      <c r="U417" s="415"/>
      <c r="V417" s="141"/>
      <c r="W417" s="141"/>
      <c r="X417" s="141"/>
      <c r="Y417" s="141"/>
      <c r="Z417" s="141"/>
      <c r="AA417" s="141"/>
      <c r="AB417" s="141"/>
      <c r="AC417" s="141"/>
      <c r="AD417" s="141"/>
      <c r="AE417" s="141"/>
      <c r="AF417" s="141"/>
      <c r="AG417" s="141"/>
      <c r="AH417" s="141"/>
      <c r="AI417" s="141"/>
      <c r="AJ417" s="141"/>
      <c r="AK417" s="141"/>
      <c r="AL417" s="141"/>
      <c r="AM417" s="141"/>
      <c r="AN417" s="364"/>
      <c r="AO417" s="363"/>
    </row>
    <row r="418" spans="1:41">
      <c r="A418" s="364"/>
      <c r="B418" s="141"/>
      <c r="C418" s="175"/>
      <c r="D418" s="416"/>
      <c r="E418" s="363"/>
      <c r="F418" s="302"/>
      <c r="G418" s="92"/>
      <c r="H418" s="175"/>
      <c r="I418" s="175"/>
      <c r="J418" s="52"/>
      <c r="K418" s="332"/>
      <c r="L418" s="332"/>
      <c r="M418" s="175"/>
      <c r="N418" s="332"/>
      <c r="O418" s="175"/>
      <c r="P418" s="175"/>
      <c r="Q418" s="175"/>
      <c r="R418" s="175"/>
      <c r="S418" s="175"/>
      <c r="T418" s="141"/>
      <c r="U418" s="415"/>
      <c r="V418" s="141"/>
      <c r="W418" s="141"/>
      <c r="X418" s="141"/>
      <c r="Y418" s="141"/>
      <c r="Z418" s="141"/>
      <c r="AA418" s="141"/>
      <c r="AB418" s="141"/>
      <c r="AC418" s="141"/>
      <c r="AD418" s="141"/>
      <c r="AE418" s="141"/>
      <c r="AF418" s="141"/>
      <c r="AG418" s="141"/>
      <c r="AH418" s="141"/>
      <c r="AI418" s="141"/>
      <c r="AJ418" s="141"/>
      <c r="AK418" s="141"/>
      <c r="AL418" s="141"/>
      <c r="AM418" s="141"/>
      <c r="AN418" s="364"/>
      <c r="AO418" s="363"/>
    </row>
    <row r="419" spans="1:41">
      <c r="A419" s="364"/>
      <c r="B419" s="141"/>
      <c r="C419" s="175"/>
      <c r="D419" s="416"/>
      <c r="E419" s="363"/>
      <c r="F419" s="302"/>
      <c r="G419" s="92"/>
      <c r="H419" s="175"/>
      <c r="I419" s="175"/>
      <c r="J419" s="52"/>
      <c r="K419" s="332"/>
      <c r="L419" s="332"/>
      <c r="M419" s="175"/>
      <c r="N419" s="332"/>
      <c r="O419" s="175"/>
      <c r="P419" s="175"/>
      <c r="Q419" s="175"/>
      <c r="R419" s="175"/>
      <c r="S419" s="175"/>
      <c r="T419" s="141"/>
      <c r="U419" s="415"/>
      <c r="V419" s="141"/>
      <c r="W419" s="141"/>
      <c r="X419" s="141"/>
      <c r="Y419" s="141"/>
      <c r="Z419" s="141"/>
      <c r="AA419" s="141"/>
      <c r="AB419" s="141"/>
      <c r="AC419" s="141"/>
      <c r="AD419" s="141"/>
      <c r="AE419" s="141"/>
      <c r="AF419" s="141"/>
      <c r="AG419" s="141"/>
      <c r="AH419" s="141"/>
      <c r="AI419" s="141"/>
      <c r="AJ419" s="141"/>
      <c r="AK419" s="141"/>
      <c r="AL419" s="141"/>
      <c r="AM419" s="141"/>
      <c r="AN419" s="364"/>
      <c r="AO419" s="363"/>
    </row>
    <row r="420" spans="1:41">
      <c r="A420" s="364"/>
      <c r="B420" s="141"/>
      <c r="C420" s="175"/>
      <c r="D420" s="416"/>
      <c r="E420" s="363"/>
      <c r="F420" s="302"/>
      <c r="G420" s="92"/>
      <c r="H420" s="175"/>
      <c r="I420" s="175"/>
      <c r="J420" s="52"/>
      <c r="K420" s="332"/>
      <c r="L420" s="332"/>
      <c r="M420" s="175"/>
      <c r="N420" s="332"/>
      <c r="O420" s="175"/>
      <c r="P420" s="175"/>
      <c r="Q420" s="175"/>
      <c r="R420" s="175"/>
      <c r="S420" s="175"/>
      <c r="T420" s="141"/>
      <c r="U420" s="415"/>
      <c r="V420" s="141"/>
      <c r="W420" s="141"/>
      <c r="X420" s="141"/>
      <c r="Y420" s="141"/>
      <c r="Z420" s="141"/>
      <c r="AA420" s="141"/>
      <c r="AB420" s="141"/>
      <c r="AC420" s="141"/>
      <c r="AD420" s="141"/>
      <c r="AE420" s="141"/>
      <c r="AF420" s="141"/>
      <c r="AG420" s="141"/>
      <c r="AH420" s="141"/>
      <c r="AI420" s="141"/>
      <c r="AJ420" s="141"/>
      <c r="AK420" s="141"/>
      <c r="AL420" s="141"/>
      <c r="AM420" s="141"/>
      <c r="AN420" s="364"/>
      <c r="AO420" s="363"/>
    </row>
    <row r="421" spans="1:41">
      <c r="A421" s="364"/>
      <c r="B421" s="141"/>
      <c r="C421" s="175"/>
      <c r="D421" s="416"/>
      <c r="E421" s="363"/>
      <c r="F421" s="302"/>
      <c r="G421" s="92"/>
      <c r="H421" s="175"/>
      <c r="I421" s="175"/>
      <c r="J421" s="52"/>
      <c r="K421" s="332"/>
      <c r="L421" s="332"/>
      <c r="M421" s="175"/>
      <c r="N421" s="332"/>
      <c r="O421" s="175"/>
      <c r="P421" s="175"/>
      <c r="Q421" s="175"/>
      <c r="R421" s="175"/>
      <c r="S421" s="175"/>
      <c r="T421" s="141"/>
      <c r="U421" s="415"/>
      <c r="V421" s="141"/>
      <c r="W421" s="141"/>
      <c r="X421" s="141"/>
      <c r="Y421" s="141"/>
      <c r="Z421" s="141"/>
      <c r="AA421" s="141"/>
      <c r="AB421" s="141"/>
      <c r="AC421" s="141"/>
      <c r="AD421" s="141"/>
      <c r="AE421" s="141"/>
      <c r="AF421" s="141"/>
      <c r="AG421" s="141"/>
      <c r="AH421" s="141"/>
      <c r="AI421" s="141"/>
      <c r="AJ421" s="141"/>
      <c r="AK421" s="141"/>
      <c r="AL421" s="141"/>
      <c r="AM421" s="141"/>
      <c r="AN421" s="364"/>
      <c r="AO421" s="363"/>
    </row>
    <row r="422" spans="1:41">
      <c r="A422" s="364"/>
      <c r="B422" s="141"/>
      <c r="C422" s="175"/>
      <c r="D422" s="416"/>
      <c r="E422" s="363"/>
      <c r="F422" s="302"/>
      <c r="G422" s="92"/>
      <c r="H422" s="175"/>
      <c r="I422" s="175"/>
      <c r="J422" s="52"/>
      <c r="K422" s="332"/>
      <c r="L422" s="332"/>
      <c r="M422" s="175"/>
      <c r="N422" s="332"/>
      <c r="O422" s="175"/>
      <c r="P422" s="175"/>
      <c r="Q422" s="175"/>
      <c r="R422" s="175"/>
      <c r="S422" s="175"/>
      <c r="T422" s="141"/>
      <c r="U422" s="415"/>
      <c r="V422" s="141"/>
      <c r="W422" s="141"/>
      <c r="X422" s="141"/>
      <c r="Y422" s="141"/>
      <c r="Z422" s="141"/>
      <c r="AA422" s="141"/>
      <c r="AB422" s="141"/>
      <c r="AC422" s="141"/>
      <c r="AD422" s="141"/>
      <c r="AE422" s="141"/>
      <c r="AF422" s="141"/>
      <c r="AG422" s="141"/>
      <c r="AH422" s="141"/>
      <c r="AI422" s="141"/>
      <c r="AJ422" s="141"/>
      <c r="AK422" s="141"/>
      <c r="AL422" s="141"/>
      <c r="AM422" s="141"/>
      <c r="AN422" s="364"/>
      <c r="AO422" s="363"/>
    </row>
    <row r="423" spans="1:41">
      <c r="A423" s="364"/>
      <c r="B423" s="141"/>
      <c r="C423" s="175"/>
      <c r="D423" s="416"/>
      <c r="E423" s="363"/>
      <c r="F423" s="302"/>
      <c r="G423" s="92"/>
      <c r="H423" s="175"/>
      <c r="I423" s="175"/>
      <c r="J423" s="52"/>
      <c r="K423" s="332"/>
      <c r="L423" s="332"/>
      <c r="M423" s="175"/>
      <c r="N423" s="332"/>
      <c r="O423" s="175"/>
      <c r="P423" s="175"/>
      <c r="Q423" s="175"/>
      <c r="R423" s="175"/>
      <c r="S423" s="175"/>
      <c r="T423" s="141"/>
      <c r="U423" s="415"/>
      <c r="V423" s="141"/>
      <c r="W423" s="141"/>
      <c r="X423" s="141"/>
      <c r="Y423" s="141"/>
      <c r="Z423" s="141"/>
      <c r="AA423" s="141"/>
      <c r="AB423" s="141"/>
      <c r="AC423" s="141"/>
      <c r="AD423" s="141"/>
      <c r="AE423" s="141"/>
      <c r="AF423" s="141"/>
      <c r="AG423" s="141"/>
      <c r="AH423" s="141"/>
      <c r="AI423" s="141"/>
      <c r="AJ423" s="141"/>
      <c r="AK423" s="141"/>
      <c r="AL423" s="141"/>
      <c r="AM423" s="141"/>
      <c r="AN423" s="364"/>
      <c r="AO423" s="363"/>
    </row>
    <row r="424" spans="1:41">
      <c r="A424" s="364"/>
      <c r="B424" s="141"/>
      <c r="C424" s="175"/>
      <c r="D424" s="416"/>
      <c r="E424" s="363"/>
      <c r="F424" s="302"/>
      <c r="G424" s="92"/>
      <c r="H424" s="175"/>
      <c r="I424" s="175"/>
      <c r="J424" s="52"/>
      <c r="K424" s="332"/>
      <c r="L424" s="332"/>
      <c r="M424" s="175"/>
      <c r="N424" s="332"/>
      <c r="O424" s="175"/>
      <c r="P424" s="175"/>
      <c r="Q424" s="175"/>
      <c r="R424" s="175"/>
      <c r="S424" s="175"/>
      <c r="T424" s="141"/>
      <c r="U424" s="415"/>
      <c r="V424" s="141"/>
      <c r="W424" s="141"/>
      <c r="X424" s="141"/>
      <c r="Y424" s="141"/>
      <c r="Z424" s="141"/>
      <c r="AA424" s="141"/>
      <c r="AB424" s="141"/>
      <c r="AC424" s="141"/>
      <c r="AD424" s="141"/>
      <c r="AE424" s="141"/>
      <c r="AF424" s="141"/>
      <c r="AG424" s="141"/>
      <c r="AH424" s="141"/>
      <c r="AI424" s="141"/>
      <c r="AJ424" s="141"/>
      <c r="AK424" s="141"/>
      <c r="AL424" s="141"/>
      <c r="AM424" s="141"/>
      <c r="AN424" s="364"/>
      <c r="AO424" s="363"/>
    </row>
    <row r="425" spans="1:41">
      <c r="A425" s="364"/>
      <c r="B425" s="141"/>
      <c r="C425" s="175"/>
      <c r="D425" s="416"/>
      <c r="E425" s="363"/>
      <c r="F425" s="302"/>
      <c r="G425" s="92"/>
      <c r="H425" s="175"/>
      <c r="I425" s="175"/>
      <c r="J425" s="52"/>
      <c r="K425" s="332"/>
      <c r="L425" s="332"/>
      <c r="M425" s="175"/>
      <c r="N425" s="332"/>
      <c r="O425" s="175"/>
      <c r="P425" s="175"/>
      <c r="Q425" s="175"/>
      <c r="R425" s="175"/>
      <c r="S425" s="175"/>
      <c r="T425" s="141"/>
      <c r="U425" s="415"/>
      <c r="V425" s="141"/>
      <c r="W425" s="141"/>
      <c r="X425" s="141"/>
      <c r="Y425" s="141"/>
      <c r="Z425" s="141"/>
      <c r="AA425" s="141"/>
      <c r="AB425" s="141"/>
      <c r="AC425" s="141"/>
      <c r="AD425" s="141"/>
      <c r="AE425" s="141"/>
      <c r="AF425" s="141"/>
      <c r="AG425" s="141"/>
      <c r="AH425" s="141"/>
      <c r="AI425" s="141"/>
      <c r="AJ425" s="141"/>
      <c r="AK425" s="141"/>
      <c r="AL425" s="141"/>
      <c r="AM425" s="141"/>
      <c r="AN425" s="364"/>
      <c r="AO425" s="363"/>
    </row>
    <row r="426" spans="1:41">
      <c r="A426" s="364"/>
      <c r="B426" s="141"/>
      <c r="C426" s="175"/>
      <c r="D426" s="416"/>
      <c r="E426" s="363"/>
      <c r="F426" s="302"/>
      <c r="G426" s="92"/>
      <c r="H426" s="175"/>
      <c r="I426" s="175"/>
      <c r="J426" s="52"/>
      <c r="K426" s="332"/>
      <c r="L426" s="332"/>
      <c r="M426" s="175"/>
      <c r="N426" s="332"/>
      <c r="O426" s="175"/>
      <c r="P426" s="175"/>
      <c r="Q426" s="175"/>
      <c r="R426" s="175"/>
      <c r="S426" s="175"/>
      <c r="T426" s="141"/>
      <c r="U426" s="415"/>
      <c r="V426" s="141"/>
      <c r="W426" s="141"/>
      <c r="X426" s="141"/>
      <c r="Y426" s="141"/>
      <c r="Z426" s="141"/>
      <c r="AA426" s="141"/>
      <c r="AB426" s="141"/>
      <c r="AC426" s="141"/>
      <c r="AD426" s="141"/>
      <c r="AE426" s="141"/>
      <c r="AF426" s="141"/>
      <c r="AG426" s="141"/>
      <c r="AH426" s="141"/>
      <c r="AI426" s="141"/>
      <c r="AJ426" s="141"/>
      <c r="AK426" s="141"/>
      <c r="AL426" s="141"/>
      <c r="AM426" s="141"/>
      <c r="AN426" s="364"/>
      <c r="AO426" s="363"/>
    </row>
    <row r="427" spans="1:41">
      <c r="A427" s="364"/>
      <c r="B427" s="141"/>
      <c r="C427" s="175"/>
      <c r="D427" s="416"/>
      <c r="E427" s="363"/>
      <c r="F427" s="302"/>
      <c r="G427" s="92"/>
      <c r="H427" s="175"/>
      <c r="I427" s="175"/>
      <c r="J427" s="52"/>
      <c r="K427" s="332"/>
      <c r="L427" s="332"/>
      <c r="M427" s="175"/>
      <c r="N427" s="332"/>
      <c r="O427" s="175"/>
      <c r="P427" s="175"/>
      <c r="Q427" s="175"/>
      <c r="R427" s="175"/>
      <c r="S427" s="175"/>
      <c r="T427" s="141"/>
      <c r="U427" s="415"/>
      <c r="V427" s="141"/>
      <c r="W427" s="141"/>
      <c r="X427" s="141"/>
      <c r="Y427" s="141"/>
      <c r="Z427" s="141"/>
      <c r="AA427" s="141"/>
      <c r="AB427" s="141"/>
      <c r="AC427" s="141"/>
      <c r="AD427" s="141"/>
      <c r="AE427" s="141"/>
      <c r="AF427" s="141"/>
      <c r="AG427" s="141"/>
      <c r="AH427" s="141"/>
      <c r="AI427" s="141"/>
      <c r="AJ427" s="141"/>
      <c r="AK427" s="141"/>
      <c r="AL427" s="141"/>
      <c r="AM427" s="141"/>
      <c r="AN427" s="364"/>
      <c r="AO427" s="363"/>
    </row>
    <row r="428" spans="1:41">
      <c r="A428" s="364"/>
      <c r="B428" s="141"/>
      <c r="C428" s="175"/>
      <c r="D428" s="416"/>
      <c r="E428" s="363"/>
      <c r="F428" s="302"/>
      <c r="G428" s="92"/>
      <c r="H428" s="175"/>
      <c r="I428" s="175"/>
      <c r="J428" s="52"/>
      <c r="K428" s="332"/>
      <c r="L428" s="332"/>
      <c r="M428" s="175"/>
      <c r="N428" s="332"/>
      <c r="O428" s="175"/>
      <c r="P428" s="175"/>
      <c r="Q428" s="175"/>
      <c r="R428" s="175"/>
      <c r="S428" s="175"/>
      <c r="T428" s="141"/>
      <c r="U428" s="415"/>
      <c r="V428" s="141"/>
      <c r="W428" s="141"/>
      <c r="X428" s="141"/>
      <c r="Y428" s="141"/>
      <c r="Z428" s="141"/>
      <c r="AA428" s="141"/>
      <c r="AB428" s="141"/>
      <c r="AC428" s="141"/>
      <c r="AD428" s="141"/>
      <c r="AE428" s="141"/>
      <c r="AF428" s="141"/>
      <c r="AG428" s="141"/>
      <c r="AH428" s="141"/>
      <c r="AI428" s="141"/>
      <c r="AJ428" s="141"/>
      <c r="AK428" s="141"/>
      <c r="AL428" s="141"/>
      <c r="AM428" s="141"/>
      <c r="AN428" s="364"/>
      <c r="AO428" s="363"/>
    </row>
    <row r="429" spans="1:41">
      <c r="A429" s="364"/>
      <c r="B429" s="141"/>
      <c r="C429" s="175"/>
      <c r="D429" s="416"/>
      <c r="E429" s="363"/>
      <c r="F429" s="302"/>
      <c r="G429" s="92"/>
      <c r="H429" s="175"/>
      <c r="I429" s="175"/>
      <c r="J429" s="52"/>
      <c r="K429" s="332"/>
      <c r="L429" s="332"/>
      <c r="M429" s="175"/>
      <c r="N429" s="332"/>
      <c r="O429" s="175"/>
      <c r="P429" s="175"/>
      <c r="Q429" s="175"/>
      <c r="R429" s="175"/>
      <c r="S429" s="175"/>
      <c r="T429" s="141"/>
      <c r="U429" s="415"/>
      <c r="V429" s="141"/>
      <c r="W429" s="141"/>
      <c r="X429" s="141"/>
      <c r="Y429" s="141"/>
      <c r="Z429" s="141"/>
      <c r="AA429" s="141"/>
      <c r="AB429" s="141"/>
      <c r="AC429" s="141"/>
      <c r="AD429" s="141"/>
      <c r="AE429" s="141"/>
      <c r="AF429" s="141"/>
      <c r="AG429" s="141"/>
      <c r="AH429" s="141"/>
      <c r="AI429" s="141"/>
      <c r="AJ429" s="141"/>
      <c r="AK429" s="141"/>
      <c r="AL429" s="141"/>
      <c r="AM429" s="141"/>
      <c r="AN429" s="364"/>
      <c r="AO429" s="363"/>
    </row>
    <row r="430" spans="1:41">
      <c r="A430" s="364"/>
      <c r="B430" s="141"/>
      <c r="C430" s="175"/>
      <c r="D430" s="416"/>
      <c r="E430" s="363"/>
      <c r="F430" s="302"/>
      <c r="G430" s="92"/>
      <c r="H430" s="175"/>
      <c r="I430" s="175"/>
      <c r="J430" s="52"/>
      <c r="K430" s="332"/>
      <c r="L430" s="332"/>
      <c r="M430" s="175"/>
      <c r="N430" s="332"/>
      <c r="O430" s="175"/>
      <c r="P430" s="175"/>
      <c r="Q430" s="175"/>
      <c r="R430" s="175"/>
      <c r="S430" s="175"/>
      <c r="T430" s="141"/>
      <c r="U430" s="415"/>
      <c r="V430" s="141"/>
      <c r="W430" s="141"/>
      <c r="X430" s="141"/>
      <c r="Y430" s="141"/>
      <c r="Z430" s="141"/>
      <c r="AA430" s="141"/>
      <c r="AB430" s="141"/>
      <c r="AC430" s="141"/>
      <c r="AD430" s="141"/>
      <c r="AE430" s="141"/>
      <c r="AF430" s="141"/>
      <c r="AG430" s="141"/>
      <c r="AH430" s="141"/>
      <c r="AI430" s="141"/>
      <c r="AJ430" s="141"/>
      <c r="AK430" s="141"/>
      <c r="AL430" s="141"/>
      <c r="AM430" s="141"/>
      <c r="AN430" s="364"/>
      <c r="AO430" s="363"/>
    </row>
    <row r="431" spans="1:41">
      <c r="A431" s="364"/>
      <c r="B431" s="141"/>
      <c r="C431" s="175"/>
      <c r="D431" s="416"/>
      <c r="E431" s="363"/>
      <c r="F431" s="302"/>
      <c r="G431" s="92"/>
      <c r="H431" s="175"/>
      <c r="I431" s="175"/>
      <c r="J431" s="52"/>
      <c r="K431" s="332"/>
      <c r="L431" s="332"/>
      <c r="M431" s="175"/>
      <c r="N431" s="332"/>
      <c r="O431" s="175"/>
      <c r="P431" s="175"/>
      <c r="Q431" s="175"/>
      <c r="R431" s="175"/>
      <c r="S431" s="175"/>
      <c r="T431" s="141"/>
      <c r="U431" s="415"/>
      <c r="V431" s="14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  <c r="AL431" s="141"/>
      <c r="AM431" s="141"/>
      <c r="AN431" s="364"/>
      <c r="AO431" s="363"/>
    </row>
    <row r="432" spans="1:41">
      <c r="A432" s="364"/>
      <c r="B432" s="141"/>
      <c r="C432" s="175"/>
      <c r="D432" s="416"/>
      <c r="E432" s="363"/>
      <c r="F432" s="302"/>
      <c r="G432" s="92"/>
      <c r="H432" s="175"/>
      <c r="I432" s="175"/>
      <c r="J432" s="52"/>
      <c r="K432" s="332"/>
      <c r="L432" s="332"/>
      <c r="M432" s="175"/>
      <c r="N432" s="332"/>
      <c r="O432" s="175"/>
      <c r="P432" s="175"/>
      <c r="Q432" s="175"/>
      <c r="R432" s="175"/>
      <c r="S432" s="175"/>
      <c r="T432" s="141"/>
      <c r="U432" s="415"/>
      <c r="V432" s="14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  <c r="AL432" s="141"/>
      <c r="AM432" s="141"/>
      <c r="AN432" s="364"/>
      <c r="AO432" s="363"/>
    </row>
    <row r="433" spans="1:41">
      <c r="A433" s="364"/>
      <c r="B433" s="141"/>
      <c r="C433" s="175"/>
      <c r="D433" s="416"/>
      <c r="E433" s="363"/>
      <c r="F433" s="302"/>
      <c r="G433" s="92"/>
      <c r="H433" s="175"/>
      <c r="I433" s="175"/>
      <c r="J433" s="52"/>
      <c r="K433" s="332"/>
      <c r="L433" s="332"/>
      <c r="M433" s="175"/>
      <c r="N433" s="332"/>
      <c r="O433" s="175"/>
      <c r="P433" s="175"/>
      <c r="Q433" s="175"/>
      <c r="R433" s="175"/>
      <c r="S433" s="175"/>
      <c r="T433" s="141"/>
      <c r="U433" s="415"/>
      <c r="V433" s="141"/>
      <c r="W433" s="141"/>
      <c r="X433" s="141"/>
      <c r="Y433" s="141"/>
      <c r="Z433" s="141"/>
      <c r="AA433" s="141"/>
      <c r="AB433" s="141"/>
      <c r="AC433" s="141"/>
      <c r="AD433" s="141"/>
      <c r="AE433" s="141"/>
      <c r="AF433" s="141"/>
      <c r="AG433" s="141"/>
      <c r="AH433" s="141"/>
      <c r="AI433" s="141"/>
      <c r="AJ433" s="141"/>
      <c r="AK433" s="141"/>
      <c r="AL433" s="141"/>
      <c r="AM433" s="141"/>
      <c r="AN433" s="364"/>
      <c r="AO433" s="363"/>
    </row>
    <row r="434" spans="1:41">
      <c r="A434" s="364"/>
      <c r="B434" s="141"/>
      <c r="C434" s="175"/>
      <c r="D434" s="416"/>
      <c r="E434" s="363"/>
      <c r="F434" s="302"/>
      <c r="G434" s="92"/>
      <c r="H434" s="175"/>
      <c r="I434" s="175"/>
      <c r="J434" s="52"/>
      <c r="K434" s="332"/>
      <c r="L434" s="332"/>
      <c r="M434" s="175"/>
      <c r="N434" s="332"/>
      <c r="O434" s="175"/>
      <c r="P434" s="175"/>
      <c r="Q434" s="175"/>
      <c r="R434" s="175"/>
      <c r="S434" s="175"/>
      <c r="T434" s="141"/>
      <c r="U434" s="415"/>
      <c r="V434" s="141"/>
      <c r="W434" s="141"/>
      <c r="X434" s="141"/>
      <c r="Y434" s="141"/>
      <c r="Z434" s="141"/>
      <c r="AA434" s="141"/>
      <c r="AB434" s="141"/>
      <c r="AC434" s="141"/>
      <c r="AD434" s="141"/>
      <c r="AE434" s="141"/>
      <c r="AF434" s="141"/>
      <c r="AG434" s="141"/>
      <c r="AH434" s="141"/>
      <c r="AI434" s="141"/>
      <c r="AJ434" s="141"/>
      <c r="AK434" s="141"/>
      <c r="AL434" s="141"/>
      <c r="AM434" s="141"/>
      <c r="AN434" s="364"/>
      <c r="AO434" s="363"/>
    </row>
    <row r="435" spans="1:41">
      <c r="A435" s="364"/>
      <c r="B435" s="141"/>
      <c r="C435" s="175"/>
      <c r="D435" s="416"/>
      <c r="E435" s="363"/>
      <c r="F435" s="302"/>
      <c r="G435" s="92"/>
      <c r="H435" s="175"/>
      <c r="I435" s="175"/>
      <c r="J435" s="52"/>
      <c r="K435" s="332"/>
      <c r="L435" s="332"/>
      <c r="M435" s="175"/>
      <c r="N435" s="332"/>
      <c r="O435" s="175"/>
      <c r="P435" s="175"/>
      <c r="Q435" s="175"/>
      <c r="R435" s="175"/>
      <c r="S435" s="175"/>
      <c r="T435" s="141"/>
      <c r="U435" s="415"/>
      <c r="V435" s="141"/>
      <c r="W435" s="141"/>
      <c r="X435" s="141"/>
      <c r="Y435" s="141"/>
      <c r="Z435" s="141"/>
      <c r="AA435" s="141"/>
      <c r="AB435" s="141"/>
      <c r="AC435" s="141"/>
      <c r="AD435" s="141"/>
      <c r="AE435" s="141"/>
      <c r="AF435" s="141"/>
      <c r="AG435" s="141"/>
      <c r="AH435" s="141"/>
      <c r="AI435" s="141"/>
      <c r="AJ435" s="141"/>
      <c r="AK435" s="141"/>
      <c r="AL435" s="141"/>
      <c r="AM435" s="141"/>
      <c r="AN435" s="364"/>
      <c r="AO435" s="363"/>
    </row>
    <row r="436" spans="1:41">
      <c r="A436" s="364"/>
      <c r="B436" s="141"/>
      <c r="C436" s="175"/>
      <c r="D436" s="416"/>
      <c r="E436" s="363"/>
      <c r="F436" s="302"/>
      <c r="G436" s="92"/>
      <c r="H436" s="175"/>
      <c r="I436" s="175"/>
      <c r="J436" s="52"/>
      <c r="K436" s="332"/>
      <c r="L436" s="332"/>
      <c r="M436" s="175"/>
      <c r="N436" s="332"/>
      <c r="O436" s="175"/>
      <c r="P436" s="175"/>
      <c r="Q436" s="175"/>
      <c r="R436" s="175"/>
      <c r="S436" s="175"/>
      <c r="T436" s="141"/>
      <c r="U436" s="415"/>
      <c r="V436" s="141"/>
      <c r="W436" s="141"/>
      <c r="X436" s="141"/>
      <c r="Y436" s="141"/>
      <c r="Z436" s="141"/>
      <c r="AA436" s="141"/>
      <c r="AB436" s="141"/>
      <c r="AC436" s="141"/>
      <c r="AD436" s="141"/>
      <c r="AE436" s="141"/>
      <c r="AF436" s="141"/>
      <c r="AG436" s="141"/>
      <c r="AH436" s="141"/>
      <c r="AI436" s="141"/>
      <c r="AJ436" s="141"/>
      <c r="AK436" s="141"/>
      <c r="AL436" s="141"/>
      <c r="AM436" s="141"/>
      <c r="AN436" s="364"/>
      <c r="AO436" s="363"/>
    </row>
    <row r="437" spans="1:41">
      <c r="A437" s="364"/>
      <c r="B437" s="141"/>
      <c r="C437" s="175"/>
      <c r="D437" s="416"/>
      <c r="E437" s="363"/>
      <c r="F437" s="302"/>
      <c r="G437" s="92"/>
      <c r="H437" s="175"/>
      <c r="I437" s="175"/>
      <c r="J437" s="52"/>
      <c r="K437" s="332"/>
      <c r="L437" s="332"/>
      <c r="M437" s="175"/>
      <c r="N437" s="332"/>
      <c r="O437" s="175"/>
      <c r="P437" s="175"/>
      <c r="Q437" s="175"/>
      <c r="R437" s="175"/>
      <c r="S437" s="175"/>
      <c r="T437" s="141"/>
      <c r="U437" s="415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  <c r="AH437" s="141"/>
      <c r="AI437" s="141"/>
      <c r="AJ437" s="141"/>
      <c r="AK437" s="141"/>
      <c r="AL437" s="141"/>
      <c r="AM437" s="141"/>
      <c r="AN437" s="364"/>
      <c r="AO437" s="363"/>
    </row>
    <row r="438" spans="1:41">
      <c r="A438" s="364"/>
      <c r="B438" s="141"/>
      <c r="C438" s="175"/>
      <c r="D438" s="416"/>
      <c r="E438" s="363"/>
      <c r="F438" s="302"/>
      <c r="G438" s="92"/>
      <c r="H438" s="175"/>
      <c r="I438" s="175"/>
      <c r="J438" s="52"/>
      <c r="K438" s="332"/>
      <c r="L438" s="332"/>
      <c r="M438" s="175"/>
      <c r="N438" s="332"/>
      <c r="O438" s="175"/>
      <c r="P438" s="175"/>
      <c r="Q438" s="175"/>
      <c r="R438" s="175"/>
      <c r="S438" s="175"/>
      <c r="T438" s="141"/>
      <c r="U438" s="415"/>
      <c r="V438" s="141"/>
      <c r="W438" s="141"/>
      <c r="X438" s="141"/>
      <c r="Y438" s="141"/>
      <c r="Z438" s="141"/>
      <c r="AA438" s="141"/>
      <c r="AB438" s="141"/>
      <c r="AC438" s="141"/>
      <c r="AD438" s="141"/>
      <c r="AE438" s="141"/>
      <c r="AF438" s="141"/>
      <c r="AG438" s="141"/>
      <c r="AH438" s="141"/>
      <c r="AI438" s="141"/>
      <c r="AJ438" s="141"/>
      <c r="AK438" s="141"/>
      <c r="AL438" s="141"/>
      <c r="AM438" s="141"/>
      <c r="AN438" s="364"/>
      <c r="AO438" s="363"/>
    </row>
    <row r="439" spans="1:41">
      <c r="A439" s="364"/>
      <c r="B439" s="141"/>
      <c r="C439" s="175"/>
      <c r="D439" s="416"/>
      <c r="E439" s="363"/>
      <c r="F439" s="302"/>
      <c r="G439" s="92"/>
      <c r="H439" s="175"/>
      <c r="I439" s="175"/>
      <c r="J439" s="52"/>
      <c r="K439" s="332"/>
      <c r="L439" s="332"/>
      <c r="M439" s="175"/>
      <c r="N439" s="332"/>
      <c r="O439" s="175"/>
      <c r="P439" s="175"/>
      <c r="Q439" s="175"/>
      <c r="R439" s="175"/>
      <c r="S439" s="175"/>
      <c r="T439" s="141"/>
      <c r="U439" s="415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  <c r="AH439" s="141"/>
      <c r="AI439" s="141"/>
      <c r="AJ439" s="141"/>
      <c r="AK439" s="141"/>
      <c r="AL439" s="141"/>
      <c r="AM439" s="141"/>
      <c r="AN439" s="364"/>
      <c r="AO439" s="363"/>
    </row>
    <row r="440" spans="1:41">
      <c r="A440" s="364"/>
      <c r="B440" s="141"/>
      <c r="C440" s="175"/>
      <c r="D440" s="416"/>
      <c r="E440" s="363"/>
      <c r="F440" s="302"/>
      <c r="G440" s="92"/>
      <c r="H440" s="175"/>
      <c r="I440" s="175"/>
      <c r="J440" s="52"/>
      <c r="K440" s="332"/>
      <c r="L440" s="332"/>
      <c r="M440" s="175"/>
      <c r="N440" s="332"/>
      <c r="O440" s="175"/>
      <c r="P440" s="175"/>
      <c r="Q440" s="175"/>
      <c r="R440" s="175"/>
      <c r="S440" s="175"/>
      <c r="T440" s="141"/>
      <c r="U440" s="415"/>
      <c r="V440" s="141"/>
      <c r="W440" s="141"/>
      <c r="X440" s="141"/>
      <c r="Y440" s="141"/>
      <c r="Z440" s="141"/>
      <c r="AA440" s="141"/>
      <c r="AB440" s="141"/>
      <c r="AC440" s="141"/>
      <c r="AD440" s="141"/>
      <c r="AE440" s="141"/>
      <c r="AF440" s="141"/>
      <c r="AG440" s="141"/>
      <c r="AH440" s="141"/>
      <c r="AI440" s="141"/>
      <c r="AJ440" s="141"/>
      <c r="AK440" s="141"/>
      <c r="AL440" s="141"/>
      <c r="AM440" s="141"/>
      <c r="AN440" s="364"/>
      <c r="AO440" s="363"/>
    </row>
    <row r="441" spans="1:41">
      <c r="A441" s="364"/>
      <c r="B441" s="141"/>
      <c r="C441" s="175"/>
      <c r="D441" s="416"/>
      <c r="E441" s="363"/>
      <c r="F441" s="302"/>
      <c r="G441" s="92"/>
      <c r="H441" s="175"/>
      <c r="I441" s="175"/>
      <c r="J441" s="52"/>
      <c r="K441" s="332"/>
      <c r="L441" s="332"/>
      <c r="M441" s="175"/>
      <c r="N441" s="332"/>
      <c r="O441" s="175"/>
      <c r="P441" s="175"/>
      <c r="Q441" s="175"/>
      <c r="R441" s="175"/>
      <c r="S441" s="175"/>
      <c r="T441" s="141"/>
      <c r="U441" s="415"/>
      <c r="V441" s="141"/>
      <c r="W441" s="141"/>
      <c r="X441" s="141"/>
      <c r="Y441" s="141"/>
      <c r="Z441" s="141"/>
      <c r="AA441" s="141"/>
      <c r="AB441" s="141"/>
      <c r="AC441" s="141"/>
      <c r="AD441" s="141"/>
      <c r="AE441" s="141"/>
      <c r="AF441" s="141"/>
      <c r="AG441" s="141"/>
      <c r="AH441" s="141"/>
      <c r="AI441" s="141"/>
      <c r="AJ441" s="141"/>
      <c r="AK441" s="141"/>
      <c r="AL441" s="141"/>
      <c r="AM441" s="141"/>
      <c r="AN441" s="364"/>
      <c r="AO441" s="363"/>
    </row>
    <row r="442" spans="1:41">
      <c r="A442" s="364"/>
      <c r="B442" s="141"/>
      <c r="C442" s="175"/>
      <c r="D442" s="416"/>
      <c r="E442" s="363"/>
      <c r="F442" s="302"/>
      <c r="G442" s="92"/>
      <c r="H442" s="175"/>
      <c r="I442" s="175"/>
      <c r="J442" s="52"/>
      <c r="K442" s="332"/>
      <c r="L442" s="332"/>
      <c r="M442" s="175"/>
      <c r="N442" s="332"/>
      <c r="O442" s="175"/>
      <c r="P442" s="175"/>
      <c r="Q442" s="175"/>
      <c r="R442" s="175"/>
      <c r="S442" s="175"/>
      <c r="T442" s="141"/>
      <c r="U442" s="415"/>
      <c r="V442" s="141"/>
      <c r="W442" s="141"/>
      <c r="X442" s="141"/>
      <c r="Y442" s="141"/>
      <c r="Z442" s="141"/>
      <c r="AA442" s="141"/>
      <c r="AB442" s="141"/>
      <c r="AC442" s="141"/>
      <c r="AD442" s="141"/>
      <c r="AE442" s="141"/>
      <c r="AF442" s="141"/>
      <c r="AG442" s="141"/>
      <c r="AH442" s="141"/>
      <c r="AI442" s="141"/>
      <c r="AJ442" s="141"/>
      <c r="AK442" s="141"/>
      <c r="AL442" s="141"/>
      <c r="AM442" s="141"/>
      <c r="AN442" s="364"/>
      <c r="AO442" s="363"/>
    </row>
    <row r="443" spans="1:41">
      <c r="A443" s="364"/>
      <c r="B443" s="141"/>
      <c r="C443" s="175"/>
      <c r="D443" s="416"/>
      <c r="E443" s="363"/>
      <c r="F443" s="302"/>
      <c r="G443" s="92"/>
      <c r="H443" s="175"/>
      <c r="I443" s="175"/>
      <c r="J443" s="52"/>
      <c r="K443" s="332"/>
      <c r="L443" s="332"/>
      <c r="M443" s="175"/>
      <c r="N443" s="332"/>
      <c r="O443" s="175"/>
      <c r="P443" s="175"/>
      <c r="Q443" s="175"/>
      <c r="R443" s="175"/>
      <c r="S443" s="175"/>
      <c r="T443" s="141"/>
      <c r="U443" s="415"/>
      <c r="V443" s="141"/>
      <c r="W443" s="141"/>
      <c r="X443" s="141"/>
      <c r="Y443" s="141"/>
      <c r="Z443" s="141"/>
      <c r="AA443" s="141"/>
      <c r="AB443" s="141"/>
      <c r="AC443" s="141"/>
      <c r="AD443" s="141"/>
      <c r="AE443" s="141"/>
      <c r="AF443" s="141"/>
      <c r="AG443" s="141"/>
      <c r="AH443" s="141"/>
      <c r="AI443" s="141"/>
      <c r="AJ443" s="141"/>
      <c r="AK443" s="141"/>
      <c r="AL443" s="141"/>
      <c r="AM443" s="141"/>
      <c r="AN443" s="364"/>
      <c r="AO443" s="363"/>
    </row>
    <row r="444" spans="1:41">
      <c r="A444" s="364"/>
      <c r="B444" s="141"/>
      <c r="C444" s="175"/>
      <c r="D444" s="416"/>
      <c r="E444" s="363"/>
      <c r="F444" s="302"/>
      <c r="G444" s="92"/>
      <c r="H444" s="175"/>
      <c r="I444" s="175"/>
      <c r="J444" s="52"/>
      <c r="K444" s="332"/>
      <c r="L444" s="332"/>
      <c r="M444" s="175"/>
      <c r="N444" s="332"/>
      <c r="O444" s="175"/>
      <c r="P444" s="175"/>
      <c r="Q444" s="175"/>
      <c r="R444" s="175"/>
      <c r="S444" s="175"/>
      <c r="T444" s="141"/>
      <c r="U444" s="415"/>
      <c r="V444" s="141"/>
      <c r="W444" s="141"/>
      <c r="X444" s="141"/>
      <c r="Y444" s="141"/>
      <c r="Z444" s="141"/>
      <c r="AA444" s="141"/>
      <c r="AB444" s="141"/>
      <c r="AC444" s="141"/>
      <c r="AD444" s="141"/>
      <c r="AE444" s="141"/>
      <c r="AF444" s="141"/>
      <c r="AG444" s="141"/>
      <c r="AH444" s="141"/>
      <c r="AI444" s="141"/>
      <c r="AJ444" s="141"/>
      <c r="AK444" s="141"/>
      <c r="AL444" s="141"/>
      <c r="AM444" s="141"/>
      <c r="AN444" s="364"/>
      <c r="AO444" s="363"/>
    </row>
    <row r="445" spans="1:41">
      <c r="A445" s="364"/>
      <c r="B445" s="141"/>
      <c r="C445" s="175"/>
      <c r="D445" s="416"/>
      <c r="E445" s="363"/>
      <c r="F445" s="302"/>
      <c r="G445" s="92"/>
      <c r="H445" s="175"/>
      <c r="I445" s="175"/>
      <c r="J445" s="52"/>
      <c r="K445" s="332"/>
      <c r="L445" s="332"/>
      <c r="M445" s="175"/>
      <c r="N445" s="332"/>
      <c r="O445" s="175"/>
      <c r="P445" s="175"/>
      <c r="Q445" s="175"/>
      <c r="R445" s="175"/>
      <c r="S445" s="175"/>
      <c r="T445" s="141"/>
      <c r="U445" s="415"/>
      <c r="V445" s="141"/>
      <c r="W445" s="141"/>
      <c r="X445" s="141"/>
      <c r="Y445" s="141"/>
      <c r="Z445" s="141"/>
      <c r="AA445" s="141"/>
      <c r="AB445" s="141"/>
      <c r="AC445" s="141"/>
      <c r="AD445" s="141"/>
      <c r="AE445" s="141"/>
      <c r="AF445" s="141"/>
      <c r="AG445" s="141"/>
      <c r="AH445" s="141"/>
      <c r="AI445" s="141"/>
      <c r="AJ445" s="141"/>
      <c r="AK445" s="141"/>
      <c r="AL445" s="141"/>
      <c r="AM445" s="141"/>
      <c r="AN445" s="364"/>
      <c r="AO445" s="363"/>
    </row>
    <row r="446" spans="1:41">
      <c r="A446" s="364"/>
      <c r="B446" s="141"/>
      <c r="C446" s="175"/>
      <c r="D446" s="416"/>
      <c r="E446" s="363"/>
      <c r="F446" s="302"/>
      <c r="G446" s="92"/>
      <c r="H446" s="175"/>
      <c r="I446" s="175"/>
      <c r="J446" s="52"/>
      <c r="K446" s="332"/>
      <c r="L446" s="332"/>
      <c r="M446" s="175"/>
      <c r="N446" s="332"/>
      <c r="O446" s="175"/>
      <c r="P446" s="175"/>
      <c r="Q446" s="175"/>
      <c r="R446" s="175"/>
      <c r="S446" s="175"/>
      <c r="T446" s="141"/>
      <c r="U446" s="415"/>
      <c r="V446" s="141"/>
      <c r="W446" s="141"/>
      <c r="X446" s="141"/>
      <c r="Y446" s="141"/>
      <c r="Z446" s="141"/>
      <c r="AA446" s="141"/>
      <c r="AB446" s="141"/>
      <c r="AC446" s="141"/>
      <c r="AD446" s="141"/>
      <c r="AE446" s="141"/>
      <c r="AF446" s="141"/>
      <c r="AG446" s="141"/>
      <c r="AH446" s="141"/>
      <c r="AI446" s="141"/>
      <c r="AJ446" s="141"/>
      <c r="AK446" s="141"/>
      <c r="AL446" s="141"/>
      <c r="AM446" s="141"/>
      <c r="AN446" s="364"/>
      <c r="AO446" s="363"/>
    </row>
    <row r="447" spans="1:41">
      <c r="A447" s="364"/>
      <c r="B447" s="141"/>
      <c r="C447" s="175"/>
      <c r="D447" s="416"/>
      <c r="E447" s="363"/>
      <c r="F447" s="302"/>
      <c r="G447" s="92"/>
      <c r="H447" s="175"/>
      <c r="I447" s="175"/>
      <c r="J447" s="52"/>
      <c r="K447" s="332"/>
      <c r="L447" s="332"/>
      <c r="M447" s="175"/>
      <c r="N447" s="332"/>
      <c r="O447" s="175"/>
      <c r="P447" s="175"/>
      <c r="Q447" s="175"/>
      <c r="R447" s="175"/>
      <c r="S447" s="175"/>
      <c r="T447" s="141"/>
      <c r="U447" s="415"/>
      <c r="V447" s="141"/>
      <c r="W447" s="141"/>
      <c r="X447" s="141"/>
      <c r="Y447" s="141"/>
      <c r="Z447" s="141"/>
      <c r="AA447" s="141"/>
      <c r="AB447" s="141"/>
      <c r="AC447" s="141"/>
      <c r="AD447" s="141"/>
      <c r="AE447" s="141"/>
      <c r="AF447" s="141"/>
      <c r="AG447" s="141"/>
      <c r="AH447" s="141"/>
      <c r="AI447" s="141"/>
      <c r="AJ447" s="141"/>
      <c r="AK447" s="141"/>
      <c r="AL447" s="141"/>
      <c r="AM447" s="141"/>
      <c r="AN447" s="364"/>
      <c r="AO447" s="363"/>
    </row>
    <row r="448" spans="1:41">
      <c r="A448" s="364"/>
      <c r="B448" s="141"/>
      <c r="C448" s="175"/>
      <c r="D448" s="416"/>
      <c r="E448" s="363"/>
      <c r="F448" s="302"/>
      <c r="G448" s="92"/>
      <c r="H448" s="175"/>
      <c r="I448" s="175"/>
      <c r="J448" s="52"/>
      <c r="K448" s="332"/>
      <c r="L448" s="332"/>
      <c r="M448" s="175"/>
      <c r="N448" s="332"/>
      <c r="O448" s="175"/>
      <c r="P448" s="175"/>
      <c r="Q448" s="175"/>
      <c r="R448" s="175"/>
      <c r="S448" s="175"/>
      <c r="T448" s="141"/>
      <c r="U448" s="415"/>
      <c r="V448" s="141"/>
      <c r="W448" s="141"/>
      <c r="X448" s="141"/>
      <c r="Y448" s="141"/>
      <c r="Z448" s="141"/>
      <c r="AA448" s="141"/>
      <c r="AB448" s="141"/>
      <c r="AC448" s="141"/>
      <c r="AD448" s="141"/>
      <c r="AE448" s="141"/>
      <c r="AF448" s="141"/>
      <c r="AG448" s="141"/>
      <c r="AH448" s="141"/>
      <c r="AI448" s="141"/>
      <c r="AJ448" s="141"/>
      <c r="AK448" s="141"/>
      <c r="AL448" s="141"/>
      <c r="AM448" s="141"/>
      <c r="AN448" s="364"/>
      <c r="AO448" s="363"/>
    </row>
    <row r="449" spans="1:41">
      <c r="A449" s="364"/>
      <c r="B449" s="141"/>
      <c r="C449" s="175"/>
      <c r="D449" s="416"/>
      <c r="E449" s="363"/>
      <c r="F449" s="302"/>
      <c r="G449" s="92"/>
      <c r="H449" s="175"/>
      <c r="I449" s="175"/>
      <c r="J449" s="52"/>
      <c r="K449" s="332"/>
      <c r="L449" s="332"/>
      <c r="M449" s="175"/>
      <c r="N449" s="332"/>
      <c r="O449" s="175"/>
      <c r="P449" s="175"/>
      <c r="Q449" s="175"/>
      <c r="R449" s="175"/>
      <c r="S449" s="175"/>
      <c r="T449" s="141"/>
      <c r="U449" s="415"/>
      <c r="V449" s="141"/>
      <c r="W449" s="141"/>
      <c r="X449" s="141"/>
      <c r="Y449" s="141"/>
      <c r="Z449" s="141"/>
      <c r="AA449" s="141"/>
      <c r="AB449" s="141"/>
      <c r="AC449" s="141"/>
      <c r="AD449" s="141"/>
      <c r="AE449" s="141"/>
      <c r="AF449" s="141"/>
      <c r="AG449" s="141"/>
      <c r="AH449" s="141"/>
      <c r="AI449" s="141"/>
      <c r="AJ449" s="141"/>
      <c r="AK449" s="141"/>
      <c r="AL449" s="141"/>
      <c r="AM449" s="141"/>
      <c r="AN449" s="364"/>
      <c r="AO449" s="363"/>
    </row>
    <row r="450" spans="1:41">
      <c r="A450" s="364"/>
      <c r="B450" s="141"/>
      <c r="C450" s="175"/>
      <c r="D450" s="416"/>
      <c r="E450" s="363"/>
      <c r="F450" s="302"/>
      <c r="G450" s="92"/>
      <c r="H450" s="175"/>
      <c r="I450" s="175"/>
      <c r="J450" s="52"/>
      <c r="K450" s="332"/>
      <c r="L450" s="332"/>
      <c r="M450" s="175"/>
      <c r="N450" s="332"/>
      <c r="O450" s="175"/>
      <c r="P450" s="175"/>
      <c r="Q450" s="175"/>
      <c r="R450" s="175"/>
      <c r="S450" s="175"/>
      <c r="T450" s="141"/>
      <c r="U450" s="415"/>
      <c r="V450" s="141"/>
      <c r="W450" s="141"/>
      <c r="X450" s="141"/>
      <c r="Y450" s="141"/>
      <c r="Z450" s="141"/>
      <c r="AA450" s="141"/>
      <c r="AB450" s="141"/>
      <c r="AC450" s="141"/>
      <c r="AD450" s="141"/>
      <c r="AE450" s="141"/>
      <c r="AF450" s="141"/>
      <c r="AG450" s="141"/>
      <c r="AH450" s="141"/>
      <c r="AI450" s="141"/>
      <c r="AJ450" s="141"/>
      <c r="AK450" s="141"/>
      <c r="AL450" s="141"/>
      <c r="AM450" s="141"/>
      <c r="AN450" s="364"/>
      <c r="AO450" s="363"/>
    </row>
    <row r="451" spans="1:41">
      <c r="A451" s="364"/>
      <c r="B451" s="141"/>
      <c r="C451" s="175"/>
      <c r="D451" s="416"/>
      <c r="E451" s="363"/>
      <c r="F451" s="302"/>
      <c r="G451" s="92"/>
      <c r="H451" s="175"/>
      <c r="I451" s="175"/>
      <c r="J451" s="52"/>
      <c r="K451" s="332"/>
      <c r="L451" s="332"/>
      <c r="M451" s="175"/>
      <c r="N451" s="332"/>
      <c r="O451" s="175"/>
      <c r="P451" s="175"/>
      <c r="Q451" s="175"/>
      <c r="R451" s="175"/>
      <c r="S451" s="175"/>
      <c r="T451" s="141"/>
      <c r="U451" s="415"/>
      <c r="V451" s="141"/>
      <c r="W451" s="141"/>
      <c r="X451" s="141"/>
      <c r="Y451" s="141"/>
      <c r="Z451" s="141"/>
      <c r="AA451" s="141"/>
      <c r="AB451" s="141"/>
      <c r="AC451" s="141"/>
      <c r="AD451" s="141"/>
      <c r="AE451" s="141"/>
      <c r="AF451" s="141"/>
      <c r="AG451" s="141"/>
      <c r="AH451" s="141"/>
      <c r="AI451" s="141"/>
      <c r="AJ451" s="141"/>
      <c r="AK451" s="141"/>
      <c r="AL451" s="141"/>
      <c r="AM451" s="141"/>
      <c r="AN451" s="364"/>
      <c r="AO451" s="363"/>
    </row>
    <row r="452" spans="1:41">
      <c r="A452" s="364"/>
      <c r="B452" s="141"/>
      <c r="C452" s="175"/>
      <c r="D452" s="416"/>
      <c r="E452" s="363"/>
      <c r="F452" s="302"/>
      <c r="G452" s="92"/>
      <c r="H452" s="175"/>
      <c r="I452" s="175"/>
      <c r="J452" s="52"/>
      <c r="K452" s="332"/>
      <c r="L452" s="332"/>
      <c r="M452" s="175"/>
      <c r="N452" s="332"/>
      <c r="O452" s="175"/>
      <c r="P452" s="175"/>
      <c r="Q452" s="175"/>
      <c r="R452" s="175"/>
      <c r="S452" s="175"/>
      <c r="T452" s="141"/>
      <c r="U452" s="415"/>
      <c r="V452" s="141"/>
      <c r="W452" s="141"/>
      <c r="X452" s="141"/>
      <c r="Y452" s="141"/>
      <c r="Z452" s="141"/>
      <c r="AA452" s="141"/>
      <c r="AB452" s="141"/>
      <c r="AC452" s="141"/>
      <c r="AD452" s="141"/>
      <c r="AE452" s="141"/>
      <c r="AF452" s="141"/>
      <c r="AG452" s="141"/>
      <c r="AH452" s="141"/>
      <c r="AI452" s="141"/>
      <c r="AJ452" s="141"/>
      <c r="AK452" s="141"/>
      <c r="AL452" s="141"/>
      <c r="AM452" s="141"/>
      <c r="AN452" s="364"/>
      <c r="AO452" s="363"/>
    </row>
    <row r="453" spans="1:41">
      <c r="A453" s="364"/>
      <c r="B453" s="141"/>
      <c r="C453" s="175"/>
      <c r="D453" s="416"/>
      <c r="E453" s="363"/>
      <c r="F453" s="302"/>
      <c r="G453" s="92"/>
      <c r="H453" s="175"/>
      <c r="I453" s="175"/>
      <c r="J453" s="52"/>
      <c r="K453" s="332"/>
      <c r="L453" s="332"/>
      <c r="M453" s="175"/>
      <c r="N453" s="332"/>
      <c r="O453" s="175"/>
      <c r="P453" s="175"/>
      <c r="Q453" s="175"/>
      <c r="R453" s="175"/>
      <c r="S453" s="175"/>
      <c r="T453" s="141"/>
      <c r="U453" s="415"/>
      <c r="V453" s="141"/>
      <c r="W453" s="141"/>
      <c r="X453" s="141"/>
      <c r="Y453" s="141"/>
      <c r="Z453" s="141"/>
      <c r="AA453" s="141"/>
      <c r="AB453" s="141"/>
      <c r="AC453" s="141"/>
      <c r="AD453" s="141"/>
      <c r="AE453" s="141"/>
      <c r="AF453" s="141"/>
      <c r="AG453" s="141"/>
      <c r="AH453" s="141"/>
      <c r="AI453" s="141"/>
      <c r="AJ453" s="141"/>
      <c r="AK453" s="141"/>
      <c r="AL453" s="141"/>
      <c r="AM453" s="141"/>
      <c r="AN453" s="364"/>
      <c r="AO453" s="363"/>
    </row>
    <row r="454" spans="1:41">
      <c r="A454" s="364"/>
      <c r="B454" s="141"/>
      <c r="C454" s="175"/>
      <c r="D454" s="416"/>
      <c r="E454" s="363"/>
      <c r="F454" s="302"/>
      <c r="G454" s="92"/>
      <c r="H454" s="175"/>
      <c r="I454" s="175"/>
      <c r="J454" s="52"/>
      <c r="K454" s="332"/>
      <c r="L454" s="332"/>
      <c r="M454" s="175"/>
      <c r="N454" s="332"/>
      <c r="O454" s="175"/>
      <c r="P454" s="175"/>
      <c r="Q454" s="175"/>
      <c r="R454" s="175"/>
      <c r="S454" s="175"/>
      <c r="T454" s="141"/>
      <c r="U454" s="415"/>
      <c r="V454" s="141"/>
      <c r="W454" s="141"/>
      <c r="X454" s="141"/>
      <c r="Y454" s="141"/>
      <c r="Z454" s="141"/>
      <c r="AA454" s="141"/>
      <c r="AB454" s="141"/>
      <c r="AC454" s="141"/>
      <c r="AD454" s="141"/>
      <c r="AE454" s="141"/>
      <c r="AF454" s="141"/>
      <c r="AG454" s="141"/>
      <c r="AH454" s="141"/>
      <c r="AI454" s="141"/>
      <c r="AJ454" s="141"/>
      <c r="AK454" s="141"/>
      <c r="AL454" s="141"/>
      <c r="AM454" s="141"/>
      <c r="AN454" s="364"/>
      <c r="AO454" s="363"/>
    </row>
    <row r="455" spans="1:41">
      <c r="A455" s="364"/>
      <c r="B455" s="141"/>
      <c r="C455" s="175"/>
      <c r="D455" s="416"/>
      <c r="E455" s="363"/>
      <c r="F455" s="302"/>
      <c r="G455" s="92"/>
      <c r="H455" s="175"/>
      <c r="I455" s="175"/>
      <c r="J455" s="52"/>
      <c r="K455" s="332"/>
      <c r="L455" s="332"/>
      <c r="M455" s="175"/>
      <c r="N455" s="332"/>
      <c r="O455" s="175"/>
      <c r="P455" s="175"/>
      <c r="Q455" s="175"/>
      <c r="R455" s="175"/>
      <c r="S455" s="175"/>
      <c r="T455" s="141"/>
      <c r="U455" s="415"/>
      <c r="V455" s="141"/>
      <c r="W455" s="141"/>
      <c r="X455" s="141"/>
      <c r="Y455" s="141"/>
      <c r="Z455" s="141"/>
      <c r="AA455" s="141"/>
      <c r="AB455" s="141"/>
      <c r="AC455" s="141"/>
      <c r="AD455" s="141"/>
      <c r="AE455" s="141"/>
      <c r="AF455" s="141"/>
      <c r="AG455" s="141"/>
      <c r="AH455" s="141"/>
      <c r="AI455" s="141"/>
      <c r="AJ455" s="141"/>
      <c r="AK455" s="141"/>
      <c r="AL455" s="141"/>
      <c r="AM455" s="141"/>
      <c r="AN455" s="364"/>
      <c r="AO455" s="363"/>
    </row>
    <row r="456" spans="1:41">
      <c r="A456" s="364"/>
      <c r="B456" s="141"/>
      <c r="C456" s="175"/>
      <c r="D456" s="416"/>
      <c r="E456" s="363"/>
      <c r="F456" s="302"/>
      <c r="G456" s="92"/>
      <c r="H456" s="175"/>
      <c r="I456" s="175"/>
      <c r="J456" s="52"/>
      <c r="K456" s="332"/>
      <c r="L456" s="332"/>
      <c r="M456" s="175"/>
      <c r="N456" s="332"/>
      <c r="O456" s="175"/>
      <c r="P456" s="175"/>
      <c r="Q456" s="175"/>
      <c r="R456" s="175"/>
      <c r="S456" s="175"/>
      <c r="T456" s="141"/>
      <c r="U456" s="415"/>
      <c r="V456" s="141"/>
      <c r="W456" s="141"/>
      <c r="X456" s="141"/>
      <c r="Y456" s="141"/>
      <c r="Z456" s="141"/>
      <c r="AA456" s="141"/>
      <c r="AB456" s="141"/>
      <c r="AC456" s="141"/>
      <c r="AD456" s="141"/>
      <c r="AE456" s="141"/>
      <c r="AF456" s="141"/>
      <c r="AG456" s="141"/>
      <c r="AH456" s="141"/>
      <c r="AI456" s="141"/>
      <c r="AJ456" s="141"/>
      <c r="AK456" s="141"/>
      <c r="AL456" s="141"/>
      <c r="AM456" s="141"/>
      <c r="AN456" s="364"/>
      <c r="AO456" s="363"/>
    </row>
    <row r="457" spans="1:41">
      <c r="A457" s="364"/>
      <c r="B457" s="141"/>
      <c r="C457" s="175"/>
      <c r="D457" s="416"/>
      <c r="E457" s="363"/>
      <c r="F457" s="302"/>
      <c r="G457" s="92"/>
      <c r="H457" s="175"/>
      <c r="I457" s="175"/>
      <c r="J457" s="52"/>
      <c r="K457" s="332"/>
      <c r="L457" s="332"/>
      <c r="M457" s="175"/>
      <c r="N457" s="332"/>
      <c r="O457" s="175"/>
      <c r="P457" s="175"/>
      <c r="Q457" s="175"/>
      <c r="R457" s="175"/>
      <c r="S457" s="175"/>
      <c r="T457" s="141"/>
      <c r="U457" s="415"/>
      <c r="V457" s="141"/>
      <c r="W457" s="141"/>
      <c r="X457" s="141"/>
      <c r="Y457" s="141"/>
      <c r="Z457" s="141"/>
      <c r="AA457" s="141"/>
      <c r="AB457" s="141"/>
      <c r="AC457" s="141"/>
      <c r="AD457" s="141"/>
      <c r="AE457" s="141"/>
      <c r="AF457" s="141"/>
      <c r="AG457" s="141"/>
      <c r="AH457" s="141"/>
      <c r="AI457" s="141"/>
      <c r="AJ457" s="141"/>
      <c r="AK457" s="141"/>
      <c r="AL457" s="141"/>
      <c r="AM457" s="141"/>
      <c r="AN457" s="364"/>
      <c r="AO457" s="363"/>
    </row>
    <row r="458" spans="1:41">
      <c r="A458" s="364"/>
      <c r="B458" s="141"/>
      <c r="C458" s="175"/>
      <c r="D458" s="416"/>
      <c r="E458" s="363"/>
      <c r="F458" s="302"/>
      <c r="G458" s="92"/>
      <c r="H458" s="175"/>
      <c r="I458" s="175"/>
      <c r="J458" s="52"/>
      <c r="K458" s="332"/>
      <c r="L458" s="332"/>
      <c r="M458" s="175"/>
      <c r="N458" s="332"/>
      <c r="O458" s="175"/>
      <c r="P458" s="175"/>
      <c r="Q458" s="175"/>
      <c r="R458" s="175"/>
      <c r="S458" s="175"/>
      <c r="T458" s="141"/>
      <c r="U458" s="415"/>
      <c r="V458" s="141"/>
      <c r="W458" s="141"/>
      <c r="X458" s="141"/>
      <c r="Y458" s="141"/>
      <c r="Z458" s="141"/>
      <c r="AA458" s="141"/>
      <c r="AB458" s="141"/>
      <c r="AC458" s="141"/>
      <c r="AD458" s="141"/>
      <c r="AE458" s="141"/>
      <c r="AF458" s="141"/>
      <c r="AG458" s="141"/>
      <c r="AH458" s="141"/>
      <c r="AI458" s="141"/>
      <c r="AJ458" s="141"/>
      <c r="AK458" s="141"/>
      <c r="AL458" s="141"/>
      <c r="AM458" s="141"/>
      <c r="AN458" s="364"/>
      <c r="AO458" s="363"/>
    </row>
    <row r="459" spans="1:41">
      <c r="A459" s="364"/>
      <c r="B459" s="141"/>
      <c r="C459" s="175"/>
      <c r="D459" s="416"/>
      <c r="E459" s="363"/>
      <c r="F459" s="302"/>
      <c r="G459" s="92"/>
      <c r="H459" s="175"/>
      <c r="I459" s="175"/>
      <c r="J459" s="52"/>
      <c r="K459" s="332"/>
      <c r="L459" s="332"/>
      <c r="M459" s="175"/>
      <c r="N459" s="332"/>
      <c r="O459" s="175"/>
      <c r="P459" s="175"/>
      <c r="Q459" s="175"/>
      <c r="R459" s="175"/>
      <c r="S459" s="175"/>
      <c r="T459" s="141"/>
      <c r="U459" s="415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  <c r="AH459" s="141"/>
      <c r="AI459" s="141"/>
      <c r="AJ459" s="141"/>
      <c r="AK459" s="141"/>
      <c r="AL459" s="141"/>
      <c r="AM459" s="141"/>
      <c r="AN459" s="364"/>
      <c r="AO459" s="363"/>
    </row>
    <row r="460" spans="1:41">
      <c r="A460" s="364"/>
      <c r="B460" s="141"/>
      <c r="C460" s="175"/>
      <c r="D460" s="416"/>
      <c r="E460" s="363"/>
      <c r="F460" s="302"/>
      <c r="G460" s="92"/>
      <c r="H460" s="175"/>
      <c r="I460" s="175"/>
      <c r="J460" s="52"/>
      <c r="K460" s="332"/>
      <c r="L460" s="332"/>
      <c r="M460" s="175"/>
      <c r="N460" s="332"/>
      <c r="O460" s="175"/>
      <c r="P460" s="175"/>
      <c r="Q460" s="175"/>
      <c r="R460" s="175"/>
      <c r="S460" s="175"/>
      <c r="T460" s="141"/>
      <c r="U460" s="415"/>
      <c r="V460" s="141"/>
      <c r="W460" s="141"/>
      <c r="X460" s="141"/>
      <c r="Y460" s="141"/>
      <c r="Z460" s="141"/>
      <c r="AA460" s="141"/>
      <c r="AB460" s="141"/>
      <c r="AC460" s="141"/>
      <c r="AD460" s="141"/>
      <c r="AE460" s="141"/>
      <c r="AF460" s="141"/>
      <c r="AG460" s="141"/>
      <c r="AH460" s="141"/>
      <c r="AI460" s="141"/>
      <c r="AJ460" s="141"/>
      <c r="AK460" s="141"/>
      <c r="AL460" s="141"/>
      <c r="AM460" s="141"/>
      <c r="AN460" s="364"/>
      <c r="AO460" s="363"/>
    </row>
    <row r="461" spans="1:41">
      <c r="A461" s="364"/>
      <c r="B461" s="141"/>
      <c r="C461" s="175"/>
      <c r="D461" s="416"/>
      <c r="E461" s="363"/>
      <c r="F461" s="302"/>
      <c r="G461" s="92"/>
      <c r="H461" s="175"/>
      <c r="I461" s="175"/>
      <c r="J461" s="52"/>
      <c r="K461" s="332"/>
      <c r="L461" s="332"/>
      <c r="M461" s="175"/>
      <c r="N461" s="332"/>
      <c r="O461" s="175"/>
      <c r="P461" s="175"/>
      <c r="Q461" s="175"/>
      <c r="R461" s="175"/>
      <c r="S461" s="175"/>
      <c r="T461" s="141"/>
      <c r="U461" s="415"/>
      <c r="V461" s="141"/>
      <c r="W461" s="141"/>
      <c r="X461" s="141"/>
      <c r="Y461" s="141"/>
      <c r="Z461" s="141"/>
      <c r="AA461" s="141"/>
      <c r="AB461" s="141"/>
      <c r="AC461" s="141"/>
      <c r="AD461" s="141"/>
      <c r="AE461" s="141"/>
      <c r="AF461" s="141"/>
      <c r="AG461" s="141"/>
      <c r="AH461" s="141"/>
      <c r="AI461" s="141"/>
      <c r="AJ461" s="141"/>
      <c r="AK461" s="141"/>
      <c r="AL461" s="141"/>
      <c r="AM461" s="141"/>
      <c r="AN461" s="364"/>
      <c r="AO461" s="363"/>
    </row>
    <row r="462" spans="1:41">
      <c r="A462" s="364"/>
      <c r="B462" s="141"/>
      <c r="C462" s="175"/>
      <c r="D462" s="416"/>
      <c r="E462" s="363"/>
      <c r="F462" s="302"/>
      <c r="G462" s="92"/>
      <c r="H462" s="175"/>
      <c r="I462" s="175"/>
      <c r="J462" s="52"/>
      <c r="K462" s="332"/>
      <c r="L462" s="332"/>
      <c r="M462" s="175"/>
      <c r="N462" s="332"/>
      <c r="O462" s="175"/>
      <c r="P462" s="175"/>
      <c r="Q462" s="175"/>
      <c r="R462" s="175"/>
      <c r="S462" s="175"/>
      <c r="T462" s="141"/>
      <c r="U462" s="415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  <c r="AF462" s="141"/>
      <c r="AG462" s="141"/>
      <c r="AH462" s="141"/>
      <c r="AI462" s="141"/>
      <c r="AJ462" s="141"/>
      <c r="AK462" s="141"/>
      <c r="AL462" s="141"/>
      <c r="AM462" s="141"/>
      <c r="AN462" s="364"/>
      <c r="AO462" s="363"/>
    </row>
    <row r="463" spans="1:41">
      <c r="A463" s="364"/>
      <c r="B463" s="141"/>
      <c r="C463" s="175"/>
      <c r="D463" s="416"/>
      <c r="E463" s="363"/>
      <c r="F463" s="302"/>
      <c r="G463" s="92"/>
      <c r="H463" s="175"/>
      <c r="I463" s="175"/>
      <c r="J463" s="52"/>
      <c r="K463" s="332"/>
      <c r="L463" s="332"/>
      <c r="M463" s="175"/>
      <c r="N463" s="332"/>
      <c r="O463" s="175"/>
      <c r="P463" s="175"/>
      <c r="Q463" s="175"/>
      <c r="R463" s="175"/>
      <c r="S463" s="175"/>
      <c r="T463" s="141"/>
      <c r="U463" s="415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  <c r="AH463" s="141"/>
      <c r="AI463" s="141"/>
      <c r="AJ463" s="141"/>
      <c r="AK463" s="141"/>
      <c r="AL463" s="141"/>
      <c r="AM463" s="141"/>
      <c r="AN463" s="364"/>
      <c r="AO463" s="363"/>
    </row>
    <row r="464" spans="1:41">
      <c r="A464" s="364"/>
      <c r="B464" s="141"/>
      <c r="C464" s="175"/>
      <c r="D464" s="416"/>
      <c r="E464" s="363"/>
      <c r="F464" s="302"/>
      <c r="G464" s="92"/>
      <c r="H464" s="175"/>
      <c r="I464" s="175"/>
      <c r="J464" s="52"/>
      <c r="K464" s="332"/>
      <c r="L464" s="332"/>
      <c r="M464" s="175"/>
      <c r="N464" s="332"/>
      <c r="O464" s="175"/>
      <c r="P464" s="175"/>
      <c r="Q464" s="175"/>
      <c r="R464" s="175"/>
      <c r="S464" s="175"/>
      <c r="T464" s="141"/>
      <c r="U464" s="415"/>
      <c r="V464" s="141"/>
      <c r="W464" s="141"/>
      <c r="X464" s="141"/>
      <c r="Y464" s="141"/>
      <c r="Z464" s="141"/>
      <c r="AA464" s="141"/>
      <c r="AB464" s="141"/>
      <c r="AC464" s="141"/>
      <c r="AD464" s="141"/>
      <c r="AE464" s="141"/>
      <c r="AF464" s="141"/>
      <c r="AG464" s="141"/>
      <c r="AH464" s="141"/>
      <c r="AI464" s="141"/>
      <c r="AJ464" s="141"/>
      <c r="AK464" s="141"/>
      <c r="AL464" s="141"/>
      <c r="AM464" s="141"/>
      <c r="AN464" s="364"/>
      <c r="AO464" s="363"/>
    </row>
    <row r="465" spans="1:41">
      <c r="A465" s="364"/>
      <c r="B465" s="141"/>
      <c r="C465" s="175"/>
      <c r="D465" s="416"/>
      <c r="E465" s="363"/>
      <c r="F465" s="302"/>
      <c r="G465" s="92"/>
      <c r="H465" s="175"/>
      <c r="I465" s="175"/>
      <c r="J465" s="52"/>
      <c r="K465" s="332"/>
      <c r="L465" s="332"/>
      <c r="M465" s="175"/>
      <c r="N465" s="332"/>
      <c r="O465" s="175"/>
      <c r="P465" s="175"/>
      <c r="Q465" s="175"/>
      <c r="R465" s="175"/>
      <c r="S465" s="175"/>
      <c r="T465" s="141"/>
      <c r="U465" s="415"/>
      <c r="V465" s="141"/>
      <c r="W465" s="141"/>
      <c r="X465" s="141"/>
      <c r="Y465" s="141"/>
      <c r="Z465" s="141"/>
      <c r="AA465" s="141"/>
      <c r="AB465" s="141"/>
      <c r="AC465" s="141"/>
      <c r="AD465" s="141"/>
      <c r="AE465" s="141"/>
      <c r="AF465" s="141"/>
      <c r="AG465" s="141"/>
      <c r="AH465" s="141"/>
      <c r="AI465" s="141"/>
      <c r="AJ465" s="141"/>
      <c r="AK465" s="141"/>
      <c r="AL465" s="141"/>
      <c r="AM465" s="141"/>
      <c r="AN465" s="364"/>
      <c r="AO465" s="363"/>
    </row>
    <row r="466" spans="1:41">
      <c r="A466" s="364"/>
      <c r="B466" s="141"/>
      <c r="C466" s="175"/>
      <c r="D466" s="416"/>
      <c r="E466" s="363"/>
      <c r="F466" s="302"/>
      <c r="G466" s="92"/>
      <c r="H466" s="175"/>
      <c r="I466" s="175"/>
      <c r="J466" s="52"/>
      <c r="K466" s="332"/>
      <c r="L466" s="332"/>
      <c r="M466" s="175"/>
      <c r="N466" s="332"/>
      <c r="O466" s="175"/>
      <c r="P466" s="175"/>
      <c r="Q466" s="175"/>
      <c r="R466" s="175"/>
      <c r="S466" s="175"/>
      <c r="T466" s="141"/>
      <c r="U466" s="415"/>
      <c r="V466" s="141"/>
      <c r="W466" s="141"/>
      <c r="X466" s="141"/>
      <c r="Y466" s="141"/>
      <c r="Z466" s="141"/>
      <c r="AA466" s="141"/>
      <c r="AB466" s="141"/>
      <c r="AC466" s="141"/>
      <c r="AD466" s="141"/>
      <c r="AE466" s="141"/>
      <c r="AF466" s="141"/>
      <c r="AG466" s="141"/>
      <c r="AH466" s="141"/>
      <c r="AI466" s="141"/>
      <c r="AJ466" s="141"/>
      <c r="AK466" s="141"/>
      <c r="AL466" s="141"/>
      <c r="AM466" s="141"/>
      <c r="AN466" s="364"/>
      <c r="AO466" s="363"/>
    </row>
    <row r="467" spans="1:41">
      <c r="A467" s="364"/>
      <c r="B467" s="141"/>
      <c r="C467" s="175"/>
      <c r="D467" s="416"/>
      <c r="E467" s="363"/>
      <c r="F467" s="302"/>
      <c r="G467" s="92"/>
      <c r="H467" s="175"/>
      <c r="I467" s="175"/>
      <c r="J467" s="52"/>
      <c r="K467" s="332"/>
      <c r="L467" s="332"/>
      <c r="M467" s="175"/>
      <c r="N467" s="332"/>
      <c r="O467" s="175"/>
      <c r="P467" s="175"/>
      <c r="Q467" s="175"/>
      <c r="R467" s="175"/>
      <c r="S467" s="175"/>
      <c r="T467" s="141"/>
      <c r="U467" s="415"/>
      <c r="V467" s="141"/>
      <c r="W467" s="141"/>
      <c r="X467" s="141"/>
      <c r="Y467" s="141"/>
      <c r="Z467" s="141"/>
      <c r="AA467" s="141"/>
      <c r="AB467" s="141"/>
      <c r="AC467" s="141"/>
      <c r="AD467" s="141"/>
      <c r="AE467" s="141"/>
      <c r="AF467" s="141"/>
      <c r="AG467" s="141"/>
      <c r="AH467" s="141"/>
      <c r="AI467" s="141"/>
      <c r="AJ467" s="141"/>
      <c r="AK467" s="141"/>
      <c r="AL467" s="141"/>
      <c r="AM467" s="141"/>
      <c r="AN467" s="364"/>
      <c r="AO467" s="363"/>
    </row>
    <row r="468" spans="1:41">
      <c r="A468" s="364"/>
      <c r="B468" s="141"/>
      <c r="C468" s="175"/>
      <c r="D468" s="416"/>
      <c r="E468" s="363"/>
      <c r="F468" s="302"/>
      <c r="G468" s="92"/>
      <c r="H468" s="175"/>
      <c r="I468" s="175"/>
      <c r="J468" s="52"/>
      <c r="K468" s="332"/>
      <c r="L468" s="332"/>
      <c r="M468" s="175"/>
      <c r="N468" s="332"/>
      <c r="O468" s="175"/>
      <c r="P468" s="175"/>
      <c r="Q468" s="175"/>
      <c r="R468" s="175"/>
      <c r="S468" s="175"/>
      <c r="T468" s="141"/>
      <c r="U468" s="415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1"/>
      <c r="AH468" s="141"/>
      <c r="AI468" s="141"/>
      <c r="AJ468" s="141"/>
      <c r="AK468" s="141"/>
      <c r="AL468" s="141"/>
      <c r="AM468" s="141"/>
      <c r="AN468" s="364"/>
      <c r="AO468" s="363"/>
    </row>
    <row r="469" spans="1:41">
      <c r="A469" s="364"/>
      <c r="B469" s="141"/>
      <c r="C469" s="175"/>
      <c r="D469" s="416"/>
      <c r="E469" s="363"/>
      <c r="F469" s="302"/>
      <c r="G469" s="92"/>
      <c r="H469" s="175"/>
      <c r="I469" s="175"/>
      <c r="J469" s="52"/>
      <c r="K469" s="332"/>
      <c r="L469" s="332"/>
      <c r="M469" s="175"/>
      <c r="N469" s="332"/>
      <c r="O469" s="175"/>
      <c r="P469" s="175"/>
      <c r="Q469" s="175"/>
      <c r="R469" s="175"/>
      <c r="S469" s="175"/>
      <c r="T469" s="141"/>
      <c r="U469" s="415"/>
      <c r="V469" s="141"/>
      <c r="W469" s="141"/>
      <c r="X469" s="141"/>
      <c r="Y469" s="141"/>
      <c r="Z469" s="141"/>
      <c r="AA469" s="141"/>
      <c r="AB469" s="141"/>
      <c r="AC469" s="141"/>
      <c r="AD469" s="141"/>
      <c r="AE469" s="141"/>
      <c r="AF469" s="141"/>
      <c r="AG469" s="141"/>
      <c r="AH469" s="141"/>
      <c r="AI469" s="141"/>
      <c r="AJ469" s="141"/>
      <c r="AK469" s="141"/>
      <c r="AL469" s="141"/>
      <c r="AM469" s="141"/>
      <c r="AN469" s="364"/>
      <c r="AO469" s="363"/>
    </row>
    <row r="470" spans="1:41">
      <c r="A470" s="364"/>
      <c r="B470" s="141"/>
      <c r="C470" s="175"/>
      <c r="D470" s="416"/>
      <c r="E470" s="363"/>
      <c r="F470" s="302"/>
      <c r="G470" s="92"/>
      <c r="H470" s="175"/>
      <c r="I470" s="175"/>
      <c r="J470" s="52"/>
      <c r="K470" s="332"/>
      <c r="L470" s="332"/>
      <c r="M470" s="175"/>
      <c r="N470" s="332"/>
      <c r="O470" s="175"/>
      <c r="P470" s="175"/>
      <c r="Q470" s="175"/>
      <c r="R470" s="175"/>
      <c r="S470" s="175"/>
      <c r="T470" s="141"/>
      <c r="U470" s="415"/>
      <c r="V470" s="141"/>
      <c r="W470" s="141"/>
      <c r="X470" s="141"/>
      <c r="Y470" s="141"/>
      <c r="Z470" s="141"/>
      <c r="AA470" s="141"/>
      <c r="AB470" s="141"/>
      <c r="AC470" s="141"/>
      <c r="AD470" s="141"/>
      <c r="AE470" s="141"/>
      <c r="AF470" s="141"/>
      <c r="AG470" s="141"/>
      <c r="AH470" s="141"/>
      <c r="AI470" s="141"/>
      <c r="AJ470" s="141"/>
      <c r="AK470" s="141"/>
      <c r="AL470" s="141"/>
      <c r="AM470" s="141"/>
      <c r="AN470" s="364"/>
      <c r="AO470" s="363"/>
    </row>
    <row r="471" spans="1:41">
      <c r="A471" s="364"/>
      <c r="B471" s="141"/>
      <c r="C471" s="175"/>
      <c r="D471" s="416"/>
      <c r="E471" s="363"/>
      <c r="F471" s="302"/>
      <c r="G471" s="92"/>
      <c r="H471" s="175"/>
      <c r="I471" s="175"/>
      <c r="J471" s="52"/>
      <c r="K471" s="332"/>
      <c r="L471" s="332"/>
      <c r="M471" s="175"/>
      <c r="N471" s="332"/>
      <c r="O471" s="175"/>
      <c r="P471" s="175"/>
      <c r="Q471" s="175"/>
      <c r="R471" s="175"/>
      <c r="S471" s="175"/>
      <c r="T471" s="141"/>
      <c r="U471" s="415"/>
      <c r="V471" s="141"/>
      <c r="W471" s="141"/>
      <c r="X471" s="141"/>
      <c r="Y471" s="141"/>
      <c r="Z471" s="141"/>
      <c r="AA471" s="141"/>
      <c r="AB471" s="141"/>
      <c r="AC471" s="141"/>
      <c r="AD471" s="141"/>
      <c r="AE471" s="141"/>
      <c r="AF471" s="141"/>
      <c r="AG471" s="141"/>
      <c r="AH471" s="141"/>
      <c r="AI471" s="141"/>
      <c r="AJ471" s="141"/>
      <c r="AK471" s="141"/>
      <c r="AL471" s="141"/>
      <c r="AM471" s="141"/>
      <c r="AN471" s="364"/>
      <c r="AO471" s="363"/>
    </row>
    <row r="472" spans="1:41">
      <c r="A472" s="364"/>
      <c r="B472" s="141"/>
      <c r="C472" s="175"/>
      <c r="D472" s="416"/>
      <c r="E472" s="363"/>
      <c r="F472" s="302"/>
      <c r="G472" s="92"/>
      <c r="H472" s="175"/>
      <c r="I472" s="175"/>
      <c r="J472" s="52"/>
      <c r="K472" s="332"/>
      <c r="L472" s="332"/>
      <c r="M472" s="175"/>
      <c r="N472" s="332"/>
      <c r="O472" s="175"/>
      <c r="P472" s="175"/>
      <c r="Q472" s="175"/>
      <c r="R472" s="175"/>
      <c r="S472" s="175"/>
      <c r="T472" s="141"/>
      <c r="U472" s="415"/>
      <c r="V472" s="141"/>
      <c r="W472" s="141"/>
      <c r="X472" s="141"/>
      <c r="Y472" s="141"/>
      <c r="Z472" s="141"/>
      <c r="AA472" s="141"/>
      <c r="AB472" s="141"/>
      <c r="AC472" s="141"/>
      <c r="AD472" s="141"/>
      <c r="AE472" s="141"/>
      <c r="AF472" s="141"/>
      <c r="AG472" s="141"/>
      <c r="AH472" s="141"/>
      <c r="AI472" s="141"/>
      <c r="AJ472" s="141"/>
      <c r="AK472" s="141"/>
      <c r="AL472" s="141"/>
      <c r="AM472" s="141"/>
      <c r="AN472" s="364"/>
      <c r="AO472" s="363"/>
    </row>
    <row r="473" spans="1:41">
      <c r="A473" s="364"/>
      <c r="B473" s="141"/>
      <c r="C473" s="175"/>
      <c r="D473" s="416"/>
      <c r="E473" s="363"/>
      <c r="F473" s="302"/>
      <c r="G473" s="92"/>
      <c r="H473" s="175"/>
      <c r="I473" s="175"/>
      <c r="J473" s="52"/>
      <c r="K473" s="332"/>
      <c r="L473" s="332"/>
      <c r="M473" s="175"/>
      <c r="N473" s="332"/>
      <c r="O473" s="175"/>
      <c r="P473" s="175"/>
      <c r="Q473" s="175"/>
      <c r="R473" s="175"/>
      <c r="S473" s="175"/>
      <c r="T473" s="141"/>
      <c r="U473" s="415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  <c r="AF473" s="141"/>
      <c r="AG473" s="141"/>
      <c r="AH473" s="141"/>
      <c r="AI473" s="141"/>
      <c r="AJ473" s="141"/>
      <c r="AK473" s="141"/>
      <c r="AL473" s="141"/>
      <c r="AM473" s="141"/>
      <c r="AN473" s="364"/>
      <c r="AO473" s="363"/>
    </row>
    <row r="474" spans="1:41">
      <c r="A474" s="364"/>
      <c r="B474" s="141"/>
      <c r="C474" s="175"/>
      <c r="D474" s="416"/>
      <c r="E474" s="363"/>
      <c r="F474" s="302"/>
      <c r="G474" s="92"/>
      <c r="H474" s="175"/>
      <c r="I474" s="175"/>
      <c r="J474" s="52"/>
      <c r="K474" s="332"/>
      <c r="L474" s="332"/>
      <c r="M474" s="175"/>
      <c r="N474" s="332"/>
      <c r="O474" s="175"/>
      <c r="P474" s="175"/>
      <c r="Q474" s="175"/>
      <c r="R474" s="175"/>
      <c r="S474" s="175"/>
      <c r="T474" s="141"/>
      <c r="U474" s="415"/>
      <c r="V474" s="141"/>
      <c r="W474" s="141"/>
      <c r="X474" s="141"/>
      <c r="Y474" s="141"/>
      <c r="Z474" s="141"/>
      <c r="AA474" s="141"/>
      <c r="AB474" s="141"/>
      <c r="AC474" s="141"/>
      <c r="AD474" s="141"/>
      <c r="AE474" s="141"/>
      <c r="AF474" s="141"/>
      <c r="AG474" s="141"/>
      <c r="AH474" s="141"/>
      <c r="AI474" s="141"/>
      <c r="AJ474" s="141"/>
      <c r="AK474" s="141"/>
      <c r="AL474" s="141"/>
      <c r="AM474" s="141"/>
      <c r="AN474" s="364"/>
      <c r="AO474" s="363"/>
    </row>
    <row r="475" spans="1:41">
      <c r="A475" s="364"/>
      <c r="B475" s="141"/>
      <c r="C475" s="175"/>
      <c r="D475" s="416"/>
      <c r="E475" s="363"/>
      <c r="F475" s="302"/>
      <c r="G475" s="92"/>
      <c r="H475" s="175"/>
      <c r="I475" s="175"/>
      <c r="J475" s="52"/>
      <c r="K475" s="332"/>
      <c r="L475" s="332"/>
      <c r="M475" s="175"/>
      <c r="N475" s="332"/>
      <c r="O475" s="175"/>
      <c r="P475" s="175"/>
      <c r="Q475" s="175"/>
      <c r="R475" s="175"/>
      <c r="S475" s="175"/>
      <c r="T475" s="141"/>
      <c r="U475" s="415"/>
      <c r="V475" s="141"/>
      <c r="W475" s="141"/>
      <c r="X475" s="141"/>
      <c r="Y475" s="141"/>
      <c r="Z475" s="141"/>
      <c r="AA475" s="141"/>
      <c r="AB475" s="141"/>
      <c r="AC475" s="141"/>
      <c r="AD475" s="141"/>
      <c r="AE475" s="141"/>
      <c r="AF475" s="141"/>
      <c r="AG475" s="141"/>
      <c r="AH475" s="141"/>
      <c r="AI475" s="141"/>
      <c r="AJ475" s="141"/>
      <c r="AK475" s="141"/>
      <c r="AL475" s="141"/>
      <c r="AM475" s="141"/>
      <c r="AN475" s="364"/>
      <c r="AO475" s="363"/>
    </row>
    <row r="476" spans="1:41">
      <c r="A476" s="364"/>
      <c r="B476" s="141"/>
      <c r="C476" s="175"/>
      <c r="D476" s="416"/>
      <c r="E476" s="363"/>
      <c r="F476" s="302"/>
      <c r="G476" s="92"/>
      <c r="H476" s="175"/>
      <c r="I476" s="175"/>
      <c r="J476" s="52"/>
      <c r="K476" s="332"/>
      <c r="L476" s="332"/>
      <c r="M476" s="175"/>
      <c r="N476" s="332"/>
      <c r="O476" s="175"/>
      <c r="P476" s="175"/>
      <c r="Q476" s="175"/>
      <c r="R476" s="175"/>
      <c r="S476" s="175"/>
      <c r="T476" s="141"/>
      <c r="U476" s="415"/>
      <c r="V476" s="141"/>
      <c r="W476" s="141"/>
      <c r="X476" s="141"/>
      <c r="Y476" s="141"/>
      <c r="Z476" s="141"/>
      <c r="AA476" s="141"/>
      <c r="AB476" s="141"/>
      <c r="AC476" s="141"/>
      <c r="AD476" s="141"/>
      <c r="AE476" s="141"/>
      <c r="AF476" s="141"/>
      <c r="AG476" s="141"/>
      <c r="AH476" s="141"/>
      <c r="AI476" s="141"/>
      <c r="AJ476" s="141"/>
      <c r="AK476" s="141"/>
      <c r="AL476" s="141"/>
      <c r="AM476" s="141"/>
      <c r="AN476" s="364"/>
      <c r="AO476" s="363"/>
    </row>
    <row r="477" spans="1:41">
      <c r="A477" s="364"/>
      <c r="B477" s="141"/>
      <c r="C477" s="175"/>
      <c r="D477" s="416"/>
      <c r="E477" s="363"/>
      <c r="F477" s="302"/>
      <c r="G477" s="92"/>
      <c r="H477" s="175"/>
      <c r="I477" s="175"/>
      <c r="J477" s="52"/>
      <c r="K477" s="332"/>
      <c r="L477" s="332"/>
      <c r="M477" s="175"/>
      <c r="N477" s="332"/>
      <c r="O477" s="175"/>
      <c r="P477" s="175"/>
      <c r="Q477" s="175"/>
      <c r="R477" s="175"/>
      <c r="S477" s="175"/>
      <c r="T477" s="141"/>
      <c r="U477" s="415"/>
      <c r="V477" s="141"/>
      <c r="W477" s="141"/>
      <c r="X477" s="141"/>
      <c r="Y477" s="141"/>
      <c r="Z477" s="141"/>
      <c r="AA477" s="141"/>
      <c r="AB477" s="141"/>
      <c r="AC477" s="141"/>
      <c r="AD477" s="141"/>
      <c r="AE477" s="141"/>
      <c r="AF477" s="141"/>
      <c r="AG477" s="141"/>
      <c r="AH477" s="141"/>
      <c r="AI477" s="141"/>
      <c r="AJ477" s="141"/>
      <c r="AK477" s="141"/>
      <c r="AL477" s="141"/>
      <c r="AM477" s="141"/>
      <c r="AN477" s="364"/>
      <c r="AO477" s="363"/>
    </row>
    <row r="478" spans="1:41">
      <c r="A478" s="364"/>
      <c r="B478" s="141"/>
      <c r="C478" s="175"/>
      <c r="D478" s="416"/>
      <c r="E478" s="363"/>
      <c r="F478" s="302"/>
      <c r="G478" s="92"/>
      <c r="H478" s="175"/>
      <c r="I478" s="175"/>
      <c r="J478" s="52"/>
      <c r="K478" s="332"/>
      <c r="L478" s="332"/>
      <c r="M478" s="175"/>
      <c r="N478" s="332"/>
      <c r="O478" s="175"/>
      <c r="P478" s="175"/>
      <c r="Q478" s="175"/>
      <c r="R478" s="175"/>
      <c r="S478" s="175"/>
      <c r="T478" s="141"/>
      <c r="U478" s="415"/>
      <c r="V478" s="141"/>
      <c r="W478" s="141"/>
      <c r="X478" s="141"/>
      <c r="Y478" s="141"/>
      <c r="Z478" s="141"/>
      <c r="AA478" s="141"/>
      <c r="AB478" s="141"/>
      <c r="AC478" s="141"/>
      <c r="AD478" s="141"/>
      <c r="AE478" s="141"/>
      <c r="AF478" s="141"/>
      <c r="AG478" s="141"/>
      <c r="AH478" s="141"/>
      <c r="AI478" s="141"/>
      <c r="AJ478" s="141"/>
      <c r="AK478" s="141"/>
      <c r="AL478" s="141"/>
      <c r="AM478" s="141"/>
      <c r="AN478" s="364"/>
      <c r="AO478" s="363"/>
    </row>
    <row r="479" spans="1:41">
      <c r="A479" s="364"/>
      <c r="B479" s="141"/>
      <c r="C479" s="175"/>
      <c r="D479" s="416"/>
      <c r="E479" s="363"/>
      <c r="F479" s="302"/>
      <c r="G479" s="92"/>
      <c r="H479" s="175"/>
      <c r="I479" s="175"/>
      <c r="J479" s="52"/>
      <c r="K479" s="332"/>
      <c r="L479" s="332"/>
      <c r="M479" s="175"/>
      <c r="N479" s="332"/>
      <c r="O479" s="175"/>
      <c r="P479" s="175"/>
      <c r="Q479" s="175"/>
      <c r="R479" s="175"/>
      <c r="S479" s="175"/>
      <c r="T479" s="141"/>
      <c r="U479" s="415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  <c r="AF479" s="141"/>
      <c r="AG479" s="141"/>
      <c r="AH479" s="141"/>
      <c r="AI479" s="141"/>
      <c r="AJ479" s="141"/>
      <c r="AK479" s="141"/>
      <c r="AL479" s="141"/>
      <c r="AM479" s="141"/>
      <c r="AN479" s="364"/>
      <c r="AO479" s="363"/>
    </row>
    <row r="480" spans="1:41">
      <c r="A480" s="364"/>
      <c r="B480" s="141"/>
      <c r="C480" s="175"/>
      <c r="D480" s="416"/>
      <c r="E480" s="363"/>
      <c r="F480" s="302"/>
      <c r="G480" s="92"/>
      <c r="H480" s="175"/>
      <c r="I480" s="175"/>
      <c r="J480" s="52"/>
      <c r="K480" s="332"/>
      <c r="L480" s="332"/>
      <c r="M480" s="175"/>
      <c r="N480" s="332"/>
      <c r="O480" s="175"/>
      <c r="P480" s="175"/>
      <c r="Q480" s="175"/>
      <c r="R480" s="175"/>
      <c r="S480" s="175"/>
      <c r="T480" s="141"/>
      <c r="U480" s="415"/>
      <c r="V480" s="141"/>
      <c r="W480" s="141"/>
      <c r="X480" s="141"/>
      <c r="Y480" s="141"/>
      <c r="Z480" s="141"/>
      <c r="AA480" s="141"/>
      <c r="AB480" s="141"/>
      <c r="AC480" s="141"/>
      <c r="AD480" s="141"/>
      <c r="AE480" s="141"/>
      <c r="AF480" s="141"/>
      <c r="AG480" s="141"/>
      <c r="AH480" s="141"/>
      <c r="AI480" s="141"/>
      <c r="AJ480" s="141"/>
      <c r="AK480" s="141"/>
      <c r="AL480" s="141"/>
      <c r="AM480" s="141"/>
      <c r="AN480" s="364"/>
      <c r="AO480" s="363"/>
    </row>
    <row r="481" spans="1:41">
      <c r="A481" s="364"/>
      <c r="B481" s="141"/>
      <c r="C481" s="175"/>
      <c r="D481" s="416"/>
      <c r="E481" s="363"/>
      <c r="F481" s="302"/>
      <c r="G481" s="92"/>
      <c r="H481" s="175"/>
      <c r="I481" s="175"/>
      <c r="J481" s="52"/>
      <c r="K481" s="332"/>
      <c r="L481" s="332"/>
      <c r="M481" s="175"/>
      <c r="N481" s="332"/>
      <c r="O481" s="175"/>
      <c r="P481" s="175"/>
      <c r="Q481" s="175"/>
      <c r="R481" s="175"/>
      <c r="S481" s="175"/>
      <c r="T481" s="141"/>
      <c r="U481" s="415"/>
      <c r="V481" s="141"/>
      <c r="W481" s="141"/>
      <c r="X481" s="141"/>
      <c r="Y481" s="141"/>
      <c r="Z481" s="141"/>
      <c r="AA481" s="141"/>
      <c r="AB481" s="141"/>
      <c r="AC481" s="141"/>
      <c r="AD481" s="141"/>
      <c r="AE481" s="141"/>
      <c r="AF481" s="141"/>
      <c r="AG481" s="141"/>
      <c r="AH481" s="141"/>
      <c r="AI481" s="141"/>
      <c r="AJ481" s="141"/>
      <c r="AK481" s="141"/>
      <c r="AL481" s="141"/>
      <c r="AM481" s="141"/>
      <c r="AN481" s="364"/>
      <c r="AO481" s="363"/>
    </row>
    <row r="482" spans="1:41">
      <c r="A482" s="364"/>
      <c r="B482" s="141"/>
      <c r="C482" s="175"/>
      <c r="D482" s="416"/>
      <c r="E482" s="363"/>
      <c r="F482" s="302"/>
      <c r="G482" s="92"/>
      <c r="H482" s="175"/>
      <c r="I482" s="175"/>
      <c r="J482" s="52"/>
      <c r="K482" s="332"/>
      <c r="L482" s="332"/>
      <c r="M482" s="175"/>
      <c r="N482" s="332"/>
      <c r="O482" s="175"/>
      <c r="P482" s="175"/>
      <c r="Q482" s="175"/>
      <c r="R482" s="175"/>
      <c r="S482" s="175"/>
      <c r="T482" s="141"/>
      <c r="U482" s="415"/>
      <c r="V482" s="141"/>
      <c r="W482" s="141"/>
      <c r="X482" s="141"/>
      <c r="Y482" s="141"/>
      <c r="Z482" s="141"/>
      <c r="AA482" s="141"/>
      <c r="AB482" s="141"/>
      <c r="AC482" s="141"/>
      <c r="AD482" s="141"/>
      <c r="AE482" s="141"/>
      <c r="AF482" s="141"/>
      <c r="AG482" s="141"/>
      <c r="AH482" s="141"/>
      <c r="AI482" s="141"/>
      <c r="AJ482" s="141"/>
      <c r="AK482" s="141"/>
      <c r="AL482" s="141"/>
      <c r="AM482" s="141"/>
      <c r="AN482" s="364"/>
      <c r="AO482" s="363"/>
    </row>
    <row r="483" spans="1:41">
      <c r="A483" s="364"/>
      <c r="B483" s="141"/>
      <c r="C483" s="175"/>
      <c r="D483" s="416"/>
      <c r="E483" s="363"/>
      <c r="F483" s="302"/>
      <c r="G483" s="92"/>
      <c r="H483" s="175"/>
      <c r="I483" s="175"/>
      <c r="J483" s="52"/>
      <c r="K483" s="332"/>
      <c r="L483" s="332"/>
      <c r="M483" s="175"/>
      <c r="N483" s="332"/>
      <c r="O483" s="175"/>
      <c r="P483" s="175"/>
      <c r="Q483" s="175"/>
      <c r="R483" s="175"/>
      <c r="S483" s="175"/>
      <c r="T483" s="141"/>
      <c r="U483" s="415"/>
      <c r="V483" s="141"/>
      <c r="W483" s="141"/>
      <c r="X483" s="141"/>
      <c r="Y483" s="141"/>
      <c r="Z483" s="141"/>
      <c r="AA483" s="141"/>
      <c r="AB483" s="141"/>
      <c r="AC483" s="141"/>
      <c r="AD483" s="141"/>
      <c r="AE483" s="141"/>
      <c r="AF483" s="141"/>
      <c r="AG483" s="141"/>
      <c r="AH483" s="141"/>
      <c r="AI483" s="141"/>
      <c r="AJ483" s="141"/>
      <c r="AK483" s="141"/>
      <c r="AL483" s="141"/>
      <c r="AM483" s="141"/>
      <c r="AN483" s="364"/>
      <c r="AO483" s="363"/>
    </row>
    <row r="484" spans="1:41">
      <c r="A484" s="364"/>
      <c r="B484" s="141"/>
      <c r="C484" s="175"/>
      <c r="D484" s="416"/>
      <c r="E484" s="363"/>
      <c r="F484" s="302"/>
      <c r="G484" s="92"/>
      <c r="H484" s="175"/>
      <c r="I484" s="175"/>
      <c r="J484" s="52"/>
      <c r="K484" s="332"/>
      <c r="L484" s="332"/>
      <c r="M484" s="175"/>
      <c r="N484" s="332"/>
      <c r="O484" s="175"/>
      <c r="P484" s="175"/>
      <c r="Q484" s="175"/>
      <c r="R484" s="175"/>
      <c r="S484" s="175"/>
      <c r="T484" s="141"/>
      <c r="U484" s="415"/>
      <c r="V484" s="141"/>
      <c r="W484" s="141"/>
      <c r="X484" s="141"/>
      <c r="Y484" s="141"/>
      <c r="Z484" s="141"/>
      <c r="AA484" s="141"/>
      <c r="AB484" s="141"/>
      <c r="AC484" s="141"/>
      <c r="AD484" s="141"/>
      <c r="AE484" s="141"/>
      <c r="AF484" s="141"/>
      <c r="AG484" s="141"/>
      <c r="AH484" s="141"/>
      <c r="AI484" s="141"/>
      <c r="AJ484" s="141"/>
      <c r="AK484" s="141"/>
      <c r="AL484" s="141"/>
      <c r="AM484" s="141"/>
      <c r="AN484" s="364"/>
      <c r="AO484" s="363"/>
    </row>
    <row r="485" spans="1:41">
      <c r="A485" s="364"/>
      <c r="B485" s="141"/>
      <c r="C485" s="175"/>
      <c r="D485" s="416"/>
      <c r="E485" s="363"/>
      <c r="F485" s="302"/>
      <c r="G485" s="92"/>
      <c r="H485" s="175"/>
      <c r="I485" s="175"/>
      <c r="J485" s="52"/>
      <c r="K485" s="332"/>
      <c r="L485" s="332"/>
      <c r="M485" s="175"/>
      <c r="N485" s="332"/>
      <c r="O485" s="175"/>
      <c r="P485" s="175"/>
      <c r="Q485" s="175"/>
      <c r="R485" s="175"/>
      <c r="S485" s="175"/>
      <c r="T485" s="141"/>
      <c r="U485" s="415"/>
      <c r="V485" s="141"/>
      <c r="W485" s="141"/>
      <c r="X485" s="141"/>
      <c r="Y485" s="141"/>
      <c r="Z485" s="141"/>
      <c r="AA485" s="141"/>
      <c r="AB485" s="141"/>
      <c r="AC485" s="141"/>
      <c r="AD485" s="141"/>
      <c r="AE485" s="141"/>
      <c r="AF485" s="141"/>
      <c r="AG485" s="141"/>
      <c r="AH485" s="141"/>
      <c r="AI485" s="141"/>
      <c r="AJ485" s="141"/>
      <c r="AK485" s="141"/>
      <c r="AL485" s="141"/>
      <c r="AM485" s="141"/>
      <c r="AN485" s="364"/>
      <c r="AO485" s="363"/>
    </row>
    <row r="486" spans="1:41">
      <c r="A486" s="364"/>
      <c r="B486" s="141"/>
      <c r="C486" s="175"/>
      <c r="D486" s="416"/>
      <c r="E486" s="363"/>
      <c r="F486" s="302"/>
      <c r="G486" s="92"/>
      <c r="H486" s="175"/>
      <c r="I486" s="175"/>
      <c r="J486" s="52"/>
      <c r="K486" s="332"/>
      <c r="L486" s="332"/>
      <c r="M486" s="175"/>
      <c r="N486" s="332"/>
      <c r="O486" s="175"/>
      <c r="P486" s="175"/>
      <c r="Q486" s="175"/>
      <c r="R486" s="175"/>
      <c r="S486" s="175"/>
      <c r="T486" s="141"/>
      <c r="U486" s="415"/>
      <c r="V486" s="141"/>
      <c r="W486" s="141"/>
      <c r="X486" s="141"/>
      <c r="Y486" s="141"/>
      <c r="Z486" s="141"/>
      <c r="AA486" s="141"/>
      <c r="AB486" s="141"/>
      <c r="AC486" s="141"/>
      <c r="AD486" s="141"/>
      <c r="AE486" s="141"/>
      <c r="AF486" s="141"/>
      <c r="AG486" s="141"/>
      <c r="AH486" s="141"/>
      <c r="AI486" s="141"/>
      <c r="AJ486" s="141"/>
      <c r="AK486" s="141"/>
      <c r="AL486" s="141"/>
      <c r="AM486" s="141"/>
      <c r="AN486" s="364"/>
      <c r="AO486" s="363"/>
    </row>
    <row r="487" spans="1:41">
      <c r="A487" s="364"/>
      <c r="B487" s="141"/>
      <c r="C487" s="175"/>
      <c r="D487" s="416"/>
      <c r="E487" s="363"/>
      <c r="F487" s="302"/>
      <c r="G487" s="92"/>
      <c r="H487" s="175"/>
      <c r="I487" s="175"/>
      <c r="J487" s="52"/>
      <c r="K487" s="332"/>
      <c r="L487" s="332"/>
      <c r="M487" s="175"/>
      <c r="N487" s="332"/>
      <c r="O487" s="175"/>
      <c r="P487" s="175"/>
      <c r="Q487" s="175"/>
      <c r="R487" s="175"/>
      <c r="S487" s="175"/>
      <c r="T487" s="141"/>
      <c r="U487" s="415"/>
      <c r="V487" s="141"/>
      <c r="W487" s="141"/>
      <c r="X487" s="141"/>
      <c r="Y487" s="141"/>
      <c r="Z487" s="141"/>
      <c r="AA487" s="141"/>
      <c r="AB487" s="141"/>
      <c r="AC487" s="141"/>
      <c r="AD487" s="141"/>
      <c r="AE487" s="141"/>
      <c r="AF487" s="141"/>
      <c r="AG487" s="141"/>
      <c r="AH487" s="141"/>
      <c r="AI487" s="141"/>
      <c r="AJ487" s="141"/>
      <c r="AK487" s="141"/>
      <c r="AL487" s="141"/>
      <c r="AM487" s="141"/>
      <c r="AN487" s="364"/>
      <c r="AO487" s="363"/>
    </row>
    <row r="488" spans="1:41">
      <c r="A488" s="364"/>
      <c r="B488" s="141"/>
      <c r="C488" s="175"/>
      <c r="D488" s="416"/>
      <c r="E488" s="363"/>
      <c r="F488" s="302"/>
      <c r="G488" s="92"/>
      <c r="H488" s="175"/>
      <c r="I488" s="175"/>
      <c r="J488" s="52"/>
      <c r="K488" s="332"/>
      <c r="L488" s="332"/>
      <c r="M488" s="175"/>
      <c r="N488" s="332"/>
      <c r="O488" s="175"/>
      <c r="P488" s="175"/>
      <c r="Q488" s="175"/>
      <c r="R488" s="175"/>
      <c r="S488" s="175"/>
      <c r="T488" s="141"/>
      <c r="U488" s="415"/>
      <c r="V488" s="141"/>
      <c r="W488" s="141"/>
      <c r="X488" s="141"/>
      <c r="Y488" s="141"/>
      <c r="Z488" s="141"/>
      <c r="AA488" s="141"/>
      <c r="AB488" s="141"/>
      <c r="AC488" s="141"/>
      <c r="AD488" s="141"/>
      <c r="AE488" s="141"/>
      <c r="AF488" s="141"/>
      <c r="AG488" s="141"/>
      <c r="AH488" s="141"/>
      <c r="AI488" s="141"/>
      <c r="AJ488" s="141"/>
      <c r="AK488" s="141"/>
      <c r="AL488" s="141"/>
      <c r="AM488" s="141"/>
      <c r="AN488" s="364"/>
      <c r="AO488" s="363"/>
    </row>
    <row r="489" spans="1:41">
      <c r="A489" s="364"/>
      <c r="B489" s="141"/>
      <c r="C489" s="175"/>
      <c r="D489" s="416"/>
      <c r="E489" s="363"/>
      <c r="F489" s="302"/>
      <c r="G489" s="92"/>
      <c r="H489" s="175"/>
      <c r="I489" s="175"/>
      <c r="J489" s="52"/>
      <c r="K489" s="332"/>
      <c r="L489" s="332"/>
      <c r="M489" s="175"/>
      <c r="N489" s="332"/>
      <c r="O489" s="175"/>
      <c r="P489" s="175"/>
      <c r="Q489" s="175"/>
      <c r="R489" s="175"/>
      <c r="S489" s="175"/>
      <c r="T489" s="141"/>
      <c r="U489" s="415"/>
      <c r="V489" s="141"/>
      <c r="W489" s="141"/>
      <c r="X489" s="141"/>
      <c r="Y489" s="141"/>
      <c r="Z489" s="141"/>
      <c r="AA489" s="141"/>
      <c r="AB489" s="141"/>
      <c r="AC489" s="141"/>
      <c r="AD489" s="141"/>
      <c r="AE489" s="141"/>
      <c r="AF489" s="141"/>
      <c r="AG489" s="141"/>
      <c r="AH489" s="141"/>
      <c r="AI489" s="141"/>
      <c r="AJ489" s="141"/>
      <c r="AK489" s="141"/>
      <c r="AL489" s="141"/>
      <c r="AM489" s="141"/>
      <c r="AN489" s="364"/>
      <c r="AO489" s="363"/>
    </row>
    <row r="490" spans="1:41">
      <c r="A490" s="364"/>
      <c r="B490" s="141"/>
      <c r="C490" s="175"/>
      <c r="D490" s="416"/>
      <c r="E490" s="363"/>
      <c r="F490" s="302"/>
      <c r="G490" s="92"/>
      <c r="H490" s="175"/>
      <c r="I490" s="175"/>
      <c r="J490" s="52"/>
      <c r="K490" s="332"/>
      <c r="L490" s="332"/>
      <c r="M490" s="175"/>
      <c r="N490" s="332"/>
      <c r="O490" s="175"/>
      <c r="P490" s="175"/>
      <c r="Q490" s="175"/>
      <c r="R490" s="175"/>
      <c r="S490" s="175"/>
      <c r="T490" s="141"/>
      <c r="U490" s="415"/>
      <c r="V490" s="141"/>
      <c r="W490" s="141"/>
      <c r="X490" s="141"/>
      <c r="Y490" s="141"/>
      <c r="Z490" s="141"/>
      <c r="AA490" s="141"/>
      <c r="AB490" s="141"/>
      <c r="AC490" s="141"/>
      <c r="AD490" s="141"/>
      <c r="AE490" s="141"/>
      <c r="AF490" s="141"/>
      <c r="AG490" s="141"/>
      <c r="AH490" s="141"/>
      <c r="AI490" s="141"/>
      <c r="AJ490" s="141"/>
      <c r="AK490" s="141"/>
      <c r="AL490" s="141"/>
      <c r="AM490" s="141"/>
      <c r="AN490" s="364"/>
      <c r="AO490" s="363"/>
    </row>
    <row r="491" spans="1:41">
      <c r="A491" s="364"/>
      <c r="B491" s="141"/>
      <c r="C491" s="175"/>
      <c r="D491" s="416"/>
      <c r="E491" s="363"/>
      <c r="F491" s="302"/>
      <c r="G491" s="92"/>
      <c r="H491" s="175"/>
      <c r="I491" s="175"/>
      <c r="J491" s="52"/>
      <c r="K491" s="332"/>
      <c r="L491" s="332"/>
      <c r="M491" s="175"/>
      <c r="N491" s="332"/>
      <c r="O491" s="175"/>
      <c r="P491" s="175"/>
      <c r="Q491" s="175"/>
      <c r="R491" s="175"/>
      <c r="S491" s="175"/>
      <c r="T491" s="141"/>
      <c r="U491" s="415"/>
      <c r="V491" s="141"/>
      <c r="W491" s="141"/>
      <c r="X491" s="141"/>
      <c r="Y491" s="141"/>
      <c r="Z491" s="141"/>
      <c r="AA491" s="141"/>
      <c r="AB491" s="141"/>
      <c r="AC491" s="141"/>
      <c r="AD491" s="141"/>
      <c r="AE491" s="141"/>
      <c r="AF491" s="141"/>
      <c r="AG491" s="141"/>
      <c r="AH491" s="141"/>
      <c r="AI491" s="141"/>
      <c r="AJ491" s="141"/>
      <c r="AK491" s="141"/>
      <c r="AL491" s="141"/>
      <c r="AM491" s="141"/>
      <c r="AN491" s="364"/>
      <c r="AO491" s="363"/>
    </row>
    <row r="492" spans="1:41">
      <c r="A492" s="364"/>
      <c r="B492" s="141"/>
      <c r="C492" s="175"/>
      <c r="D492" s="416"/>
      <c r="E492" s="363"/>
      <c r="F492" s="302"/>
      <c r="G492" s="92"/>
      <c r="H492" s="175"/>
      <c r="I492" s="175"/>
      <c r="J492" s="52"/>
      <c r="K492" s="332"/>
      <c r="L492" s="332"/>
      <c r="M492" s="175"/>
      <c r="N492" s="332"/>
      <c r="O492" s="175"/>
      <c r="P492" s="175"/>
      <c r="Q492" s="175"/>
      <c r="R492" s="175"/>
      <c r="S492" s="175"/>
      <c r="T492" s="141"/>
      <c r="U492" s="415"/>
      <c r="V492" s="141"/>
      <c r="W492" s="141"/>
      <c r="X492" s="141"/>
      <c r="Y492" s="141"/>
      <c r="Z492" s="141"/>
      <c r="AA492" s="141"/>
      <c r="AB492" s="141"/>
      <c r="AC492" s="141"/>
      <c r="AD492" s="141"/>
      <c r="AE492" s="141"/>
      <c r="AF492" s="141"/>
      <c r="AG492" s="141"/>
      <c r="AH492" s="141"/>
      <c r="AI492" s="141"/>
      <c r="AJ492" s="141"/>
      <c r="AK492" s="141"/>
      <c r="AL492" s="141"/>
      <c r="AM492" s="141"/>
      <c r="AN492" s="364"/>
      <c r="AO492" s="363"/>
    </row>
    <row r="493" spans="1:41">
      <c r="A493" s="364"/>
      <c r="B493" s="141"/>
      <c r="C493" s="175"/>
      <c r="D493" s="416"/>
      <c r="E493" s="363"/>
      <c r="F493" s="302"/>
      <c r="G493" s="92"/>
      <c r="H493" s="175"/>
      <c r="I493" s="175"/>
      <c r="J493" s="52"/>
      <c r="K493" s="332"/>
      <c r="L493" s="332"/>
      <c r="M493" s="175"/>
      <c r="N493" s="332"/>
      <c r="O493" s="175"/>
      <c r="P493" s="175"/>
      <c r="Q493" s="175"/>
      <c r="R493" s="175"/>
      <c r="S493" s="175"/>
      <c r="T493" s="141"/>
      <c r="U493" s="415"/>
      <c r="V493" s="141"/>
      <c r="W493" s="141"/>
      <c r="X493" s="141"/>
      <c r="Y493" s="141"/>
      <c r="Z493" s="141"/>
      <c r="AA493" s="141"/>
      <c r="AB493" s="141"/>
      <c r="AC493" s="141"/>
      <c r="AD493" s="141"/>
      <c r="AE493" s="141"/>
      <c r="AF493" s="141"/>
      <c r="AG493" s="141"/>
      <c r="AH493" s="141"/>
      <c r="AI493" s="141"/>
      <c r="AJ493" s="141"/>
      <c r="AK493" s="141"/>
      <c r="AL493" s="141"/>
      <c r="AM493" s="141"/>
      <c r="AN493" s="364"/>
      <c r="AO493" s="363"/>
    </row>
    <row r="494" spans="1:41">
      <c r="A494" s="364"/>
      <c r="B494" s="141"/>
      <c r="C494" s="175"/>
      <c r="D494" s="416"/>
      <c r="E494" s="363"/>
      <c r="F494" s="302"/>
      <c r="G494" s="92"/>
      <c r="H494" s="175"/>
      <c r="I494" s="175"/>
      <c r="J494" s="52"/>
      <c r="K494" s="332"/>
      <c r="L494" s="332"/>
      <c r="M494" s="175"/>
      <c r="N494" s="332"/>
      <c r="O494" s="175"/>
      <c r="P494" s="175"/>
      <c r="Q494" s="175"/>
      <c r="R494" s="175"/>
      <c r="S494" s="175"/>
      <c r="T494" s="141"/>
      <c r="U494" s="415"/>
      <c r="V494" s="141"/>
      <c r="W494" s="141"/>
      <c r="X494" s="141"/>
      <c r="Y494" s="141"/>
      <c r="Z494" s="141"/>
      <c r="AA494" s="141"/>
      <c r="AB494" s="141"/>
      <c r="AC494" s="141"/>
      <c r="AD494" s="141"/>
      <c r="AE494" s="141"/>
      <c r="AF494" s="141"/>
      <c r="AG494" s="141"/>
      <c r="AH494" s="141"/>
      <c r="AI494" s="141"/>
      <c r="AJ494" s="141"/>
      <c r="AK494" s="141"/>
      <c r="AL494" s="141"/>
      <c r="AM494" s="141"/>
      <c r="AN494" s="364"/>
      <c r="AO494" s="363"/>
    </row>
    <row r="495" spans="1:41">
      <c r="A495" s="364"/>
      <c r="B495" s="141"/>
      <c r="C495" s="175"/>
      <c r="D495" s="416"/>
      <c r="E495" s="363"/>
      <c r="F495" s="302"/>
      <c r="G495" s="92"/>
      <c r="H495" s="175"/>
      <c r="I495" s="175"/>
      <c r="J495" s="52"/>
      <c r="K495" s="332"/>
      <c r="L495" s="332"/>
      <c r="M495" s="175"/>
      <c r="N495" s="332"/>
      <c r="O495" s="175"/>
      <c r="P495" s="175"/>
      <c r="Q495" s="175"/>
      <c r="R495" s="175"/>
      <c r="S495" s="175"/>
      <c r="T495" s="141"/>
      <c r="U495" s="415"/>
      <c r="V495" s="141"/>
      <c r="W495" s="141"/>
      <c r="X495" s="141"/>
      <c r="Y495" s="141"/>
      <c r="Z495" s="141"/>
      <c r="AA495" s="141"/>
      <c r="AB495" s="141"/>
      <c r="AC495" s="141"/>
      <c r="AD495" s="141"/>
      <c r="AE495" s="141"/>
      <c r="AF495" s="141"/>
      <c r="AG495" s="141"/>
      <c r="AH495" s="141"/>
      <c r="AI495" s="141"/>
      <c r="AJ495" s="141"/>
      <c r="AK495" s="141"/>
      <c r="AL495" s="141"/>
      <c r="AM495" s="141"/>
      <c r="AN495" s="364"/>
      <c r="AO495" s="363"/>
    </row>
    <row r="496" spans="1:41">
      <c r="A496" s="364"/>
      <c r="B496" s="141"/>
      <c r="C496" s="175"/>
      <c r="D496" s="416"/>
      <c r="E496" s="363"/>
      <c r="F496" s="302"/>
      <c r="G496" s="92"/>
      <c r="H496" s="175"/>
      <c r="I496" s="175"/>
      <c r="J496" s="52"/>
      <c r="K496" s="332"/>
      <c r="L496" s="332"/>
      <c r="M496" s="175"/>
      <c r="N496" s="332"/>
      <c r="O496" s="175"/>
      <c r="P496" s="175"/>
      <c r="Q496" s="175"/>
      <c r="R496" s="175"/>
      <c r="S496" s="175"/>
      <c r="T496" s="141"/>
      <c r="U496" s="415"/>
      <c r="V496" s="141"/>
      <c r="W496" s="141"/>
      <c r="X496" s="141"/>
      <c r="Y496" s="141"/>
      <c r="Z496" s="141"/>
      <c r="AA496" s="141"/>
      <c r="AB496" s="141"/>
      <c r="AC496" s="141"/>
      <c r="AD496" s="141"/>
      <c r="AE496" s="141"/>
      <c r="AF496" s="141"/>
      <c r="AG496" s="141"/>
      <c r="AH496" s="141"/>
      <c r="AI496" s="141"/>
      <c r="AJ496" s="141"/>
      <c r="AK496" s="141"/>
      <c r="AL496" s="141"/>
      <c r="AM496" s="141"/>
      <c r="AN496" s="364"/>
      <c r="AO496" s="363"/>
    </row>
    <row r="497" spans="1:41">
      <c r="A497" s="364"/>
      <c r="B497" s="141"/>
      <c r="C497" s="175"/>
      <c r="D497" s="416"/>
      <c r="E497" s="363"/>
      <c r="F497" s="302"/>
      <c r="G497" s="92"/>
      <c r="H497" s="175"/>
      <c r="I497" s="175"/>
      <c r="J497" s="52"/>
      <c r="K497" s="332"/>
      <c r="L497" s="332"/>
      <c r="M497" s="175"/>
      <c r="N497" s="332"/>
      <c r="O497" s="175"/>
      <c r="P497" s="175"/>
      <c r="Q497" s="175"/>
      <c r="R497" s="175"/>
      <c r="S497" s="175"/>
      <c r="T497" s="141"/>
      <c r="U497" s="415"/>
      <c r="V497" s="141"/>
      <c r="W497" s="141"/>
      <c r="X497" s="141"/>
      <c r="Y497" s="141"/>
      <c r="Z497" s="141"/>
      <c r="AA497" s="141"/>
      <c r="AB497" s="141"/>
      <c r="AC497" s="141"/>
      <c r="AD497" s="141"/>
      <c r="AE497" s="141"/>
      <c r="AF497" s="141"/>
      <c r="AG497" s="141"/>
      <c r="AH497" s="141"/>
      <c r="AI497" s="141"/>
      <c r="AJ497" s="141"/>
      <c r="AK497" s="141"/>
      <c r="AL497" s="141"/>
      <c r="AM497" s="141"/>
      <c r="AN497" s="364"/>
      <c r="AO497" s="363"/>
    </row>
    <row r="498" spans="1:41">
      <c r="A498" s="364"/>
      <c r="B498" s="141"/>
      <c r="C498" s="175"/>
      <c r="D498" s="416"/>
      <c r="E498" s="363"/>
      <c r="F498" s="302"/>
      <c r="G498" s="92"/>
      <c r="H498" s="175"/>
      <c r="I498" s="175"/>
      <c r="J498" s="52"/>
      <c r="K498" s="332"/>
      <c r="L498" s="332"/>
      <c r="M498" s="175"/>
      <c r="N498" s="332"/>
      <c r="O498" s="175"/>
      <c r="P498" s="175"/>
      <c r="Q498" s="175"/>
      <c r="R498" s="175"/>
      <c r="S498" s="175"/>
      <c r="T498" s="141"/>
      <c r="U498" s="415"/>
      <c r="V498" s="141"/>
      <c r="W498" s="141"/>
      <c r="X498" s="141"/>
      <c r="Y498" s="141"/>
      <c r="Z498" s="141"/>
      <c r="AA498" s="141"/>
      <c r="AB498" s="141"/>
      <c r="AC498" s="141"/>
      <c r="AD498" s="141"/>
      <c r="AE498" s="141"/>
      <c r="AF498" s="141"/>
      <c r="AG498" s="141"/>
      <c r="AH498" s="141"/>
      <c r="AI498" s="141"/>
      <c r="AJ498" s="141"/>
      <c r="AK498" s="141"/>
      <c r="AL498" s="141"/>
      <c r="AM498" s="141"/>
      <c r="AN498" s="364"/>
      <c r="AO498" s="363"/>
    </row>
    <row r="499" spans="1:41">
      <c r="A499" s="364"/>
      <c r="B499" s="141"/>
      <c r="C499" s="175"/>
      <c r="D499" s="416"/>
      <c r="E499" s="363"/>
      <c r="F499" s="302"/>
      <c r="G499" s="92"/>
      <c r="H499" s="175"/>
      <c r="I499" s="175"/>
      <c r="J499" s="52"/>
      <c r="K499" s="332"/>
      <c r="L499" s="332"/>
      <c r="M499" s="175"/>
      <c r="N499" s="332"/>
      <c r="O499" s="175"/>
      <c r="P499" s="175"/>
      <c r="Q499" s="175"/>
      <c r="R499" s="175"/>
      <c r="S499" s="175"/>
      <c r="T499" s="141"/>
      <c r="U499" s="415"/>
      <c r="V499" s="141"/>
      <c r="W499" s="141"/>
      <c r="X499" s="141"/>
      <c r="Y499" s="141"/>
      <c r="Z499" s="141"/>
      <c r="AA499" s="141"/>
      <c r="AB499" s="141"/>
      <c r="AC499" s="141"/>
      <c r="AD499" s="141"/>
      <c r="AE499" s="141"/>
      <c r="AF499" s="141"/>
      <c r="AG499" s="141"/>
      <c r="AH499" s="141"/>
      <c r="AI499" s="141"/>
      <c r="AJ499" s="141"/>
      <c r="AK499" s="141"/>
      <c r="AL499" s="141"/>
      <c r="AM499" s="141"/>
      <c r="AN499" s="364"/>
      <c r="AO499" s="363"/>
    </row>
    <row r="500" spans="1:41">
      <c r="A500" s="364"/>
      <c r="B500" s="141"/>
      <c r="C500" s="175"/>
      <c r="D500" s="416"/>
      <c r="E500" s="363"/>
      <c r="F500" s="302"/>
      <c r="G500" s="92"/>
      <c r="H500" s="175"/>
      <c r="I500" s="175"/>
      <c r="J500" s="52"/>
      <c r="K500" s="332"/>
      <c r="L500" s="332"/>
      <c r="M500" s="175"/>
      <c r="N500" s="332"/>
      <c r="O500" s="175"/>
      <c r="P500" s="175"/>
      <c r="Q500" s="175"/>
      <c r="R500" s="175"/>
      <c r="S500" s="175"/>
      <c r="T500" s="141"/>
      <c r="U500" s="415"/>
      <c r="V500" s="141"/>
      <c r="W500" s="141"/>
      <c r="X500" s="141"/>
      <c r="Y500" s="141"/>
      <c r="Z500" s="141"/>
      <c r="AA500" s="141"/>
      <c r="AB500" s="141"/>
      <c r="AC500" s="141"/>
      <c r="AD500" s="141"/>
      <c r="AE500" s="141"/>
      <c r="AF500" s="141"/>
      <c r="AG500" s="141"/>
      <c r="AH500" s="141"/>
      <c r="AI500" s="141"/>
      <c r="AJ500" s="141"/>
      <c r="AK500" s="141"/>
      <c r="AL500" s="141"/>
      <c r="AM500" s="141"/>
      <c r="AN500" s="364"/>
      <c r="AO500" s="363"/>
    </row>
    <row r="501" spans="1:41">
      <c r="A501" s="364"/>
      <c r="B501" s="141"/>
      <c r="C501" s="175"/>
      <c r="D501" s="416"/>
      <c r="E501" s="363"/>
      <c r="F501" s="302"/>
      <c r="G501" s="92"/>
      <c r="H501" s="175"/>
      <c r="I501" s="175"/>
      <c r="J501" s="52"/>
      <c r="K501" s="332"/>
      <c r="L501" s="332"/>
      <c r="M501" s="175"/>
      <c r="N501" s="332"/>
      <c r="O501" s="175"/>
      <c r="P501" s="175"/>
      <c r="Q501" s="175"/>
      <c r="R501" s="175"/>
      <c r="S501" s="175"/>
      <c r="T501" s="141"/>
      <c r="U501" s="415"/>
      <c r="V501" s="141"/>
      <c r="W501" s="141"/>
      <c r="X501" s="141"/>
      <c r="Y501" s="141"/>
      <c r="Z501" s="141"/>
      <c r="AA501" s="141"/>
      <c r="AB501" s="141"/>
      <c r="AC501" s="141"/>
      <c r="AD501" s="141"/>
      <c r="AE501" s="141"/>
      <c r="AF501" s="141"/>
      <c r="AG501" s="141"/>
      <c r="AH501" s="141"/>
      <c r="AI501" s="141"/>
      <c r="AJ501" s="141"/>
      <c r="AK501" s="141"/>
      <c r="AL501" s="141"/>
      <c r="AM501" s="141"/>
      <c r="AN501" s="364"/>
      <c r="AO501" s="363"/>
    </row>
    <row r="502" spans="1:41">
      <c r="A502" s="364"/>
      <c r="B502" s="141"/>
      <c r="C502" s="175"/>
      <c r="D502" s="416"/>
      <c r="E502" s="363"/>
      <c r="F502" s="302"/>
      <c r="G502" s="92"/>
      <c r="H502" s="175"/>
      <c r="I502" s="175"/>
      <c r="J502" s="52"/>
      <c r="K502" s="332"/>
      <c r="L502" s="332"/>
      <c r="M502" s="175"/>
      <c r="N502" s="332"/>
      <c r="O502" s="175"/>
      <c r="P502" s="175"/>
      <c r="Q502" s="175"/>
      <c r="R502" s="175"/>
      <c r="S502" s="175"/>
      <c r="T502" s="141"/>
      <c r="U502" s="415"/>
      <c r="V502" s="141"/>
      <c r="W502" s="141"/>
      <c r="X502" s="141"/>
      <c r="Y502" s="141"/>
      <c r="Z502" s="141"/>
      <c r="AA502" s="141"/>
      <c r="AB502" s="141"/>
      <c r="AC502" s="141"/>
      <c r="AD502" s="141"/>
      <c r="AE502" s="141"/>
      <c r="AF502" s="141"/>
      <c r="AG502" s="141"/>
      <c r="AH502" s="141"/>
      <c r="AI502" s="141"/>
      <c r="AJ502" s="141"/>
      <c r="AK502" s="141"/>
      <c r="AL502" s="141"/>
      <c r="AM502" s="141"/>
      <c r="AN502" s="364"/>
      <c r="AO502" s="363"/>
    </row>
    <row r="503" spans="1:41">
      <c r="A503" s="364"/>
      <c r="B503" s="141"/>
      <c r="C503" s="175"/>
      <c r="D503" s="416"/>
      <c r="E503" s="363"/>
      <c r="F503" s="302"/>
      <c r="G503" s="92"/>
      <c r="H503" s="175"/>
      <c r="I503" s="175"/>
      <c r="J503" s="52"/>
      <c r="K503" s="332"/>
      <c r="L503" s="332"/>
      <c r="M503" s="175"/>
      <c r="N503" s="332"/>
      <c r="O503" s="175"/>
      <c r="P503" s="175"/>
      <c r="Q503" s="175"/>
      <c r="R503" s="175"/>
      <c r="S503" s="175"/>
      <c r="T503" s="141"/>
      <c r="U503" s="415"/>
      <c r="V503" s="141"/>
      <c r="W503" s="141"/>
      <c r="X503" s="141"/>
      <c r="Y503" s="141"/>
      <c r="Z503" s="141"/>
      <c r="AA503" s="141"/>
      <c r="AB503" s="141"/>
      <c r="AC503" s="141"/>
      <c r="AD503" s="141"/>
      <c r="AE503" s="141"/>
      <c r="AF503" s="141"/>
      <c r="AG503" s="141"/>
      <c r="AH503" s="141"/>
      <c r="AI503" s="141"/>
      <c r="AJ503" s="141"/>
      <c r="AK503" s="141"/>
      <c r="AL503" s="141"/>
      <c r="AM503" s="141"/>
      <c r="AN503" s="364"/>
      <c r="AO503" s="363"/>
    </row>
    <row r="504" spans="1:41">
      <c r="A504" s="364"/>
      <c r="B504" s="141"/>
      <c r="C504" s="175"/>
      <c r="D504" s="416"/>
      <c r="E504" s="363"/>
      <c r="F504" s="302"/>
      <c r="G504" s="92"/>
      <c r="H504" s="175"/>
      <c r="I504" s="175"/>
      <c r="J504" s="52"/>
      <c r="K504" s="332"/>
      <c r="L504" s="332"/>
      <c r="M504" s="175"/>
      <c r="N504" s="332"/>
      <c r="O504" s="175"/>
      <c r="P504" s="175"/>
      <c r="Q504" s="175"/>
      <c r="R504" s="175"/>
      <c r="S504" s="175"/>
      <c r="T504" s="141"/>
      <c r="U504" s="415"/>
      <c r="V504" s="141"/>
      <c r="W504" s="141"/>
      <c r="X504" s="141"/>
      <c r="Y504" s="141"/>
      <c r="Z504" s="141"/>
      <c r="AA504" s="141"/>
      <c r="AB504" s="141"/>
      <c r="AC504" s="141"/>
      <c r="AD504" s="141"/>
      <c r="AE504" s="141"/>
      <c r="AF504" s="141"/>
      <c r="AG504" s="141"/>
      <c r="AH504" s="141"/>
      <c r="AI504" s="141"/>
      <c r="AJ504" s="141"/>
      <c r="AK504" s="141"/>
      <c r="AL504" s="141"/>
      <c r="AM504" s="141"/>
      <c r="AN504" s="364"/>
      <c r="AO504" s="363"/>
    </row>
    <row r="505" spans="1:41">
      <c r="A505" s="364"/>
      <c r="B505" s="141"/>
      <c r="C505" s="175"/>
      <c r="D505" s="416"/>
      <c r="E505" s="363"/>
      <c r="F505" s="302"/>
      <c r="G505" s="92"/>
      <c r="H505" s="175"/>
      <c r="I505" s="175"/>
      <c r="J505" s="52"/>
      <c r="K505" s="332"/>
      <c r="L505" s="332"/>
      <c r="M505" s="175"/>
      <c r="N505" s="332"/>
      <c r="O505" s="175"/>
      <c r="P505" s="175"/>
      <c r="Q505" s="175"/>
      <c r="R505" s="175"/>
      <c r="S505" s="175"/>
      <c r="T505" s="141"/>
      <c r="U505" s="415"/>
      <c r="V505" s="141"/>
      <c r="W505" s="141"/>
      <c r="X505" s="141"/>
      <c r="Y505" s="141"/>
      <c r="Z505" s="141"/>
      <c r="AA505" s="141"/>
      <c r="AB505" s="141"/>
      <c r="AC505" s="141"/>
      <c r="AD505" s="141"/>
      <c r="AE505" s="141"/>
      <c r="AF505" s="141"/>
      <c r="AG505" s="141"/>
      <c r="AH505" s="141"/>
      <c r="AI505" s="141"/>
      <c r="AJ505" s="141"/>
      <c r="AK505" s="141"/>
      <c r="AL505" s="141"/>
      <c r="AM505" s="141"/>
      <c r="AN505" s="364"/>
      <c r="AO505" s="363"/>
    </row>
    <row r="506" spans="1:41">
      <c r="A506" s="364"/>
      <c r="B506" s="141"/>
      <c r="C506" s="175"/>
      <c r="D506" s="416"/>
      <c r="E506" s="363"/>
      <c r="F506" s="302"/>
      <c r="G506" s="92"/>
      <c r="H506" s="175"/>
      <c r="I506" s="175"/>
      <c r="J506" s="52"/>
      <c r="K506" s="332"/>
      <c r="L506" s="332"/>
      <c r="M506" s="175"/>
      <c r="N506" s="332"/>
      <c r="O506" s="175"/>
      <c r="P506" s="175"/>
      <c r="Q506" s="175"/>
      <c r="R506" s="175"/>
      <c r="S506" s="175"/>
      <c r="T506" s="141"/>
      <c r="U506" s="415"/>
      <c r="V506" s="141"/>
      <c r="W506" s="141"/>
      <c r="X506" s="141"/>
      <c r="Y506" s="141"/>
      <c r="Z506" s="141"/>
      <c r="AA506" s="141"/>
      <c r="AB506" s="141"/>
      <c r="AC506" s="141"/>
      <c r="AD506" s="141"/>
      <c r="AE506" s="141"/>
      <c r="AF506" s="141"/>
      <c r="AG506" s="141"/>
      <c r="AH506" s="141"/>
      <c r="AI506" s="141"/>
      <c r="AJ506" s="141"/>
      <c r="AK506" s="141"/>
      <c r="AL506" s="141"/>
      <c r="AM506" s="141"/>
      <c r="AN506" s="364"/>
      <c r="AO506" s="363"/>
    </row>
    <row r="507" spans="1:41">
      <c r="A507" s="364"/>
      <c r="B507" s="141"/>
      <c r="C507" s="175"/>
      <c r="D507" s="416"/>
      <c r="E507" s="363"/>
      <c r="F507" s="302"/>
      <c r="G507" s="92"/>
      <c r="H507" s="175"/>
      <c r="I507" s="175"/>
      <c r="J507" s="52"/>
      <c r="K507" s="332"/>
      <c r="L507" s="332"/>
      <c r="M507" s="175"/>
      <c r="N507" s="332"/>
      <c r="O507" s="175"/>
      <c r="P507" s="175"/>
      <c r="Q507" s="175"/>
      <c r="R507" s="175"/>
      <c r="S507" s="175"/>
      <c r="T507" s="141"/>
      <c r="U507" s="415"/>
      <c r="V507" s="141"/>
      <c r="W507" s="141"/>
      <c r="X507" s="141"/>
      <c r="Y507" s="141"/>
      <c r="Z507" s="141"/>
      <c r="AA507" s="141"/>
      <c r="AB507" s="141"/>
      <c r="AC507" s="141"/>
      <c r="AD507" s="141"/>
      <c r="AE507" s="141"/>
      <c r="AF507" s="141"/>
      <c r="AG507" s="141"/>
      <c r="AH507" s="141"/>
      <c r="AI507" s="141"/>
      <c r="AJ507" s="141"/>
      <c r="AK507" s="141"/>
      <c r="AL507" s="141"/>
      <c r="AM507" s="141"/>
      <c r="AN507" s="364"/>
      <c r="AO507" s="363"/>
    </row>
    <row r="508" spans="1:41">
      <c r="A508" s="364"/>
      <c r="B508" s="141"/>
      <c r="C508" s="175"/>
      <c r="D508" s="416"/>
      <c r="E508" s="363"/>
      <c r="F508" s="302"/>
      <c r="G508" s="92"/>
      <c r="H508" s="175"/>
      <c r="I508" s="175"/>
      <c r="J508" s="52"/>
      <c r="K508" s="332"/>
      <c r="L508" s="332"/>
      <c r="M508" s="175"/>
      <c r="N508" s="332"/>
      <c r="O508" s="175"/>
      <c r="P508" s="175"/>
      <c r="Q508" s="175"/>
      <c r="R508" s="175"/>
      <c r="S508" s="175"/>
      <c r="T508" s="141"/>
      <c r="U508" s="415"/>
      <c r="V508" s="141"/>
      <c r="W508" s="141"/>
      <c r="X508" s="141"/>
      <c r="Y508" s="141"/>
      <c r="Z508" s="141"/>
      <c r="AA508" s="141"/>
      <c r="AB508" s="141"/>
      <c r="AC508" s="141"/>
      <c r="AD508" s="141"/>
      <c r="AE508" s="141"/>
      <c r="AF508" s="141"/>
      <c r="AG508" s="141"/>
      <c r="AH508" s="141"/>
      <c r="AI508" s="141"/>
      <c r="AJ508" s="141"/>
      <c r="AK508" s="141"/>
      <c r="AL508" s="141"/>
      <c r="AM508" s="141"/>
      <c r="AN508" s="364"/>
      <c r="AO508" s="363"/>
    </row>
    <row r="509" spans="1:41">
      <c r="A509" s="364"/>
      <c r="B509" s="141"/>
      <c r="C509" s="175"/>
      <c r="D509" s="416"/>
      <c r="E509" s="363"/>
      <c r="F509" s="302"/>
      <c r="G509" s="92"/>
      <c r="H509" s="175"/>
      <c r="I509" s="175"/>
      <c r="J509" s="52"/>
      <c r="K509" s="332"/>
      <c r="L509" s="332"/>
      <c r="M509" s="175"/>
      <c r="N509" s="332"/>
      <c r="O509" s="175"/>
      <c r="P509" s="175"/>
      <c r="Q509" s="175"/>
      <c r="R509" s="175"/>
      <c r="S509" s="175"/>
      <c r="T509" s="141"/>
      <c r="U509" s="415"/>
      <c r="V509" s="141"/>
      <c r="W509" s="141"/>
      <c r="X509" s="141"/>
      <c r="Y509" s="141"/>
      <c r="Z509" s="141"/>
      <c r="AA509" s="141"/>
      <c r="AB509" s="141"/>
      <c r="AC509" s="141"/>
      <c r="AD509" s="141"/>
      <c r="AE509" s="141"/>
      <c r="AF509" s="141"/>
      <c r="AG509" s="141"/>
      <c r="AH509" s="141"/>
      <c r="AI509" s="141"/>
      <c r="AJ509" s="141"/>
      <c r="AK509" s="141"/>
      <c r="AL509" s="141"/>
      <c r="AM509" s="141"/>
      <c r="AN509" s="364"/>
      <c r="AO509" s="363"/>
    </row>
    <row r="510" spans="1:41">
      <c r="A510" s="364"/>
      <c r="B510" s="141"/>
      <c r="C510" s="175"/>
      <c r="D510" s="416"/>
      <c r="E510" s="363"/>
      <c r="F510" s="302"/>
      <c r="G510" s="92"/>
      <c r="H510" s="175"/>
      <c r="I510" s="175"/>
      <c r="J510" s="52"/>
      <c r="K510" s="332"/>
      <c r="L510" s="332"/>
      <c r="M510" s="175"/>
      <c r="N510" s="332"/>
      <c r="O510" s="175"/>
      <c r="P510" s="175"/>
      <c r="Q510" s="175"/>
      <c r="R510" s="175"/>
      <c r="S510" s="175"/>
      <c r="T510" s="141"/>
      <c r="U510" s="415"/>
      <c r="V510" s="141"/>
      <c r="W510" s="141"/>
      <c r="X510" s="141"/>
      <c r="Y510" s="141"/>
      <c r="Z510" s="141"/>
      <c r="AA510" s="141"/>
      <c r="AB510" s="141"/>
      <c r="AC510" s="141"/>
      <c r="AD510" s="141"/>
      <c r="AE510" s="141"/>
      <c r="AF510" s="141"/>
      <c r="AG510" s="141"/>
      <c r="AH510" s="141"/>
      <c r="AI510" s="141"/>
      <c r="AJ510" s="141"/>
      <c r="AK510" s="141"/>
      <c r="AL510" s="141"/>
      <c r="AM510" s="141"/>
      <c r="AN510" s="364"/>
      <c r="AO510" s="363"/>
    </row>
    <row r="511" spans="1:41">
      <c r="A511" s="364"/>
      <c r="B511" s="141"/>
      <c r="C511" s="175"/>
      <c r="D511" s="416"/>
      <c r="E511" s="363"/>
      <c r="F511" s="302"/>
      <c r="G511" s="92"/>
      <c r="H511" s="175"/>
      <c r="I511" s="175"/>
      <c r="J511" s="52"/>
      <c r="K511" s="332"/>
      <c r="L511" s="332"/>
      <c r="M511" s="175"/>
      <c r="N511" s="332"/>
      <c r="O511" s="175"/>
      <c r="P511" s="175"/>
      <c r="Q511" s="175"/>
      <c r="R511" s="175"/>
      <c r="S511" s="175"/>
      <c r="T511" s="141"/>
      <c r="U511" s="415"/>
      <c r="V511" s="141"/>
      <c r="W511" s="141"/>
      <c r="X511" s="141"/>
      <c r="Y511" s="141"/>
      <c r="Z511" s="141"/>
      <c r="AA511" s="141"/>
      <c r="AB511" s="141"/>
      <c r="AC511" s="141"/>
      <c r="AD511" s="141"/>
      <c r="AE511" s="141"/>
      <c r="AF511" s="141"/>
      <c r="AG511" s="141"/>
      <c r="AH511" s="141"/>
      <c r="AI511" s="141"/>
      <c r="AJ511" s="141"/>
      <c r="AK511" s="141"/>
      <c r="AL511" s="141"/>
      <c r="AM511" s="141"/>
      <c r="AN511" s="364"/>
      <c r="AO511" s="363"/>
    </row>
    <row r="512" spans="1:41">
      <c r="A512" s="364"/>
      <c r="B512" s="141"/>
      <c r="C512" s="175"/>
      <c r="D512" s="416"/>
      <c r="E512" s="363"/>
      <c r="F512" s="302"/>
      <c r="G512" s="92"/>
      <c r="H512" s="175"/>
      <c r="I512" s="175"/>
      <c r="J512" s="52"/>
      <c r="K512" s="332"/>
      <c r="L512" s="332"/>
      <c r="M512" s="175"/>
      <c r="N512" s="332"/>
      <c r="O512" s="175"/>
      <c r="P512" s="175"/>
      <c r="Q512" s="175"/>
      <c r="R512" s="175"/>
      <c r="S512" s="175"/>
      <c r="T512" s="141"/>
      <c r="U512" s="415"/>
      <c r="V512" s="141"/>
      <c r="W512" s="141"/>
      <c r="X512" s="141"/>
      <c r="Y512" s="141"/>
      <c r="Z512" s="141"/>
      <c r="AA512" s="141"/>
      <c r="AB512" s="141"/>
      <c r="AC512" s="141"/>
      <c r="AD512" s="141"/>
      <c r="AE512" s="141"/>
      <c r="AF512" s="141"/>
      <c r="AG512" s="141"/>
      <c r="AH512" s="141"/>
      <c r="AI512" s="141"/>
      <c r="AJ512" s="141"/>
      <c r="AK512" s="141"/>
      <c r="AL512" s="141"/>
      <c r="AM512" s="141"/>
      <c r="AN512" s="364"/>
      <c r="AO512" s="363"/>
    </row>
    <row r="513" spans="1:41">
      <c r="A513" s="364"/>
      <c r="B513" s="141"/>
      <c r="C513" s="175"/>
      <c r="D513" s="416"/>
      <c r="E513" s="363"/>
      <c r="F513" s="302"/>
      <c r="G513" s="92"/>
      <c r="H513" s="175"/>
      <c r="I513" s="175"/>
      <c r="J513" s="52"/>
      <c r="K513" s="332"/>
      <c r="L513" s="332"/>
      <c r="M513" s="175"/>
      <c r="N513" s="332"/>
      <c r="O513" s="175"/>
      <c r="P513" s="175"/>
      <c r="Q513" s="175"/>
      <c r="R513" s="175"/>
      <c r="S513" s="175"/>
      <c r="T513" s="141"/>
      <c r="U513" s="415"/>
      <c r="V513" s="141"/>
      <c r="W513" s="141"/>
      <c r="X513" s="141"/>
      <c r="Y513" s="141"/>
      <c r="Z513" s="141"/>
      <c r="AA513" s="141"/>
      <c r="AB513" s="141"/>
      <c r="AC513" s="141"/>
      <c r="AD513" s="141"/>
      <c r="AE513" s="141"/>
      <c r="AF513" s="141"/>
      <c r="AG513" s="141"/>
      <c r="AH513" s="141"/>
      <c r="AI513" s="141"/>
      <c r="AJ513" s="141"/>
      <c r="AK513" s="141"/>
      <c r="AL513" s="141"/>
      <c r="AM513" s="141"/>
      <c r="AN513" s="364"/>
      <c r="AO513" s="363"/>
    </row>
    <row r="514" spans="1:41">
      <c r="A514" s="364"/>
      <c r="B514" s="141"/>
      <c r="C514" s="175"/>
      <c r="D514" s="416"/>
      <c r="E514" s="363"/>
      <c r="F514" s="302"/>
      <c r="G514" s="92"/>
      <c r="H514" s="175"/>
      <c r="I514" s="175"/>
      <c r="J514" s="52"/>
      <c r="K514" s="332"/>
      <c r="L514" s="332"/>
      <c r="M514" s="175"/>
      <c r="N514" s="332"/>
      <c r="O514" s="175"/>
      <c r="P514" s="175"/>
      <c r="Q514" s="175"/>
      <c r="R514" s="175"/>
      <c r="S514" s="175"/>
      <c r="T514" s="141"/>
      <c r="U514" s="415"/>
      <c r="V514" s="141"/>
      <c r="W514" s="141"/>
      <c r="X514" s="141"/>
      <c r="Y514" s="141"/>
      <c r="Z514" s="141"/>
      <c r="AA514" s="141"/>
      <c r="AB514" s="141"/>
      <c r="AC514" s="141"/>
      <c r="AD514" s="141"/>
      <c r="AE514" s="141"/>
      <c r="AF514" s="141"/>
      <c r="AG514" s="141"/>
      <c r="AH514" s="141"/>
      <c r="AI514" s="141"/>
      <c r="AJ514" s="141"/>
      <c r="AK514" s="141"/>
      <c r="AL514" s="141"/>
      <c r="AM514" s="141"/>
      <c r="AN514" s="364"/>
      <c r="AO514" s="363"/>
    </row>
    <row r="515" spans="1:41">
      <c r="A515" s="364"/>
      <c r="B515" s="141"/>
      <c r="C515" s="175"/>
      <c r="D515" s="416"/>
      <c r="E515" s="363"/>
      <c r="F515" s="302"/>
      <c r="G515" s="92"/>
      <c r="H515" s="175"/>
      <c r="I515" s="175"/>
      <c r="J515" s="52"/>
      <c r="K515" s="332"/>
      <c r="L515" s="332"/>
      <c r="M515" s="175"/>
      <c r="N515" s="332"/>
      <c r="O515" s="175"/>
      <c r="P515" s="175"/>
      <c r="Q515" s="175"/>
      <c r="R515" s="175"/>
      <c r="S515" s="175"/>
      <c r="T515" s="141"/>
      <c r="U515" s="415"/>
      <c r="V515" s="141"/>
      <c r="W515" s="141"/>
      <c r="X515" s="141"/>
      <c r="Y515" s="141"/>
      <c r="Z515" s="141"/>
      <c r="AA515" s="141"/>
      <c r="AB515" s="141"/>
      <c r="AC515" s="141"/>
      <c r="AD515" s="141"/>
      <c r="AE515" s="141"/>
      <c r="AF515" s="141"/>
      <c r="AG515" s="141"/>
      <c r="AH515" s="141"/>
      <c r="AI515" s="141"/>
      <c r="AJ515" s="141"/>
      <c r="AK515" s="141"/>
      <c r="AL515" s="141"/>
      <c r="AM515" s="141"/>
      <c r="AN515" s="364"/>
      <c r="AO515" s="363"/>
    </row>
    <row r="516" spans="1:41">
      <c r="A516" s="364"/>
      <c r="B516" s="141"/>
      <c r="C516" s="175"/>
      <c r="D516" s="416"/>
      <c r="E516" s="363"/>
      <c r="F516" s="302"/>
      <c r="G516" s="92"/>
      <c r="H516" s="175"/>
      <c r="I516" s="175"/>
      <c r="J516" s="52"/>
      <c r="K516" s="332"/>
      <c r="L516" s="332"/>
      <c r="M516" s="175"/>
      <c r="N516" s="332"/>
      <c r="O516" s="175"/>
      <c r="P516" s="175"/>
      <c r="Q516" s="175"/>
      <c r="R516" s="175"/>
      <c r="S516" s="175"/>
      <c r="T516" s="141"/>
      <c r="U516" s="415"/>
      <c r="V516" s="141"/>
      <c r="W516" s="141"/>
      <c r="X516" s="141"/>
      <c r="Y516" s="141"/>
      <c r="Z516" s="141"/>
      <c r="AA516" s="141"/>
      <c r="AB516" s="141"/>
      <c r="AC516" s="141"/>
      <c r="AD516" s="141"/>
      <c r="AE516" s="141"/>
      <c r="AF516" s="141"/>
      <c r="AG516" s="141"/>
      <c r="AH516" s="141"/>
      <c r="AI516" s="141"/>
      <c r="AJ516" s="141"/>
      <c r="AK516" s="141"/>
      <c r="AL516" s="141"/>
      <c r="AM516" s="141"/>
      <c r="AN516" s="364"/>
      <c r="AO516" s="363"/>
    </row>
    <row r="517" spans="1:41">
      <c r="A517" s="364"/>
      <c r="B517" s="141"/>
      <c r="C517" s="175"/>
      <c r="D517" s="416"/>
      <c r="E517" s="363"/>
      <c r="F517" s="302"/>
      <c r="G517" s="92"/>
      <c r="H517" s="175"/>
      <c r="I517" s="175"/>
      <c r="J517" s="52"/>
      <c r="K517" s="332"/>
      <c r="L517" s="332"/>
      <c r="M517" s="175"/>
      <c r="N517" s="332"/>
      <c r="O517" s="175"/>
      <c r="P517" s="175"/>
      <c r="Q517" s="175"/>
      <c r="R517" s="175"/>
      <c r="S517" s="175"/>
      <c r="T517" s="141"/>
      <c r="U517" s="415"/>
      <c r="V517" s="141"/>
      <c r="W517" s="141"/>
      <c r="X517" s="141"/>
      <c r="Y517" s="141"/>
      <c r="Z517" s="141"/>
      <c r="AA517" s="141"/>
      <c r="AB517" s="141"/>
      <c r="AC517" s="141"/>
      <c r="AD517" s="141"/>
      <c r="AE517" s="141"/>
      <c r="AF517" s="141"/>
      <c r="AG517" s="141"/>
      <c r="AH517" s="141"/>
      <c r="AI517" s="141"/>
      <c r="AJ517" s="141"/>
      <c r="AK517" s="141"/>
      <c r="AL517" s="141"/>
      <c r="AM517" s="141"/>
      <c r="AN517" s="364"/>
      <c r="AO517" s="363"/>
    </row>
    <row r="518" spans="1:41">
      <c r="A518" s="364"/>
      <c r="B518" s="141"/>
      <c r="C518" s="175"/>
      <c r="D518" s="416"/>
      <c r="E518" s="363"/>
      <c r="F518" s="302"/>
      <c r="G518" s="92"/>
      <c r="H518" s="175"/>
      <c r="I518" s="175"/>
      <c r="J518" s="52"/>
      <c r="K518" s="332"/>
      <c r="L518" s="332"/>
      <c r="M518" s="175"/>
      <c r="N518" s="332"/>
      <c r="O518" s="175"/>
      <c r="P518" s="175"/>
      <c r="Q518" s="175"/>
      <c r="R518" s="175"/>
      <c r="S518" s="175"/>
      <c r="T518" s="141"/>
      <c r="U518" s="415"/>
      <c r="V518" s="141"/>
      <c r="W518" s="141"/>
      <c r="X518" s="141"/>
      <c r="Y518" s="141"/>
      <c r="Z518" s="141"/>
      <c r="AA518" s="141"/>
      <c r="AB518" s="141"/>
      <c r="AC518" s="141"/>
      <c r="AD518" s="141"/>
      <c r="AE518" s="141"/>
      <c r="AF518" s="141"/>
      <c r="AG518" s="141"/>
      <c r="AH518" s="141"/>
      <c r="AI518" s="141"/>
      <c r="AJ518" s="141"/>
      <c r="AK518" s="141"/>
      <c r="AL518" s="141"/>
      <c r="AM518" s="141"/>
      <c r="AN518" s="364"/>
      <c r="AO518" s="363"/>
    </row>
    <row r="519" spans="1:41">
      <c r="A519" s="364"/>
      <c r="B519" s="141"/>
      <c r="C519" s="175"/>
      <c r="D519" s="416"/>
      <c r="E519" s="363"/>
      <c r="F519" s="302"/>
      <c r="G519" s="92"/>
      <c r="H519" s="175"/>
      <c r="I519" s="175"/>
      <c r="J519" s="52"/>
      <c r="K519" s="332"/>
      <c r="L519" s="332"/>
      <c r="M519" s="175"/>
      <c r="N519" s="332"/>
      <c r="O519" s="175"/>
      <c r="P519" s="175"/>
      <c r="Q519" s="175"/>
      <c r="R519" s="175"/>
      <c r="S519" s="175"/>
      <c r="T519" s="141"/>
      <c r="U519" s="415"/>
      <c r="V519" s="141"/>
      <c r="W519" s="141"/>
      <c r="X519" s="141"/>
      <c r="Y519" s="141"/>
      <c r="Z519" s="141"/>
      <c r="AA519" s="141"/>
      <c r="AB519" s="141"/>
      <c r="AC519" s="141"/>
      <c r="AD519" s="141"/>
      <c r="AE519" s="141"/>
      <c r="AF519" s="141"/>
      <c r="AG519" s="141"/>
      <c r="AH519" s="141"/>
      <c r="AI519" s="141"/>
      <c r="AJ519" s="141"/>
      <c r="AK519" s="141"/>
      <c r="AL519" s="141"/>
      <c r="AM519" s="141"/>
      <c r="AN519" s="364"/>
      <c r="AO519" s="363"/>
    </row>
    <row r="520" spans="1:41">
      <c r="A520" s="364"/>
      <c r="B520" s="141"/>
      <c r="C520" s="175"/>
      <c r="D520" s="416"/>
      <c r="E520" s="363"/>
      <c r="F520" s="302"/>
      <c r="G520" s="92"/>
      <c r="H520" s="175"/>
      <c r="I520" s="175"/>
      <c r="J520" s="52"/>
      <c r="K520" s="332"/>
      <c r="L520" s="332"/>
      <c r="M520" s="175"/>
      <c r="N520" s="332"/>
      <c r="O520" s="175"/>
      <c r="P520" s="175"/>
      <c r="Q520" s="175"/>
      <c r="R520" s="175"/>
      <c r="S520" s="175"/>
      <c r="T520" s="141"/>
      <c r="U520" s="415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1"/>
      <c r="AH520" s="141"/>
      <c r="AI520" s="141"/>
      <c r="AJ520" s="141"/>
      <c r="AK520" s="141"/>
      <c r="AL520" s="141"/>
      <c r="AM520" s="141"/>
      <c r="AN520" s="364"/>
      <c r="AO520" s="363"/>
    </row>
    <row r="521" spans="1:41">
      <c r="A521" s="364"/>
      <c r="B521" s="141"/>
      <c r="C521" s="175"/>
      <c r="D521" s="416"/>
      <c r="E521" s="363"/>
      <c r="F521" s="302"/>
      <c r="G521" s="92"/>
      <c r="H521" s="175"/>
      <c r="I521" s="175"/>
      <c r="J521" s="52"/>
      <c r="K521" s="332"/>
      <c r="L521" s="332"/>
      <c r="M521" s="175"/>
      <c r="N521" s="332"/>
      <c r="O521" s="175"/>
      <c r="P521" s="175"/>
      <c r="Q521" s="175"/>
      <c r="R521" s="175"/>
      <c r="S521" s="175"/>
      <c r="T521" s="141"/>
      <c r="U521" s="415"/>
      <c r="V521" s="141"/>
      <c r="W521" s="141"/>
      <c r="X521" s="141"/>
      <c r="Y521" s="141"/>
      <c r="Z521" s="141"/>
      <c r="AA521" s="141"/>
      <c r="AB521" s="141"/>
      <c r="AC521" s="141"/>
      <c r="AD521" s="141"/>
      <c r="AE521" s="141"/>
      <c r="AF521" s="141"/>
      <c r="AG521" s="141"/>
      <c r="AH521" s="141"/>
      <c r="AI521" s="141"/>
      <c r="AJ521" s="141"/>
      <c r="AK521" s="141"/>
      <c r="AL521" s="141"/>
      <c r="AM521" s="141"/>
      <c r="AN521" s="364"/>
      <c r="AO521" s="363"/>
    </row>
    <row r="522" spans="1:41">
      <c r="A522" s="364"/>
      <c r="B522" s="141"/>
      <c r="C522" s="175"/>
      <c r="D522" s="416"/>
      <c r="E522" s="363"/>
      <c r="F522" s="302"/>
      <c r="G522" s="92"/>
      <c r="H522" s="175"/>
      <c r="I522" s="175"/>
      <c r="J522" s="52"/>
      <c r="K522" s="332"/>
      <c r="L522" s="332"/>
      <c r="M522" s="175"/>
      <c r="N522" s="332"/>
      <c r="O522" s="175"/>
      <c r="P522" s="175"/>
      <c r="Q522" s="175"/>
      <c r="R522" s="175"/>
      <c r="S522" s="175"/>
      <c r="T522" s="141"/>
      <c r="U522" s="415"/>
      <c r="V522" s="141"/>
      <c r="W522" s="141"/>
      <c r="X522" s="141"/>
      <c r="Y522" s="141"/>
      <c r="Z522" s="141"/>
      <c r="AA522" s="141"/>
      <c r="AB522" s="141"/>
      <c r="AC522" s="141"/>
      <c r="AD522" s="141"/>
      <c r="AE522" s="141"/>
      <c r="AF522" s="141"/>
      <c r="AG522" s="141"/>
      <c r="AH522" s="141"/>
      <c r="AI522" s="141"/>
      <c r="AJ522" s="141"/>
      <c r="AK522" s="141"/>
      <c r="AL522" s="141"/>
      <c r="AM522" s="141"/>
      <c r="AN522" s="364"/>
      <c r="AO522" s="363"/>
    </row>
    <row r="523" spans="1:41">
      <c r="A523" s="364"/>
      <c r="B523" s="141"/>
      <c r="C523" s="175"/>
      <c r="D523" s="416"/>
      <c r="E523" s="363"/>
      <c r="F523" s="302"/>
      <c r="G523" s="92"/>
      <c r="H523" s="175"/>
      <c r="I523" s="175"/>
      <c r="J523" s="52"/>
      <c r="K523" s="332"/>
      <c r="L523" s="332"/>
      <c r="M523" s="175"/>
      <c r="N523" s="332"/>
      <c r="O523" s="175"/>
      <c r="P523" s="175"/>
      <c r="Q523" s="175"/>
      <c r="R523" s="175"/>
      <c r="S523" s="175"/>
      <c r="T523" s="141"/>
      <c r="U523" s="415"/>
      <c r="V523" s="141"/>
      <c r="W523" s="141"/>
      <c r="X523" s="141"/>
      <c r="Y523" s="141"/>
      <c r="Z523" s="141"/>
      <c r="AA523" s="141"/>
      <c r="AB523" s="141"/>
      <c r="AC523" s="141"/>
      <c r="AD523" s="141"/>
      <c r="AE523" s="141"/>
      <c r="AF523" s="141"/>
      <c r="AG523" s="141"/>
      <c r="AH523" s="141"/>
      <c r="AI523" s="141"/>
      <c r="AJ523" s="141"/>
      <c r="AK523" s="141"/>
      <c r="AL523" s="141"/>
      <c r="AM523" s="141"/>
      <c r="AN523" s="364"/>
      <c r="AO523" s="363"/>
    </row>
    <row r="524" spans="1:41">
      <c r="A524" s="364"/>
      <c r="B524" s="141"/>
      <c r="C524" s="175"/>
      <c r="D524" s="416"/>
      <c r="E524" s="363"/>
      <c r="F524" s="302"/>
      <c r="G524" s="92"/>
      <c r="H524" s="175"/>
      <c r="I524" s="175"/>
      <c r="J524" s="52"/>
      <c r="K524" s="332"/>
      <c r="L524" s="332"/>
      <c r="M524" s="175"/>
      <c r="N524" s="332"/>
      <c r="O524" s="175"/>
      <c r="P524" s="175"/>
      <c r="Q524" s="175"/>
      <c r="R524" s="175"/>
      <c r="S524" s="175"/>
      <c r="T524" s="141"/>
      <c r="U524" s="415"/>
      <c r="V524" s="141"/>
      <c r="W524" s="141"/>
      <c r="X524" s="141"/>
      <c r="Y524" s="141"/>
      <c r="Z524" s="141"/>
      <c r="AA524" s="141"/>
      <c r="AB524" s="141"/>
      <c r="AC524" s="141"/>
      <c r="AD524" s="141"/>
      <c r="AE524" s="141"/>
      <c r="AF524" s="141"/>
      <c r="AG524" s="141"/>
      <c r="AH524" s="141"/>
      <c r="AI524" s="141"/>
      <c r="AJ524" s="141"/>
      <c r="AK524" s="141"/>
      <c r="AL524" s="141"/>
      <c r="AM524" s="141"/>
      <c r="AN524" s="364"/>
      <c r="AO524" s="363"/>
    </row>
    <row r="525" spans="1:41">
      <c r="A525" s="364"/>
      <c r="B525" s="141"/>
      <c r="C525" s="175"/>
      <c r="D525" s="416"/>
      <c r="E525" s="363"/>
      <c r="F525" s="302"/>
      <c r="G525" s="92"/>
      <c r="H525" s="175"/>
      <c r="I525" s="175"/>
      <c r="J525" s="52"/>
      <c r="K525" s="332"/>
      <c r="L525" s="332"/>
      <c r="M525" s="175"/>
      <c r="N525" s="332"/>
      <c r="O525" s="175"/>
      <c r="P525" s="175"/>
      <c r="Q525" s="175"/>
      <c r="R525" s="175"/>
      <c r="S525" s="175"/>
      <c r="T525" s="141"/>
      <c r="U525" s="415"/>
      <c r="V525" s="141"/>
      <c r="W525" s="141"/>
      <c r="X525" s="141"/>
      <c r="Y525" s="141"/>
      <c r="Z525" s="141"/>
      <c r="AA525" s="141"/>
      <c r="AB525" s="141"/>
      <c r="AC525" s="141"/>
      <c r="AD525" s="141"/>
      <c r="AE525" s="141"/>
      <c r="AF525" s="141"/>
      <c r="AG525" s="141"/>
      <c r="AH525" s="141"/>
      <c r="AI525" s="141"/>
      <c r="AJ525" s="141"/>
      <c r="AK525" s="141"/>
      <c r="AL525" s="141"/>
      <c r="AM525" s="141"/>
      <c r="AN525" s="364"/>
      <c r="AO525" s="363"/>
    </row>
    <row r="526" spans="1:41">
      <c r="A526" s="364"/>
      <c r="B526" s="141"/>
      <c r="C526" s="175"/>
      <c r="D526" s="416"/>
      <c r="E526" s="363"/>
      <c r="F526" s="302"/>
      <c r="G526" s="92"/>
      <c r="H526" s="175"/>
      <c r="I526" s="175"/>
      <c r="J526" s="52"/>
      <c r="K526" s="332"/>
      <c r="L526" s="332"/>
      <c r="M526" s="175"/>
      <c r="N526" s="332"/>
      <c r="O526" s="175"/>
      <c r="P526" s="175"/>
      <c r="Q526" s="175"/>
      <c r="R526" s="175"/>
      <c r="S526" s="175"/>
      <c r="T526" s="141"/>
      <c r="U526" s="415"/>
      <c r="V526" s="141"/>
      <c r="W526" s="141"/>
      <c r="X526" s="141"/>
      <c r="Y526" s="141"/>
      <c r="Z526" s="141"/>
      <c r="AA526" s="141"/>
      <c r="AB526" s="141"/>
      <c r="AC526" s="141"/>
      <c r="AD526" s="141"/>
      <c r="AE526" s="141"/>
      <c r="AF526" s="141"/>
      <c r="AG526" s="141"/>
      <c r="AH526" s="141"/>
      <c r="AI526" s="141"/>
      <c r="AJ526" s="141"/>
      <c r="AK526" s="141"/>
      <c r="AL526" s="141"/>
      <c r="AM526" s="141"/>
      <c r="AN526" s="364"/>
      <c r="AO526" s="363"/>
    </row>
    <row r="527" spans="1:41">
      <c r="A527" s="364"/>
      <c r="B527" s="141"/>
      <c r="C527" s="175"/>
      <c r="D527" s="416"/>
      <c r="E527" s="363"/>
      <c r="F527" s="302"/>
      <c r="G527" s="92"/>
      <c r="H527" s="175"/>
      <c r="I527" s="175"/>
      <c r="J527" s="52"/>
      <c r="K527" s="332"/>
      <c r="L527" s="332"/>
      <c r="M527" s="175"/>
      <c r="N527" s="332"/>
      <c r="O527" s="175"/>
      <c r="P527" s="175"/>
      <c r="Q527" s="175"/>
      <c r="R527" s="175"/>
      <c r="S527" s="175"/>
      <c r="T527" s="141"/>
      <c r="U527" s="415"/>
      <c r="V527" s="141"/>
      <c r="W527" s="141"/>
      <c r="X527" s="141"/>
      <c r="Y527" s="141"/>
      <c r="Z527" s="141"/>
      <c r="AA527" s="141"/>
      <c r="AB527" s="141"/>
      <c r="AC527" s="141"/>
      <c r="AD527" s="141"/>
      <c r="AE527" s="141"/>
      <c r="AF527" s="141"/>
      <c r="AG527" s="141"/>
      <c r="AH527" s="141"/>
      <c r="AI527" s="141"/>
      <c r="AJ527" s="141"/>
      <c r="AK527" s="141"/>
      <c r="AL527" s="141"/>
      <c r="AM527" s="141"/>
      <c r="AN527" s="364"/>
      <c r="AO527" s="363"/>
    </row>
    <row r="528" spans="1:41">
      <c r="A528" s="364"/>
      <c r="B528" s="141"/>
      <c r="C528" s="175"/>
      <c r="D528" s="416"/>
      <c r="E528" s="363"/>
      <c r="F528" s="302"/>
      <c r="G528" s="92"/>
      <c r="H528" s="175"/>
      <c r="I528" s="175"/>
      <c r="J528" s="52"/>
      <c r="K528" s="332"/>
      <c r="L528" s="332"/>
      <c r="M528" s="175"/>
      <c r="N528" s="332"/>
      <c r="O528" s="175"/>
      <c r="P528" s="175"/>
      <c r="Q528" s="175"/>
      <c r="R528" s="175"/>
      <c r="S528" s="175"/>
      <c r="T528" s="141"/>
      <c r="U528" s="415"/>
      <c r="V528" s="141"/>
      <c r="W528" s="141"/>
      <c r="X528" s="141"/>
      <c r="Y528" s="141"/>
      <c r="Z528" s="141"/>
      <c r="AA528" s="141"/>
      <c r="AB528" s="141"/>
      <c r="AC528" s="141"/>
      <c r="AD528" s="141"/>
      <c r="AE528" s="141"/>
      <c r="AF528" s="141"/>
      <c r="AG528" s="141"/>
      <c r="AH528" s="141"/>
      <c r="AI528" s="141"/>
      <c r="AJ528" s="141"/>
      <c r="AK528" s="141"/>
      <c r="AL528" s="141"/>
      <c r="AM528" s="141"/>
      <c r="AN528" s="364"/>
      <c r="AO528" s="363"/>
    </row>
    <row r="529" spans="1:41">
      <c r="A529" s="364"/>
      <c r="B529" s="141"/>
      <c r="C529" s="175"/>
      <c r="D529" s="416"/>
      <c r="E529" s="363"/>
      <c r="F529" s="302"/>
      <c r="G529" s="92"/>
      <c r="H529" s="175"/>
      <c r="I529" s="175"/>
      <c r="J529" s="52"/>
      <c r="K529" s="332"/>
      <c r="L529" s="332"/>
      <c r="M529" s="175"/>
      <c r="N529" s="332"/>
      <c r="O529" s="175"/>
      <c r="P529" s="175"/>
      <c r="Q529" s="175"/>
      <c r="R529" s="175"/>
      <c r="S529" s="175"/>
      <c r="T529" s="141"/>
      <c r="U529" s="415"/>
      <c r="V529" s="141"/>
      <c r="W529" s="141"/>
      <c r="X529" s="141"/>
      <c r="Y529" s="141"/>
      <c r="Z529" s="141"/>
      <c r="AA529" s="141"/>
      <c r="AB529" s="141"/>
      <c r="AC529" s="141"/>
      <c r="AD529" s="141"/>
      <c r="AE529" s="141"/>
      <c r="AF529" s="141"/>
      <c r="AG529" s="141"/>
      <c r="AH529" s="141"/>
      <c r="AI529" s="141"/>
      <c r="AJ529" s="141"/>
      <c r="AK529" s="141"/>
      <c r="AL529" s="141"/>
      <c r="AM529" s="141"/>
      <c r="AN529" s="364"/>
      <c r="AO529" s="363"/>
    </row>
    <row r="530" spans="1:41">
      <c r="A530" s="364"/>
      <c r="B530" s="141"/>
      <c r="C530" s="175"/>
      <c r="D530" s="416"/>
      <c r="E530" s="363"/>
      <c r="F530" s="302"/>
      <c r="G530" s="92"/>
      <c r="H530" s="175"/>
      <c r="I530" s="175"/>
      <c r="J530" s="52"/>
      <c r="K530" s="332"/>
      <c r="L530" s="332"/>
      <c r="M530" s="175"/>
      <c r="N530" s="332"/>
      <c r="O530" s="175"/>
      <c r="P530" s="175"/>
      <c r="Q530" s="175"/>
      <c r="R530" s="175"/>
      <c r="S530" s="175"/>
      <c r="T530" s="141"/>
      <c r="U530" s="415"/>
      <c r="V530" s="141"/>
      <c r="W530" s="141"/>
      <c r="X530" s="141"/>
      <c r="Y530" s="141"/>
      <c r="Z530" s="141"/>
      <c r="AA530" s="141"/>
      <c r="AB530" s="141"/>
      <c r="AC530" s="141"/>
      <c r="AD530" s="141"/>
      <c r="AE530" s="141"/>
      <c r="AF530" s="141"/>
      <c r="AG530" s="141"/>
      <c r="AH530" s="141"/>
      <c r="AI530" s="141"/>
      <c r="AJ530" s="141"/>
      <c r="AK530" s="141"/>
      <c r="AL530" s="141"/>
      <c r="AM530" s="141"/>
      <c r="AN530" s="364"/>
      <c r="AO530" s="363"/>
    </row>
    <row r="531" spans="1:41">
      <c r="A531" s="364"/>
      <c r="B531" s="141"/>
      <c r="C531" s="175"/>
      <c r="D531" s="416"/>
      <c r="E531" s="363"/>
      <c r="F531" s="302"/>
      <c r="G531" s="92"/>
      <c r="H531" s="175"/>
      <c r="I531" s="175"/>
      <c r="J531" s="52"/>
      <c r="K531" s="332"/>
      <c r="L531" s="332"/>
      <c r="M531" s="175"/>
      <c r="N531" s="332"/>
      <c r="O531" s="175"/>
      <c r="P531" s="175"/>
      <c r="Q531" s="175"/>
      <c r="R531" s="175"/>
      <c r="S531" s="175"/>
      <c r="T531" s="141"/>
      <c r="U531" s="415"/>
      <c r="V531" s="141"/>
      <c r="W531" s="141"/>
      <c r="X531" s="141"/>
      <c r="Y531" s="141"/>
      <c r="Z531" s="141"/>
      <c r="AA531" s="141"/>
      <c r="AB531" s="141"/>
      <c r="AC531" s="141"/>
      <c r="AD531" s="141"/>
      <c r="AE531" s="141"/>
      <c r="AF531" s="141"/>
      <c r="AG531" s="141"/>
      <c r="AH531" s="141"/>
      <c r="AI531" s="141"/>
      <c r="AJ531" s="141"/>
      <c r="AK531" s="141"/>
      <c r="AL531" s="141"/>
      <c r="AM531" s="141"/>
      <c r="AN531" s="364"/>
      <c r="AO531" s="363"/>
    </row>
    <row r="532" spans="1:41">
      <c r="A532" s="364"/>
      <c r="B532" s="141"/>
      <c r="C532" s="175"/>
      <c r="D532" s="416"/>
      <c r="E532" s="363"/>
      <c r="F532" s="302"/>
      <c r="G532" s="92"/>
      <c r="H532" s="175"/>
      <c r="I532" s="175"/>
      <c r="J532" s="52"/>
      <c r="K532" s="332"/>
      <c r="L532" s="332"/>
      <c r="M532" s="175"/>
      <c r="N532" s="332"/>
      <c r="O532" s="175"/>
      <c r="P532" s="175"/>
      <c r="Q532" s="175"/>
      <c r="R532" s="175"/>
      <c r="S532" s="175"/>
      <c r="T532" s="141"/>
      <c r="U532" s="415"/>
      <c r="V532" s="141"/>
      <c r="W532" s="141"/>
      <c r="X532" s="141"/>
      <c r="Y532" s="141"/>
      <c r="Z532" s="141"/>
      <c r="AA532" s="141"/>
      <c r="AB532" s="141"/>
      <c r="AC532" s="141"/>
      <c r="AD532" s="141"/>
      <c r="AE532" s="141"/>
      <c r="AF532" s="141"/>
      <c r="AG532" s="141"/>
      <c r="AH532" s="141"/>
      <c r="AI532" s="141"/>
      <c r="AJ532" s="141"/>
      <c r="AK532" s="141"/>
      <c r="AL532" s="141"/>
      <c r="AM532" s="141"/>
      <c r="AN532" s="364"/>
      <c r="AO532" s="363"/>
    </row>
    <row r="533" spans="1:41">
      <c r="A533" s="364"/>
      <c r="B533" s="141"/>
      <c r="C533" s="175"/>
      <c r="D533" s="416"/>
      <c r="E533" s="363"/>
      <c r="F533" s="302"/>
      <c r="G533" s="92"/>
      <c r="H533" s="175"/>
      <c r="I533" s="175"/>
      <c r="J533" s="52"/>
      <c r="K533" s="332"/>
      <c r="L533" s="332"/>
      <c r="M533" s="175"/>
      <c r="N533" s="332"/>
      <c r="O533" s="175"/>
      <c r="P533" s="175"/>
      <c r="Q533" s="175"/>
      <c r="R533" s="175"/>
      <c r="S533" s="175"/>
      <c r="T533" s="141"/>
      <c r="U533" s="415"/>
      <c r="V533" s="141"/>
      <c r="W533" s="141"/>
      <c r="X533" s="141"/>
      <c r="Y533" s="141"/>
      <c r="Z533" s="141"/>
      <c r="AA533" s="141"/>
      <c r="AB533" s="141"/>
      <c r="AC533" s="141"/>
      <c r="AD533" s="141"/>
      <c r="AE533" s="141"/>
      <c r="AF533" s="141"/>
      <c r="AG533" s="141"/>
      <c r="AH533" s="141"/>
      <c r="AI533" s="141"/>
      <c r="AJ533" s="141"/>
      <c r="AK533" s="141"/>
      <c r="AL533" s="141"/>
      <c r="AM533" s="141"/>
      <c r="AN533" s="364"/>
      <c r="AO533" s="363"/>
    </row>
    <row r="534" spans="1:41">
      <c r="A534" s="364"/>
      <c r="B534" s="141"/>
      <c r="C534" s="175"/>
      <c r="D534" s="416"/>
      <c r="E534" s="363"/>
      <c r="F534" s="302"/>
      <c r="G534" s="92"/>
      <c r="H534" s="175"/>
      <c r="I534" s="175"/>
      <c r="J534" s="52"/>
      <c r="K534" s="332"/>
      <c r="L534" s="332"/>
      <c r="M534" s="175"/>
      <c r="N534" s="332"/>
      <c r="O534" s="175"/>
      <c r="P534" s="175"/>
      <c r="Q534" s="175"/>
      <c r="R534" s="175"/>
      <c r="S534" s="175"/>
      <c r="T534" s="141"/>
      <c r="U534" s="415"/>
      <c r="V534" s="141"/>
      <c r="W534" s="141"/>
      <c r="X534" s="141"/>
      <c r="Y534" s="141"/>
      <c r="Z534" s="141"/>
      <c r="AA534" s="141"/>
      <c r="AB534" s="141"/>
      <c r="AC534" s="141"/>
      <c r="AD534" s="141"/>
      <c r="AE534" s="141"/>
      <c r="AF534" s="141"/>
      <c r="AG534" s="141"/>
      <c r="AH534" s="141"/>
      <c r="AI534" s="141"/>
      <c r="AJ534" s="141"/>
      <c r="AK534" s="141"/>
      <c r="AL534" s="141"/>
      <c r="AM534" s="141"/>
      <c r="AN534" s="364"/>
      <c r="AO534" s="363"/>
    </row>
    <row r="535" spans="1:41">
      <c r="A535" s="364"/>
      <c r="B535" s="141"/>
      <c r="C535" s="175"/>
      <c r="D535" s="416"/>
      <c r="E535" s="363"/>
      <c r="F535" s="302"/>
      <c r="G535" s="92"/>
      <c r="H535" s="175"/>
      <c r="I535" s="175"/>
      <c r="J535" s="52"/>
      <c r="K535" s="332"/>
      <c r="L535" s="332"/>
      <c r="M535" s="175"/>
      <c r="N535" s="332"/>
      <c r="O535" s="175"/>
      <c r="P535" s="175"/>
      <c r="Q535" s="175"/>
      <c r="R535" s="175"/>
      <c r="S535" s="175"/>
      <c r="T535" s="141"/>
      <c r="U535" s="415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  <c r="AF535" s="141"/>
      <c r="AG535" s="141"/>
      <c r="AH535" s="141"/>
      <c r="AI535" s="141"/>
      <c r="AJ535" s="141"/>
      <c r="AK535" s="141"/>
      <c r="AL535" s="141"/>
      <c r="AM535" s="141"/>
      <c r="AN535" s="364"/>
      <c r="AO535" s="363"/>
    </row>
    <row r="536" spans="1:41">
      <c r="A536" s="364"/>
      <c r="B536" s="141"/>
      <c r="C536" s="175"/>
      <c r="D536" s="416"/>
      <c r="E536" s="363"/>
      <c r="F536" s="302"/>
      <c r="G536" s="92"/>
      <c r="H536" s="175"/>
      <c r="I536" s="175"/>
      <c r="J536" s="52"/>
      <c r="K536" s="332"/>
      <c r="L536" s="332"/>
      <c r="M536" s="175"/>
      <c r="N536" s="332"/>
      <c r="O536" s="175"/>
      <c r="P536" s="175"/>
      <c r="Q536" s="175"/>
      <c r="R536" s="175"/>
      <c r="S536" s="175"/>
      <c r="T536" s="141"/>
      <c r="U536" s="415"/>
      <c r="V536" s="141"/>
      <c r="W536" s="141"/>
      <c r="X536" s="141"/>
      <c r="Y536" s="141"/>
      <c r="Z536" s="141"/>
      <c r="AA536" s="141"/>
      <c r="AB536" s="141"/>
      <c r="AC536" s="141"/>
      <c r="AD536" s="141"/>
      <c r="AE536" s="141"/>
      <c r="AF536" s="141"/>
      <c r="AG536" s="141"/>
      <c r="AH536" s="141"/>
      <c r="AI536" s="141"/>
      <c r="AJ536" s="141"/>
      <c r="AK536" s="141"/>
      <c r="AL536" s="141"/>
      <c r="AM536" s="141"/>
      <c r="AN536" s="364"/>
      <c r="AO536" s="363"/>
    </row>
    <row r="537" spans="1:41">
      <c r="A537" s="364"/>
      <c r="B537" s="141"/>
      <c r="C537" s="175"/>
      <c r="D537" s="416"/>
      <c r="E537" s="363"/>
      <c r="F537" s="302"/>
      <c r="G537" s="92"/>
      <c r="H537" s="175"/>
      <c r="I537" s="175"/>
      <c r="J537" s="52"/>
      <c r="K537" s="332"/>
      <c r="L537" s="332"/>
      <c r="M537" s="175"/>
      <c r="N537" s="332"/>
      <c r="O537" s="175"/>
      <c r="P537" s="175"/>
      <c r="Q537" s="175"/>
      <c r="R537" s="175"/>
      <c r="S537" s="175"/>
      <c r="T537" s="141"/>
      <c r="U537" s="415"/>
      <c r="V537" s="141"/>
      <c r="W537" s="141"/>
      <c r="X537" s="141"/>
      <c r="Y537" s="141"/>
      <c r="Z537" s="141"/>
      <c r="AA537" s="141"/>
      <c r="AB537" s="141"/>
      <c r="AC537" s="141"/>
      <c r="AD537" s="141"/>
      <c r="AE537" s="141"/>
      <c r="AF537" s="141"/>
      <c r="AG537" s="141"/>
      <c r="AH537" s="141"/>
      <c r="AI537" s="141"/>
      <c r="AJ537" s="141"/>
      <c r="AK537" s="141"/>
      <c r="AL537" s="141"/>
      <c r="AM537" s="141"/>
      <c r="AN537" s="364"/>
      <c r="AO537" s="363"/>
    </row>
    <row r="538" spans="1:41">
      <c r="A538" s="364"/>
      <c r="B538" s="141"/>
      <c r="C538" s="175"/>
      <c r="D538" s="416"/>
      <c r="E538" s="363"/>
      <c r="F538" s="302"/>
      <c r="G538" s="92"/>
      <c r="H538" s="175"/>
      <c r="I538" s="175"/>
      <c r="J538" s="52"/>
      <c r="K538" s="332"/>
      <c r="L538" s="332"/>
      <c r="M538" s="175"/>
      <c r="N538" s="332"/>
      <c r="O538" s="175"/>
      <c r="P538" s="175"/>
      <c r="Q538" s="175"/>
      <c r="R538" s="175"/>
      <c r="S538" s="175"/>
      <c r="T538" s="141"/>
      <c r="U538" s="415"/>
      <c r="V538" s="141"/>
      <c r="W538" s="141"/>
      <c r="X538" s="141"/>
      <c r="Y538" s="141"/>
      <c r="Z538" s="141"/>
      <c r="AA538" s="141"/>
      <c r="AB538" s="141"/>
      <c r="AC538" s="141"/>
      <c r="AD538" s="141"/>
      <c r="AE538" s="141"/>
      <c r="AF538" s="141"/>
      <c r="AG538" s="141"/>
      <c r="AH538" s="141"/>
      <c r="AI538" s="141"/>
      <c r="AJ538" s="141"/>
      <c r="AK538" s="141"/>
      <c r="AL538" s="141"/>
      <c r="AM538" s="141"/>
      <c r="AN538" s="364"/>
      <c r="AO538" s="363"/>
    </row>
    <row r="539" spans="1:41">
      <c r="A539" s="364"/>
      <c r="B539" s="141"/>
      <c r="C539" s="175"/>
      <c r="D539" s="416"/>
      <c r="E539" s="363"/>
      <c r="F539" s="302"/>
      <c r="G539" s="92"/>
      <c r="H539" s="175"/>
      <c r="I539" s="175"/>
      <c r="J539" s="52"/>
      <c r="K539" s="332"/>
      <c r="L539" s="332"/>
      <c r="M539" s="175"/>
      <c r="N539" s="332"/>
      <c r="O539" s="175"/>
      <c r="P539" s="175"/>
      <c r="Q539" s="175"/>
      <c r="R539" s="175"/>
      <c r="S539" s="175"/>
      <c r="T539" s="141"/>
      <c r="U539" s="415"/>
      <c r="V539" s="141"/>
      <c r="W539" s="141"/>
      <c r="X539" s="141"/>
      <c r="Y539" s="141"/>
      <c r="Z539" s="141"/>
      <c r="AA539" s="141"/>
      <c r="AB539" s="141"/>
      <c r="AC539" s="141"/>
      <c r="AD539" s="141"/>
      <c r="AE539" s="141"/>
      <c r="AF539" s="141"/>
      <c r="AG539" s="141"/>
      <c r="AH539" s="141"/>
      <c r="AI539" s="141"/>
      <c r="AJ539" s="141"/>
      <c r="AK539" s="141"/>
      <c r="AL539" s="141"/>
      <c r="AM539" s="141"/>
      <c r="AN539" s="364"/>
      <c r="AO539" s="363"/>
    </row>
    <row r="540" spans="1:41">
      <c r="A540" s="364"/>
      <c r="B540" s="141"/>
      <c r="C540" s="175"/>
      <c r="D540" s="416"/>
      <c r="E540" s="363"/>
      <c r="F540" s="302"/>
      <c r="G540" s="92"/>
      <c r="H540" s="175"/>
      <c r="I540" s="175"/>
      <c r="J540" s="52"/>
      <c r="K540" s="332"/>
      <c r="L540" s="332"/>
      <c r="M540" s="175"/>
      <c r="N540" s="332"/>
      <c r="O540" s="175"/>
      <c r="P540" s="175"/>
      <c r="Q540" s="175"/>
      <c r="R540" s="175"/>
      <c r="S540" s="175"/>
      <c r="T540" s="141"/>
      <c r="U540" s="415"/>
      <c r="V540" s="141"/>
      <c r="W540" s="141"/>
      <c r="X540" s="141"/>
      <c r="Y540" s="141"/>
      <c r="Z540" s="141"/>
      <c r="AA540" s="141"/>
      <c r="AB540" s="141"/>
      <c r="AC540" s="141"/>
      <c r="AD540" s="141"/>
      <c r="AE540" s="141"/>
      <c r="AF540" s="141"/>
      <c r="AG540" s="141"/>
      <c r="AH540" s="141"/>
      <c r="AI540" s="141"/>
      <c r="AJ540" s="141"/>
      <c r="AK540" s="141"/>
      <c r="AL540" s="141"/>
      <c r="AM540" s="141"/>
      <c r="AN540" s="364"/>
      <c r="AO540" s="363"/>
    </row>
    <row r="541" spans="1:41">
      <c r="A541" s="364"/>
      <c r="B541" s="141"/>
      <c r="C541" s="175"/>
      <c r="D541" s="416"/>
      <c r="E541" s="363"/>
      <c r="F541" s="302"/>
      <c r="G541" s="92"/>
      <c r="H541" s="175"/>
      <c r="I541" s="175"/>
      <c r="J541" s="52"/>
      <c r="K541" s="332"/>
      <c r="L541" s="332"/>
      <c r="M541" s="175"/>
      <c r="N541" s="332"/>
      <c r="O541" s="175"/>
      <c r="P541" s="175"/>
      <c r="Q541" s="175"/>
      <c r="R541" s="175"/>
      <c r="S541" s="175"/>
      <c r="T541" s="141"/>
      <c r="U541" s="415"/>
      <c r="V541" s="141"/>
      <c r="W541" s="141"/>
      <c r="X541" s="141"/>
      <c r="Y541" s="141"/>
      <c r="Z541" s="141"/>
      <c r="AA541" s="141"/>
      <c r="AB541" s="141"/>
      <c r="AC541" s="141"/>
      <c r="AD541" s="141"/>
      <c r="AE541" s="141"/>
      <c r="AF541" s="141"/>
      <c r="AG541" s="141"/>
      <c r="AH541" s="141"/>
      <c r="AI541" s="141"/>
      <c r="AJ541" s="141"/>
      <c r="AK541" s="141"/>
      <c r="AL541" s="141"/>
      <c r="AM541" s="141"/>
      <c r="AN541" s="364"/>
      <c r="AO541" s="363"/>
    </row>
    <row r="542" spans="1:41">
      <c r="A542" s="364"/>
      <c r="B542" s="141"/>
      <c r="C542" s="175"/>
      <c r="D542" s="416"/>
      <c r="E542" s="363"/>
      <c r="F542" s="302"/>
      <c r="G542" s="92"/>
      <c r="H542" s="175"/>
      <c r="I542" s="175"/>
      <c r="J542" s="52"/>
      <c r="K542" s="332"/>
      <c r="L542" s="332"/>
      <c r="M542" s="175"/>
      <c r="N542" s="332"/>
      <c r="O542" s="175"/>
      <c r="P542" s="175"/>
      <c r="Q542" s="175"/>
      <c r="R542" s="175"/>
      <c r="S542" s="175"/>
      <c r="T542" s="141"/>
      <c r="U542" s="415"/>
      <c r="V542" s="141"/>
      <c r="W542" s="141"/>
      <c r="X542" s="141"/>
      <c r="Y542" s="141"/>
      <c r="Z542" s="141"/>
      <c r="AA542" s="141"/>
      <c r="AB542" s="141"/>
      <c r="AC542" s="141"/>
      <c r="AD542" s="141"/>
      <c r="AE542" s="141"/>
      <c r="AF542" s="141"/>
      <c r="AG542" s="141"/>
      <c r="AH542" s="141"/>
      <c r="AI542" s="141"/>
      <c r="AJ542" s="141"/>
      <c r="AK542" s="141"/>
      <c r="AL542" s="141"/>
      <c r="AM542" s="141"/>
      <c r="AN542" s="364"/>
      <c r="AO542" s="363"/>
    </row>
    <row r="543" spans="1:41">
      <c r="A543" s="364"/>
      <c r="B543" s="141"/>
      <c r="C543" s="175"/>
      <c r="D543" s="416"/>
      <c r="E543" s="363"/>
      <c r="F543" s="302"/>
      <c r="G543" s="92"/>
      <c r="H543" s="175"/>
      <c r="I543" s="175"/>
      <c r="J543" s="52"/>
      <c r="K543" s="332"/>
      <c r="L543" s="332"/>
      <c r="M543" s="175"/>
      <c r="N543" s="332"/>
      <c r="O543" s="175"/>
      <c r="P543" s="175"/>
      <c r="Q543" s="175"/>
      <c r="R543" s="175"/>
      <c r="S543" s="175"/>
      <c r="T543" s="141"/>
      <c r="U543" s="415"/>
      <c r="V543" s="141"/>
      <c r="W543" s="141"/>
      <c r="X543" s="141"/>
      <c r="Y543" s="141"/>
      <c r="Z543" s="141"/>
      <c r="AA543" s="141"/>
      <c r="AB543" s="141"/>
      <c r="AC543" s="141"/>
      <c r="AD543" s="141"/>
      <c r="AE543" s="141"/>
      <c r="AF543" s="141"/>
      <c r="AG543" s="141"/>
      <c r="AH543" s="141"/>
      <c r="AI543" s="141"/>
      <c r="AJ543" s="141"/>
      <c r="AK543" s="141"/>
      <c r="AL543" s="141"/>
      <c r="AM543" s="141"/>
      <c r="AN543" s="364"/>
      <c r="AO543" s="363"/>
    </row>
    <row r="544" spans="1:41">
      <c r="A544" s="364"/>
      <c r="B544" s="141"/>
      <c r="C544" s="175"/>
      <c r="D544" s="416"/>
      <c r="E544" s="363"/>
      <c r="F544" s="302"/>
      <c r="G544" s="92"/>
      <c r="H544" s="175"/>
      <c r="I544" s="175"/>
      <c r="J544" s="52"/>
      <c r="K544" s="332"/>
      <c r="L544" s="332"/>
      <c r="M544" s="175"/>
      <c r="N544" s="332"/>
      <c r="O544" s="175"/>
      <c r="P544" s="175"/>
      <c r="Q544" s="175"/>
      <c r="R544" s="175"/>
      <c r="S544" s="175"/>
      <c r="T544" s="141"/>
      <c r="U544" s="415"/>
      <c r="V544" s="141"/>
      <c r="W544" s="141"/>
      <c r="X544" s="141"/>
      <c r="Y544" s="141"/>
      <c r="Z544" s="141"/>
      <c r="AA544" s="141"/>
      <c r="AB544" s="141"/>
      <c r="AC544" s="141"/>
      <c r="AD544" s="141"/>
      <c r="AE544" s="141"/>
      <c r="AF544" s="141"/>
      <c r="AG544" s="141"/>
      <c r="AH544" s="141"/>
      <c r="AI544" s="141"/>
      <c r="AJ544" s="141"/>
      <c r="AK544" s="141"/>
      <c r="AL544" s="141"/>
      <c r="AM544" s="141"/>
      <c r="AN544" s="364"/>
      <c r="AO544" s="363"/>
    </row>
    <row r="545" spans="1:41">
      <c r="A545" s="364"/>
      <c r="B545" s="141"/>
      <c r="C545" s="175"/>
      <c r="D545" s="416"/>
      <c r="E545" s="363"/>
      <c r="F545" s="302"/>
      <c r="G545" s="92"/>
      <c r="H545" s="175"/>
      <c r="I545" s="175"/>
      <c r="J545" s="52"/>
      <c r="K545" s="332"/>
      <c r="L545" s="332"/>
      <c r="M545" s="175"/>
      <c r="N545" s="332"/>
      <c r="O545" s="175"/>
      <c r="P545" s="175"/>
      <c r="Q545" s="175"/>
      <c r="R545" s="175"/>
      <c r="S545" s="175"/>
      <c r="T545" s="141"/>
      <c r="U545" s="415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  <c r="AH545" s="141"/>
      <c r="AI545" s="141"/>
      <c r="AJ545" s="141"/>
      <c r="AK545" s="141"/>
      <c r="AL545" s="141"/>
      <c r="AM545" s="141"/>
      <c r="AN545" s="364"/>
      <c r="AO545" s="363"/>
    </row>
    <row r="546" spans="1:41">
      <c r="A546" s="364"/>
      <c r="B546" s="141"/>
      <c r="C546" s="175"/>
      <c r="D546" s="416"/>
      <c r="E546" s="363"/>
      <c r="F546" s="302"/>
      <c r="G546" s="92"/>
      <c r="H546" s="175"/>
      <c r="I546" s="175"/>
      <c r="J546" s="52"/>
      <c r="K546" s="332"/>
      <c r="L546" s="332"/>
      <c r="M546" s="175"/>
      <c r="N546" s="332"/>
      <c r="O546" s="175"/>
      <c r="P546" s="175"/>
      <c r="Q546" s="175"/>
      <c r="R546" s="175"/>
      <c r="S546" s="175"/>
      <c r="T546" s="141"/>
      <c r="U546" s="415"/>
      <c r="V546" s="141"/>
      <c r="W546" s="141"/>
      <c r="X546" s="141"/>
      <c r="Y546" s="141"/>
      <c r="Z546" s="141"/>
      <c r="AA546" s="141"/>
      <c r="AB546" s="141"/>
      <c r="AC546" s="141"/>
      <c r="AD546" s="141"/>
      <c r="AE546" s="141"/>
      <c r="AF546" s="141"/>
      <c r="AG546" s="141"/>
      <c r="AH546" s="141"/>
      <c r="AI546" s="141"/>
      <c r="AJ546" s="141"/>
      <c r="AK546" s="141"/>
      <c r="AL546" s="141"/>
      <c r="AM546" s="141"/>
      <c r="AN546" s="364"/>
      <c r="AO546" s="363"/>
    </row>
    <row r="547" spans="1:41">
      <c r="A547" s="364"/>
      <c r="B547" s="141"/>
      <c r="C547" s="175"/>
      <c r="D547" s="416"/>
      <c r="E547" s="363"/>
      <c r="F547" s="302"/>
      <c r="G547" s="92"/>
      <c r="H547" s="175"/>
      <c r="I547" s="175"/>
      <c r="J547" s="52"/>
      <c r="K547" s="332"/>
      <c r="L547" s="332"/>
      <c r="M547" s="175"/>
      <c r="N547" s="332"/>
      <c r="O547" s="175"/>
      <c r="P547" s="175"/>
      <c r="Q547" s="175"/>
      <c r="R547" s="175"/>
      <c r="S547" s="175"/>
      <c r="T547" s="141"/>
      <c r="U547" s="415"/>
      <c r="V547" s="141"/>
      <c r="W547" s="141"/>
      <c r="X547" s="141"/>
      <c r="Y547" s="141"/>
      <c r="Z547" s="141"/>
      <c r="AA547" s="141"/>
      <c r="AB547" s="141"/>
      <c r="AC547" s="141"/>
      <c r="AD547" s="141"/>
      <c r="AE547" s="141"/>
      <c r="AF547" s="141"/>
      <c r="AG547" s="141"/>
      <c r="AH547" s="141"/>
      <c r="AI547" s="141"/>
      <c r="AJ547" s="141"/>
      <c r="AK547" s="141"/>
      <c r="AL547" s="141"/>
      <c r="AM547" s="141"/>
      <c r="AN547" s="364"/>
      <c r="AO547" s="363"/>
    </row>
  </sheetData>
  <autoFilter ref="A11:CS213"/>
  <sortState ref="A45:W60">
    <sortCondition ref="C46:C60"/>
  </sortState>
  <mergeCells count="52">
    <mergeCell ref="AO11:AO12"/>
    <mergeCell ref="M11:M12"/>
    <mergeCell ref="N11:N12"/>
    <mergeCell ref="M9:N10"/>
    <mergeCell ref="AN11:AN12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AM11:AM12"/>
    <mergeCell ref="S11:S12"/>
    <mergeCell ref="Z11:Z12"/>
    <mergeCell ref="J9:K10"/>
    <mergeCell ref="O9:Q10"/>
    <mergeCell ref="L11:L12"/>
    <mergeCell ref="U7:X7"/>
    <mergeCell ref="U8:X10"/>
    <mergeCell ref="X11:X12"/>
    <mergeCell ref="Y11:Y12"/>
    <mergeCell ref="T11:T12"/>
    <mergeCell ref="V11:V12"/>
    <mergeCell ref="U11:U12"/>
    <mergeCell ref="W11:W12"/>
    <mergeCell ref="V5:W5"/>
    <mergeCell ref="A5:F5"/>
    <mergeCell ref="B11:B12"/>
    <mergeCell ref="E11:E12"/>
    <mergeCell ref="F11:F12"/>
    <mergeCell ref="G11:G12"/>
    <mergeCell ref="H11:H12"/>
    <mergeCell ref="I11:I12"/>
    <mergeCell ref="J11:J12"/>
    <mergeCell ref="K11:K12"/>
    <mergeCell ref="O11:O12"/>
    <mergeCell ref="P11:P12"/>
    <mergeCell ref="Q11:Q12"/>
    <mergeCell ref="D11:D12"/>
    <mergeCell ref="C11:C12"/>
    <mergeCell ref="R11:R12"/>
    <mergeCell ref="B2:I2"/>
    <mergeCell ref="B3:I3"/>
    <mergeCell ref="K3:S3"/>
    <mergeCell ref="B4:I4"/>
    <mergeCell ref="K4:S4"/>
  </mergeCells>
  <pageMargins left="0.11811023622047245" right="0.31496062992125984" top="0.74803149606299213" bottom="0.74803149606299213" header="0.31496062992125984" footer="0.31496062992125984"/>
  <pageSetup paperSize="8" scale="56" fitToHeight="0" orientation="portrait" r:id="rId1"/>
  <headerFooter>
    <oddHeader xml:space="preserve">&amp;L&amp;"-,Gras"&amp;14Conseil Départemental de l'Ain
DGAS
Direction Cohésion et Développement social
Service Insertion&amp;R&amp;"-,Gras"&amp;14NOM du Référent :&amp;"-,Normal"&amp;U                                                                                              </oddHead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'liste deroulante'!$B$2:$B$9</xm:f>
          </x14:formula1>
          <xm:sqref>F13:F16 F18:F20</xm:sqref>
        </x14:dataValidation>
        <x14:dataValidation type="list" allowBlank="1" showInputMessage="1" showErrorMessage="1">
          <x14:formula1>
            <xm:f>'liste deroulante'!$D$12:$D$13</xm:f>
          </x14:formula1>
          <xm:sqref>T13:T18 Z13:AL41 AO13:AO36 Z43:AL59 Z60:AL83</xm:sqref>
        </x14:dataValidation>
        <x14:dataValidation type="list" allowBlank="1" showInputMessage="1" showErrorMessage="1">
          <x14:formula1>
            <xm:f>'liste deroulante'!$F$2:$F$10</xm:f>
          </x14:formula1>
          <xm:sqref>V13:V41 V43:V59 V60:V81</xm:sqref>
        </x14:dataValidation>
        <x14:dataValidation type="list" allowBlank="1" showInputMessage="1" showErrorMessage="1">
          <x14:formula1>
            <xm:f>'[1]liste deroulante'!#REF!</xm:f>
          </x14:formula1>
          <xm:sqref>V82</xm:sqref>
        </x14:dataValidation>
        <x14:dataValidation type="list" allowBlank="1" showInputMessage="1" showErrorMessage="1">
          <x14:formula1>
            <xm:f>'liste deroulante'!$J$2:$J$8</xm:f>
          </x14:formula1>
          <xm:sqref>W13:W41 W43:W59 W60:W82</xm:sqref>
        </x14:dataValidation>
        <x14:dataValidation type="list" allowBlank="1" showInputMessage="1" showErrorMessage="1">
          <x14:formula1>
            <xm:f>'[2]liste deroulante'!#REF!</xm:f>
          </x14:formula1>
          <xm:sqref>L222:L223</xm:sqref>
        </x14:dataValidation>
        <x14:dataValidation type="list" allowBlank="1" showInputMessage="1" showErrorMessage="1">
          <x14:formula1>
            <xm:f>'liste deroulante'!$G$17:$G$20</xm:f>
          </x14:formula1>
          <xm:sqref>L13:L41 L43:L59 L60:L83</xm:sqref>
        </x14:dataValidation>
        <x14:dataValidation type="list" allowBlank="1" showInputMessage="1" showErrorMessage="1">
          <x14:formula1>
            <xm:f>'liste deroulante'!$H$2:$H$10</xm:f>
          </x14:formula1>
          <xm:sqref>U222:U298 U13:U59 U60:U83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61"/>
  <sheetViews>
    <sheetView topLeftCell="A135" workbookViewId="0">
      <selection activeCell="N161" sqref="N161"/>
    </sheetView>
  </sheetViews>
  <sheetFormatPr baseColWidth="10" defaultRowHeight="15"/>
  <cols>
    <col min="3" max="3" width="33.140625" bestFit="1" customWidth="1"/>
    <col min="4" max="4" width="12.42578125" style="220" bestFit="1" customWidth="1"/>
    <col min="8" max="8" width="12.42578125" style="220" bestFit="1" customWidth="1"/>
    <col min="40" max="40" width="134.5703125" bestFit="1" customWidth="1"/>
  </cols>
  <sheetData>
    <row r="1" spans="1:51" s="53" customFormat="1" ht="17.45" customHeight="1" thickBot="1">
      <c r="A1" s="59"/>
      <c r="B1" s="59"/>
      <c r="C1" s="116"/>
      <c r="D1" s="118"/>
      <c r="E1" s="118"/>
      <c r="F1" s="117"/>
      <c r="G1" s="120"/>
      <c r="H1" s="323"/>
      <c r="I1" s="197"/>
      <c r="J1" s="121"/>
      <c r="K1" s="122"/>
      <c r="L1" s="122"/>
      <c r="M1" s="197"/>
      <c r="N1" s="122"/>
      <c r="O1" s="119"/>
      <c r="P1" s="119"/>
      <c r="Q1" s="119"/>
      <c r="R1" s="123"/>
      <c r="S1" s="123"/>
      <c r="T1" s="119"/>
      <c r="U1" s="123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57"/>
      <c r="AO1" s="124"/>
    </row>
    <row r="2" spans="1:51" s="53" customFormat="1" ht="18.75">
      <c r="A2" s="60"/>
      <c r="B2" s="527" t="s">
        <v>65</v>
      </c>
      <c r="C2" s="528"/>
      <c r="D2" s="528"/>
      <c r="E2" s="528"/>
      <c r="F2" s="528"/>
      <c r="G2" s="528"/>
      <c r="H2" s="528"/>
      <c r="I2" s="529"/>
      <c r="J2" s="325"/>
      <c r="K2" s="326" t="s">
        <v>701</v>
      </c>
      <c r="L2" s="327"/>
      <c r="M2" s="455"/>
      <c r="N2" s="456"/>
      <c r="O2" s="327"/>
      <c r="P2" s="328"/>
      <c r="Q2" s="328"/>
      <c r="R2" s="328"/>
      <c r="S2" s="329"/>
      <c r="T2" s="125"/>
      <c r="U2" s="126"/>
      <c r="AN2" s="57"/>
      <c r="AO2" s="124"/>
    </row>
    <row r="3" spans="1:51" s="53" customFormat="1" ht="18.75">
      <c r="A3" s="60"/>
      <c r="B3" s="530" t="s">
        <v>796</v>
      </c>
      <c r="C3" s="531"/>
      <c r="D3" s="531"/>
      <c r="E3" s="531"/>
      <c r="F3" s="531"/>
      <c r="G3" s="531"/>
      <c r="H3" s="531"/>
      <c r="I3" s="532"/>
      <c r="J3" s="330"/>
      <c r="K3" s="533" t="s">
        <v>702</v>
      </c>
      <c r="L3" s="534"/>
      <c r="M3" s="534"/>
      <c r="N3" s="534"/>
      <c r="O3" s="534"/>
      <c r="P3" s="534"/>
      <c r="Q3" s="534"/>
      <c r="R3" s="534"/>
      <c r="S3" s="535"/>
      <c r="T3" s="125"/>
      <c r="U3" s="126"/>
      <c r="AN3" s="57"/>
      <c r="AO3" s="124"/>
    </row>
    <row r="4" spans="1:51" s="53" customFormat="1" ht="19.5" thickBot="1">
      <c r="A4" s="60"/>
      <c r="B4" s="536" t="s">
        <v>631</v>
      </c>
      <c r="C4" s="537"/>
      <c r="D4" s="537"/>
      <c r="E4" s="537"/>
      <c r="F4" s="537"/>
      <c r="G4" s="537"/>
      <c r="H4" s="537"/>
      <c r="I4" s="538"/>
      <c r="J4" s="331"/>
      <c r="K4" s="539" t="s">
        <v>703</v>
      </c>
      <c r="L4" s="540"/>
      <c r="M4" s="540"/>
      <c r="N4" s="540"/>
      <c r="O4" s="540"/>
      <c r="P4" s="540"/>
      <c r="Q4" s="540"/>
      <c r="R4" s="540"/>
      <c r="S4" s="541"/>
      <c r="T4" s="125"/>
      <c r="U4" s="126"/>
      <c r="AN4" s="57"/>
      <c r="AO4" s="124"/>
    </row>
    <row r="5" spans="1:51" s="53" customFormat="1" ht="16.899999999999999" customHeight="1">
      <c r="A5" s="543"/>
      <c r="B5" s="543"/>
      <c r="C5" s="543"/>
      <c r="D5" s="543"/>
      <c r="E5" s="543"/>
      <c r="F5" s="543"/>
      <c r="G5" s="120"/>
      <c r="H5" s="323"/>
      <c r="I5" s="198"/>
      <c r="J5" s="127"/>
      <c r="K5" s="128"/>
      <c r="L5" s="128"/>
      <c r="M5" s="145"/>
      <c r="N5" s="149"/>
      <c r="O5" s="120"/>
      <c r="P5" s="120"/>
      <c r="Q5" s="120"/>
      <c r="R5" s="120"/>
      <c r="S5" s="120"/>
      <c r="U5" s="129"/>
      <c r="V5" s="542"/>
      <c r="W5" s="54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452"/>
      <c r="AM5" s="452"/>
      <c r="AN5" s="57"/>
      <c r="AO5" s="124"/>
    </row>
    <row r="6" spans="1:51" s="53" customFormat="1" ht="16.899999999999999" customHeight="1">
      <c r="A6" s="61" t="s">
        <v>467</v>
      </c>
      <c r="B6" s="453"/>
      <c r="C6" s="131"/>
      <c r="D6" s="501"/>
      <c r="E6" s="133"/>
      <c r="F6" s="134"/>
      <c r="G6" s="120"/>
      <c r="H6" s="324"/>
      <c r="I6" s="248"/>
      <c r="J6" s="249"/>
      <c r="K6" s="249"/>
      <c r="L6" s="250"/>
      <c r="M6" s="145"/>
      <c r="N6" s="149"/>
      <c r="O6" s="251"/>
      <c r="P6" s="251"/>
      <c r="Q6" s="246"/>
      <c r="R6" s="247"/>
      <c r="S6" s="120"/>
      <c r="T6" s="452"/>
      <c r="U6" s="129"/>
      <c r="V6" s="452"/>
      <c r="W6" s="252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6"/>
      <c r="AL6" s="196"/>
      <c r="AM6" s="196"/>
      <c r="AN6" s="57"/>
      <c r="AO6" s="124"/>
    </row>
    <row r="7" spans="1:51" s="53" customFormat="1" ht="16.899999999999999" customHeight="1" thickBot="1">
      <c r="A7" s="61"/>
      <c r="B7" s="453"/>
      <c r="C7" s="131"/>
      <c r="D7" s="501"/>
      <c r="E7" s="133"/>
      <c r="F7" s="134"/>
      <c r="G7" s="120"/>
      <c r="H7" s="120"/>
      <c r="I7" s="248"/>
      <c r="J7" s="249"/>
      <c r="K7" s="249"/>
      <c r="L7" s="250"/>
      <c r="M7" s="145"/>
      <c r="N7" s="149"/>
      <c r="O7" s="251"/>
      <c r="P7" s="251"/>
      <c r="Q7" s="246"/>
      <c r="R7" s="247"/>
      <c r="S7" s="120"/>
      <c r="T7" s="452"/>
      <c r="U7" s="569" t="s">
        <v>795</v>
      </c>
      <c r="V7" s="569"/>
      <c r="W7" s="569"/>
      <c r="X7" s="569"/>
      <c r="Y7" s="253"/>
      <c r="Z7" s="196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  <c r="AN7" s="57"/>
      <c r="AO7" s="124"/>
    </row>
    <row r="8" spans="1:51" s="53" customFormat="1" ht="17.25" thickBot="1">
      <c r="A8" s="61"/>
      <c r="B8" s="453"/>
      <c r="C8" s="454" t="s">
        <v>1041</v>
      </c>
      <c r="D8" s="502">
        <f>SUM(A13:A602)</f>
        <v>149</v>
      </c>
      <c r="E8" s="133"/>
      <c r="F8" s="134"/>
      <c r="G8" s="120"/>
      <c r="H8" s="120"/>
      <c r="I8" s="248"/>
      <c r="J8" s="249"/>
      <c r="K8" s="249"/>
      <c r="L8" s="250"/>
      <c r="M8" s="145"/>
      <c r="N8" s="149"/>
      <c r="O8" s="251"/>
      <c r="P8" s="251"/>
      <c r="Q8" s="246"/>
      <c r="R8" s="247"/>
      <c r="S8" s="120"/>
      <c r="T8" s="452"/>
      <c r="U8" s="570" t="s">
        <v>52</v>
      </c>
      <c r="V8" s="570"/>
      <c r="W8" s="570"/>
      <c r="X8" s="570"/>
      <c r="Y8" s="196"/>
      <c r="Z8" s="196"/>
      <c r="AA8" s="196"/>
      <c r="AB8" s="196"/>
      <c r="AC8" s="196"/>
      <c r="AD8" s="196"/>
      <c r="AE8" s="196"/>
      <c r="AF8" s="196"/>
      <c r="AG8" s="196"/>
      <c r="AH8" s="196"/>
      <c r="AI8" s="196"/>
      <c r="AJ8" s="196"/>
      <c r="AK8" s="196"/>
      <c r="AL8" s="196"/>
      <c r="AM8" s="196"/>
      <c r="AN8" s="57"/>
      <c r="AO8" s="124"/>
    </row>
    <row r="9" spans="1:51" s="53" customFormat="1" ht="16.5">
      <c r="A9" s="61"/>
      <c r="B9" s="453"/>
      <c r="C9" s="131"/>
      <c r="D9" s="501"/>
      <c r="E9" s="133"/>
      <c r="F9" s="134"/>
      <c r="G9" s="120"/>
      <c r="H9" s="120"/>
      <c r="I9" s="120"/>
      <c r="J9" s="586" t="s">
        <v>538</v>
      </c>
      <c r="K9" s="587"/>
      <c r="L9" s="128"/>
      <c r="M9" s="602" t="s">
        <v>538</v>
      </c>
      <c r="N9" s="602"/>
      <c r="O9" s="590" t="s">
        <v>681</v>
      </c>
      <c r="P9" s="591"/>
      <c r="Q9" s="592"/>
      <c r="R9" s="120"/>
      <c r="S9" s="120"/>
      <c r="T9" s="452"/>
      <c r="U9" s="570"/>
      <c r="V9" s="570"/>
      <c r="W9" s="570"/>
      <c r="X9" s="570"/>
      <c r="Y9" s="196"/>
      <c r="Z9" s="196"/>
      <c r="AA9" s="196"/>
      <c r="AB9" s="196"/>
      <c r="AC9" s="196"/>
      <c r="AD9" s="196"/>
      <c r="AE9" s="196"/>
      <c r="AF9" s="196"/>
      <c r="AG9" s="196"/>
      <c r="AH9" s="196"/>
      <c r="AI9" s="196"/>
      <c r="AJ9" s="196"/>
      <c r="AK9" s="196"/>
      <c r="AL9" s="196"/>
      <c r="AM9" s="196"/>
      <c r="AN9" s="57"/>
      <c r="AO9" s="124"/>
    </row>
    <row r="10" spans="1:51" s="53" customFormat="1" ht="16.899999999999999" customHeight="1" thickBot="1">
      <c r="A10" s="58"/>
      <c r="B10" s="136"/>
      <c r="C10" s="137"/>
      <c r="D10" s="120"/>
      <c r="E10" s="138"/>
      <c r="F10" s="139"/>
      <c r="G10" s="120"/>
      <c r="H10" s="120"/>
      <c r="I10" s="120"/>
      <c r="J10" s="588"/>
      <c r="K10" s="589"/>
      <c r="L10" s="128"/>
      <c r="M10" s="602"/>
      <c r="N10" s="602"/>
      <c r="O10" s="593"/>
      <c r="P10" s="594"/>
      <c r="Q10" s="595"/>
      <c r="R10" s="120"/>
      <c r="S10" s="120"/>
      <c r="T10" s="136"/>
      <c r="U10" s="571"/>
      <c r="V10" s="571"/>
      <c r="W10" s="571"/>
      <c r="X10" s="571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57"/>
      <c r="AO10" s="124"/>
    </row>
    <row r="11" spans="1:51" s="53" customFormat="1" ht="47.25" customHeight="1">
      <c r="A11" s="57"/>
      <c r="B11" s="544" t="s">
        <v>1</v>
      </c>
      <c r="C11" s="565" t="s">
        <v>268</v>
      </c>
      <c r="D11" s="563" t="s">
        <v>269</v>
      </c>
      <c r="E11" s="545" t="s">
        <v>0</v>
      </c>
      <c r="F11" s="547" t="s">
        <v>2</v>
      </c>
      <c r="G11" s="549" t="s">
        <v>31</v>
      </c>
      <c r="H11" s="551" t="s">
        <v>32</v>
      </c>
      <c r="I11" s="553" t="s">
        <v>265</v>
      </c>
      <c r="J11" s="555" t="s">
        <v>481</v>
      </c>
      <c r="K11" s="557" t="s">
        <v>539</v>
      </c>
      <c r="L11" s="596" t="s">
        <v>759</v>
      </c>
      <c r="M11" s="600" t="s">
        <v>886</v>
      </c>
      <c r="N11" s="601" t="s">
        <v>887</v>
      </c>
      <c r="O11" s="559">
        <v>1</v>
      </c>
      <c r="P11" s="561">
        <v>2</v>
      </c>
      <c r="Q11" s="561" t="s">
        <v>59</v>
      </c>
      <c r="R11" s="567" t="s">
        <v>699</v>
      </c>
      <c r="S11" s="567" t="s">
        <v>700</v>
      </c>
      <c r="T11" s="576" t="s">
        <v>61</v>
      </c>
      <c r="U11" s="580" t="s">
        <v>3</v>
      </c>
      <c r="V11" s="578" t="s">
        <v>682</v>
      </c>
      <c r="W11" s="572" t="s">
        <v>48</v>
      </c>
      <c r="X11" s="572" t="s">
        <v>683</v>
      </c>
      <c r="Y11" s="574" t="s">
        <v>684</v>
      </c>
      <c r="Z11" s="584" t="s">
        <v>685</v>
      </c>
      <c r="AA11" s="605" t="s">
        <v>686</v>
      </c>
      <c r="AB11" s="605" t="s">
        <v>687</v>
      </c>
      <c r="AC11" s="605" t="s">
        <v>688</v>
      </c>
      <c r="AD11" s="584" t="s">
        <v>689</v>
      </c>
      <c r="AE11" s="582" t="s">
        <v>690</v>
      </c>
      <c r="AF11" s="582" t="s">
        <v>691</v>
      </c>
      <c r="AG11" s="582" t="s">
        <v>692</v>
      </c>
      <c r="AH11" s="582" t="s">
        <v>693</v>
      </c>
      <c r="AI11" s="582" t="s">
        <v>694</v>
      </c>
      <c r="AJ11" s="582" t="s">
        <v>695</v>
      </c>
      <c r="AK11" s="582" t="s">
        <v>696</v>
      </c>
      <c r="AL11" s="582" t="s">
        <v>697</v>
      </c>
      <c r="AM11" s="582" t="s">
        <v>698</v>
      </c>
      <c r="AN11" s="603" t="s">
        <v>469</v>
      </c>
      <c r="AO11" s="598" t="s">
        <v>468</v>
      </c>
    </row>
    <row r="12" spans="1:51" s="70" customFormat="1" ht="39.6" customHeight="1">
      <c r="A12" s="83"/>
      <c r="B12" s="544"/>
      <c r="C12" s="566"/>
      <c r="D12" s="564"/>
      <c r="E12" s="546"/>
      <c r="F12" s="548"/>
      <c r="G12" s="550"/>
      <c r="H12" s="552"/>
      <c r="I12" s="554"/>
      <c r="J12" s="556"/>
      <c r="K12" s="558"/>
      <c r="L12" s="597"/>
      <c r="M12" s="600"/>
      <c r="N12" s="601"/>
      <c r="O12" s="560"/>
      <c r="P12" s="562"/>
      <c r="Q12" s="562"/>
      <c r="R12" s="568"/>
      <c r="S12" s="568"/>
      <c r="T12" s="577"/>
      <c r="U12" s="581"/>
      <c r="V12" s="579"/>
      <c r="W12" s="573"/>
      <c r="X12" s="573"/>
      <c r="Y12" s="575"/>
      <c r="Z12" s="585"/>
      <c r="AA12" s="606"/>
      <c r="AB12" s="606"/>
      <c r="AC12" s="606"/>
      <c r="AD12" s="585"/>
      <c r="AE12" s="583"/>
      <c r="AF12" s="583"/>
      <c r="AG12" s="583"/>
      <c r="AH12" s="583"/>
      <c r="AI12" s="583"/>
      <c r="AJ12" s="583"/>
      <c r="AK12" s="583"/>
      <c r="AL12" s="583"/>
      <c r="AM12" s="583"/>
      <c r="AN12" s="604"/>
      <c r="AO12" s="599"/>
    </row>
    <row r="13" spans="1:51" s="53" customFormat="1" ht="18" customHeight="1">
      <c r="A13" s="254">
        <v>1</v>
      </c>
      <c r="B13" s="76" t="s">
        <v>266</v>
      </c>
      <c r="C13" s="92" t="s">
        <v>270</v>
      </c>
      <c r="D13" s="92" t="s">
        <v>271</v>
      </c>
      <c r="E13" s="143">
        <v>62</v>
      </c>
      <c r="F13" s="259"/>
      <c r="G13" s="92" t="s">
        <v>66</v>
      </c>
      <c r="H13" s="80">
        <v>45835</v>
      </c>
      <c r="I13" s="82">
        <v>45867</v>
      </c>
      <c r="J13" s="93"/>
      <c r="K13" s="82"/>
      <c r="L13" s="244"/>
      <c r="M13" s="404"/>
      <c r="N13" s="244">
        <f t="shared" ref="N13:N31" si="0">M13+180</f>
        <v>180</v>
      </c>
      <c r="O13" s="76"/>
      <c r="P13" s="76"/>
      <c r="Q13" s="76"/>
      <c r="R13" s="92"/>
      <c r="S13" s="92"/>
      <c r="T13" s="76"/>
      <c r="U13" s="110" t="s">
        <v>38</v>
      </c>
      <c r="V13" s="261" t="s">
        <v>54</v>
      </c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110"/>
      <c r="AP13" s="70"/>
      <c r="AQ13" s="70"/>
      <c r="AR13" s="70"/>
      <c r="AS13" s="70"/>
      <c r="AT13" s="70"/>
      <c r="AU13" s="70"/>
      <c r="AV13" s="70"/>
      <c r="AW13" s="70"/>
      <c r="AX13" s="70"/>
      <c r="AY13" s="70"/>
    </row>
    <row r="14" spans="1:51" s="53" customFormat="1" ht="18" customHeight="1">
      <c r="A14" s="254">
        <v>1</v>
      </c>
      <c r="B14" s="76" t="s">
        <v>266</v>
      </c>
      <c r="C14" s="92" t="s">
        <v>274</v>
      </c>
      <c r="D14" s="92" t="s">
        <v>275</v>
      </c>
      <c r="E14" s="143">
        <v>42</v>
      </c>
      <c r="F14" s="259"/>
      <c r="G14" s="92" t="s">
        <v>66</v>
      </c>
      <c r="H14" s="80">
        <v>45812</v>
      </c>
      <c r="I14" s="82">
        <v>45875</v>
      </c>
      <c r="J14" s="93"/>
      <c r="K14" s="82"/>
      <c r="L14" s="244"/>
      <c r="M14" s="399"/>
      <c r="N14" s="244">
        <f t="shared" si="0"/>
        <v>180</v>
      </c>
      <c r="O14" s="76"/>
      <c r="P14" s="76"/>
      <c r="Q14" s="76"/>
      <c r="R14" s="92"/>
      <c r="S14" s="92"/>
      <c r="T14" s="76"/>
      <c r="U14" s="110" t="s">
        <v>38</v>
      </c>
      <c r="V14" s="261" t="s">
        <v>57</v>
      </c>
      <c r="W14" s="64"/>
      <c r="X14" s="344">
        <v>45875</v>
      </c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 t="s">
        <v>487</v>
      </c>
      <c r="AO14" s="110"/>
      <c r="AP14" s="70"/>
      <c r="AQ14" s="70"/>
      <c r="AR14" s="70"/>
      <c r="AS14" s="70"/>
      <c r="AT14" s="70"/>
      <c r="AU14" s="70"/>
      <c r="AV14" s="70"/>
      <c r="AW14" s="70"/>
      <c r="AX14" s="70"/>
      <c r="AY14" s="70"/>
    </row>
    <row r="15" spans="1:51" s="53" customFormat="1" ht="18" customHeight="1">
      <c r="A15" s="254">
        <v>1</v>
      </c>
      <c r="B15" s="76" t="s">
        <v>266</v>
      </c>
      <c r="C15" s="92" t="s">
        <v>284</v>
      </c>
      <c r="D15" s="92" t="s">
        <v>285</v>
      </c>
      <c r="E15" s="143">
        <v>48</v>
      </c>
      <c r="F15" s="259"/>
      <c r="G15" s="92" t="s">
        <v>66</v>
      </c>
      <c r="H15" s="80">
        <v>45846</v>
      </c>
      <c r="I15" s="260">
        <v>45854</v>
      </c>
      <c r="J15" s="93"/>
      <c r="K15" s="82"/>
      <c r="L15" s="244"/>
      <c r="M15" s="399"/>
      <c r="N15" s="244">
        <f t="shared" si="0"/>
        <v>180</v>
      </c>
      <c r="O15" s="267"/>
      <c r="P15" s="267"/>
      <c r="Q15" s="267"/>
      <c r="R15" s="267"/>
      <c r="S15" s="267"/>
      <c r="T15" s="64"/>
      <c r="U15" s="110" t="s">
        <v>38</v>
      </c>
      <c r="V15" s="261" t="s">
        <v>56</v>
      </c>
      <c r="W15" s="64"/>
      <c r="X15" s="344">
        <v>45952</v>
      </c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 t="s">
        <v>488</v>
      </c>
      <c r="AO15" s="110"/>
      <c r="AP15" s="70"/>
      <c r="AQ15" s="70"/>
      <c r="AR15" s="70"/>
      <c r="AS15" s="70"/>
      <c r="AT15" s="70"/>
      <c r="AU15" s="70"/>
      <c r="AV15" s="70"/>
      <c r="AW15" s="70"/>
      <c r="AX15" s="70"/>
      <c r="AY15" s="70"/>
    </row>
    <row r="16" spans="1:51" s="53" customFormat="1" ht="18" customHeight="1">
      <c r="A16" s="254">
        <v>1</v>
      </c>
      <c r="B16" s="76" t="s">
        <v>266</v>
      </c>
      <c r="C16" s="92" t="s">
        <v>289</v>
      </c>
      <c r="D16" s="92" t="s">
        <v>290</v>
      </c>
      <c r="E16" s="143">
        <v>74</v>
      </c>
      <c r="F16" s="259"/>
      <c r="G16" s="92" t="s">
        <v>66</v>
      </c>
      <c r="H16" s="80">
        <v>45846</v>
      </c>
      <c r="I16" s="260">
        <v>45855</v>
      </c>
      <c r="J16" s="100"/>
      <c r="K16" s="82"/>
      <c r="L16" s="244"/>
      <c r="M16" s="399"/>
      <c r="N16" s="244">
        <f t="shared" si="0"/>
        <v>180</v>
      </c>
      <c r="O16" s="267"/>
      <c r="P16" s="267"/>
      <c r="Q16" s="267"/>
      <c r="R16" s="267"/>
      <c r="S16" s="267"/>
      <c r="T16" s="64"/>
      <c r="U16" s="110" t="s">
        <v>38</v>
      </c>
      <c r="V16" s="261" t="s">
        <v>54</v>
      </c>
      <c r="W16" s="64"/>
      <c r="X16" s="344">
        <v>45862</v>
      </c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110"/>
      <c r="AP16" s="70"/>
      <c r="AQ16" s="70"/>
      <c r="AR16" s="70"/>
      <c r="AS16" s="70"/>
      <c r="AT16" s="70"/>
      <c r="AU16" s="70"/>
      <c r="AV16" s="70"/>
      <c r="AW16" s="70"/>
      <c r="AX16" s="70"/>
      <c r="AY16" s="70"/>
    </row>
    <row r="17" spans="1:97" s="53" customFormat="1" ht="18" customHeight="1">
      <c r="A17" s="254">
        <v>1</v>
      </c>
      <c r="B17" s="76" t="s">
        <v>266</v>
      </c>
      <c r="C17" s="92" t="s">
        <v>292</v>
      </c>
      <c r="D17" s="92" t="s">
        <v>293</v>
      </c>
      <c r="E17" s="143">
        <v>35</v>
      </c>
      <c r="F17" s="259"/>
      <c r="G17" s="92" t="s">
        <v>66</v>
      </c>
      <c r="H17" s="80">
        <v>45819</v>
      </c>
      <c r="I17" s="82">
        <v>45889</v>
      </c>
      <c r="J17" s="93"/>
      <c r="K17" s="82"/>
      <c r="L17" s="244"/>
      <c r="M17" s="399"/>
      <c r="N17" s="244">
        <f t="shared" si="0"/>
        <v>180</v>
      </c>
      <c r="O17" s="267"/>
      <c r="P17" s="267"/>
      <c r="Q17" s="267"/>
      <c r="R17" s="267"/>
      <c r="S17" s="267"/>
      <c r="T17" s="64"/>
      <c r="U17" s="110" t="s">
        <v>38</v>
      </c>
      <c r="V17" s="261" t="s">
        <v>60</v>
      </c>
      <c r="W17" s="64"/>
      <c r="X17" s="344">
        <v>45988</v>
      </c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110"/>
      <c r="AP17" s="70"/>
      <c r="AQ17" s="70"/>
      <c r="AR17" s="70"/>
      <c r="AS17" s="70"/>
      <c r="AT17" s="70"/>
      <c r="AU17" s="70"/>
      <c r="AV17" s="70"/>
      <c r="AW17" s="70"/>
      <c r="AX17" s="70"/>
      <c r="AY17" s="70"/>
    </row>
    <row r="18" spans="1:97" s="53" customFormat="1" ht="18" customHeight="1">
      <c r="A18" s="254">
        <v>1</v>
      </c>
      <c r="B18" s="76" t="s">
        <v>266</v>
      </c>
      <c r="C18" s="92" t="s">
        <v>296</v>
      </c>
      <c r="D18" s="92" t="s">
        <v>297</v>
      </c>
      <c r="E18" s="143">
        <v>76</v>
      </c>
      <c r="F18" s="259"/>
      <c r="G18" s="92" t="s">
        <v>66</v>
      </c>
      <c r="H18" s="80">
        <v>45846</v>
      </c>
      <c r="I18" s="82">
        <v>45889</v>
      </c>
      <c r="J18" s="82"/>
      <c r="K18" s="82"/>
      <c r="L18" s="244"/>
      <c r="M18" s="399"/>
      <c r="N18" s="244">
        <f t="shared" si="0"/>
        <v>180</v>
      </c>
      <c r="O18" s="267"/>
      <c r="P18" s="267"/>
      <c r="Q18" s="267"/>
      <c r="R18" s="267"/>
      <c r="S18" s="267"/>
      <c r="T18" s="64"/>
      <c r="U18" s="110" t="s">
        <v>38</v>
      </c>
      <c r="V18" s="261" t="s">
        <v>54</v>
      </c>
      <c r="W18" s="64"/>
      <c r="X18" s="344">
        <v>45866</v>
      </c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110"/>
      <c r="AP18" s="70"/>
      <c r="AQ18" s="70"/>
      <c r="AR18" s="70"/>
      <c r="AS18" s="70"/>
      <c r="AT18" s="70"/>
      <c r="AU18" s="70"/>
      <c r="AV18" s="70"/>
      <c r="AW18" s="70"/>
      <c r="AX18" s="70"/>
      <c r="AY18" s="70"/>
    </row>
    <row r="19" spans="1:97" s="53" customFormat="1" ht="18" customHeight="1">
      <c r="A19" s="254">
        <v>1</v>
      </c>
      <c r="B19" s="76" t="s">
        <v>267</v>
      </c>
      <c r="C19" s="92" t="s">
        <v>298</v>
      </c>
      <c r="D19" s="92" t="s">
        <v>299</v>
      </c>
      <c r="E19" s="143">
        <v>41</v>
      </c>
      <c r="F19" s="259"/>
      <c r="G19" s="92" t="s">
        <v>67</v>
      </c>
      <c r="H19" s="80">
        <v>45804</v>
      </c>
      <c r="I19" s="82">
        <v>45902</v>
      </c>
      <c r="J19" s="100"/>
      <c r="K19" s="82"/>
      <c r="L19" s="244"/>
      <c r="M19" s="399"/>
      <c r="N19" s="244">
        <f t="shared" si="0"/>
        <v>180</v>
      </c>
      <c r="O19" s="267"/>
      <c r="P19" s="267"/>
      <c r="Q19" s="267"/>
      <c r="R19" s="267"/>
      <c r="S19" s="267"/>
      <c r="T19" s="64"/>
      <c r="U19" s="110" t="s">
        <v>38</v>
      </c>
      <c r="V19" s="261" t="s">
        <v>56</v>
      </c>
      <c r="W19" s="64"/>
      <c r="X19" s="344">
        <v>45938</v>
      </c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110"/>
      <c r="AP19" s="70"/>
      <c r="AQ19" s="70"/>
      <c r="AR19" s="70"/>
      <c r="AS19" s="70"/>
      <c r="AT19" s="70"/>
      <c r="AU19" s="70"/>
      <c r="AV19" s="70"/>
      <c r="AW19" s="70"/>
      <c r="AX19" s="70"/>
      <c r="AY19" s="70"/>
    </row>
    <row r="20" spans="1:97" s="53" customFormat="1" ht="18" customHeight="1">
      <c r="A20" s="254">
        <v>1</v>
      </c>
      <c r="B20" s="76" t="s">
        <v>266</v>
      </c>
      <c r="C20" s="92" t="s">
        <v>302</v>
      </c>
      <c r="D20" s="92" t="s">
        <v>303</v>
      </c>
      <c r="E20" s="143">
        <v>63</v>
      </c>
      <c r="F20" s="259"/>
      <c r="G20" s="92" t="s">
        <v>66</v>
      </c>
      <c r="H20" s="80">
        <v>45831</v>
      </c>
      <c r="I20" s="82">
        <v>45867</v>
      </c>
      <c r="J20" s="100"/>
      <c r="K20" s="82"/>
      <c r="L20" s="244"/>
      <c r="M20" s="399"/>
      <c r="N20" s="244">
        <f t="shared" si="0"/>
        <v>180</v>
      </c>
      <c r="O20" s="267"/>
      <c r="P20" s="267"/>
      <c r="Q20" s="267"/>
      <c r="R20" s="267"/>
      <c r="S20" s="267"/>
      <c r="T20" s="64"/>
      <c r="U20" s="110" t="s">
        <v>38</v>
      </c>
      <c r="V20" s="261" t="s">
        <v>56</v>
      </c>
      <c r="W20" s="64"/>
      <c r="X20" s="344">
        <v>45910</v>
      </c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 t="s">
        <v>490</v>
      </c>
      <c r="AO20" s="110"/>
      <c r="AP20" s="70"/>
      <c r="AQ20" s="70"/>
      <c r="AR20" s="70"/>
      <c r="AS20" s="70"/>
      <c r="AT20" s="70"/>
      <c r="AU20" s="70"/>
      <c r="AV20" s="70"/>
      <c r="AW20" s="70"/>
      <c r="AX20" s="70"/>
      <c r="AY20" s="70"/>
    </row>
    <row r="21" spans="1:97" s="53" customFormat="1" ht="18" customHeight="1">
      <c r="A21" s="254">
        <v>1</v>
      </c>
      <c r="B21" s="76" t="s">
        <v>266</v>
      </c>
      <c r="C21" s="92" t="s">
        <v>309</v>
      </c>
      <c r="D21" s="92" t="s">
        <v>311</v>
      </c>
      <c r="E21" s="143">
        <v>61</v>
      </c>
      <c r="F21" s="259"/>
      <c r="G21" s="92" t="s">
        <v>66</v>
      </c>
      <c r="H21" s="80">
        <v>45820</v>
      </c>
      <c r="I21" s="82">
        <v>45894</v>
      </c>
      <c r="J21" s="100">
        <v>45894</v>
      </c>
      <c r="K21" s="82">
        <f>J21+180</f>
        <v>46074</v>
      </c>
      <c r="L21" s="244"/>
      <c r="M21" s="399"/>
      <c r="N21" s="244">
        <f t="shared" si="0"/>
        <v>180</v>
      </c>
      <c r="O21" s="267"/>
      <c r="P21" s="267"/>
      <c r="Q21" s="267"/>
      <c r="R21" s="267"/>
      <c r="S21" s="267"/>
      <c r="T21" s="64"/>
      <c r="U21" s="110" t="s">
        <v>38</v>
      </c>
      <c r="V21" s="261" t="s">
        <v>54</v>
      </c>
      <c r="W21" s="64"/>
      <c r="X21" s="344">
        <v>45939</v>
      </c>
      <c r="Y21" s="436" t="s">
        <v>987</v>
      </c>
      <c r="Z21" s="64"/>
      <c r="AA21" s="64"/>
      <c r="AB21" s="64"/>
      <c r="AC21" s="64"/>
      <c r="AD21" s="64"/>
      <c r="AE21" s="64"/>
      <c r="AF21" s="64"/>
      <c r="AG21" s="64"/>
      <c r="AH21" s="64">
        <v>1</v>
      </c>
      <c r="AI21" s="64"/>
      <c r="AJ21" s="64"/>
      <c r="AK21" s="64"/>
      <c r="AL21" s="64"/>
      <c r="AM21" s="64"/>
      <c r="AN21" s="64"/>
      <c r="AO21" s="110"/>
      <c r="AP21" s="70"/>
      <c r="AQ21" s="70"/>
      <c r="AR21" s="70"/>
      <c r="AS21" s="70"/>
      <c r="AT21" s="70"/>
      <c r="AU21" s="70"/>
      <c r="AV21" s="70"/>
      <c r="AW21" s="70"/>
      <c r="AX21" s="70"/>
      <c r="AY21" s="70"/>
    </row>
    <row r="22" spans="1:97" s="53" customFormat="1" ht="18" customHeight="1">
      <c r="A22" s="254">
        <v>1</v>
      </c>
      <c r="B22" s="76" t="s">
        <v>266</v>
      </c>
      <c r="C22" s="92" t="s">
        <v>312</v>
      </c>
      <c r="D22" s="92" t="s">
        <v>313</v>
      </c>
      <c r="E22" s="143">
        <v>46</v>
      </c>
      <c r="F22" s="259"/>
      <c r="G22" s="92" t="s">
        <v>67</v>
      </c>
      <c r="H22" s="80">
        <v>45770</v>
      </c>
      <c r="I22" s="82">
        <v>45895</v>
      </c>
      <c r="J22" s="100">
        <v>45895</v>
      </c>
      <c r="K22" s="82"/>
      <c r="L22" s="244"/>
      <c r="M22" s="399"/>
      <c r="N22" s="244">
        <f t="shared" si="0"/>
        <v>180</v>
      </c>
      <c r="O22" s="267"/>
      <c r="P22" s="267"/>
      <c r="Q22" s="267"/>
      <c r="R22" s="267"/>
      <c r="S22" s="267"/>
      <c r="T22" s="64"/>
      <c r="U22" s="110" t="s">
        <v>38</v>
      </c>
      <c r="V22" s="261" t="s">
        <v>53</v>
      </c>
      <c r="W22" s="64"/>
      <c r="X22" s="344">
        <v>45923</v>
      </c>
      <c r="Y22" s="436" t="s">
        <v>988</v>
      </c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110"/>
      <c r="AP22" s="70"/>
      <c r="AQ22" s="70"/>
      <c r="AR22" s="70"/>
      <c r="AS22" s="70"/>
      <c r="AT22" s="70"/>
      <c r="AU22" s="70"/>
      <c r="AV22" s="70"/>
      <c r="AW22" s="70"/>
      <c r="AX22" s="70"/>
      <c r="AY22" s="70"/>
    </row>
    <row r="23" spans="1:97" s="53" customFormat="1" ht="18" customHeight="1">
      <c r="A23" s="254">
        <v>1</v>
      </c>
      <c r="B23" s="76" t="s">
        <v>267</v>
      </c>
      <c r="C23" s="92" t="s">
        <v>508</v>
      </c>
      <c r="D23" s="92" t="s">
        <v>318</v>
      </c>
      <c r="E23" s="143">
        <v>61</v>
      </c>
      <c r="F23" s="259"/>
      <c r="G23" s="92" t="s">
        <v>66</v>
      </c>
      <c r="H23" s="80">
        <v>45812</v>
      </c>
      <c r="I23" s="82">
        <v>45873</v>
      </c>
      <c r="J23" s="100"/>
      <c r="K23" s="82"/>
      <c r="L23" s="244"/>
      <c r="M23" s="399"/>
      <c r="N23" s="244">
        <f t="shared" si="0"/>
        <v>180</v>
      </c>
      <c r="O23" s="267"/>
      <c r="P23" s="267"/>
      <c r="Q23" s="267"/>
      <c r="R23" s="267"/>
      <c r="S23" s="267"/>
      <c r="T23" s="64"/>
      <c r="U23" s="110" t="s">
        <v>38</v>
      </c>
      <c r="V23" s="261" t="s">
        <v>57</v>
      </c>
      <c r="W23" s="64"/>
      <c r="X23" s="344">
        <v>45944</v>
      </c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 t="s">
        <v>509</v>
      </c>
      <c r="AO23" s="110"/>
      <c r="AP23" s="70"/>
      <c r="AQ23" s="70"/>
      <c r="AR23" s="70"/>
      <c r="AS23" s="70"/>
      <c r="AT23" s="70"/>
      <c r="AU23" s="70"/>
      <c r="AV23" s="70"/>
      <c r="AW23" s="70"/>
      <c r="AX23" s="70"/>
      <c r="AY23" s="70"/>
    </row>
    <row r="24" spans="1:97" s="53" customFormat="1" ht="18" customHeight="1">
      <c r="A24" s="254">
        <v>1</v>
      </c>
      <c r="B24" s="76" t="s">
        <v>267</v>
      </c>
      <c r="C24" s="92" t="s">
        <v>325</v>
      </c>
      <c r="D24" s="92" t="s">
        <v>326</v>
      </c>
      <c r="E24" s="143">
        <v>49</v>
      </c>
      <c r="F24" s="259"/>
      <c r="G24" s="92" t="s">
        <v>66</v>
      </c>
      <c r="H24" s="80">
        <v>45805</v>
      </c>
      <c r="I24" s="82">
        <v>45903</v>
      </c>
      <c r="J24" s="100"/>
      <c r="K24" s="82"/>
      <c r="L24" s="244"/>
      <c r="M24" s="63"/>
      <c r="N24" s="244">
        <f t="shared" si="0"/>
        <v>180</v>
      </c>
      <c r="O24" s="267"/>
      <c r="P24" s="267"/>
      <c r="Q24" s="267"/>
      <c r="R24" s="267"/>
      <c r="S24" s="267"/>
      <c r="T24" s="64"/>
      <c r="U24" s="110" t="s">
        <v>38</v>
      </c>
      <c r="V24" s="261" t="s">
        <v>57</v>
      </c>
      <c r="W24" s="64"/>
      <c r="X24" s="344">
        <v>45944</v>
      </c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110"/>
      <c r="AP24" s="70"/>
      <c r="AQ24" s="70"/>
      <c r="AR24" s="70"/>
      <c r="AS24" s="70"/>
      <c r="AT24" s="70"/>
      <c r="AU24" s="70"/>
      <c r="AV24" s="70"/>
      <c r="AW24" s="70"/>
      <c r="AX24" s="70"/>
      <c r="AY24" s="70"/>
    </row>
    <row r="25" spans="1:97" s="53" customFormat="1" ht="18" customHeight="1">
      <c r="A25" s="254">
        <v>1</v>
      </c>
      <c r="B25" s="76" t="s">
        <v>266</v>
      </c>
      <c r="C25" s="92" t="s">
        <v>331</v>
      </c>
      <c r="D25" s="92" t="s">
        <v>332</v>
      </c>
      <c r="E25" s="143">
        <v>45</v>
      </c>
      <c r="F25" s="259"/>
      <c r="G25" s="92" t="s">
        <v>66</v>
      </c>
      <c r="H25" s="80">
        <v>45835</v>
      </c>
      <c r="I25" s="82">
        <v>45901</v>
      </c>
      <c r="J25" s="100"/>
      <c r="K25" s="82"/>
      <c r="L25" s="244"/>
      <c r="M25" s="399"/>
      <c r="N25" s="244">
        <f t="shared" si="0"/>
        <v>180</v>
      </c>
      <c r="O25" s="267"/>
      <c r="P25" s="267"/>
      <c r="Q25" s="267"/>
      <c r="R25" s="267"/>
      <c r="S25" s="267"/>
      <c r="T25" s="64"/>
      <c r="U25" s="110" t="s">
        <v>38</v>
      </c>
      <c r="V25" s="261" t="s">
        <v>56</v>
      </c>
      <c r="W25" s="64"/>
      <c r="X25" s="344">
        <v>45888</v>
      </c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110"/>
      <c r="AP25" s="70"/>
      <c r="AQ25" s="70"/>
      <c r="AR25" s="70"/>
      <c r="AS25" s="70"/>
      <c r="AT25" s="70"/>
      <c r="AU25" s="70"/>
      <c r="AV25" s="70"/>
      <c r="AW25" s="70"/>
      <c r="AX25" s="70"/>
      <c r="AY25" s="70"/>
    </row>
    <row r="26" spans="1:97" s="53" customFormat="1" ht="18" customHeight="1">
      <c r="A26" s="254">
        <v>1</v>
      </c>
      <c r="B26" s="76" t="s">
        <v>266</v>
      </c>
      <c r="C26" s="92" t="s">
        <v>335</v>
      </c>
      <c r="D26" s="92" t="s">
        <v>336</v>
      </c>
      <c r="E26" s="143">
        <v>39</v>
      </c>
      <c r="F26" s="259"/>
      <c r="G26" s="92" t="s">
        <v>66</v>
      </c>
      <c r="H26" s="80">
        <v>45835</v>
      </c>
      <c r="I26" s="82">
        <v>45880</v>
      </c>
      <c r="J26" s="93"/>
      <c r="K26" s="82"/>
      <c r="L26" s="244"/>
      <c r="M26" s="399"/>
      <c r="N26" s="244">
        <f t="shared" si="0"/>
        <v>180</v>
      </c>
      <c r="O26" s="267"/>
      <c r="P26" s="267"/>
      <c r="Q26" s="267"/>
      <c r="R26" s="267"/>
      <c r="S26" s="267"/>
      <c r="T26" s="64"/>
      <c r="U26" s="110" t="s">
        <v>38</v>
      </c>
      <c r="V26" s="261" t="s">
        <v>58</v>
      </c>
      <c r="W26" s="64"/>
      <c r="X26" s="344">
        <v>45880</v>
      </c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110"/>
      <c r="AP26" s="70"/>
      <c r="AQ26" s="70"/>
      <c r="AR26" s="70"/>
      <c r="AS26" s="70"/>
      <c r="AT26" s="70"/>
      <c r="AU26" s="70"/>
      <c r="AV26" s="70"/>
      <c r="AW26" s="70"/>
      <c r="AX26" s="70"/>
      <c r="AY26" s="70"/>
    </row>
    <row r="27" spans="1:97" s="53" customFormat="1" ht="18" customHeight="1">
      <c r="A27" s="254">
        <v>1</v>
      </c>
      <c r="B27" s="76" t="s">
        <v>266</v>
      </c>
      <c r="C27" s="92" t="s">
        <v>348</v>
      </c>
      <c r="D27" s="92" t="s">
        <v>311</v>
      </c>
      <c r="E27" s="143">
        <v>48</v>
      </c>
      <c r="F27" s="259"/>
      <c r="G27" s="92" t="s">
        <v>67</v>
      </c>
      <c r="H27" s="80">
        <v>45812</v>
      </c>
      <c r="I27" s="82">
        <v>45901</v>
      </c>
      <c r="J27" s="99"/>
      <c r="K27" s="82"/>
      <c r="L27" s="244"/>
      <c r="M27" s="399"/>
      <c r="N27" s="244">
        <f t="shared" si="0"/>
        <v>180</v>
      </c>
      <c r="O27" s="267"/>
      <c r="P27" s="267"/>
      <c r="Q27" s="267"/>
      <c r="R27" s="267"/>
      <c r="S27" s="267"/>
      <c r="T27" s="64"/>
      <c r="U27" s="110" t="s">
        <v>38</v>
      </c>
      <c r="V27" s="261" t="s">
        <v>33</v>
      </c>
      <c r="W27" s="64"/>
      <c r="X27" s="344">
        <v>45897</v>
      </c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 t="s">
        <v>510</v>
      </c>
      <c r="AO27" s="110"/>
      <c r="AP27" s="70"/>
      <c r="AQ27" s="70"/>
      <c r="AR27" s="70"/>
      <c r="AS27" s="70"/>
      <c r="AT27" s="70"/>
      <c r="AU27" s="70"/>
      <c r="AV27" s="70"/>
      <c r="AW27" s="70"/>
      <c r="AX27" s="70"/>
      <c r="AY27" s="70"/>
    </row>
    <row r="28" spans="1:97" s="53" customFormat="1" ht="18" customHeight="1">
      <c r="A28" s="254">
        <v>1</v>
      </c>
      <c r="B28" s="76" t="s">
        <v>266</v>
      </c>
      <c r="C28" s="92" t="s">
        <v>353</v>
      </c>
      <c r="D28" s="92" t="s">
        <v>354</v>
      </c>
      <c r="E28" s="143">
        <v>63</v>
      </c>
      <c r="F28" s="259"/>
      <c r="G28" s="92" t="s">
        <v>66</v>
      </c>
      <c r="H28" s="80">
        <v>45820</v>
      </c>
      <c r="I28" s="82">
        <v>45901</v>
      </c>
      <c r="J28" s="93"/>
      <c r="K28" s="82"/>
      <c r="L28" s="244"/>
      <c r="M28" s="399"/>
      <c r="N28" s="244">
        <f t="shared" si="0"/>
        <v>180</v>
      </c>
      <c r="O28" s="267"/>
      <c r="P28" s="267"/>
      <c r="Q28" s="267"/>
      <c r="R28" s="267"/>
      <c r="S28" s="267"/>
      <c r="T28" s="64"/>
      <c r="U28" s="110" t="s">
        <v>38</v>
      </c>
      <c r="V28" s="261" t="s">
        <v>54</v>
      </c>
      <c r="W28" s="64"/>
      <c r="X28" s="344">
        <v>45876</v>
      </c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110"/>
      <c r="AP28" s="70"/>
      <c r="AQ28" s="70"/>
      <c r="AR28" s="70"/>
      <c r="AS28" s="70"/>
      <c r="AT28" s="70"/>
      <c r="AU28" s="70"/>
      <c r="AV28" s="70"/>
      <c r="AW28" s="70"/>
      <c r="AX28" s="70"/>
      <c r="AY28" s="70"/>
    </row>
    <row r="29" spans="1:97" s="54" customFormat="1" ht="19.5" customHeight="1">
      <c r="A29" s="254">
        <v>1</v>
      </c>
      <c r="B29" s="76" t="s">
        <v>266</v>
      </c>
      <c r="C29" s="92" t="s">
        <v>357</v>
      </c>
      <c r="D29" s="92" t="s">
        <v>358</v>
      </c>
      <c r="E29" s="143">
        <v>60</v>
      </c>
      <c r="F29" s="259"/>
      <c r="G29" s="92" t="s">
        <v>66</v>
      </c>
      <c r="H29" s="80">
        <v>45820</v>
      </c>
      <c r="I29" s="82">
        <v>45901</v>
      </c>
      <c r="J29" s="93"/>
      <c r="K29" s="82"/>
      <c r="L29" s="244"/>
      <c r="M29" s="399"/>
      <c r="N29" s="244">
        <f t="shared" si="0"/>
        <v>180</v>
      </c>
      <c r="O29" s="267"/>
      <c r="P29" s="267"/>
      <c r="Q29" s="267"/>
      <c r="R29" s="267"/>
      <c r="S29" s="267"/>
      <c r="T29" s="64"/>
      <c r="U29" s="110" t="s">
        <v>38</v>
      </c>
      <c r="V29" s="261" t="s">
        <v>54</v>
      </c>
      <c r="W29" s="64"/>
      <c r="X29" s="344">
        <v>45868</v>
      </c>
      <c r="Y29" s="436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110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</row>
    <row r="30" spans="1:97" s="54" customFormat="1" ht="19.5" customHeight="1">
      <c r="A30" s="254">
        <v>1</v>
      </c>
      <c r="B30" s="76" t="s">
        <v>266</v>
      </c>
      <c r="C30" s="92" t="s">
        <v>361</v>
      </c>
      <c r="D30" s="92" t="s">
        <v>362</v>
      </c>
      <c r="E30" s="143">
        <v>54</v>
      </c>
      <c r="F30" s="259"/>
      <c r="G30" s="92" t="s">
        <v>66</v>
      </c>
      <c r="H30" s="80">
        <v>45770</v>
      </c>
      <c r="I30" s="82">
        <v>45868</v>
      </c>
      <c r="J30" s="94"/>
      <c r="K30" s="144"/>
      <c r="L30" s="244"/>
      <c r="M30" s="399"/>
      <c r="N30" s="244">
        <f t="shared" si="0"/>
        <v>180</v>
      </c>
      <c r="O30" s="267"/>
      <c r="P30" s="267"/>
      <c r="Q30" s="267"/>
      <c r="R30" s="267"/>
      <c r="S30" s="267"/>
      <c r="T30" s="64"/>
      <c r="U30" s="110" t="s">
        <v>38</v>
      </c>
      <c r="V30" s="261" t="s">
        <v>58</v>
      </c>
      <c r="W30" s="64"/>
      <c r="X30" s="344">
        <v>45868</v>
      </c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110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</row>
    <row r="31" spans="1:97" s="54" customFormat="1" ht="19.5" customHeight="1">
      <c r="A31" s="254">
        <v>1</v>
      </c>
      <c r="B31" s="76" t="s">
        <v>267</v>
      </c>
      <c r="C31" s="92" t="s">
        <v>483</v>
      </c>
      <c r="D31" s="92" t="s">
        <v>363</v>
      </c>
      <c r="E31" s="143">
        <v>45</v>
      </c>
      <c r="F31" s="259"/>
      <c r="G31" s="92" t="s">
        <v>67</v>
      </c>
      <c r="H31" s="80">
        <v>45770</v>
      </c>
      <c r="I31" s="82">
        <v>45901</v>
      </c>
      <c r="J31" s="94"/>
      <c r="K31" s="144"/>
      <c r="L31" s="244"/>
      <c r="M31" s="399"/>
      <c r="N31" s="244">
        <f t="shared" si="0"/>
        <v>180</v>
      </c>
      <c r="O31" s="267"/>
      <c r="P31" s="267"/>
      <c r="Q31" s="267"/>
      <c r="R31" s="267"/>
      <c r="S31" s="267"/>
      <c r="T31" s="64"/>
      <c r="U31" s="110" t="s">
        <v>81</v>
      </c>
      <c r="V31" s="261"/>
      <c r="W31" s="64"/>
      <c r="X31" s="344">
        <v>45924</v>
      </c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 t="s">
        <v>512</v>
      </c>
      <c r="AO31" s="110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</row>
    <row r="32" spans="1:97" s="74" customFormat="1" ht="19.5" customHeight="1">
      <c r="A32" s="254">
        <v>1</v>
      </c>
      <c r="B32" s="76" t="s">
        <v>266</v>
      </c>
      <c r="C32" s="186" t="s">
        <v>367</v>
      </c>
      <c r="D32" s="92" t="s">
        <v>368</v>
      </c>
      <c r="E32" s="143">
        <v>28</v>
      </c>
      <c r="F32" s="259"/>
      <c r="G32" s="92" t="s">
        <v>66</v>
      </c>
      <c r="H32" s="80">
        <v>45770</v>
      </c>
      <c r="I32" s="82">
        <v>45889</v>
      </c>
      <c r="J32" s="431">
        <v>45919</v>
      </c>
      <c r="K32" s="144"/>
      <c r="L32" s="244"/>
      <c r="M32" s="399"/>
      <c r="N32" s="244"/>
      <c r="O32" s="267"/>
      <c r="P32" s="267"/>
      <c r="Q32" s="267"/>
      <c r="R32" s="267"/>
      <c r="S32" s="267"/>
      <c r="T32" s="64"/>
      <c r="U32" s="110" t="s">
        <v>38</v>
      </c>
      <c r="V32" s="261" t="s">
        <v>57</v>
      </c>
      <c r="W32" s="64"/>
      <c r="X32" s="344">
        <v>46100</v>
      </c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 t="s">
        <v>513</v>
      </c>
      <c r="AO32" s="110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  <c r="CS32" s="73"/>
    </row>
    <row r="33" spans="1:51" s="57" customFormat="1" ht="14.25">
      <c r="A33" s="254">
        <v>1</v>
      </c>
      <c r="B33" s="76" t="s">
        <v>266</v>
      </c>
      <c r="C33" s="92" t="s">
        <v>380</v>
      </c>
      <c r="D33" s="92" t="s">
        <v>381</v>
      </c>
      <c r="E33" s="143">
        <v>63</v>
      </c>
      <c r="F33" s="259"/>
      <c r="G33" s="92" t="s">
        <v>66</v>
      </c>
      <c r="H33" s="80">
        <v>45846</v>
      </c>
      <c r="I33" s="82">
        <v>45901</v>
      </c>
      <c r="J33" s="94"/>
      <c r="K33" s="144"/>
      <c r="L33" s="244"/>
      <c r="M33" s="64"/>
      <c r="N33" s="344"/>
      <c r="O33" s="267"/>
      <c r="P33" s="267"/>
      <c r="Q33" s="267"/>
      <c r="R33" s="267"/>
      <c r="S33" s="267"/>
      <c r="T33" s="64"/>
      <c r="U33" s="110" t="s">
        <v>38</v>
      </c>
      <c r="V33" s="261" t="s">
        <v>54</v>
      </c>
      <c r="W33" s="64"/>
      <c r="X33" s="344">
        <v>45873</v>
      </c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110"/>
      <c r="AP33" s="70"/>
      <c r="AQ33" s="70"/>
      <c r="AR33" s="70"/>
      <c r="AS33" s="70"/>
      <c r="AT33" s="70"/>
      <c r="AU33" s="70"/>
      <c r="AV33" s="70"/>
      <c r="AW33" s="70"/>
      <c r="AX33" s="70"/>
      <c r="AY33" s="70"/>
    </row>
    <row r="34" spans="1:51" s="57" customFormat="1" ht="13.9" customHeight="1">
      <c r="A34" s="254">
        <v>1</v>
      </c>
      <c r="B34" s="76" t="s">
        <v>266</v>
      </c>
      <c r="C34" s="92" t="s">
        <v>386</v>
      </c>
      <c r="D34" s="92" t="s">
        <v>387</v>
      </c>
      <c r="E34" s="143">
        <v>30</v>
      </c>
      <c r="F34" s="259"/>
      <c r="G34" s="92" t="s">
        <v>67</v>
      </c>
      <c r="H34" s="80">
        <v>45862</v>
      </c>
      <c r="I34" s="82">
        <v>45901</v>
      </c>
      <c r="J34" s="431">
        <v>45910</v>
      </c>
      <c r="K34" s="144"/>
      <c r="L34" s="244"/>
      <c r="M34" s="64"/>
      <c r="N34" s="344"/>
      <c r="O34" s="267"/>
      <c r="P34" s="267"/>
      <c r="Q34" s="267"/>
      <c r="R34" s="267"/>
      <c r="S34" s="267"/>
      <c r="T34" s="64"/>
      <c r="U34" s="110" t="s">
        <v>81</v>
      </c>
      <c r="V34" s="261"/>
      <c r="W34" s="64"/>
      <c r="X34" s="344">
        <v>45926</v>
      </c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110"/>
      <c r="AP34" s="70"/>
      <c r="AQ34" s="70"/>
      <c r="AR34" s="70"/>
      <c r="AS34" s="70"/>
      <c r="AT34" s="70"/>
      <c r="AU34" s="70"/>
      <c r="AV34" s="70"/>
      <c r="AW34" s="70"/>
      <c r="AX34" s="70"/>
      <c r="AY34" s="70"/>
    </row>
    <row r="35" spans="1:51" s="57" customFormat="1" ht="14.25">
      <c r="A35" s="254">
        <v>1</v>
      </c>
      <c r="B35" s="76" t="s">
        <v>267</v>
      </c>
      <c r="C35" s="92" t="s">
        <v>388</v>
      </c>
      <c r="D35" s="92" t="s">
        <v>389</v>
      </c>
      <c r="E35" s="143">
        <v>50</v>
      </c>
      <c r="F35" s="259"/>
      <c r="G35" s="92" t="s">
        <v>66</v>
      </c>
      <c r="H35" s="80">
        <v>45835</v>
      </c>
      <c r="I35" s="82">
        <v>45910</v>
      </c>
      <c r="J35" s="94"/>
      <c r="K35" s="144"/>
      <c r="L35" s="244"/>
      <c r="M35" s="399"/>
      <c r="N35" s="243"/>
      <c r="O35" s="267"/>
      <c r="P35" s="267"/>
      <c r="Q35" s="267"/>
      <c r="R35" s="267"/>
      <c r="S35" s="267"/>
      <c r="T35" s="64"/>
      <c r="U35" s="110" t="s">
        <v>38</v>
      </c>
      <c r="V35" s="261" t="s">
        <v>60</v>
      </c>
      <c r="W35" s="64"/>
      <c r="X35" s="344">
        <v>45930</v>
      </c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110"/>
      <c r="AP35" s="70"/>
      <c r="AQ35" s="70"/>
      <c r="AR35" s="70"/>
      <c r="AS35" s="70"/>
      <c r="AT35" s="70"/>
      <c r="AU35" s="70"/>
      <c r="AV35" s="70"/>
      <c r="AW35" s="70"/>
      <c r="AX35" s="70"/>
      <c r="AY35" s="70"/>
    </row>
    <row r="36" spans="1:51" s="57" customFormat="1" ht="13.9" customHeight="1">
      <c r="A36" s="254">
        <v>1</v>
      </c>
      <c r="B36" s="76" t="s">
        <v>266</v>
      </c>
      <c r="C36" s="92" t="s">
        <v>393</v>
      </c>
      <c r="D36" s="92" t="s">
        <v>394</v>
      </c>
      <c r="E36" s="143">
        <v>36</v>
      </c>
      <c r="F36" s="259"/>
      <c r="G36" s="92" t="s">
        <v>66</v>
      </c>
      <c r="H36" s="80">
        <v>45821</v>
      </c>
      <c r="I36" s="82">
        <v>45901</v>
      </c>
      <c r="J36" s="431">
        <v>45881</v>
      </c>
      <c r="K36" s="144"/>
      <c r="L36" s="244"/>
      <c r="M36" s="399"/>
      <c r="N36" s="243"/>
      <c r="O36" s="267"/>
      <c r="P36" s="267"/>
      <c r="Q36" s="267"/>
      <c r="R36" s="267"/>
      <c r="S36" s="267"/>
      <c r="T36" s="64"/>
      <c r="U36" s="110" t="s">
        <v>38</v>
      </c>
      <c r="V36" s="261" t="s">
        <v>56</v>
      </c>
      <c r="W36" s="64"/>
      <c r="X36" s="344">
        <v>46098</v>
      </c>
      <c r="Y36" s="436" t="s">
        <v>949</v>
      </c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110"/>
      <c r="AP36" s="70"/>
      <c r="AQ36" s="70"/>
      <c r="AR36" s="70"/>
      <c r="AS36" s="70"/>
      <c r="AT36" s="70"/>
      <c r="AU36" s="70"/>
      <c r="AV36" s="70"/>
      <c r="AW36" s="70"/>
      <c r="AX36" s="70"/>
      <c r="AY36" s="70"/>
    </row>
    <row r="37" spans="1:51" s="57" customFormat="1" ht="14.25">
      <c r="A37" s="254">
        <v>1</v>
      </c>
      <c r="B37" s="76" t="s">
        <v>267</v>
      </c>
      <c r="C37" s="92" t="s">
        <v>395</v>
      </c>
      <c r="D37" s="92" t="s">
        <v>396</v>
      </c>
      <c r="E37" s="143">
        <v>42</v>
      </c>
      <c r="F37" s="259"/>
      <c r="G37" s="92" t="s">
        <v>66</v>
      </c>
      <c r="H37" s="80">
        <v>45818</v>
      </c>
      <c r="I37" s="82">
        <v>45910</v>
      </c>
      <c r="J37" s="431">
        <v>45910</v>
      </c>
      <c r="K37" s="144"/>
      <c r="L37" s="244"/>
      <c r="M37" s="399"/>
      <c r="N37" s="243"/>
      <c r="O37" s="267"/>
      <c r="P37" s="267"/>
      <c r="Q37" s="267"/>
      <c r="R37" s="267"/>
      <c r="S37" s="267"/>
      <c r="T37" s="64"/>
      <c r="U37" s="110" t="s">
        <v>38</v>
      </c>
      <c r="V37" s="261" t="s">
        <v>56</v>
      </c>
      <c r="W37" s="64"/>
      <c r="X37" s="344">
        <v>45944</v>
      </c>
      <c r="Y37" s="436" t="s">
        <v>928</v>
      </c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110"/>
      <c r="AP37" s="70"/>
      <c r="AQ37" s="70"/>
      <c r="AR37" s="70"/>
      <c r="AS37" s="70"/>
      <c r="AT37" s="70"/>
      <c r="AU37" s="70"/>
      <c r="AV37" s="70"/>
      <c r="AW37" s="70"/>
      <c r="AX37" s="70"/>
      <c r="AY37" s="70"/>
    </row>
    <row r="38" spans="1:51" s="57" customFormat="1" ht="13.9" customHeight="1">
      <c r="A38" s="254">
        <v>1</v>
      </c>
      <c r="B38" s="76" t="s">
        <v>266</v>
      </c>
      <c r="C38" s="92" t="s">
        <v>408</v>
      </c>
      <c r="D38" s="92" t="s">
        <v>409</v>
      </c>
      <c r="E38" s="143">
        <v>51</v>
      </c>
      <c r="F38" s="259"/>
      <c r="G38" s="92" t="s">
        <v>66</v>
      </c>
      <c r="H38" s="80">
        <v>45821</v>
      </c>
      <c r="I38" s="82">
        <v>45873</v>
      </c>
      <c r="J38" s="94"/>
      <c r="K38" s="144"/>
      <c r="L38" s="244"/>
      <c r="M38" s="63"/>
      <c r="N38" s="243"/>
      <c r="O38" s="267"/>
      <c r="P38" s="267"/>
      <c r="Q38" s="267"/>
      <c r="R38" s="267"/>
      <c r="S38" s="267"/>
      <c r="T38" s="64"/>
      <c r="U38" s="110" t="s">
        <v>38</v>
      </c>
      <c r="V38" s="261" t="s">
        <v>57</v>
      </c>
      <c r="W38" s="64"/>
      <c r="X38" s="344">
        <v>45919</v>
      </c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110"/>
      <c r="AP38" s="70"/>
      <c r="AQ38" s="70"/>
      <c r="AR38" s="70"/>
      <c r="AS38" s="70"/>
      <c r="AT38" s="70"/>
      <c r="AU38" s="70"/>
      <c r="AV38" s="70"/>
      <c r="AW38" s="70"/>
      <c r="AX38" s="70"/>
      <c r="AY38" s="70"/>
    </row>
    <row r="39" spans="1:51" s="57" customFormat="1" ht="17.45" customHeight="1">
      <c r="A39" s="254">
        <v>1</v>
      </c>
      <c r="B39" s="76" t="s">
        <v>266</v>
      </c>
      <c r="C39" s="92" t="s">
        <v>411</v>
      </c>
      <c r="D39" s="92" t="s">
        <v>328</v>
      </c>
      <c r="E39" s="143">
        <v>42</v>
      </c>
      <c r="F39" s="259"/>
      <c r="G39" s="92" t="s">
        <v>66</v>
      </c>
      <c r="H39" s="80">
        <v>45835</v>
      </c>
      <c r="I39" s="82">
        <v>45874</v>
      </c>
      <c r="J39" s="94"/>
      <c r="K39" s="144"/>
      <c r="L39" s="244"/>
      <c r="M39" s="63"/>
      <c r="N39" s="243"/>
      <c r="O39" s="267"/>
      <c r="P39" s="267"/>
      <c r="Q39" s="267"/>
      <c r="R39" s="267"/>
      <c r="S39" s="267"/>
      <c r="T39" s="64"/>
      <c r="U39" s="110" t="s">
        <v>38</v>
      </c>
      <c r="V39" s="261" t="s">
        <v>56</v>
      </c>
      <c r="W39" s="64"/>
      <c r="X39" s="344">
        <v>45902</v>
      </c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 t="s">
        <v>497</v>
      </c>
      <c r="AO39" s="110"/>
      <c r="AP39" s="70"/>
      <c r="AQ39" s="70"/>
      <c r="AR39" s="70"/>
      <c r="AS39" s="70"/>
      <c r="AT39" s="70"/>
      <c r="AU39" s="70"/>
      <c r="AV39" s="70"/>
      <c r="AW39" s="70"/>
      <c r="AX39" s="70"/>
      <c r="AY39" s="70"/>
    </row>
    <row r="40" spans="1:51" s="57" customFormat="1" ht="13.9" customHeight="1">
      <c r="A40" s="254">
        <v>1</v>
      </c>
      <c r="B40" s="291" t="s">
        <v>267</v>
      </c>
      <c r="C40" s="277" t="s">
        <v>414</v>
      </c>
      <c r="D40" s="277" t="s">
        <v>415</v>
      </c>
      <c r="E40" s="292">
        <v>58</v>
      </c>
      <c r="F40" s="259"/>
      <c r="G40" s="277" t="s">
        <v>66</v>
      </c>
      <c r="H40" s="293">
        <v>45848</v>
      </c>
      <c r="I40" s="100">
        <v>45862</v>
      </c>
      <c r="J40" s="94"/>
      <c r="K40" s="144"/>
      <c r="L40" s="244"/>
      <c r="M40" s="63"/>
      <c r="N40" s="243"/>
      <c r="O40" s="294"/>
      <c r="P40" s="294"/>
      <c r="Q40" s="294"/>
      <c r="R40" s="294"/>
      <c r="S40" s="294"/>
      <c r="T40" s="64"/>
      <c r="U40" s="110" t="s">
        <v>38</v>
      </c>
      <c r="V40" s="295" t="s">
        <v>57</v>
      </c>
      <c r="W40" s="64"/>
      <c r="X40" s="344">
        <v>45891</v>
      </c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110"/>
      <c r="AP40" s="70"/>
      <c r="AQ40" s="70"/>
      <c r="AR40" s="70"/>
      <c r="AS40" s="70"/>
      <c r="AT40" s="70"/>
      <c r="AU40" s="70"/>
      <c r="AV40" s="70"/>
      <c r="AW40" s="70"/>
      <c r="AX40" s="70"/>
      <c r="AY40" s="70"/>
    </row>
    <row r="41" spans="1:51" s="57" customFormat="1" ht="14.25">
      <c r="A41" s="254">
        <v>1</v>
      </c>
      <c r="B41" s="76" t="s">
        <v>266</v>
      </c>
      <c r="C41" s="92" t="s">
        <v>416</v>
      </c>
      <c r="D41" s="92" t="s">
        <v>417</v>
      </c>
      <c r="E41" s="143">
        <v>65</v>
      </c>
      <c r="F41" s="259"/>
      <c r="G41" s="92" t="s">
        <v>66</v>
      </c>
      <c r="H41" s="80">
        <v>45820</v>
      </c>
      <c r="I41" s="82">
        <v>45866</v>
      </c>
      <c r="J41" s="94"/>
      <c r="K41" s="144"/>
      <c r="L41" s="244"/>
      <c r="M41" s="63"/>
      <c r="N41" s="243"/>
      <c r="O41" s="267"/>
      <c r="P41" s="267"/>
      <c r="Q41" s="267"/>
      <c r="R41" s="267"/>
      <c r="S41" s="267"/>
      <c r="T41" s="64"/>
      <c r="U41" s="110" t="s">
        <v>38</v>
      </c>
      <c r="V41" s="261" t="s">
        <v>33</v>
      </c>
      <c r="W41" s="64"/>
      <c r="X41" s="344">
        <v>45868</v>
      </c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110"/>
      <c r="AP41" s="70"/>
      <c r="AQ41" s="70"/>
      <c r="AR41" s="70"/>
      <c r="AS41" s="70"/>
      <c r="AT41" s="70"/>
      <c r="AU41" s="70"/>
      <c r="AV41" s="70"/>
      <c r="AW41" s="70"/>
      <c r="AX41" s="70"/>
      <c r="AY41" s="70"/>
    </row>
    <row r="42" spans="1:51" s="57" customFormat="1" ht="13.9" customHeight="1">
      <c r="A42" s="254">
        <v>1</v>
      </c>
      <c r="B42" s="76" t="s">
        <v>267</v>
      </c>
      <c r="C42" s="92" t="s">
        <v>514</v>
      </c>
      <c r="D42" s="92" t="s">
        <v>428</v>
      </c>
      <c r="E42" s="143">
        <v>39</v>
      </c>
      <c r="F42" s="259"/>
      <c r="G42" s="92" t="s">
        <v>66</v>
      </c>
      <c r="H42" s="80">
        <v>45776</v>
      </c>
      <c r="I42" s="82">
        <v>38603</v>
      </c>
      <c r="J42" s="94"/>
      <c r="K42" s="144"/>
      <c r="L42" s="244"/>
      <c r="M42" s="399"/>
      <c r="N42" s="243"/>
      <c r="O42" s="267"/>
      <c r="P42" s="267"/>
      <c r="Q42" s="267"/>
      <c r="R42" s="267"/>
      <c r="S42" s="267"/>
      <c r="T42" s="64"/>
      <c r="U42" s="110" t="s">
        <v>38</v>
      </c>
      <c r="V42" s="261" t="s">
        <v>57</v>
      </c>
      <c r="W42" s="64"/>
      <c r="X42" s="344">
        <v>45947</v>
      </c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110"/>
      <c r="AP42" s="70"/>
      <c r="AQ42" s="70"/>
      <c r="AR42" s="70"/>
      <c r="AS42" s="70"/>
      <c r="AT42" s="70"/>
      <c r="AU42" s="70"/>
      <c r="AV42" s="70"/>
      <c r="AW42" s="70"/>
      <c r="AX42" s="70"/>
      <c r="AY42" s="70"/>
    </row>
    <row r="43" spans="1:51" s="57" customFormat="1" ht="14.25">
      <c r="A43" s="254">
        <v>1</v>
      </c>
      <c r="B43" s="76" t="s">
        <v>267</v>
      </c>
      <c r="C43" s="92" t="s">
        <v>637</v>
      </c>
      <c r="D43" s="92" t="s">
        <v>433</v>
      </c>
      <c r="E43" s="143">
        <v>45</v>
      </c>
      <c r="F43" s="259"/>
      <c r="G43" s="92" t="s">
        <v>67</v>
      </c>
      <c r="H43" s="80">
        <v>45831</v>
      </c>
      <c r="I43" s="82">
        <v>38604</v>
      </c>
      <c r="J43" s="94"/>
      <c r="K43" s="144"/>
      <c r="L43" s="244"/>
      <c r="M43" s="399"/>
      <c r="N43" s="243"/>
      <c r="O43" s="267"/>
      <c r="P43" s="267"/>
      <c r="Q43" s="267"/>
      <c r="R43" s="267"/>
      <c r="S43" s="267"/>
      <c r="T43" s="64"/>
      <c r="U43" s="110" t="s">
        <v>38</v>
      </c>
      <c r="V43" s="261" t="s">
        <v>53</v>
      </c>
      <c r="W43" s="64"/>
      <c r="X43" s="344">
        <v>45952</v>
      </c>
      <c r="Y43" s="436" t="s">
        <v>977</v>
      </c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110"/>
      <c r="AP43" s="70"/>
      <c r="AQ43" s="70"/>
      <c r="AR43" s="70"/>
      <c r="AS43" s="70"/>
      <c r="AT43" s="70"/>
      <c r="AU43" s="70"/>
      <c r="AV43" s="70"/>
      <c r="AW43" s="70"/>
      <c r="AX43" s="70"/>
      <c r="AY43" s="70"/>
    </row>
    <row r="44" spans="1:51" s="70" customFormat="1" ht="13.9" customHeight="1">
      <c r="A44" s="254">
        <v>1</v>
      </c>
      <c r="B44" s="76" t="s">
        <v>267</v>
      </c>
      <c r="C44" s="92" t="s">
        <v>438</v>
      </c>
      <c r="D44" s="92" t="s">
        <v>439</v>
      </c>
      <c r="E44" s="143">
        <v>43</v>
      </c>
      <c r="F44" s="259"/>
      <c r="G44" s="92" t="s">
        <v>67</v>
      </c>
      <c r="H44" s="80">
        <v>45769</v>
      </c>
      <c r="I44" s="260">
        <v>45889</v>
      </c>
      <c r="J44" s="94"/>
      <c r="K44" s="144"/>
      <c r="L44" s="244"/>
      <c r="M44" s="399"/>
      <c r="N44" s="243"/>
      <c r="O44" s="267"/>
      <c r="P44" s="267"/>
      <c r="Q44" s="267"/>
      <c r="R44" s="267"/>
      <c r="S44" s="267"/>
      <c r="T44" s="64"/>
      <c r="U44" s="110" t="s">
        <v>38</v>
      </c>
      <c r="V44" s="261" t="s">
        <v>57</v>
      </c>
      <c r="W44" s="64"/>
      <c r="X44" s="344">
        <v>45889</v>
      </c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110"/>
    </row>
    <row r="45" spans="1:51" s="70" customFormat="1" ht="14.25">
      <c r="A45" s="254">
        <v>1</v>
      </c>
      <c r="B45" s="76" t="s">
        <v>267</v>
      </c>
      <c r="C45" s="92" t="s">
        <v>447</v>
      </c>
      <c r="D45" s="92" t="s">
        <v>448</v>
      </c>
      <c r="E45" s="143">
        <v>64</v>
      </c>
      <c r="F45" s="259"/>
      <c r="G45" s="92" t="s">
        <v>66</v>
      </c>
      <c r="H45" s="80">
        <v>45805</v>
      </c>
      <c r="I45" s="82">
        <v>45903</v>
      </c>
      <c r="J45" s="94"/>
      <c r="K45" s="144"/>
      <c r="L45" s="244"/>
      <c r="M45" s="399"/>
      <c r="N45" s="243"/>
      <c r="O45" s="267"/>
      <c r="P45" s="267"/>
      <c r="Q45" s="267"/>
      <c r="R45" s="267"/>
      <c r="S45" s="267"/>
      <c r="T45" s="64"/>
      <c r="U45" s="110" t="s">
        <v>38</v>
      </c>
      <c r="V45" s="261" t="s">
        <v>54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110"/>
    </row>
    <row r="46" spans="1:51" s="70" customFormat="1" ht="13.9" customHeight="1">
      <c r="A46" s="254">
        <v>1</v>
      </c>
      <c r="B46" s="76" t="s">
        <v>266</v>
      </c>
      <c r="C46" s="92" t="s">
        <v>449</v>
      </c>
      <c r="D46" s="92" t="s">
        <v>450</v>
      </c>
      <c r="E46" s="143">
        <v>48</v>
      </c>
      <c r="F46" s="259"/>
      <c r="G46" s="92" t="s">
        <v>66</v>
      </c>
      <c r="H46" s="80">
        <v>45820</v>
      </c>
      <c r="I46" s="82">
        <v>45869</v>
      </c>
      <c r="J46" s="94"/>
      <c r="K46" s="144"/>
      <c r="L46" s="244"/>
      <c r="M46" s="409"/>
      <c r="N46" s="243"/>
      <c r="O46" s="267"/>
      <c r="P46" s="267"/>
      <c r="Q46" s="267"/>
      <c r="R46" s="267"/>
      <c r="S46" s="267"/>
      <c r="T46" s="64"/>
      <c r="U46" s="110" t="s">
        <v>38</v>
      </c>
      <c r="V46" s="261" t="s">
        <v>56</v>
      </c>
      <c r="W46" s="64"/>
      <c r="X46" s="344">
        <v>45869</v>
      </c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110"/>
    </row>
    <row r="47" spans="1:51" s="70" customFormat="1" ht="14.25">
      <c r="A47" s="254">
        <v>1</v>
      </c>
      <c r="B47" s="76" t="s">
        <v>266</v>
      </c>
      <c r="C47" s="92" t="s">
        <v>453</v>
      </c>
      <c r="D47" s="92" t="s">
        <v>454</v>
      </c>
      <c r="E47" s="143">
        <v>51</v>
      </c>
      <c r="F47" s="259"/>
      <c r="G47" s="92" t="s">
        <v>66</v>
      </c>
      <c r="H47" s="80">
        <v>45770</v>
      </c>
      <c r="I47" s="82">
        <v>45908</v>
      </c>
      <c r="J47" s="94"/>
      <c r="K47" s="144"/>
      <c r="L47" s="244"/>
      <c r="M47" s="405"/>
      <c r="N47" s="243"/>
      <c r="O47" s="267"/>
      <c r="P47" s="267"/>
      <c r="Q47" s="267"/>
      <c r="R47" s="267"/>
      <c r="S47" s="267"/>
      <c r="T47" s="64"/>
      <c r="U47" s="110" t="s">
        <v>38</v>
      </c>
      <c r="V47" s="261" t="s">
        <v>33</v>
      </c>
      <c r="W47" s="64"/>
      <c r="X47" s="344">
        <v>45868</v>
      </c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110"/>
    </row>
    <row r="48" spans="1:51" s="70" customFormat="1" ht="13.9" customHeight="1">
      <c r="A48" s="254">
        <v>1</v>
      </c>
      <c r="B48" s="281" t="s">
        <v>266</v>
      </c>
      <c r="C48" s="282" t="s">
        <v>455</v>
      </c>
      <c r="D48" s="282" t="s">
        <v>456</v>
      </c>
      <c r="E48" s="283">
        <v>54</v>
      </c>
      <c r="F48" s="259"/>
      <c r="G48" s="92" t="s">
        <v>67</v>
      </c>
      <c r="H48" s="284">
        <v>45854</v>
      </c>
      <c r="I48" s="82" t="s">
        <v>485</v>
      </c>
      <c r="J48" s="94"/>
      <c r="K48" s="144"/>
      <c r="L48" s="244"/>
      <c r="M48" s="406"/>
      <c r="N48" s="243"/>
      <c r="O48" s="267"/>
      <c r="P48" s="267"/>
      <c r="Q48" s="267"/>
      <c r="R48" s="267"/>
      <c r="S48" s="267"/>
      <c r="T48" s="64"/>
      <c r="U48" s="110" t="s">
        <v>38</v>
      </c>
      <c r="V48" s="261" t="s">
        <v>58</v>
      </c>
      <c r="W48" s="64"/>
      <c r="X48" s="344">
        <v>45925</v>
      </c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 t="s">
        <v>486</v>
      </c>
      <c r="AO48" s="110"/>
    </row>
    <row r="49" spans="1:97" s="57" customFormat="1" ht="16.5" customHeight="1">
      <c r="A49" s="254">
        <v>1</v>
      </c>
      <c r="B49" s="76" t="s">
        <v>267</v>
      </c>
      <c r="C49" s="92" t="s">
        <v>501</v>
      </c>
      <c r="D49" s="92" t="s">
        <v>502</v>
      </c>
      <c r="E49" s="143"/>
      <c r="F49" s="259"/>
      <c r="G49" s="92"/>
      <c r="H49" s="80"/>
      <c r="I49" s="82">
        <v>45933</v>
      </c>
      <c r="J49" s="94"/>
      <c r="K49" s="144"/>
      <c r="L49" s="244"/>
      <c r="M49" s="409"/>
      <c r="N49" s="243"/>
      <c r="O49" s="276"/>
      <c r="P49" s="267"/>
      <c r="Q49" s="267"/>
      <c r="R49" s="267"/>
      <c r="S49" s="267"/>
      <c r="T49" s="64"/>
      <c r="U49" s="110" t="s">
        <v>38</v>
      </c>
      <c r="V49" s="261" t="s">
        <v>56</v>
      </c>
      <c r="W49" s="64"/>
      <c r="X49" s="344">
        <v>45937</v>
      </c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110"/>
      <c r="AP49" s="70"/>
      <c r="AQ49" s="70"/>
      <c r="AR49" s="70"/>
      <c r="AS49" s="70"/>
      <c r="AT49" s="70"/>
      <c r="AU49" s="70"/>
      <c r="AV49" s="70"/>
      <c r="AW49" s="70"/>
      <c r="AX49" s="70"/>
      <c r="AY49" s="70"/>
    </row>
    <row r="50" spans="1:97" s="53" customFormat="1" ht="18" customHeight="1">
      <c r="A50" s="254">
        <v>1</v>
      </c>
      <c r="B50" s="76" t="s">
        <v>266</v>
      </c>
      <c r="C50" s="92" t="s">
        <v>314</v>
      </c>
      <c r="D50" s="92" t="s">
        <v>315</v>
      </c>
      <c r="E50" s="143">
        <v>60</v>
      </c>
      <c r="F50" s="259"/>
      <c r="G50" s="92" t="s">
        <v>67</v>
      </c>
      <c r="H50" s="80">
        <v>45777</v>
      </c>
      <c r="I50" s="82">
        <v>45894</v>
      </c>
      <c r="J50" s="431">
        <v>45873</v>
      </c>
      <c r="K50" s="144"/>
      <c r="L50" s="244"/>
      <c r="M50" s="63"/>
      <c r="N50" s="243"/>
      <c r="O50" s="267"/>
      <c r="P50" s="267"/>
      <c r="Q50" s="267"/>
      <c r="R50" s="267"/>
      <c r="S50" s="267"/>
      <c r="T50" s="64"/>
      <c r="U50" s="110" t="s">
        <v>38</v>
      </c>
      <c r="V50" s="261" t="s">
        <v>56</v>
      </c>
      <c r="W50" s="64"/>
      <c r="X50" s="344">
        <v>45974</v>
      </c>
      <c r="Y50" s="436" t="s">
        <v>942</v>
      </c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110"/>
      <c r="AP50" s="70"/>
      <c r="AQ50" s="70"/>
      <c r="AR50" s="70"/>
      <c r="AS50" s="70"/>
      <c r="AT50" s="70"/>
      <c r="AU50" s="70"/>
      <c r="AV50" s="70"/>
      <c r="AW50" s="70"/>
      <c r="AX50" s="70"/>
      <c r="AY50" s="70"/>
    </row>
    <row r="51" spans="1:97" s="53" customFormat="1" ht="18" customHeight="1">
      <c r="A51" s="254">
        <v>1</v>
      </c>
      <c r="B51" s="76" t="s">
        <v>267</v>
      </c>
      <c r="C51" s="92" t="s">
        <v>305</v>
      </c>
      <c r="D51" s="92" t="s">
        <v>306</v>
      </c>
      <c r="E51" s="143">
        <v>63</v>
      </c>
      <c r="F51" s="259"/>
      <c r="G51" s="92" t="s">
        <v>66</v>
      </c>
      <c r="H51" s="80">
        <v>45820</v>
      </c>
      <c r="I51" s="82">
        <v>45888</v>
      </c>
      <c r="J51" s="94"/>
      <c r="K51" s="144"/>
      <c r="L51" s="244"/>
      <c r="M51" s="399"/>
      <c r="N51" s="243"/>
      <c r="O51" s="267"/>
      <c r="P51" s="267"/>
      <c r="Q51" s="267"/>
      <c r="R51" s="267"/>
      <c r="S51" s="267"/>
      <c r="T51" s="64"/>
      <c r="U51" s="110" t="s">
        <v>38</v>
      </c>
      <c r="V51" s="261" t="s">
        <v>54</v>
      </c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110"/>
      <c r="AP51" s="70"/>
      <c r="AQ51" s="70"/>
      <c r="AR51" s="70"/>
      <c r="AS51" s="70"/>
      <c r="AT51" s="70"/>
      <c r="AU51" s="70"/>
      <c r="AV51" s="70"/>
      <c r="AW51" s="70"/>
      <c r="AX51" s="70"/>
      <c r="AY51" s="70"/>
    </row>
    <row r="52" spans="1:97" s="70" customFormat="1" ht="18" customHeight="1">
      <c r="A52" s="254">
        <v>1</v>
      </c>
      <c r="B52" s="281" t="s">
        <v>266</v>
      </c>
      <c r="C52" s="286" t="s">
        <v>477</v>
      </c>
      <c r="D52" s="282" t="s">
        <v>479</v>
      </c>
      <c r="E52" s="283">
        <v>50</v>
      </c>
      <c r="F52" s="296"/>
      <c r="G52" s="92" t="s">
        <v>66</v>
      </c>
      <c r="H52" s="284">
        <v>45906</v>
      </c>
      <c r="I52" s="82">
        <v>45908</v>
      </c>
      <c r="J52" s="94"/>
      <c r="K52" s="144"/>
      <c r="L52" s="244"/>
      <c r="M52" s="409"/>
      <c r="N52" s="243"/>
      <c r="O52" s="267"/>
      <c r="P52" s="267"/>
      <c r="Q52" s="267"/>
      <c r="R52" s="267"/>
      <c r="S52" s="267"/>
      <c r="T52" s="64"/>
      <c r="U52" s="110" t="s">
        <v>38</v>
      </c>
      <c r="V52" s="297" t="s">
        <v>57</v>
      </c>
      <c r="W52" s="64"/>
      <c r="X52" s="344">
        <v>45988</v>
      </c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 t="s">
        <v>527</v>
      </c>
      <c r="AO52" s="110"/>
    </row>
    <row r="53" spans="1:97" s="57" customFormat="1" ht="14.1" customHeight="1">
      <c r="A53" s="254">
        <v>1</v>
      </c>
      <c r="B53" s="76" t="s">
        <v>266</v>
      </c>
      <c r="C53" s="92" t="s">
        <v>377</v>
      </c>
      <c r="D53" s="92" t="s">
        <v>378</v>
      </c>
      <c r="E53" s="143">
        <v>37</v>
      </c>
      <c r="F53" s="259"/>
      <c r="G53" s="92" t="s">
        <v>66</v>
      </c>
      <c r="H53" s="80">
        <v>45820</v>
      </c>
      <c r="I53" s="82">
        <v>45881</v>
      </c>
      <c r="J53" s="94"/>
      <c r="K53" s="144"/>
      <c r="L53" s="244"/>
      <c r="M53" s="63"/>
      <c r="N53" s="243"/>
      <c r="O53" s="267"/>
      <c r="P53" s="267"/>
      <c r="Q53" s="267"/>
      <c r="R53" s="267"/>
      <c r="S53" s="267"/>
      <c r="T53" s="64"/>
      <c r="U53" s="110" t="s">
        <v>38</v>
      </c>
      <c r="V53" s="261" t="s">
        <v>53</v>
      </c>
      <c r="W53" s="64"/>
      <c r="X53" s="344">
        <v>45901</v>
      </c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110"/>
      <c r="AP53" s="70"/>
      <c r="AQ53" s="70"/>
      <c r="AR53" s="70"/>
      <c r="AS53" s="70"/>
      <c r="AT53" s="70"/>
      <c r="AU53" s="70"/>
      <c r="AV53" s="70"/>
      <c r="AW53" s="70"/>
      <c r="AX53" s="70"/>
      <c r="AY53" s="70"/>
    </row>
    <row r="54" spans="1:97" s="53" customFormat="1" ht="18" customHeight="1">
      <c r="A54" s="254">
        <v>1</v>
      </c>
      <c r="B54" s="291" t="s">
        <v>267</v>
      </c>
      <c r="C54" s="277" t="s">
        <v>489</v>
      </c>
      <c r="D54" s="277" t="s">
        <v>288</v>
      </c>
      <c r="E54" s="292">
        <v>44</v>
      </c>
      <c r="F54" s="259"/>
      <c r="G54" s="277" t="s">
        <v>66</v>
      </c>
      <c r="H54" s="293">
        <v>45848</v>
      </c>
      <c r="I54" s="298">
        <v>45861</v>
      </c>
      <c r="J54" s="100">
        <v>45861</v>
      </c>
      <c r="K54" s="82">
        <f>J54+180</f>
        <v>46041</v>
      </c>
      <c r="L54" s="244"/>
      <c r="M54" s="409"/>
      <c r="N54" s="243"/>
      <c r="O54" s="294" t="s">
        <v>500</v>
      </c>
      <c r="P54" s="294" t="s">
        <v>495</v>
      </c>
      <c r="Q54" s="294"/>
      <c r="R54" s="294"/>
      <c r="S54" s="294"/>
      <c r="T54" s="64">
        <v>1</v>
      </c>
      <c r="U54" s="110" t="s">
        <v>38</v>
      </c>
      <c r="V54" s="295" t="s">
        <v>56</v>
      </c>
      <c r="W54" s="64"/>
      <c r="X54" s="344">
        <v>45933</v>
      </c>
      <c r="Y54" s="436" t="s">
        <v>948</v>
      </c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 t="s">
        <v>537</v>
      </c>
      <c r="AO54" s="110"/>
      <c r="AP54" s="70"/>
      <c r="AQ54" s="70"/>
      <c r="AR54" s="70"/>
      <c r="AS54" s="70"/>
      <c r="AT54" s="70"/>
      <c r="AU54" s="70"/>
      <c r="AV54" s="70"/>
      <c r="AW54" s="70"/>
      <c r="AX54" s="70"/>
      <c r="AY54" s="70"/>
    </row>
    <row r="55" spans="1:97" s="53" customFormat="1" ht="18" customHeight="1">
      <c r="A55" s="254">
        <v>1</v>
      </c>
      <c r="B55" s="76" t="s">
        <v>267</v>
      </c>
      <c r="C55" s="92" t="s">
        <v>461</v>
      </c>
      <c r="D55" s="92" t="s">
        <v>345</v>
      </c>
      <c r="E55" s="143">
        <v>28</v>
      </c>
      <c r="F55" s="259"/>
      <c r="G55" s="92" t="s">
        <v>67</v>
      </c>
      <c r="H55" s="80">
        <v>45770</v>
      </c>
      <c r="I55" s="82">
        <v>45917</v>
      </c>
      <c r="J55" s="100">
        <v>45917</v>
      </c>
      <c r="K55" s="82">
        <f>J55+180</f>
        <v>46097</v>
      </c>
      <c r="L55" s="244"/>
      <c r="M55" s="63"/>
      <c r="N55" s="243"/>
      <c r="O55" s="267"/>
      <c r="P55" s="267"/>
      <c r="Q55" s="267"/>
      <c r="R55" s="267"/>
      <c r="S55" s="267"/>
      <c r="T55" s="64"/>
      <c r="U55" s="110" t="s">
        <v>38</v>
      </c>
      <c r="V55" s="261" t="s">
        <v>57</v>
      </c>
      <c r="W55" s="64"/>
      <c r="X55" s="344">
        <v>45996</v>
      </c>
      <c r="Y55" s="436" t="s">
        <v>938</v>
      </c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110"/>
      <c r="AP55" s="70"/>
      <c r="AQ55" s="70"/>
      <c r="AR55" s="70"/>
      <c r="AS55" s="70"/>
      <c r="AT55" s="70"/>
      <c r="AU55" s="70"/>
      <c r="AV55" s="70"/>
      <c r="AW55" s="70"/>
      <c r="AX55" s="70"/>
      <c r="AY55" s="70"/>
    </row>
    <row r="56" spans="1:97" s="74" customFormat="1" ht="19.5" customHeight="1">
      <c r="A56" s="254">
        <v>1</v>
      </c>
      <c r="B56" s="76" t="s">
        <v>267</v>
      </c>
      <c r="C56" s="92" t="s">
        <v>492</v>
      </c>
      <c r="D56" s="92" t="s">
        <v>366</v>
      </c>
      <c r="E56" s="143">
        <v>45</v>
      </c>
      <c r="F56" s="259"/>
      <c r="G56" s="92" t="s">
        <v>66</v>
      </c>
      <c r="H56" s="80">
        <v>45764</v>
      </c>
      <c r="I56" s="82">
        <v>45889</v>
      </c>
      <c r="J56" s="100">
        <v>45896</v>
      </c>
      <c r="K56" s="82">
        <f>J56+180</f>
        <v>46076</v>
      </c>
      <c r="L56" s="244"/>
      <c r="M56" s="399"/>
      <c r="N56" s="243"/>
      <c r="O56" s="267" t="s">
        <v>500</v>
      </c>
      <c r="P56" s="267" t="s">
        <v>495</v>
      </c>
      <c r="Q56" s="267"/>
      <c r="R56" s="267">
        <v>1</v>
      </c>
      <c r="S56" s="267">
        <v>1</v>
      </c>
      <c r="T56" s="64">
        <v>1</v>
      </c>
      <c r="U56" s="110" t="s">
        <v>38</v>
      </c>
      <c r="V56" s="261" t="s">
        <v>60</v>
      </c>
      <c r="W56" s="64"/>
      <c r="X56" s="344">
        <v>46010</v>
      </c>
      <c r="Y56" s="436" t="s">
        <v>209</v>
      </c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110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  <c r="CS56" s="73"/>
    </row>
    <row r="57" spans="1:97" s="57" customFormat="1" ht="16.5" customHeight="1">
      <c r="A57" s="254">
        <v>1</v>
      </c>
      <c r="B57" s="76" t="s">
        <v>266</v>
      </c>
      <c r="C57" s="92" t="s">
        <v>521</v>
      </c>
      <c r="D57" s="92" t="s">
        <v>522</v>
      </c>
      <c r="E57" s="143">
        <v>28</v>
      </c>
      <c r="F57" s="259"/>
      <c r="G57" s="92" t="s">
        <v>520</v>
      </c>
      <c r="H57" s="80">
        <v>45946</v>
      </c>
      <c r="I57" s="82">
        <v>45978</v>
      </c>
      <c r="J57" s="100" t="s">
        <v>558</v>
      </c>
      <c r="K57" s="82"/>
      <c r="L57" s="244"/>
      <c r="M57" s="63"/>
      <c r="N57" s="243"/>
      <c r="O57" s="276"/>
      <c r="P57" s="267"/>
      <c r="Q57" s="267"/>
      <c r="R57" s="267"/>
      <c r="S57" s="267"/>
      <c r="T57" s="64"/>
      <c r="U57" s="110" t="s">
        <v>38</v>
      </c>
      <c r="V57" s="261" t="s">
        <v>57</v>
      </c>
      <c r="W57" s="64" t="s">
        <v>50</v>
      </c>
      <c r="X57" s="344">
        <v>46021</v>
      </c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3" t="s">
        <v>556</v>
      </c>
      <c r="AO57" s="110"/>
      <c r="AP57" s="70"/>
      <c r="AQ57" s="70"/>
      <c r="AR57" s="70"/>
      <c r="AS57" s="70"/>
      <c r="AT57" s="70"/>
      <c r="AU57" s="70"/>
      <c r="AV57" s="70"/>
      <c r="AW57" s="70"/>
      <c r="AX57" s="70"/>
      <c r="AY57" s="70"/>
    </row>
    <row r="58" spans="1:97" s="57" customFormat="1" ht="19.5" customHeight="1">
      <c r="A58" s="254">
        <v>1</v>
      </c>
      <c r="B58" s="76" t="s">
        <v>266</v>
      </c>
      <c r="C58" s="92" t="s">
        <v>418</v>
      </c>
      <c r="D58" s="92" t="s">
        <v>419</v>
      </c>
      <c r="E58" s="143">
        <v>53</v>
      </c>
      <c r="F58" s="259"/>
      <c r="G58" s="92" t="s">
        <v>66</v>
      </c>
      <c r="H58" s="80">
        <v>45846</v>
      </c>
      <c r="I58" s="260">
        <v>45854</v>
      </c>
      <c r="J58" s="100">
        <v>45854</v>
      </c>
      <c r="K58" s="82">
        <f>J58+180</f>
        <v>46034</v>
      </c>
      <c r="L58" s="244"/>
      <c r="M58" s="399"/>
      <c r="N58" s="243"/>
      <c r="O58" s="267" t="s">
        <v>495</v>
      </c>
      <c r="P58" s="267" t="s">
        <v>551</v>
      </c>
      <c r="Q58" s="267"/>
      <c r="R58" s="267"/>
      <c r="S58" s="267"/>
      <c r="T58" s="64"/>
      <c r="U58" s="110" t="s">
        <v>42</v>
      </c>
      <c r="V58" s="261"/>
      <c r="W58" s="64"/>
      <c r="X58" s="344">
        <v>45988</v>
      </c>
      <c r="Y58" s="436" t="s">
        <v>1068</v>
      </c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 t="s">
        <v>560</v>
      </c>
      <c r="AO58" s="110"/>
      <c r="AP58" s="70"/>
      <c r="AQ58" s="70"/>
      <c r="AR58" s="70"/>
      <c r="AS58" s="70"/>
      <c r="AT58" s="70"/>
      <c r="AU58" s="70"/>
      <c r="AV58" s="70"/>
      <c r="AW58" s="70"/>
      <c r="AX58" s="70"/>
      <c r="AY58" s="70"/>
    </row>
    <row r="59" spans="1:97" s="53" customFormat="1" ht="18" customHeight="1">
      <c r="A59" s="254">
        <v>1</v>
      </c>
      <c r="B59" s="76" t="s">
        <v>266</v>
      </c>
      <c r="C59" s="92" t="s">
        <v>329</v>
      </c>
      <c r="D59" s="92" t="s">
        <v>330</v>
      </c>
      <c r="E59" s="143">
        <v>37</v>
      </c>
      <c r="F59" s="259"/>
      <c r="G59" s="92" t="s">
        <v>66</v>
      </c>
      <c r="H59" s="80">
        <v>45835</v>
      </c>
      <c r="I59" s="82">
        <v>45881</v>
      </c>
      <c r="J59" s="100">
        <v>45897</v>
      </c>
      <c r="K59" s="82">
        <f>J59+180</f>
        <v>46077</v>
      </c>
      <c r="L59" s="244"/>
      <c r="M59" s="409"/>
      <c r="N59" s="243"/>
      <c r="O59" s="267" t="s">
        <v>496</v>
      </c>
      <c r="P59" s="267"/>
      <c r="Q59" s="267"/>
      <c r="R59" s="267"/>
      <c r="S59" s="267"/>
      <c r="T59" s="64"/>
      <c r="U59" s="110" t="s">
        <v>38</v>
      </c>
      <c r="V59" s="261" t="s">
        <v>56</v>
      </c>
      <c r="W59" s="64"/>
      <c r="X59" s="344">
        <v>45975</v>
      </c>
      <c r="Y59" s="436" t="s">
        <v>923</v>
      </c>
      <c r="Z59" s="64"/>
      <c r="AA59" s="64"/>
      <c r="AB59" s="64"/>
      <c r="AC59" s="64"/>
      <c r="AD59" s="64"/>
      <c r="AE59" s="64"/>
      <c r="AF59" s="64"/>
      <c r="AG59" s="64"/>
      <c r="AH59" s="64">
        <v>1</v>
      </c>
      <c r="AI59" s="64"/>
      <c r="AJ59" s="64"/>
      <c r="AK59" s="64"/>
      <c r="AL59" s="64"/>
      <c r="AM59" s="64"/>
      <c r="AN59" s="64"/>
      <c r="AO59" s="110"/>
      <c r="AP59" s="70"/>
      <c r="AQ59" s="70"/>
      <c r="AR59" s="70"/>
      <c r="AS59" s="70"/>
      <c r="AT59" s="70"/>
      <c r="AU59" s="70"/>
      <c r="AV59" s="70"/>
      <c r="AW59" s="70"/>
      <c r="AX59" s="70"/>
      <c r="AY59" s="70"/>
    </row>
    <row r="60" spans="1:97" s="115" customFormat="1" ht="15" customHeight="1">
      <c r="A60" s="254">
        <v>1</v>
      </c>
      <c r="B60" s="92" t="s">
        <v>266</v>
      </c>
      <c r="C60" s="92" t="s">
        <v>543</v>
      </c>
      <c r="D60" s="92" t="s">
        <v>544</v>
      </c>
      <c r="E60" s="143">
        <v>35</v>
      </c>
      <c r="G60" s="92" t="s">
        <v>66</v>
      </c>
      <c r="H60" s="80"/>
      <c r="I60" s="82">
        <v>46001</v>
      </c>
      <c r="J60" s="93" t="s">
        <v>558</v>
      </c>
      <c r="K60" s="82"/>
      <c r="L60" s="244"/>
      <c r="M60" s="409"/>
      <c r="N60" s="243"/>
      <c r="O60" s="239"/>
      <c r="P60" s="239"/>
      <c r="Q60" s="239"/>
      <c r="R60" s="94"/>
      <c r="S60" s="51"/>
      <c r="T60" s="52"/>
      <c r="U60" s="110" t="s">
        <v>38</v>
      </c>
      <c r="V60" s="261" t="s">
        <v>57</v>
      </c>
      <c r="W60" s="64" t="s">
        <v>50</v>
      </c>
      <c r="X60" s="344">
        <v>46028</v>
      </c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95"/>
      <c r="AO60" s="113"/>
      <c r="AP60" s="256"/>
    </row>
    <row r="61" spans="1:97" s="53" customFormat="1" ht="18" customHeight="1">
      <c r="A61" s="254">
        <v>1</v>
      </c>
      <c r="B61" s="76" t="s">
        <v>267</v>
      </c>
      <c r="C61" s="92" t="s">
        <v>459</v>
      </c>
      <c r="D61" s="92" t="s">
        <v>291</v>
      </c>
      <c r="E61" s="143">
        <v>30</v>
      </c>
      <c r="F61" s="259"/>
      <c r="G61" s="92" t="s">
        <v>66</v>
      </c>
      <c r="H61" s="80">
        <v>45769</v>
      </c>
      <c r="I61" s="82">
        <v>45910</v>
      </c>
      <c r="J61" s="100">
        <v>45910</v>
      </c>
      <c r="K61" s="82">
        <f>J61+180</f>
        <v>46090</v>
      </c>
      <c r="L61" s="244"/>
      <c r="M61" s="399"/>
      <c r="N61" s="243"/>
      <c r="O61" s="267"/>
      <c r="P61" s="267"/>
      <c r="Q61" s="267"/>
      <c r="R61" s="267"/>
      <c r="S61" s="267"/>
      <c r="T61" s="64"/>
      <c r="U61" s="110" t="s">
        <v>38</v>
      </c>
      <c r="V61" s="261" t="s">
        <v>55</v>
      </c>
      <c r="W61" s="64"/>
      <c r="X61" s="344">
        <v>45996</v>
      </c>
      <c r="Y61" s="436" t="s">
        <v>931</v>
      </c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 t="s">
        <v>549</v>
      </c>
      <c r="AO61" s="110"/>
      <c r="AP61" s="70"/>
      <c r="AQ61" s="70"/>
      <c r="AR61" s="70"/>
      <c r="AS61" s="70"/>
      <c r="AT61" s="70"/>
      <c r="AU61" s="70"/>
      <c r="AV61" s="70"/>
      <c r="AW61" s="70"/>
      <c r="AX61" s="70"/>
      <c r="AY61" s="70"/>
    </row>
    <row r="62" spans="1:97" s="115" customFormat="1" ht="15" customHeight="1">
      <c r="A62" s="254">
        <v>1</v>
      </c>
      <c r="B62" s="92" t="s">
        <v>267</v>
      </c>
      <c r="C62" s="92" t="s">
        <v>552</v>
      </c>
      <c r="D62" s="92" t="s">
        <v>553</v>
      </c>
      <c r="E62" s="143">
        <v>51</v>
      </c>
      <c r="G62" s="92" t="s">
        <v>66</v>
      </c>
      <c r="H62" s="80"/>
      <c r="I62" s="82">
        <v>46006</v>
      </c>
      <c r="J62" s="100"/>
      <c r="K62" s="82"/>
      <c r="L62" s="244"/>
      <c r="M62" s="63"/>
      <c r="N62" s="243"/>
      <c r="O62" s="239"/>
      <c r="P62" s="239"/>
      <c r="Q62" s="239"/>
      <c r="R62" s="94"/>
      <c r="S62" s="51"/>
      <c r="T62" s="52"/>
      <c r="U62" s="110" t="s">
        <v>38</v>
      </c>
      <c r="V62" s="261" t="s">
        <v>56</v>
      </c>
      <c r="W62" s="64"/>
      <c r="X62" s="344">
        <v>46049</v>
      </c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95" t="s">
        <v>559</v>
      </c>
      <c r="AO62" s="113"/>
      <c r="AP62" s="256"/>
    </row>
    <row r="63" spans="1:97" s="73" customFormat="1" ht="12.75">
      <c r="A63" s="254">
        <v>1</v>
      </c>
      <c r="B63" s="263" t="s">
        <v>266</v>
      </c>
      <c r="C63" s="161" t="s">
        <v>374</v>
      </c>
      <c r="D63" s="161" t="s">
        <v>375</v>
      </c>
      <c r="E63" s="164">
        <v>27</v>
      </c>
      <c r="F63" s="264"/>
      <c r="G63" s="161" t="s">
        <v>66</v>
      </c>
      <c r="H63" s="163">
        <v>45842</v>
      </c>
      <c r="I63" s="260">
        <v>45861</v>
      </c>
      <c r="J63" s="101">
        <v>45861</v>
      </c>
      <c r="K63" s="90">
        <f>J63+180</f>
        <v>46041</v>
      </c>
      <c r="L63" s="244"/>
      <c r="M63" s="63"/>
      <c r="N63" s="243"/>
      <c r="O63" s="299" t="s">
        <v>63</v>
      </c>
      <c r="P63" s="267"/>
      <c r="Q63" s="267"/>
      <c r="R63" s="267"/>
      <c r="S63" s="267"/>
      <c r="T63" s="81"/>
      <c r="U63" s="111" t="s">
        <v>38</v>
      </c>
      <c r="V63" s="266" t="s">
        <v>56</v>
      </c>
      <c r="W63" s="81"/>
      <c r="X63" s="334">
        <v>46055</v>
      </c>
      <c r="Y63" s="436" t="s">
        <v>952</v>
      </c>
      <c r="Z63" s="64"/>
      <c r="AA63" s="64"/>
      <c r="AB63" s="64"/>
      <c r="AC63" s="64"/>
      <c r="AD63" s="64"/>
      <c r="AE63" s="64"/>
      <c r="AF63" s="64"/>
      <c r="AG63" s="64"/>
      <c r="AH63" s="64">
        <v>1</v>
      </c>
      <c r="AI63" s="64"/>
      <c r="AJ63" s="64"/>
      <c r="AK63" s="64"/>
      <c r="AL63" s="64"/>
      <c r="AM63" s="81"/>
      <c r="AN63" s="487" t="s">
        <v>606</v>
      </c>
      <c r="AO63" s="111">
        <v>1</v>
      </c>
      <c r="AP63" s="69"/>
      <c r="AQ63" s="69"/>
      <c r="AR63" s="69"/>
      <c r="AS63" s="69"/>
      <c r="AT63" s="69"/>
      <c r="AU63" s="69"/>
      <c r="AV63" s="69"/>
      <c r="AW63" s="69"/>
      <c r="AX63" s="69"/>
      <c r="AY63" s="69"/>
    </row>
    <row r="64" spans="1:97" s="73" customFormat="1" ht="16.5" customHeight="1">
      <c r="A64" s="254">
        <v>1</v>
      </c>
      <c r="B64" s="76" t="s">
        <v>266</v>
      </c>
      <c r="C64" s="161" t="s">
        <v>518</v>
      </c>
      <c r="D64" s="161" t="s">
        <v>519</v>
      </c>
      <c r="E64" s="164">
        <v>50</v>
      </c>
      <c r="F64" s="264"/>
      <c r="G64" s="161" t="s">
        <v>520</v>
      </c>
      <c r="H64" s="163">
        <v>45946</v>
      </c>
      <c r="I64" s="82">
        <v>45978</v>
      </c>
      <c r="J64" s="101">
        <v>45994</v>
      </c>
      <c r="K64" s="90">
        <f>J64+180</f>
        <v>46174</v>
      </c>
      <c r="L64" s="244"/>
      <c r="M64" s="63"/>
      <c r="N64" s="243"/>
      <c r="O64" s="276"/>
      <c r="P64" s="267"/>
      <c r="Q64" s="267"/>
      <c r="R64" s="267"/>
      <c r="S64" s="267"/>
      <c r="T64" s="81"/>
      <c r="U64" s="111" t="s">
        <v>38</v>
      </c>
      <c r="V64" s="266" t="s">
        <v>33</v>
      </c>
      <c r="W64" s="81"/>
      <c r="X64" s="334">
        <v>46058</v>
      </c>
      <c r="Y64" s="436" t="s">
        <v>965</v>
      </c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81"/>
      <c r="AN64" s="109" t="s">
        <v>592</v>
      </c>
      <c r="AO64" s="111"/>
      <c r="AP64" s="69"/>
      <c r="AQ64" s="69"/>
      <c r="AR64" s="69"/>
      <c r="AS64" s="69"/>
      <c r="AT64" s="69"/>
      <c r="AU64" s="69"/>
      <c r="AV64" s="69"/>
      <c r="AW64" s="69"/>
      <c r="AX64" s="69"/>
      <c r="AY64" s="69"/>
    </row>
    <row r="65" spans="1:51" s="55" customFormat="1" ht="18" customHeight="1">
      <c r="A65" s="254">
        <v>1</v>
      </c>
      <c r="B65" s="263" t="s">
        <v>267</v>
      </c>
      <c r="C65" s="161" t="s">
        <v>460</v>
      </c>
      <c r="D65" s="161" t="s">
        <v>301</v>
      </c>
      <c r="E65" s="164">
        <v>37</v>
      </c>
      <c r="F65" s="264"/>
      <c r="G65" s="161" t="s">
        <v>66</v>
      </c>
      <c r="H65" s="163">
        <v>45841</v>
      </c>
      <c r="I65" s="82">
        <v>45894</v>
      </c>
      <c r="J65" s="101">
        <v>46034</v>
      </c>
      <c r="K65" s="90">
        <f>J65+180</f>
        <v>46214</v>
      </c>
      <c r="L65" s="244"/>
      <c r="M65" s="399"/>
      <c r="N65" s="243"/>
      <c r="O65" s="267"/>
      <c r="P65" s="267"/>
      <c r="Q65" s="267"/>
      <c r="R65" s="267"/>
      <c r="S65" s="267"/>
      <c r="T65" s="81"/>
      <c r="U65" s="111" t="s">
        <v>38</v>
      </c>
      <c r="V65" s="266" t="s">
        <v>56</v>
      </c>
      <c r="W65" s="81"/>
      <c r="X65" s="334">
        <v>46048</v>
      </c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81"/>
      <c r="AN65" s="81" t="s">
        <v>506</v>
      </c>
      <c r="AO65" s="111">
        <v>1</v>
      </c>
      <c r="AP65" s="69"/>
      <c r="AQ65" s="69"/>
      <c r="AR65" s="69"/>
      <c r="AS65" s="69"/>
      <c r="AT65" s="69"/>
      <c r="AU65" s="69"/>
      <c r="AV65" s="69"/>
      <c r="AW65" s="69"/>
      <c r="AX65" s="69"/>
      <c r="AY65" s="69"/>
    </row>
    <row r="66" spans="1:51" s="115" customFormat="1">
      <c r="A66" s="254">
        <v>1</v>
      </c>
      <c r="B66" s="92" t="s">
        <v>267</v>
      </c>
      <c r="C66" s="92" t="s">
        <v>583</v>
      </c>
      <c r="D66" s="92" t="s">
        <v>569</v>
      </c>
      <c r="E66" s="143">
        <v>28</v>
      </c>
      <c r="G66" s="92" t="s">
        <v>66</v>
      </c>
      <c r="H66" s="284">
        <v>46013</v>
      </c>
      <c r="I66" s="82">
        <v>46042</v>
      </c>
      <c r="J66" s="100"/>
      <c r="K66" s="82"/>
      <c r="L66" s="244"/>
      <c r="M66" s="63"/>
      <c r="N66" s="243"/>
      <c r="O66" s="239" t="s">
        <v>496</v>
      </c>
      <c r="P66" s="239"/>
      <c r="Q66" s="239"/>
      <c r="R66" s="94"/>
      <c r="S66" s="51"/>
      <c r="T66" s="52"/>
      <c r="U66" s="110" t="s">
        <v>38</v>
      </c>
      <c r="V66" s="261" t="s">
        <v>56</v>
      </c>
      <c r="W66" s="64"/>
      <c r="X66" s="344">
        <v>46048</v>
      </c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115" t="s">
        <v>633</v>
      </c>
      <c r="AO66" s="113"/>
      <c r="AP66" s="256"/>
    </row>
    <row r="67" spans="1:51" s="69" customFormat="1" ht="17.45" customHeight="1">
      <c r="A67" s="254">
        <v>1</v>
      </c>
      <c r="B67" s="263" t="s">
        <v>267</v>
      </c>
      <c r="C67" s="161" t="s">
        <v>436</v>
      </c>
      <c r="D67" s="161" t="s">
        <v>437</v>
      </c>
      <c r="E67" s="164">
        <v>45</v>
      </c>
      <c r="F67" s="264"/>
      <c r="G67" s="161" t="s">
        <v>66</v>
      </c>
      <c r="H67" s="163">
        <v>45842</v>
      </c>
      <c r="I67" s="260">
        <v>45866</v>
      </c>
      <c r="J67" s="101">
        <v>45866</v>
      </c>
      <c r="K67" s="90">
        <f t="shared" ref="K67:K76" si="1">J67+180</f>
        <v>46046</v>
      </c>
      <c r="L67" s="244"/>
      <c r="M67" s="63"/>
      <c r="N67" s="243"/>
      <c r="O67" s="267" t="s">
        <v>500</v>
      </c>
      <c r="P67" s="267"/>
      <c r="Q67" s="267"/>
      <c r="R67" s="267"/>
      <c r="S67" s="267"/>
      <c r="T67" s="81"/>
      <c r="U67" s="111" t="s">
        <v>81</v>
      </c>
      <c r="V67" s="266"/>
      <c r="W67" s="81"/>
      <c r="X67" s="334">
        <v>46049</v>
      </c>
      <c r="Y67" s="436" t="s">
        <v>963</v>
      </c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81"/>
      <c r="AN67" s="81" t="s">
        <v>622</v>
      </c>
      <c r="AO67" s="111">
        <v>1</v>
      </c>
    </row>
    <row r="68" spans="1:51" s="69" customFormat="1" ht="15.6" customHeight="1">
      <c r="A68" s="254">
        <v>1</v>
      </c>
      <c r="B68" s="285" t="s">
        <v>266</v>
      </c>
      <c r="C68" s="286" t="s">
        <v>472</v>
      </c>
      <c r="D68" s="286" t="s">
        <v>475</v>
      </c>
      <c r="E68" s="287">
        <v>48</v>
      </c>
      <c r="F68" s="300"/>
      <c r="G68" s="161" t="s">
        <v>66</v>
      </c>
      <c r="H68" s="289">
        <v>45889</v>
      </c>
      <c r="I68" s="82">
        <v>45917</v>
      </c>
      <c r="J68" s="101">
        <v>45917</v>
      </c>
      <c r="K68" s="90">
        <f t="shared" si="1"/>
        <v>46097</v>
      </c>
      <c r="L68" s="244"/>
      <c r="M68" s="63"/>
      <c r="N68" s="243"/>
      <c r="O68" s="267"/>
      <c r="P68" s="267"/>
      <c r="Q68" s="267"/>
      <c r="R68" s="267"/>
      <c r="S68" s="267"/>
      <c r="T68" s="81"/>
      <c r="U68" s="111" t="s">
        <v>888</v>
      </c>
      <c r="V68" s="301"/>
      <c r="W68" s="81"/>
      <c r="X68" s="334">
        <v>46037</v>
      </c>
      <c r="Y68" s="436" t="s">
        <v>950</v>
      </c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81"/>
      <c r="AN68" s="435"/>
      <c r="AO68" s="111">
        <v>1</v>
      </c>
    </row>
    <row r="69" spans="1:51" s="69" customFormat="1" ht="15.95" customHeight="1">
      <c r="A69" s="254">
        <v>1</v>
      </c>
      <c r="B69" s="263" t="s">
        <v>266</v>
      </c>
      <c r="C69" s="161" t="s">
        <v>443</v>
      </c>
      <c r="D69" s="161" t="s">
        <v>444</v>
      </c>
      <c r="E69" s="164">
        <v>48</v>
      </c>
      <c r="F69" s="264"/>
      <c r="G69" s="161" t="s">
        <v>67</v>
      </c>
      <c r="H69" s="163">
        <v>45838</v>
      </c>
      <c r="I69" s="82">
        <v>45867</v>
      </c>
      <c r="J69" s="101">
        <v>45894</v>
      </c>
      <c r="K69" s="90">
        <f t="shared" si="1"/>
        <v>46074</v>
      </c>
      <c r="L69" s="244"/>
      <c r="M69" s="63"/>
      <c r="N69" s="243"/>
      <c r="O69" s="267" t="s">
        <v>63</v>
      </c>
      <c r="P69" s="267"/>
      <c r="Q69" s="267"/>
      <c r="R69" s="267"/>
      <c r="S69" s="267"/>
      <c r="T69" s="81"/>
      <c r="U69" s="111" t="s">
        <v>42</v>
      </c>
      <c r="V69" s="266"/>
      <c r="W69" s="81"/>
      <c r="X69" s="334">
        <v>46052</v>
      </c>
      <c r="Y69" s="436" t="s">
        <v>939</v>
      </c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81"/>
      <c r="AN69" s="81" t="s">
        <v>639</v>
      </c>
      <c r="AO69" s="111">
        <v>1</v>
      </c>
    </row>
    <row r="70" spans="1:51" s="55" customFormat="1" ht="18" customHeight="1">
      <c r="A70" s="254">
        <v>1</v>
      </c>
      <c r="B70" s="263" t="s">
        <v>267</v>
      </c>
      <c r="C70" s="279" t="s">
        <v>349</v>
      </c>
      <c r="D70" s="279" t="s">
        <v>350</v>
      </c>
      <c r="E70" s="164">
        <v>54</v>
      </c>
      <c r="F70" s="264"/>
      <c r="G70" s="161" t="s">
        <v>66</v>
      </c>
      <c r="H70" s="163">
        <v>45841</v>
      </c>
      <c r="I70" s="82">
        <v>45856</v>
      </c>
      <c r="J70" s="101">
        <v>45856</v>
      </c>
      <c r="K70" s="90">
        <f t="shared" si="1"/>
        <v>46036</v>
      </c>
      <c r="L70" s="244"/>
      <c r="M70" s="63"/>
      <c r="N70" s="243"/>
      <c r="O70" s="267" t="s">
        <v>500</v>
      </c>
      <c r="P70" s="267" t="s">
        <v>504</v>
      </c>
      <c r="Q70" s="267"/>
      <c r="R70" s="267"/>
      <c r="S70" s="267"/>
      <c r="T70" s="81"/>
      <c r="U70" s="111" t="s">
        <v>38</v>
      </c>
      <c r="V70" s="266" t="s">
        <v>56</v>
      </c>
      <c r="W70" s="81"/>
      <c r="X70" s="334">
        <v>46057</v>
      </c>
      <c r="Y70" s="436" t="s">
        <v>983</v>
      </c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81"/>
      <c r="AN70" s="81" t="s">
        <v>641</v>
      </c>
      <c r="AO70" s="111">
        <v>1</v>
      </c>
      <c r="AP70" s="69"/>
      <c r="AQ70" s="69"/>
      <c r="AR70" s="69"/>
      <c r="AS70" s="69"/>
      <c r="AT70" s="69"/>
      <c r="AU70" s="69"/>
      <c r="AV70" s="69"/>
      <c r="AW70" s="69"/>
      <c r="AX70" s="69"/>
      <c r="AY70" s="69"/>
    </row>
    <row r="71" spans="1:51" s="55" customFormat="1" ht="18" customHeight="1">
      <c r="A71" s="254">
        <v>1</v>
      </c>
      <c r="B71" s="263" t="s">
        <v>266</v>
      </c>
      <c r="C71" s="161" t="s">
        <v>278</v>
      </c>
      <c r="D71" s="161" t="s">
        <v>279</v>
      </c>
      <c r="E71" s="164">
        <v>58</v>
      </c>
      <c r="F71" s="264"/>
      <c r="G71" s="161" t="s">
        <v>66</v>
      </c>
      <c r="H71" s="163">
        <v>45835</v>
      </c>
      <c r="I71" s="82">
        <v>45883</v>
      </c>
      <c r="J71" s="90">
        <v>45894</v>
      </c>
      <c r="K71" s="90">
        <f t="shared" si="1"/>
        <v>46074</v>
      </c>
      <c r="L71" s="244"/>
      <c r="M71" s="398"/>
      <c r="N71" s="244"/>
      <c r="O71" s="263" t="s">
        <v>496</v>
      </c>
      <c r="P71" s="263" t="s">
        <v>495</v>
      </c>
      <c r="Q71" s="263"/>
      <c r="R71" s="161">
        <v>0</v>
      </c>
      <c r="S71" s="161"/>
      <c r="T71" s="263">
        <v>0</v>
      </c>
      <c r="U71" s="111" t="s">
        <v>38</v>
      </c>
      <c r="V71" s="266" t="s">
        <v>60</v>
      </c>
      <c r="W71" s="81"/>
      <c r="X71" s="334">
        <v>46058</v>
      </c>
      <c r="Y71" s="436" t="s">
        <v>955</v>
      </c>
      <c r="Z71" s="64"/>
      <c r="AA71" s="64"/>
      <c r="AB71" s="64"/>
      <c r="AC71" s="64"/>
      <c r="AD71" s="64"/>
      <c r="AE71" s="64"/>
      <c r="AF71" s="64"/>
      <c r="AG71" s="64"/>
      <c r="AH71" s="64">
        <v>1</v>
      </c>
      <c r="AI71" s="64"/>
      <c r="AJ71" s="64"/>
      <c r="AK71" s="64"/>
      <c r="AL71" s="64"/>
      <c r="AM71" s="81"/>
      <c r="AN71" s="81" t="s">
        <v>643</v>
      </c>
      <c r="AO71" s="111">
        <v>1</v>
      </c>
      <c r="AP71" s="69"/>
      <c r="AQ71" s="69"/>
      <c r="AR71" s="69"/>
      <c r="AS71" s="69"/>
      <c r="AT71" s="69"/>
      <c r="AU71" s="69"/>
      <c r="AV71" s="69"/>
      <c r="AW71" s="69"/>
      <c r="AX71" s="69"/>
      <c r="AY71" s="69"/>
    </row>
    <row r="72" spans="1:51" s="73" customFormat="1" ht="17.45" customHeight="1">
      <c r="A72" s="254">
        <v>1</v>
      </c>
      <c r="B72" s="263" t="s">
        <v>266</v>
      </c>
      <c r="C72" s="161" t="s">
        <v>427</v>
      </c>
      <c r="D72" s="161" t="s">
        <v>315</v>
      </c>
      <c r="E72" s="164">
        <v>52</v>
      </c>
      <c r="F72" s="264"/>
      <c r="G72" s="161" t="s">
        <v>66</v>
      </c>
      <c r="H72" s="163">
        <v>45812</v>
      </c>
      <c r="I72" s="82">
        <v>45874</v>
      </c>
      <c r="J72" s="101">
        <v>45874</v>
      </c>
      <c r="K72" s="90">
        <f t="shared" si="1"/>
        <v>46054</v>
      </c>
      <c r="L72" s="244"/>
      <c r="M72" s="63"/>
      <c r="N72" s="243"/>
      <c r="O72" s="267"/>
      <c r="P72" s="267"/>
      <c r="Q72" s="267"/>
      <c r="R72" s="267"/>
      <c r="S72" s="267"/>
      <c r="T72" s="81"/>
      <c r="U72" s="111" t="s">
        <v>38</v>
      </c>
      <c r="V72" s="266" t="s">
        <v>56</v>
      </c>
      <c r="W72" s="81"/>
      <c r="X72" s="334">
        <v>46038</v>
      </c>
      <c r="Y72" s="64"/>
      <c r="Z72" s="64"/>
      <c r="AA72" s="64"/>
      <c r="AB72" s="64"/>
      <c r="AC72" s="64"/>
      <c r="AD72" s="64"/>
      <c r="AE72" s="64"/>
      <c r="AF72" s="64"/>
      <c r="AG72" s="64"/>
      <c r="AH72" s="64">
        <v>1</v>
      </c>
      <c r="AI72" s="64"/>
      <c r="AJ72" s="64"/>
      <c r="AK72" s="64"/>
      <c r="AL72" s="64"/>
      <c r="AM72" s="81"/>
      <c r="AN72" s="81" t="s">
        <v>621</v>
      </c>
      <c r="AO72" s="111">
        <v>1</v>
      </c>
      <c r="AP72" s="69"/>
      <c r="AQ72" s="69"/>
      <c r="AR72" s="69"/>
      <c r="AS72" s="69"/>
      <c r="AT72" s="69"/>
      <c r="AU72" s="69"/>
      <c r="AV72" s="69"/>
      <c r="AW72" s="69"/>
      <c r="AX72" s="69"/>
      <c r="AY72" s="69"/>
    </row>
    <row r="73" spans="1:51" s="57" customFormat="1" ht="20.100000000000001" customHeight="1">
      <c r="A73" s="254">
        <v>1</v>
      </c>
      <c r="B73" s="76" t="s">
        <v>267</v>
      </c>
      <c r="C73" s="280" t="s">
        <v>402</v>
      </c>
      <c r="D73" s="280" t="s">
        <v>403</v>
      </c>
      <c r="E73" s="143">
        <v>43</v>
      </c>
      <c r="F73" s="259"/>
      <c r="G73" s="92" t="s">
        <v>66</v>
      </c>
      <c r="H73" s="80">
        <v>45831</v>
      </c>
      <c r="I73" s="82">
        <v>45901</v>
      </c>
      <c r="J73" s="100">
        <v>45923</v>
      </c>
      <c r="K73" s="82">
        <f t="shared" si="1"/>
        <v>46103</v>
      </c>
      <c r="L73" s="244"/>
      <c r="M73" s="399"/>
      <c r="N73" s="243"/>
      <c r="O73" s="267" t="s">
        <v>496</v>
      </c>
      <c r="P73" s="267"/>
      <c r="Q73" s="267"/>
      <c r="R73" s="267"/>
      <c r="S73" s="267"/>
      <c r="T73" s="64">
        <v>1</v>
      </c>
      <c r="U73" s="110" t="s">
        <v>38</v>
      </c>
      <c r="V73" s="261" t="s">
        <v>56</v>
      </c>
      <c r="W73" s="64"/>
      <c r="X73" s="344">
        <v>46059</v>
      </c>
      <c r="Y73" s="436" t="s">
        <v>943</v>
      </c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 t="s">
        <v>612</v>
      </c>
      <c r="AO73" s="110"/>
      <c r="AP73" s="70"/>
      <c r="AQ73" s="70"/>
      <c r="AR73" s="70"/>
      <c r="AS73" s="70"/>
      <c r="AT73" s="70"/>
      <c r="AU73" s="70"/>
      <c r="AV73" s="70"/>
      <c r="AW73" s="70"/>
      <c r="AX73" s="70"/>
      <c r="AY73" s="70"/>
    </row>
    <row r="74" spans="1:51" s="53" customFormat="1" ht="18" customHeight="1">
      <c r="A74" s="254">
        <v>1</v>
      </c>
      <c r="B74" s="76" t="s">
        <v>266</v>
      </c>
      <c r="C74" s="92" t="s">
        <v>282</v>
      </c>
      <c r="D74" s="92" t="s">
        <v>283</v>
      </c>
      <c r="E74" s="143">
        <v>42</v>
      </c>
      <c r="F74" s="259"/>
      <c r="G74" s="92" t="s">
        <v>66</v>
      </c>
      <c r="H74" s="80">
        <v>45835</v>
      </c>
      <c r="I74" s="82">
        <v>45875</v>
      </c>
      <c r="J74" s="100">
        <v>45889</v>
      </c>
      <c r="K74" s="82">
        <f t="shared" si="1"/>
        <v>46069</v>
      </c>
      <c r="L74" s="244"/>
      <c r="M74" s="399"/>
      <c r="N74" s="243"/>
      <c r="O74" s="267" t="s">
        <v>505</v>
      </c>
      <c r="P74" s="267"/>
      <c r="Q74" s="267"/>
      <c r="R74" s="267"/>
      <c r="S74" s="267"/>
      <c r="T74" s="64">
        <v>1</v>
      </c>
      <c r="U74" s="110" t="s">
        <v>38</v>
      </c>
      <c r="V74" s="261" t="s">
        <v>57</v>
      </c>
      <c r="W74" s="64"/>
      <c r="X74" s="344">
        <v>46225</v>
      </c>
      <c r="Y74" s="436" t="s">
        <v>926</v>
      </c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 t="s">
        <v>595</v>
      </c>
      <c r="AO74" s="110"/>
      <c r="AP74" s="70"/>
      <c r="AQ74" s="70"/>
      <c r="AR74" s="70"/>
      <c r="AS74" s="70"/>
      <c r="AT74" s="70"/>
      <c r="AU74" s="70"/>
      <c r="AV74" s="70"/>
      <c r="AW74" s="70"/>
      <c r="AX74" s="70"/>
      <c r="AY74" s="70"/>
    </row>
    <row r="75" spans="1:51" s="53" customFormat="1" ht="18" customHeight="1">
      <c r="A75" s="254">
        <v>1</v>
      </c>
      <c r="B75" s="76" t="s">
        <v>266</v>
      </c>
      <c r="C75" s="92" t="s">
        <v>351</v>
      </c>
      <c r="D75" s="92" t="s">
        <v>352</v>
      </c>
      <c r="E75" s="143">
        <v>49</v>
      </c>
      <c r="F75" s="259"/>
      <c r="G75" s="92" t="s">
        <v>66</v>
      </c>
      <c r="H75" s="80">
        <v>45835</v>
      </c>
      <c r="I75" s="82">
        <v>45901</v>
      </c>
      <c r="J75" s="100">
        <v>45947</v>
      </c>
      <c r="K75" s="82">
        <f t="shared" si="1"/>
        <v>46127</v>
      </c>
      <c r="L75" s="244"/>
      <c r="M75" s="399"/>
      <c r="N75" s="243"/>
      <c r="O75" s="267"/>
      <c r="P75" s="267"/>
      <c r="Q75" s="267"/>
      <c r="R75" s="267"/>
      <c r="S75" s="267"/>
      <c r="T75" s="64"/>
      <c r="U75" s="110" t="s">
        <v>81</v>
      </c>
      <c r="V75" s="261"/>
      <c r="W75" s="64"/>
      <c r="X75" s="344">
        <v>46066</v>
      </c>
      <c r="Y75" s="436" t="s">
        <v>954</v>
      </c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 t="s">
        <v>602</v>
      </c>
      <c r="AO75" s="110">
        <v>1</v>
      </c>
      <c r="AP75" s="70"/>
      <c r="AQ75" s="70"/>
      <c r="AR75" s="70"/>
      <c r="AS75" s="70"/>
      <c r="AT75" s="70"/>
      <c r="AU75" s="70"/>
      <c r="AV75" s="70"/>
      <c r="AW75" s="70"/>
      <c r="AX75" s="70"/>
      <c r="AY75" s="70"/>
    </row>
    <row r="76" spans="1:51" s="53" customFormat="1" ht="15" customHeight="1">
      <c r="A76" s="254">
        <v>1</v>
      </c>
      <c r="B76" s="281" t="s">
        <v>266</v>
      </c>
      <c r="C76" s="282" t="s">
        <v>533</v>
      </c>
      <c r="D76" s="282" t="s">
        <v>534</v>
      </c>
      <c r="E76" s="283">
        <v>34</v>
      </c>
      <c r="F76" s="302"/>
      <c r="G76" s="92" t="s">
        <v>66</v>
      </c>
      <c r="H76" s="284"/>
      <c r="I76" s="82">
        <v>45985</v>
      </c>
      <c r="J76" s="100">
        <v>45985</v>
      </c>
      <c r="K76" s="82">
        <f t="shared" si="1"/>
        <v>46165</v>
      </c>
      <c r="L76" s="244"/>
      <c r="M76" s="63"/>
      <c r="N76" s="243"/>
      <c r="O76" s="239" t="s">
        <v>494</v>
      </c>
      <c r="P76" s="239"/>
      <c r="Q76" s="239"/>
      <c r="R76" s="303"/>
      <c r="S76" s="51"/>
      <c r="T76" s="52"/>
      <c r="U76" s="110" t="s">
        <v>81</v>
      </c>
      <c r="V76" s="261"/>
      <c r="W76" s="64"/>
      <c r="X76" s="344">
        <v>46060</v>
      </c>
      <c r="Y76" s="436" t="s">
        <v>980</v>
      </c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141" t="s">
        <v>629</v>
      </c>
      <c r="AO76" s="113"/>
      <c r="AP76" s="257"/>
      <c r="AQ76" s="141"/>
    </row>
    <row r="77" spans="1:51" s="52" customFormat="1">
      <c r="A77" s="254">
        <v>1</v>
      </c>
      <c r="B77" s="161" t="s">
        <v>266</v>
      </c>
      <c r="C77" s="161" t="s">
        <v>545</v>
      </c>
      <c r="D77" s="161" t="s">
        <v>546</v>
      </c>
      <c r="E77" s="164">
        <v>48</v>
      </c>
      <c r="G77" s="161" t="s">
        <v>66</v>
      </c>
      <c r="H77" s="163">
        <v>45839</v>
      </c>
      <c r="I77" s="82">
        <v>46001</v>
      </c>
      <c r="J77" s="68"/>
      <c r="K77" s="90"/>
      <c r="L77" s="244"/>
      <c r="M77" s="405"/>
      <c r="N77" s="243"/>
      <c r="O77" s="239"/>
      <c r="P77" s="239"/>
      <c r="Q77" s="239"/>
      <c r="S77" s="51"/>
      <c r="U77" s="111" t="s">
        <v>888</v>
      </c>
      <c r="V77" s="266"/>
      <c r="W77" s="81"/>
      <c r="X77" s="33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81"/>
      <c r="AN77" s="177" t="s">
        <v>671</v>
      </c>
      <c r="AO77" s="175">
        <v>1</v>
      </c>
      <c r="AP77" s="258"/>
    </row>
    <row r="78" spans="1:51" s="69" customFormat="1" ht="15" customHeight="1">
      <c r="A78" s="254">
        <v>1</v>
      </c>
      <c r="B78" s="263" t="s">
        <v>266</v>
      </c>
      <c r="C78" s="161" t="s">
        <v>451</v>
      </c>
      <c r="D78" s="161" t="s">
        <v>452</v>
      </c>
      <c r="E78" s="164">
        <v>35</v>
      </c>
      <c r="F78" s="264"/>
      <c r="G78" s="161" t="s">
        <v>66</v>
      </c>
      <c r="H78" s="163">
        <v>45835</v>
      </c>
      <c r="I78" s="82">
        <v>45881</v>
      </c>
      <c r="J78" s="101">
        <v>45881</v>
      </c>
      <c r="K78" s="90">
        <f>J78+180</f>
        <v>46061</v>
      </c>
      <c r="L78" s="244"/>
      <c r="M78" s="399"/>
      <c r="N78" s="243"/>
      <c r="O78" s="267"/>
      <c r="P78" s="267"/>
      <c r="Q78" s="267"/>
      <c r="R78" s="267"/>
      <c r="S78" s="267"/>
      <c r="T78" s="81"/>
      <c r="U78" s="111" t="s">
        <v>38</v>
      </c>
      <c r="V78" s="266" t="s">
        <v>56</v>
      </c>
      <c r="W78" s="81"/>
      <c r="X78" s="334">
        <v>46078</v>
      </c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81"/>
      <c r="AN78" s="81" t="s">
        <v>675</v>
      </c>
      <c r="AO78" s="111"/>
    </row>
    <row r="79" spans="1:51" s="115" customFormat="1">
      <c r="A79" s="254">
        <v>1</v>
      </c>
      <c r="B79" s="92" t="s">
        <v>267</v>
      </c>
      <c r="C79" s="92" t="s">
        <v>664</v>
      </c>
      <c r="D79" s="92" t="s">
        <v>665</v>
      </c>
      <c r="E79" s="143">
        <v>60</v>
      </c>
      <c r="G79" s="92" t="s">
        <v>67</v>
      </c>
      <c r="H79" s="503">
        <v>45839</v>
      </c>
      <c r="I79" s="82">
        <v>45994</v>
      </c>
      <c r="J79" s="100">
        <v>45994</v>
      </c>
      <c r="K79" s="82">
        <f>J79+180</f>
        <v>46174</v>
      </c>
      <c r="L79" s="244"/>
      <c r="M79" s="63"/>
      <c r="N79" s="243"/>
      <c r="O79" s="239"/>
      <c r="P79" s="239"/>
      <c r="Q79" s="239"/>
      <c r="R79" s="94"/>
      <c r="S79" s="51"/>
      <c r="T79" s="52"/>
      <c r="U79" s="111" t="s">
        <v>38</v>
      </c>
      <c r="V79" s="261" t="s">
        <v>57</v>
      </c>
      <c r="W79" s="81" t="s">
        <v>51</v>
      </c>
      <c r="X79" s="334">
        <v>46078</v>
      </c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5"/>
      <c r="AO79" s="94"/>
      <c r="AP79" s="256"/>
    </row>
    <row r="80" spans="1:51" s="115" customFormat="1" ht="15" customHeight="1">
      <c r="A80" s="254">
        <v>1</v>
      </c>
      <c r="B80" s="92" t="s">
        <v>266</v>
      </c>
      <c r="C80" s="92" t="s">
        <v>565</v>
      </c>
      <c r="D80" s="92" t="s">
        <v>566</v>
      </c>
      <c r="E80" s="143">
        <v>40</v>
      </c>
      <c r="G80" s="92" t="s">
        <v>66</v>
      </c>
      <c r="H80" s="504">
        <v>46027</v>
      </c>
      <c r="I80" s="82">
        <v>46048</v>
      </c>
      <c r="J80" s="100">
        <v>46066</v>
      </c>
      <c r="K80" s="82">
        <f>J110+180</f>
        <v>46221</v>
      </c>
      <c r="L80" s="244"/>
      <c r="M80" s="399"/>
      <c r="N80" s="243"/>
      <c r="O80" s="239" t="s">
        <v>551</v>
      </c>
      <c r="P80" s="239" t="s">
        <v>64</v>
      </c>
      <c r="Q80" s="239"/>
      <c r="R80" s="94"/>
      <c r="S80" s="51"/>
      <c r="T80" s="52"/>
      <c r="U80" s="111" t="s">
        <v>38</v>
      </c>
      <c r="V80" s="261" t="s">
        <v>56</v>
      </c>
      <c r="W80" s="81"/>
      <c r="X80" s="334">
        <v>46079</v>
      </c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5"/>
      <c r="AN80" s="115" t="s">
        <v>636</v>
      </c>
      <c r="AO80" s="113"/>
      <c r="AP80" s="256"/>
    </row>
    <row r="81" spans="1:51" s="53" customFormat="1" ht="18" customHeight="1">
      <c r="A81" s="254">
        <v>1</v>
      </c>
      <c r="B81" s="76" t="s">
        <v>266</v>
      </c>
      <c r="C81" s="92" t="s">
        <v>294</v>
      </c>
      <c r="D81" s="92" t="s">
        <v>295</v>
      </c>
      <c r="E81" s="143">
        <v>49</v>
      </c>
      <c r="F81" s="259"/>
      <c r="G81" s="92" t="s">
        <v>66</v>
      </c>
      <c r="H81" s="80">
        <v>45764</v>
      </c>
      <c r="I81" s="82">
        <v>45862</v>
      </c>
      <c r="J81" s="100">
        <v>45882</v>
      </c>
      <c r="K81" s="82">
        <f>J81+180</f>
        <v>46062</v>
      </c>
      <c r="L81" s="244"/>
      <c r="M81" s="399"/>
      <c r="N81" s="243"/>
      <c r="O81" s="267"/>
      <c r="P81" s="267"/>
      <c r="Q81" s="267"/>
      <c r="R81" s="267"/>
      <c r="S81" s="267"/>
      <c r="T81" s="64"/>
      <c r="U81" s="110" t="s">
        <v>38</v>
      </c>
      <c r="V81" s="261" t="s">
        <v>57</v>
      </c>
      <c r="W81" s="64" t="s">
        <v>50</v>
      </c>
      <c r="X81" s="344">
        <v>46071</v>
      </c>
      <c r="Y81" s="436" t="s">
        <v>956</v>
      </c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 t="s">
        <v>598</v>
      </c>
      <c r="AO81" s="110"/>
      <c r="AP81" s="70"/>
      <c r="AQ81" s="70"/>
      <c r="AR81" s="70"/>
      <c r="AS81" s="70"/>
      <c r="AT81" s="70"/>
      <c r="AU81" s="70"/>
      <c r="AV81" s="70"/>
      <c r="AW81" s="70"/>
      <c r="AX81" s="70"/>
      <c r="AY81" s="70"/>
    </row>
    <row r="82" spans="1:51" s="55" customFormat="1" ht="14.25">
      <c r="A82" s="254">
        <v>1</v>
      </c>
      <c r="B82" s="263" t="s">
        <v>266</v>
      </c>
      <c r="C82" s="175" t="s">
        <v>528</v>
      </c>
      <c r="D82" s="111" t="s">
        <v>529</v>
      </c>
      <c r="E82" s="175">
        <v>35</v>
      </c>
      <c r="F82" s="288"/>
      <c r="G82" s="161" t="s">
        <v>67</v>
      </c>
      <c r="H82" s="163">
        <v>45839</v>
      </c>
      <c r="I82" s="332">
        <v>45994</v>
      </c>
      <c r="J82" s="68"/>
      <c r="K82" s="90"/>
      <c r="L82" s="333"/>
      <c r="M82" s="63"/>
      <c r="N82" s="243"/>
      <c r="O82" s="239"/>
      <c r="P82" s="239"/>
      <c r="Q82" s="239"/>
      <c r="R82" s="239"/>
      <c r="S82" s="239"/>
      <c r="T82" s="174"/>
      <c r="U82" s="111" t="s">
        <v>43</v>
      </c>
      <c r="V82" s="266"/>
      <c r="W82" s="81"/>
      <c r="X82" s="334">
        <v>46092</v>
      </c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109" t="s">
        <v>628</v>
      </c>
      <c r="AO82" s="175">
        <v>1</v>
      </c>
    </row>
    <row r="83" spans="1:51" s="346" customFormat="1" ht="14.25">
      <c r="A83" s="254">
        <v>1</v>
      </c>
      <c r="B83" s="268" t="s">
        <v>266</v>
      </c>
      <c r="C83" s="269" t="s">
        <v>343</v>
      </c>
      <c r="D83" s="269" t="s">
        <v>344</v>
      </c>
      <c r="E83" s="270">
        <v>43</v>
      </c>
      <c r="F83" s="271"/>
      <c r="G83" s="269" t="s">
        <v>66</v>
      </c>
      <c r="H83" s="272">
        <v>45820</v>
      </c>
      <c r="I83" s="273">
        <v>45874</v>
      </c>
      <c r="J83" s="102">
        <v>45874</v>
      </c>
      <c r="K83" s="103">
        <f>J83+180</f>
        <v>46054</v>
      </c>
      <c r="L83" s="317"/>
      <c r="M83" s="402"/>
      <c r="N83" s="407"/>
      <c r="O83" s="274"/>
      <c r="P83" s="274"/>
      <c r="Q83" s="274"/>
      <c r="R83" s="274"/>
      <c r="S83" s="274"/>
      <c r="T83" s="71"/>
      <c r="U83" s="112" t="s">
        <v>41</v>
      </c>
      <c r="V83" s="275" t="s">
        <v>57</v>
      </c>
      <c r="W83" s="71" t="s">
        <v>46</v>
      </c>
      <c r="X83" s="345">
        <v>46098</v>
      </c>
      <c r="Y83" s="436" t="s">
        <v>940</v>
      </c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 t="s">
        <v>640</v>
      </c>
      <c r="AO83" s="112"/>
      <c r="AP83" s="72"/>
      <c r="AQ83" s="72"/>
      <c r="AR83" s="72"/>
      <c r="AS83" s="72"/>
      <c r="AT83" s="72"/>
      <c r="AU83" s="72"/>
      <c r="AV83" s="72"/>
      <c r="AW83" s="72"/>
      <c r="AX83" s="72"/>
      <c r="AY83" s="72"/>
    </row>
    <row r="84" spans="1:51" s="53" customFormat="1" ht="18" customHeight="1">
      <c r="A84" s="254">
        <v>1</v>
      </c>
      <c r="B84" s="76" t="s">
        <v>266</v>
      </c>
      <c r="C84" s="92" t="s">
        <v>316</v>
      </c>
      <c r="D84" s="92" t="s">
        <v>317</v>
      </c>
      <c r="E84" s="143">
        <v>38</v>
      </c>
      <c r="F84" s="259"/>
      <c r="G84" s="92" t="s">
        <v>66</v>
      </c>
      <c r="H84" s="80">
        <v>45820</v>
      </c>
      <c r="I84" s="82">
        <v>45894</v>
      </c>
      <c r="J84" s="100">
        <v>45880</v>
      </c>
      <c r="K84" s="82">
        <f>J84+180</f>
        <v>46060</v>
      </c>
      <c r="L84" s="244"/>
      <c r="M84" s="399"/>
      <c r="N84" s="243"/>
      <c r="O84" s="267" t="s">
        <v>496</v>
      </c>
      <c r="P84" s="267"/>
      <c r="Q84" s="267"/>
      <c r="R84" s="267"/>
      <c r="S84" s="267"/>
      <c r="T84" s="64">
        <v>1</v>
      </c>
      <c r="U84" s="110" t="s">
        <v>38</v>
      </c>
      <c r="V84" s="261" t="s">
        <v>56</v>
      </c>
      <c r="W84" s="64"/>
      <c r="X84" s="344">
        <v>46094</v>
      </c>
      <c r="Y84" s="436" t="s">
        <v>924</v>
      </c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110"/>
      <c r="AP84" s="70"/>
      <c r="AQ84" s="70"/>
      <c r="AR84" s="70"/>
      <c r="AS84" s="70"/>
      <c r="AT84" s="70"/>
      <c r="AU84" s="70"/>
      <c r="AV84" s="70"/>
      <c r="AW84" s="70"/>
      <c r="AX84" s="70"/>
      <c r="AY84" s="70"/>
    </row>
    <row r="85" spans="1:51" s="115" customFormat="1" ht="15" customHeight="1">
      <c r="A85" s="352">
        <v>1</v>
      </c>
      <c r="B85" s="92" t="s">
        <v>267</v>
      </c>
      <c r="C85" s="92" t="s">
        <v>451</v>
      </c>
      <c r="D85" s="92" t="s">
        <v>594</v>
      </c>
      <c r="E85" s="143">
        <v>44</v>
      </c>
      <c r="G85" s="92" t="s">
        <v>66</v>
      </c>
      <c r="H85" s="504">
        <v>46042</v>
      </c>
      <c r="I85" s="82">
        <v>46050</v>
      </c>
      <c r="J85" s="100">
        <v>46384</v>
      </c>
      <c r="K85" s="82">
        <f>J85+180</f>
        <v>46564</v>
      </c>
      <c r="L85" s="244"/>
      <c r="M85" s="399"/>
      <c r="N85" s="243"/>
      <c r="O85" s="239" t="s">
        <v>551</v>
      </c>
      <c r="P85" s="239"/>
      <c r="Q85" s="239"/>
      <c r="R85" s="94"/>
      <c r="S85" s="51"/>
      <c r="T85" s="52"/>
      <c r="U85" s="111" t="s">
        <v>38</v>
      </c>
      <c r="V85" s="261" t="s">
        <v>56</v>
      </c>
      <c r="W85" s="81"/>
      <c r="X85" s="334">
        <v>46057</v>
      </c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5"/>
      <c r="AO85" s="94"/>
      <c r="AP85" s="256"/>
    </row>
    <row r="86" spans="1:51" s="72" customFormat="1" ht="24.75" customHeight="1">
      <c r="A86" s="254">
        <v>1</v>
      </c>
      <c r="B86" s="268" t="s">
        <v>266</v>
      </c>
      <c r="C86" s="269" t="s">
        <v>434</v>
      </c>
      <c r="D86" s="269" t="s">
        <v>435</v>
      </c>
      <c r="E86" s="270">
        <v>55</v>
      </c>
      <c r="F86" s="271"/>
      <c r="G86" s="269" t="s">
        <v>66</v>
      </c>
      <c r="H86" s="272">
        <v>45832</v>
      </c>
      <c r="I86" s="273">
        <v>38603</v>
      </c>
      <c r="J86" s="102">
        <v>45868</v>
      </c>
      <c r="K86" s="103">
        <f>J86+180</f>
        <v>46048</v>
      </c>
      <c r="L86" s="317" t="s">
        <v>33</v>
      </c>
      <c r="M86" s="402"/>
      <c r="N86" s="407"/>
      <c r="O86" s="274" t="s">
        <v>494</v>
      </c>
      <c r="P86" s="274"/>
      <c r="Q86" s="274"/>
      <c r="R86" s="274"/>
      <c r="S86" s="274"/>
      <c r="T86" s="71"/>
      <c r="U86" s="112" t="s">
        <v>41</v>
      </c>
      <c r="V86" s="275" t="s">
        <v>33</v>
      </c>
      <c r="W86" s="71" t="s">
        <v>44</v>
      </c>
      <c r="X86" s="345">
        <v>46098</v>
      </c>
      <c r="Y86" s="436" t="s">
        <v>981</v>
      </c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 t="s">
        <v>809</v>
      </c>
      <c r="AO86" s="112">
        <v>1</v>
      </c>
    </row>
    <row r="87" spans="1:51" s="73" customFormat="1" ht="22.5" customHeight="1">
      <c r="A87" s="254">
        <v>1</v>
      </c>
      <c r="B87" s="263" t="s">
        <v>267</v>
      </c>
      <c r="C87" s="161" t="s">
        <v>412</v>
      </c>
      <c r="D87" s="161" t="s">
        <v>413</v>
      </c>
      <c r="E87" s="164">
        <v>40</v>
      </c>
      <c r="F87" s="264"/>
      <c r="G87" s="161" t="s">
        <v>66</v>
      </c>
      <c r="H87" s="163">
        <v>45842</v>
      </c>
      <c r="I87" s="278">
        <v>45866</v>
      </c>
      <c r="J87" s="101">
        <v>46042</v>
      </c>
      <c r="K87" s="90">
        <f>J87+180</f>
        <v>46222</v>
      </c>
      <c r="L87" s="244"/>
      <c r="M87" s="63"/>
      <c r="N87" s="243"/>
      <c r="O87" s="267"/>
      <c r="P87" s="267"/>
      <c r="Q87" s="267"/>
      <c r="R87" s="267"/>
      <c r="S87" s="267"/>
      <c r="T87" s="81"/>
      <c r="U87" s="111" t="s">
        <v>888</v>
      </c>
      <c r="V87" s="266"/>
      <c r="W87" s="81"/>
      <c r="X87" s="334">
        <v>46091</v>
      </c>
      <c r="Y87" s="436" t="s">
        <v>989</v>
      </c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81"/>
      <c r="AN87" s="108" t="s">
        <v>910</v>
      </c>
      <c r="AO87" s="111">
        <v>1</v>
      </c>
      <c r="AP87" s="69"/>
      <c r="AQ87" s="69"/>
      <c r="AR87" s="69"/>
      <c r="AS87" s="69"/>
      <c r="AT87" s="69"/>
      <c r="AU87" s="69"/>
      <c r="AV87" s="69"/>
      <c r="AW87" s="69"/>
      <c r="AX87" s="69"/>
      <c r="AY87" s="69"/>
    </row>
    <row r="88" spans="1:51" s="115" customFormat="1">
      <c r="A88" s="352">
        <v>1</v>
      </c>
      <c r="B88" s="92" t="s">
        <v>267</v>
      </c>
      <c r="C88" s="92" t="s">
        <v>662</v>
      </c>
      <c r="D88" s="92" t="s">
        <v>654</v>
      </c>
      <c r="E88" s="143"/>
      <c r="G88" s="92" t="s">
        <v>67</v>
      </c>
      <c r="H88" s="504">
        <v>46062</v>
      </c>
      <c r="I88" s="82">
        <v>46080</v>
      </c>
      <c r="J88" s="93"/>
      <c r="K88" s="82"/>
      <c r="L88" s="244"/>
      <c r="M88" s="399"/>
      <c r="N88" s="243"/>
      <c r="O88" s="239"/>
      <c r="P88" s="239"/>
      <c r="Q88" s="239"/>
      <c r="R88" s="94"/>
      <c r="S88" s="51"/>
      <c r="T88" s="52"/>
      <c r="U88" s="111" t="s">
        <v>81</v>
      </c>
      <c r="V88" s="261"/>
      <c r="W88" s="81"/>
      <c r="X88" s="334">
        <v>46099</v>
      </c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5"/>
      <c r="AN88" s="115" t="s">
        <v>678</v>
      </c>
      <c r="AO88" s="94"/>
      <c r="AP88" s="256"/>
    </row>
    <row r="89" spans="1:51" s="52" customFormat="1" ht="15" customHeight="1">
      <c r="A89" s="352">
        <v>1</v>
      </c>
      <c r="B89" s="161" t="s">
        <v>266</v>
      </c>
      <c r="C89" s="161" t="s">
        <v>588</v>
      </c>
      <c r="D89" s="161" t="s">
        <v>589</v>
      </c>
      <c r="E89" s="164">
        <v>27</v>
      </c>
      <c r="G89" s="161" t="s">
        <v>67</v>
      </c>
      <c r="H89" s="505">
        <v>46036</v>
      </c>
      <c r="I89" s="176">
        <v>46050</v>
      </c>
      <c r="J89" s="101"/>
      <c r="K89" s="90"/>
      <c r="L89" s="333"/>
      <c r="M89" s="63"/>
      <c r="N89" s="243"/>
      <c r="O89" s="239"/>
      <c r="P89" s="239"/>
      <c r="Q89" s="239"/>
      <c r="S89" s="51"/>
      <c r="U89" s="111" t="s">
        <v>43</v>
      </c>
      <c r="V89" s="266"/>
      <c r="W89" s="81"/>
      <c r="X89" s="334">
        <v>46091</v>
      </c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52" t="s">
        <v>813</v>
      </c>
      <c r="AP89" s="258"/>
    </row>
    <row r="90" spans="1:51" s="73" customFormat="1" ht="20.100000000000001" customHeight="1">
      <c r="A90" s="254">
        <v>1</v>
      </c>
      <c r="B90" s="263" t="s">
        <v>266</v>
      </c>
      <c r="C90" s="161" t="s">
        <v>399</v>
      </c>
      <c r="D90" s="161" t="s">
        <v>400</v>
      </c>
      <c r="E90" s="164">
        <v>31</v>
      </c>
      <c r="F90" s="264"/>
      <c r="G90" s="161" t="s">
        <v>66</v>
      </c>
      <c r="H90" s="163">
        <v>45812</v>
      </c>
      <c r="I90" s="176">
        <v>45882</v>
      </c>
      <c r="J90" s="101">
        <v>45882</v>
      </c>
      <c r="K90" s="90">
        <f>J90+180</f>
        <v>46062</v>
      </c>
      <c r="L90" s="333"/>
      <c r="M90" s="410"/>
      <c r="N90" s="243"/>
      <c r="O90" s="267" t="s">
        <v>496</v>
      </c>
      <c r="P90" s="267"/>
      <c r="Q90" s="267"/>
      <c r="R90" s="267"/>
      <c r="S90" s="267"/>
      <c r="T90" s="81"/>
      <c r="U90" s="111" t="s">
        <v>38</v>
      </c>
      <c r="V90" s="266" t="s">
        <v>56</v>
      </c>
      <c r="W90" s="81"/>
      <c r="X90" s="334">
        <v>46093</v>
      </c>
      <c r="Y90" s="436" t="s">
        <v>936</v>
      </c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 t="s">
        <v>610</v>
      </c>
      <c r="AO90" s="111">
        <v>1</v>
      </c>
      <c r="AP90" s="69"/>
      <c r="AQ90" s="69"/>
      <c r="AR90" s="69"/>
      <c r="AS90" s="69"/>
      <c r="AT90" s="69"/>
      <c r="AU90" s="69"/>
      <c r="AV90" s="69"/>
      <c r="AW90" s="69"/>
      <c r="AX90" s="69"/>
      <c r="AY90" s="69"/>
    </row>
    <row r="91" spans="1:51" s="115" customFormat="1" ht="15" customHeight="1">
      <c r="A91" s="352">
        <v>1</v>
      </c>
      <c r="B91" s="92" t="s">
        <v>266</v>
      </c>
      <c r="C91" s="92" t="s">
        <v>655</v>
      </c>
      <c r="D91" s="92" t="s">
        <v>656</v>
      </c>
      <c r="E91" s="143">
        <v>31</v>
      </c>
      <c r="G91" s="92" t="s">
        <v>67</v>
      </c>
      <c r="H91" s="504">
        <v>46062</v>
      </c>
      <c r="I91" s="82">
        <v>46080</v>
      </c>
      <c r="J91" s="93"/>
      <c r="K91" s="82"/>
      <c r="L91" s="244"/>
      <c r="M91" s="399"/>
      <c r="N91" s="243"/>
      <c r="O91" s="239"/>
      <c r="P91" s="239"/>
      <c r="Q91" s="239"/>
      <c r="R91" s="94"/>
      <c r="S91" s="51"/>
      <c r="T91" s="52"/>
      <c r="U91" s="111" t="s">
        <v>38</v>
      </c>
      <c r="V91" s="261" t="s">
        <v>57</v>
      </c>
      <c r="W91" s="81" t="s">
        <v>50</v>
      </c>
      <c r="X91" s="334">
        <v>46106</v>
      </c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5"/>
      <c r="AN91" s="115" t="s">
        <v>679</v>
      </c>
      <c r="AO91" s="94"/>
      <c r="AP91" s="256"/>
    </row>
    <row r="92" spans="1:51" s="52" customFormat="1" ht="15" customHeight="1">
      <c r="A92" s="335">
        <v>1</v>
      </c>
      <c r="B92" s="161" t="s">
        <v>266</v>
      </c>
      <c r="C92" s="161" t="s">
        <v>804</v>
      </c>
      <c r="D92" s="161" t="s">
        <v>805</v>
      </c>
      <c r="E92" s="164"/>
      <c r="G92" s="161" t="s">
        <v>66</v>
      </c>
      <c r="H92" s="505"/>
      <c r="I92" s="82">
        <v>46112</v>
      </c>
      <c r="J92" s="101"/>
      <c r="K92" s="90"/>
      <c r="L92" s="333"/>
      <c r="M92" s="63"/>
      <c r="N92" s="243"/>
      <c r="O92" s="239"/>
      <c r="P92" s="239"/>
      <c r="Q92" s="239"/>
      <c r="S92" s="51"/>
      <c r="U92" s="111" t="s">
        <v>38</v>
      </c>
      <c r="V92" s="266" t="s">
        <v>57</v>
      </c>
      <c r="W92" s="81" t="s">
        <v>50</v>
      </c>
      <c r="X92" s="334">
        <v>46112</v>
      </c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P92" s="258"/>
    </row>
    <row r="93" spans="1:51" s="115" customFormat="1">
      <c r="A93" s="352">
        <v>1</v>
      </c>
      <c r="B93" s="92" t="s">
        <v>266</v>
      </c>
      <c r="C93" s="92" t="s">
        <v>648</v>
      </c>
      <c r="D93" s="92" t="s">
        <v>649</v>
      </c>
      <c r="E93" s="143">
        <v>53</v>
      </c>
      <c r="G93" s="92" t="s">
        <v>66</v>
      </c>
      <c r="H93" s="504">
        <v>46057</v>
      </c>
      <c r="I93" s="82">
        <v>46077</v>
      </c>
      <c r="J93" s="100">
        <v>46077</v>
      </c>
      <c r="K93" s="82">
        <f>J93+180</f>
        <v>46257</v>
      </c>
      <c r="L93" s="244"/>
      <c r="M93" s="63"/>
      <c r="N93" s="243"/>
      <c r="O93" s="239" t="s">
        <v>496</v>
      </c>
      <c r="P93" s="239" t="s">
        <v>495</v>
      </c>
      <c r="Q93" s="239"/>
      <c r="R93" s="94"/>
      <c r="S93" s="51"/>
      <c r="T93" s="52"/>
      <c r="U93" s="111" t="s">
        <v>38</v>
      </c>
      <c r="V93" s="261" t="s">
        <v>56</v>
      </c>
      <c r="W93" s="81"/>
      <c r="X93" s="334">
        <v>46112</v>
      </c>
      <c r="Y93" s="436" t="s">
        <v>996</v>
      </c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5"/>
      <c r="AO93" s="94"/>
      <c r="AP93" s="256"/>
    </row>
    <row r="94" spans="1:51" s="115" customFormat="1" ht="15" customHeight="1">
      <c r="A94" s="352">
        <v>1</v>
      </c>
      <c r="B94" s="92" t="s">
        <v>266</v>
      </c>
      <c r="C94" s="92" t="s">
        <v>652</v>
      </c>
      <c r="D94" s="92" t="s">
        <v>653</v>
      </c>
      <c r="E94" s="143">
        <v>46</v>
      </c>
      <c r="G94" s="92" t="s">
        <v>67</v>
      </c>
      <c r="H94" s="504">
        <v>46062</v>
      </c>
      <c r="I94" s="82">
        <v>46077</v>
      </c>
      <c r="J94" s="93"/>
      <c r="K94" s="82"/>
      <c r="L94" s="244"/>
      <c r="M94" s="63"/>
      <c r="N94" s="243"/>
      <c r="O94" s="239"/>
      <c r="P94" s="239"/>
      <c r="Q94" s="239"/>
      <c r="R94" s="94"/>
      <c r="S94" s="51"/>
      <c r="T94" s="52"/>
      <c r="U94" s="111" t="s">
        <v>38</v>
      </c>
      <c r="V94" s="261" t="s">
        <v>58</v>
      </c>
      <c r="W94" s="81" t="s">
        <v>51</v>
      </c>
      <c r="X94" s="334">
        <v>46113</v>
      </c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5"/>
      <c r="AN94" s="115" t="s">
        <v>677</v>
      </c>
      <c r="AO94" s="94"/>
      <c r="AP94" s="256"/>
    </row>
    <row r="95" spans="1:51" s="348" customFormat="1" ht="15" customHeight="1">
      <c r="A95" s="352">
        <v>1</v>
      </c>
      <c r="B95" s="269" t="s">
        <v>267</v>
      </c>
      <c r="C95" s="269" t="s">
        <v>661</v>
      </c>
      <c r="D95" s="269" t="s">
        <v>635</v>
      </c>
      <c r="E95" s="270">
        <v>40</v>
      </c>
      <c r="G95" s="269" t="s">
        <v>66</v>
      </c>
      <c r="H95" s="506">
        <v>46044</v>
      </c>
      <c r="I95" s="103">
        <v>46064</v>
      </c>
      <c r="J95" s="102">
        <v>46064</v>
      </c>
      <c r="K95" s="103">
        <f>J95+180</f>
        <v>46244</v>
      </c>
      <c r="L95" s="317"/>
      <c r="M95" s="418"/>
      <c r="N95" s="407"/>
      <c r="O95" s="349" t="s">
        <v>663</v>
      </c>
      <c r="P95" s="349"/>
      <c r="Q95" s="349"/>
      <c r="R95" s="348">
        <v>1</v>
      </c>
      <c r="S95" s="350">
        <v>1</v>
      </c>
      <c r="U95" s="112" t="s">
        <v>41</v>
      </c>
      <c r="V95" s="275" t="s">
        <v>57</v>
      </c>
      <c r="W95" s="71" t="s">
        <v>797</v>
      </c>
      <c r="X95" s="345">
        <v>46113</v>
      </c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P95" s="351"/>
    </row>
    <row r="96" spans="1:51" s="55" customFormat="1" ht="18" customHeight="1">
      <c r="A96" s="254">
        <v>1</v>
      </c>
      <c r="B96" s="263" t="s">
        <v>266</v>
      </c>
      <c r="C96" s="161" t="s">
        <v>341</v>
      </c>
      <c r="D96" s="161" t="s">
        <v>342</v>
      </c>
      <c r="E96" s="164">
        <v>46</v>
      </c>
      <c r="F96" s="264"/>
      <c r="G96" s="161" t="s">
        <v>66</v>
      </c>
      <c r="H96" s="163">
        <v>45805</v>
      </c>
      <c r="I96" s="176">
        <v>45901</v>
      </c>
      <c r="J96" s="101">
        <v>45896</v>
      </c>
      <c r="K96" s="90">
        <f>J96+180</f>
        <v>46076</v>
      </c>
      <c r="L96" s="333"/>
      <c r="M96" s="399"/>
      <c r="N96" s="243"/>
      <c r="O96" s="267" t="s">
        <v>829</v>
      </c>
      <c r="P96" s="267" t="s">
        <v>495</v>
      </c>
      <c r="Q96" s="267"/>
      <c r="R96" s="267"/>
      <c r="S96" s="267"/>
      <c r="T96" s="81"/>
      <c r="U96" s="111" t="s">
        <v>43</v>
      </c>
      <c r="V96" s="266"/>
      <c r="W96" s="81"/>
      <c r="X96" s="334">
        <v>45962</v>
      </c>
      <c r="Y96" s="436" t="s">
        <v>921</v>
      </c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 t="s">
        <v>601</v>
      </c>
      <c r="AO96" s="111">
        <v>1</v>
      </c>
      <c r="AP96" s="69"/>
      <c r="AQ96" s="69"/>
      <c r="AR96" s="69"/>
      <c r="AS96" s="69"/>
      <c r="AT96" s="69"/>
      <c r="AU96" s="69"/>
      <c r="AV96" s="69"/>
      <c r="AW96" s="69"/>
      <c r="AX96" s="69"/>
      <c r="AY96" s="69"/>
    </row>
    <row r="97" spans="1:51" s="55" customFormat="1" ht="18" customHeight="1">
      <c r="A97" s="254">
        <v>1</v>
      </c>
      <c r="B97" s="263" t="s">
        <v>266</v>
      </c>
      <c r="C97" s="161" t="s">
        <v>304</v>
      </c>
      <c r="D97" s="161" t="s">
        <v>300</v>
      </c>
      <c r="E97" s="164">
        <v>57</v>
      </c>
      <c r="F97" s="264"/>
      <c r="G97" s="161" t="s">
        <v>66</v>
      </c>
      <c r="H97" s="163">
        <v>45835</v>
      </c>
      <c r="I97" s="176">
        <v>45868</v>
      </c>
      <c r="J97" s="101">
        <v>45887</v>
      </c>
      <c r="K97" s="90">
        <f>J97+180</f>
        <v>46067</v>
      </c>
      <c r="L97" s="333"/>
      <c r="M97" s="63"/>
      <c r="N97" s="243"/>
      <c r="O97" s="267"/>
      <c r="P97" s="267"/>
      <c r="Q97" s="267"/>
      <c r="R97" s="267"/>
      <c r="S97" s="267"/>
      <c r="T97" s="81"/>
      <c r="U97" s="111" t="s">
        <v>43</v>
      </c>
      <c r="V97" s="266"/>
      <c r="W97" s="81"/>
      <c r="X97" s="334">
        <v>46064</v>
      </c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 t="s">
        <v>599</v>
      </c>
      <c r="AO97" s="111">
        <v>1</v>
      </c>
      <c r="AP97" s="69"/>
      <c r="AQ97" s="69"/>
      <c r="AR97" s="69"/>
      <c r="AS97" s="69"/>
      <c r="AT97" s="69"/>
      <c r="AU97" s="69"/>
      <c r="AV97" s="69"/>
      <c r="AW97" s="69"/>
      <c r="AX97" s="69"/>
      <c r="AY97" s="69"/>
    </row>
    <row r="98" spans="1:51" s="55" customFormat="1" ht="18" customHeight="1">
      <c r="A98" s="165">
        <v>1</v>
      </c>
      <c r="B98" s="356" t="s">
        <v>267</v>
      </c>
      <c r="C98" s="161" t="s">
        <v>286</v>
      </c>
      <c r="D98" s="161" t="s">
        <v>287</v>
      </c>
      <c r="E98" s="164">
        <v>47</v>
      </c>
      <c r="F98" s="264"/>
      <c r="G98" s="161" t="s">
        <v>67</v>
      </c>
      <c r="H98" s="163">
        <v>45789</v>
      </c>
      <c r="I98" s="176">
        <v>45869</v>
      </c>
      <c r="J98" s="101">
        <v>45869</v>
      </c>
      <c r="K98" s="90">
        <f>J98+180</f>
        <v>46049</v>
      </c>
      <c r="L98" s="333"/>
      <c r="M98" s="63"/>
      <c r="N98" s="243"/>
      <c r="O98" s="267"/>
      <c r="P98" s="267"/>
      <c r="Q98" s="267"/>
      <c r="R98" s="267"/>
      <c r="S98" s="267"/>
      <c r="T98" s="81"/>
      <c r="U98" s="111" t="s">
        <v>888</v>
      </c>
      <c r="V98" s="266"/>
      <c r="W98" s="81"/>
      <c r="X98" s="334">
        <v>46111</v>
      </c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 t="s">
        <v>596</v>
      </c>
      <c r="AO98" s="111">
        <v>1</v>
      </c>
      <c r="AP98" s="69"/>
      <c r="AQ98" s="69"/>
      <c r="AR98" s="69"/>
      <c r="AS98" s="69"/>
      <c r="AT98" s="69"/>
      <c r="AU98" s="69"/>
      <c r="AV98" s="69"/>
      <c r="AW98" s="69"/>
      <c r="AX98" s="69"/>
      <c r="AY98" s="69"/>
    </row>
    <row r="99" spans="1:51" s="115" customFormat="1" ht="15" customHeight="1">
      <c r="A99" s="160">
        <v>1</v>
      </c>
      <c r="B99" s="357" t="s">
        <v>266</v>
      </c>
      <c r="C99" s="161" t="s">
        <v>820</v>
      </c>
      <c r="D99" s="92" t="s">
        <v>821</v>
      </c>
      <c r="E99" s="143">
        <v>34</v>
      </c>
      <c r="G99" s="161" t="s">
        <v>66</v>
      </c>
      <c r="H99" s="504">
        <v>46114</v>
      </c>
      <c r="I99" s="82">
        <v>46133</v>
      </c>
      <c r="J99" s="100"/>
      <c r="K99" s="82"/>
      <c r="L99" s="244"/>
      <c r="M99" s="63"/>
      <c r="N99" s="243"/>
      <c r="O99" s="239"/>
      <c r="P99" s="239"/>
      <c r="Q99" s="239"/>
      <c r="R99" s="94"/>
      <c r="S99" s="51"/>
      <c r="T99" s="52"/>
      <c r="U99" s="111" t="s">
        <v>38</v>
      </c>
      <c r="V99" s="261" t="s">
        <v>53</v>
      </c>
      <c r="W99" s="81"/>
      <c r="X99" s="334">
        <v>46115</v>
      </c>
      <c r="Y99" s="81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81"/>
      <c r="AO99" s="94"/>
      <c r="AP99" s="256"/>
    </row>
    <row r="100" spans="1:51" s="73" customFormat="1" ht="16.5" customHeight="1">
      <c r="A100" s="254">
        <v>1</v>
      </c>
      <c r="B100" s="263" t="s">
        <v>266</v>
      </c>
      <c r="C100" s="161" t="s">
        <v>523</v>
      </c>
      <c r="D100" s="161" t="s">
        <v>524</v>
      </c>
      <c r="E100" s="164">
        <v>44</v>
      </c>
      <c r="F100" s="264"/>
      <c r="G100" s="161" t="s">
        <v>520</v>
      </c>
      <c r="H100" s="163">
        <v>45951</v>
      </c>
      <c r="I100" s="176">
        <v>45980</v>
      </c>
      <c r="J100" s="68"/>
      <c r="K100" s="90"/>
      <c r="L100" s="333"/>
      <c r="M100" s="63"/>
      <c r="N100" s="243"/>
      <c r="O100" s="276"/>
      <c r="P100" s="267"/>
      <c r="Q100" s="267"/>
      <c r="R100" s="267"/>
      <c r="S100" s="267"/>
      <c r="T100" s="81"/>
      <c r="U100" s="111" t="s">
        <v>38</v>
      </c>
      <c r="V100" s="266" t="s">
        <v>33</v>
      </c>
      <c r="W100" s="81"/>
      <c r="X100" s="334">
        <v>46120</v>
      </c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109" t="s">
        <v>625</v>
      </c>
      <c r="AO100" s="111">
        <v>1</v>
      </c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</row>
    <row r="101" spans="1:51" s="52" customFormat="1">
      <c r="A101" s="352">
        <v>1</v>
      </c>
      <c r="B101" s="161" t="s">
        <v>266</v>
      </c>
      <c r="C101" s="161" t="s">
        <v>562</v>
      </c>
      <c r="D101" s="161" t="s">
        <v>561</v>
      </c>
      <c r="E101" s="164">
        <v>54</v>
      </c>
      <c r="G101" s="161" t="s">
        <v>67</v>
      </c>
      <c r="H101" s="289">
        <v>45999</v>
      </c>
      <c r="I101" s="176">
        <v>46020</v>
      </c>
      <c r="J101" s="101"/>
      <c r="K101" s="90"/>
      <c r="L101" s="333"/>
      <c r="M101" s="63"/>
      <c r="N101" s="243"/>
      <c r="O101" s="239"/>
      <c r="P101" s="239"/>
      <c r="Q101" s="239"/>
      <c r="S101" s="51"/>
      <c r="U101" s="111" t="s">
        <v>888</v>
      </c>
      <c r="V101" s="266"/>
      <c r="W101" s="81"/>
      <c r="X101" s="334">
        <v>46119</v>
      </c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177" t="s">
        <v>815</v>
      </c>
      <c r="AO101" s="175"/>
      <c r="AP101" s="258"/>
    </row>
    <row r="102" spans="1:51" s="73" customFormat="1" ht="16.5" customHeight="1">
      <c r="A102" s="254">
        <v>1</v>
      </c>
      <c r="B102" s="263" t="s">
        <v>266</v>
      </c>
      <c r="C102" s="161" t="s">
        <v>525</v>
      </c>
      <c r="D102" s="161" t="s">
        <v>526</v>
      </c>
      <c r="E102" s="164">
        <v>34</v>
      </c>
      <c r="F102" s="264"/>
      <c r="G102" s="161" t="s">
        <v>520</v>
      </c>
      <c r="H102" s="163">
        <v>45951</v>
      </c>
      <c r="I102" s="176">
        <v>45980</v>
      </c>
      <c r="J102" s="101">
        <v>46008</v>
      </c>
      <c r="K102" s="90">
        <f>J102+180</f>
        <v>46188</v>
      </c>
      <c r="L102" s="333"/>
      <c r="M102" s="63"/>
      <c r="N102" s="243"/>
      <c r="O102" s="276" t="s">
        <v>500</v>
      </c>
      <c r="P102" s="267"/>
      <c r="Q102" s="267"/>
      <c r="R102" s="267"/>
      <c r="S102" s="267"/>
      <c r="T102" s="81"/>
      <c r="U102" s="111" t="s">
        <v>888</v>
      </c>
      <c r="V102" s="266"/>
      <c r="W102" s="81"/>
      <c r="X102" s="334">
        <v>46119</v>
      </c>
      <c r="Y102" s="436" t="s">
        <v>984</v>
      </c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109" t="s">
        <v>626</v>
      </c>
      <c r="AO102" s="111">
        <v>1</v>
      </c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</row>
    <row r="103" spans="1:51" s="377" customFormat="1" ht="15" customHeight="1">
      <c r="A103" s="255">
        <v>1</v>
      </c>
      <c r="B103" s="285" t="s">
        <v>266</v>
      </c>
      <c r="C103" s="286" t="s">
        <v>536</v>
      </c>
      <c r="D103" s="286" t="s">
        <v>535</v>
      </c>
      <c r="E103" s="287">
        <v>38</v>
      </c>
      <c r="F103" s="288"/>
      <c r="G103" s="161" t="s">
        <v>67</v>
      </c>
      <c r="H103" s="289">
        <v>45839</v>
      </c>
      <c r="I103" s="176">
        <v>45994</v>
      </c>
      <c r="J103" s="68"/>
      <c r="K103" s="90"/>
      <c r="L103" s="333"/>
      <c r="M103" s="399"/>
      <c r="N103" s="243"/>
      <c r="O103" s="239"/>
      <c r="P103" s="239"/>
      <c r="Q103" s="239"/>
      <c r="R103" s="174"/>
      <c r="S103" s="51"/>
      <c r="T103" s="52"/>
      <c r="U103" s="111" t="s">
        <v>888</v>
      </c>
      <c r="V103" s="266"/>
      <c r="W103" s="81"/>
      <c r="X103" s="334">
        <v>46119</v>
      </c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109" t="s">
        <v>810</v>
      </c>
      <c r="AO103" s="175">
        <v>1</v>
      </c>
      <c r="AP103" s="376"/>
    </row>
    <row r="104" spans="1:51" s="52" customFormat="1" ht="19.5" customHeight="1">
      <c r="A104" s="352">
        <v>1</v>
      </c>
      <c r="B104" s="161" t="s">
        <v>266</v>
      </c>
      <c r="C104" s="161" t="s">
        <v>541</v>
      </c>
      <c r="D104" s="161" t="s">
        <v>542</v>
      </c>
      <c r="E104" s="164"/>
      <c r="G104" s="161" t="s">
        <v>66</v>
      </c>
      <c r="H104" s="163">
        <v>45863</v>
      </c>
      <c r="I104" s="176">
        <v>46006</v>
      </c>
      <c r="J104" s="68"/>
      <c r="K104" s="90"/>
      <c r="L104" s="333"/>
      <c r="M104" s="399"/>
      <c r="N104" s="243"/>
      <c r="O104" s="239"/>
      <c r="P104" s="239"/>
      <c r="Q104" s="239"/>
      <c r="S104" s="51"/>
      <c r="U104" s="111" t="s">
        <v>888</v>
      </c>
      <c r="V104" s="266"/>
      <c r="W104" s="81"/>
      <c r="X104" s="334">
        <v>46119</v>
      </c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177" t="s">
        <v>630</v>
      </c>
      <c r="AO104" s="175">
        <v>1</v>
      </c>
      <c r="AP104" s="258"/>
    </row>
    <row r="105" spans="1:51" s="73" customFormat="1" ht="13.15" customHeight="1">
      <c r="A105" s="254">
        <v>1</v>
      </c>
      <c r="B105" s="263" t="s">
        <v>266</v>
      </c>
      <c r="C105" s="161" t="s">
        <v>420</v>
      </c>
      <c r="D105" s="161" t="s">
        <v>421</v>
      </c>
      <c r="E105" s="164">
        <v>41</v>
      </c>
      <c r="F105" s="264"/>
      <c r="G105" s="161" t="s">
        <v>66</v>
      </c>
      <c r="H105" s="163">
        <v>45820</v>
      </c>
      <c r="I105" s="176">
        <v>45875</v>
      </c>
      <c r="J105" s="101">
        <v>45896</v>
      </c>
      <c r="K105" s="90">
        <f>J105+180</f>
        <v>46076</v>
      </c>
      <c r="L105" s="333"/>
      <c r="M105" s="399"/>
      <c r="N105" s="243"/>
      <c r="O105" s="267" t="s">
        <v>496</v>
      </c>
      <c r="P105" s="267"/>
      <c r="Q105" s="267"/>
      <c r="R105" s="267"/>
      <c r="S105" s="267"/>
      <c r="T105" s="81"/>
      <c r="U105" s="111" t="s">
        <v>888</v>
      </c>
      <c r="V105" s="266"/>
      <c r="W105" s="81"/>
      <c r="X105" s="334">
        <v>46119</v>
      </c>
      <c r="Y105" s="436" t="s">
        <v>932</v>
      </c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 t="s">
        <v>618</v>
      </c>
      <c r="AO105" s="111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</row>
    <row r="106" spans="1:51" s="52" customFormat="1">
      <c r="A106" s="352">
        <v>1</v>
      </c>
      <c r="B106" s="161" t="s">
        <v>267</v>
      </c>
      <c r="C106" s="161" t="s">
        <v>576</v>
      </c>
      <c r="D106" s="161" t="s">
        <v>572</v>
      </c>
      <c r="E106" s="164">
        <v>37</v>
      </c>
      <c r="G106" s="161" t="s">
        <v>66</v>
      </c>
      <c r="H106" s="289">
        <v>46013</v>
      </c>
      <c r="I106" s="176">
        <v>46041</v>
      </c>
      <c r="J106" s="101"/>
      <c r="K106" s="90"/>
      <c r="L106" s="333"/>
      <c r="M106" s="399"/>
      <c r="N106" s="243"/>
      <c r="O106" s="239"/>
      <c r="P106" s="239"/>
      <c r="Q106" s="239"/>
      <c r="S106" s="51"/>
      <c r="U106" s="111" t="s">
        <v>888</v>
      </c>
      <c r="V106" s="266"/>
      <c r="W106" s="81"/>
      <c r="X106" s="334">
        <v>46119</v>
      </c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52" t="s">
        <v>650</v>
      </c>
      <c r="AO106" s="175"/>
      <c r="AP106" s="258"/>
    </row>
    <row r="107" spans="1:51" s="73" customFormat="1" ht="18" customHeight="1">
      <c r="A107" s="254">
        <v>1</v>
      </c>
      <c r="B107" s="263" t="s">
        <v>266</v>
      </c>
      <c r="C107" s="161" t="s">
        <v>382</v>
      </c>
      <c r="D107" s="161" t="s">
        <v>383</v>
      </c>
      <c r="E107" s="164">
        <v>57</v>
      </c>
      <c r="F107" s="264"/>
      <c r="G107" s="161" t="s">
        <v>66</v>
      </c>
      <c r="H107" s="163">
        <v>45819</v>
      </c>
      <c r="I107" s="90">
        <v>45901</v>
      </c>
      <c r="J107" s="101">
        <v>45866</v>
      </c>
      <c r="K107" s="90">
        <f>J107+180</f>
        <v>46046</v>
      </c>
      <c r="L107" s="333"/>
      <c r="M107" s="63"/>
      <c r="N107" s="243"/>
      <c r="O107" s="267" t="s">
        <v>551</v>
      </c>
      <c r="P107" s="267" t="s">
        <v>494</v>
      </c>
      <c r="Q107" s="267"/>
      <c r="R107" s="267"/>
      <c r="S107" s="267"/>
      <c r="T107" s="81"/>
      <c r="U107" s="111" t="s">
        <v>38</v>
      </c>
      <c r="V107" s="266" t="s">
        <v>56</v>
      </c>
      <c r="W107" s="81"/>
      <c r="X107" s="334">
        <v>46120</v>
      </c>
      <c r="Y107" s="436" t="s">
        <v>967</v>
      </c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111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</row>
    <row r="108" spans="1:51" s="73" customFormat="1" ht="20.100000000000001" customHeight="1">
      <c r="A108" s="254">
        <v>1</v>
      </c>
      <c r="B108" s="263" t="s">
        <v>267</v>
      </c>
      <c r="C108" s="161" t="s">
        <v>402</v>
      </c>
      <c r="D108" s="161" t="s">
        <v>405</v>
      </c>
      <c r="E108" s="164">
        <v>47</v>
      </c>
      <c r="F108" s="264"/>
      <c r="G108" s="161" t="s">
        <v>66</v>
      </c>
      <c r="H108" s="163">
        <v>45835</v>
      </c>
      <c r="I108" s="176">
        <v>45915</v>
      </c>
      <c r="J108" s="101">
        <v>45937</v>
      </c>
      <c r="K108" s="90">
        <f>J108+180</f>
        <v>46117</v>
      </c>
      <c r="L108" s="333"/>
      <c r="M108" s="63"/>
      <c r="N108" s="243"/>
      <c r="O108" s="267" t="s">
        <v>500</v>
      </c>
      <c r="P108" s="267"/>
      <c r="Q108" s="267"/>
      <c r="R108" s="267"/>
      <c r="S108" s="267"/>
      <c r="T108" s="81"/>
      <c r="U108" s="111" t="s">
        <v>888</v>
      </c>
      <c r="V108" s="266"/>
      <c r="W108" s="81"/>
      <c r="X108" s="334">
        <v>46119</v>
      </c>
      <c r="Y108" s="436" t="s">
        <v>978</v>
      </c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 t="s">
        <v>614</v>
      </c>
      <c r="AO108" s="111">
        <v>1</v>
      </c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</row>
    <row r="109" spans="1:51" s="69" customFormat="1" ht="17.25" customHeight="1">
      <c r="A109" s="254">
        <v>1</v>
      </c>
      <c r="B109" s="285" t="s">
        <v>266</v>
      </c>
      <c r="C109" s="286" t="s">
        <v>471</v>
      </c>
      <c r="D109" s="286" t="s">
        <v>474</v>
      </c>
      <c r="E109" s="287">
        <v>32</v>
      </c>
      <c r="F109" s="264"/>
      <c r="G109" s="161" t="s">
        <v>66</v>
      </c>
      <c r="H109" s="289">
        <v>45897</v>
      </c>
      <c r="I109" s="176">
        <v>45924</v>
      </c>
      <c r="J109" s="101">
        <v>46043</v>
      </c>
      <c r="K109" s="90">
        <f>J109+180</f>
        <v>46223</v>
      </c>
      <c r="L109" s="333"/>
      <c r="M109" s="399"/>
      <c r="N109" s="243"/>
      <c r="O109" s="267"/>
      <c r="P109" s="267"/>
      <c r="Q109" s="267"/>
      <c r="R109" s="267"/>
      <c r="S109" s="267"/>
      <c r="T109" s="81"/>
      <c r="U109" s="111" t="s">
        <v>888</v>
      </c>
      <c r="V109" s="266"/>
      <c r="W109" s="81"/>
      <c r="X109" s="334">
        <v>46119</v>
      </c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108" t="s">
        <v>667</v>
      </c>
      <c r="AO109" s="111">
        <v>1</v>
      </c>
    </row>
    <row r="110" spans="1:51" s="115" customFormat="1" ht="22.9" customHeight="1">
      <c r="A110" s="352">
        <v>1</v>
      </c>
      <c r="B110" s="92" t="s">
        <v>267</v>
      </c>
      <c r="C110" s="92" t="s">
        <v>577</v>
      </c>
      <c r="D110" s="92" t="s">
        <v>564</v>
      </c>
      <c r="E110" s="143">
        <v>51</v>
      </c>
      <c r="G110" s="92" t="s">
        <v>66</v>
      </c>
      <c r="H110" s="284">
        <v>46013</v>
      </c>
      <c r="I110" s="82">
        <v>46041</v>
      </c>
      <c r="J110" s="100">
        <v>46041</v>
      </c>
      <c r="K110" s="82">
        <f>J101+180</f>
        <v>180</v>
      </c>
      <c r="L110" s="244"/>
      <c r="M110" s="63"/>
      <c r="N110" s="243"/>
      <c r="O110" s="239" t="s">
        <v>826</v>
      </c>
      <c r="P110" s="239" t="s">
        <v>551</v>
      </c>
      <c r="Q110" s="239"/>
      <c r="R110" s="94"/>
      <c r="S110" s="51"/>
      <c r="T110" s="52">
        <v>1</v>
      </c>
      <c r="U110" s="111" t="s">
        <v>38</v>
      </c>
      <c r="V110" s="261" t="s">
        <v>56</v>
      </c>
      <c r="W110" s="81"/>
      <c r="X110" s="334">
        <v>46119</v>
      </c>
      <c r="Y110" s="436" t="s">
        <v>986</v>
      </c>
      <c r="Z110" s="64"/>
      <c r="AA110" s="64"/>
      <c r="AB110" s="64"/>
      <c r="AC110" s="64"/>
      <c r="AD110" s="64"/>
      <c r="AE110" s="64">
        <v>1</v>
      </c>
      <c r="AF110" s="64"/>
      <c r="AG110" s="64"/>
      <c r="AH110" s="64">
        <v>1</v>
      </c>
      <c r="AI110" s="64"/>
      <c r="AJ110" s="64"/>
      <c r="AK110" s="64"/>
      <c r="AL110" s="64"/>
      <c r="AM110" s="65"/>
      <c r="AN110" s="114" t="s">
        <v>632</v>
      </c>
      <c r="AO110" s="113"/>
      <c r="AP110" s="256"/>
    </row>
    <row r="111" spans="1:51" s="115" customFormat="1" ht="16.5" customHeight="1">
      <c r="A111" s="352">
        <v>1</v>
      </c>
      <c r="B111" s="92" t="s">
        <v>266</v>
      </c>
      <c r="C111" s="92" t="s">
        <v>574</v>
      </c>
      <c r="D111" s="92" t="s">
        <v>575</v>
      </c>
      <c r="E111" s="143">
        <v>34</v>
      </c>
      <c r="G111" s="92" t="s">
        <v>67</v>
      </c>
      <c r="H111" s="284">
        <v>45999</v>
      </c>
      <c r="I111" s="82">
        <v>46020</v>
      </c>
      <c r="J111" s="100">
        <v>46010</v>
      </c>
      <c r="K111" s="82">
        <f>J111+180</f>
        <v>46190</v>
      </c>
      <c r="L111" s="244"/>
      <c r="M111" s="63"/>
      <c r="N111" s="243"/>
      <c r="O111" s="239" t="s">
        <v>496</v>
      </c>
      <c r="P111" s="239"/>
      <c r="Q111" s="239"/>
      <c r="R111" s="94"/>
      <c r="S111" s="51"/>
      <c r="T111" s="52"/>
      <c r="U111" s="111" t="s">
        <v>43</v>
      </c>
      <c r="V111" s="261"/>
      <c r="W111" s="81"/>
      <c r="X111" s="334">
        <v>46091</v>
      </c>
      <c r="Y111" s="436" t="s">
        <v>971</v>
      </c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5"/>
      <c r="AO111" s="113"/>
      <c r="AP111" s="256"/>
    </row>
    <row r="112" spans="1:51" s="73" customFormat="1" ht="17.100000000000001" customHeight="1">
      <c r="A112" s="254">
        <v>1</v>
      </c>
      <c r="B112" s="263" t="s">
        <v>267</v>
      </c>
      <c r="C112" s="161" t="s">
        <v>463</v>
      </c>
      <c r="D112" s="161" t="s">
        <v>376</v>
      </c>
      <c r="E112" s="164">
        <v>29</v>
      </c>
      <c r="F112" s="264"/>
      <c r="G112" s="161" t="s">
        <v>66</v>
      </c>
      <c r="H112" s="163">
        <v>45805</v>
      </c>
      <c r="I112" s="90">
        <v>46041</v>
      </c>
      <c r="J112" s="101"/>
      <c r="K112" s="90"/>
      <c r="L112" s="333"/>
      <c r="M112" s="63"/>
      <c r="N112" s="243"/>
      <c r="O112" s="267"/>
      <c r="P112" s="267"/>
      <c r="Q112" s="267"/>
      <c r="R112" s="267"/>
      <c r="S112" s="267"/>
      <c r="T112" s="81"/>
      <c r="U112" s="111" t="s">
        <v>38</v>
      </c>
      <c r="V112" s="266" t="s">
        <v>57</v>
      </c>
      <c r="W112" s="81" t="s">
        <v>50</v>
      </c>
      <c r="X112" s="334">
        <v>46128</v>
      </c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 t="s">
        <v>607</v>
      </c>
      <c r="AO112" s="111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</row>
    <row r="113" spans="1:51" s="494" customFormat="1" ht="24">
      <c r="A113" s="488">
        <v>1</v>
      </c>
      <c r="B113" s="489" t="s">
        <v>266</v>
      </c>
      <c r="C113" s="286" t="s">
        <v>337</v>
      </c>
      <c r="D113" s="286" t="s">
        <v>338</v>
      </c>
      <c r="E113" s="287">
        <v>43</v>
      </c>
      <c r="F113" s="300"/>
      <c r="G113" s="286" t="s">
        <v>66</v>
      </c>
      <c r="H113" s="289">
        <v>45812</v>
      </c>
      <c r="I113" s="443">
        <v>45901</v>
      </c>
      <c r="J113" s="444">
        <v>45952</v>
      </c>
      <c r="K113" s="445">
        <f>J113+180</f>
        <v>46132</v>
      </c>
      <c r="L113" s="446"/>
      <c r="M113" s="63"/>
      <c r="N113" s="490"/>
      <c r="O113" s="491"/>
      <c r="P113" s="491"/>
      <c r="Q113" s="491"/>
      <c r="R113" s="491">
        <v>5</v>
      </c>
      <c r="S113" s="491"/>
      <c r="T113" s="81"/>
      <c r="U113" s="111" t="s">
        <v>888</v>
      </c>
      <c r="V113" s="266"/>
      <c r="W113" s="81"/>
      <c r="X113" s="81" t="s">
        <v>885</v>
      </c>
      <c r="Y113" s="492" t="s">
        <v>972</v>
      </c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>
        <v>1</v>
      </c>
      <c r="AM113" s="81"/>
      <c r="AN113" s="108" t="s">
        <v>670</v>
      </c>
      <c r="AO113" s="111">
        <v>1</v>
      </c>
      <c r="AP113" s="493"/>
      <c r="AQ113" s="493"/>
      <c r="AR113" s="493"/>
      <c r="AS113" s="493"/>
      <c r="AT113" s="493"/>
      <c r="AU113" s="493"/>
      <c r="AV113" s="493"/>
      <c r="AW113" s="493"/>
      <c r="AX113" s="493"/>
      <c r="AY113" s="493"/>
    </row>
    <row r="114" spans="1:51" s="115" customFormat="1" ht="15" customHeight="1">
      <c r="A114" s="161">
        <v>1</v>
      </c>
      <c r="B114" s="92" t="s">
        <v>267</v>
      </c>
      <c r="C114" s="161" t="s">
        <v>836</v>
      </c>
      <c r="D114" s="161" t="s">
        <v>837</v>
      </c>
      <c r="E114" s="143">
        <v>37</v>
      </c>
      <c r="F114" s="92"/>
      <c r="G114" s="92" t="s">
        <v>66</v>
      </c>
      <c r="H114" s="82">
        <v>46125</v>
      </c>
      <c r="I114" s="100">
        <v>46140</v>
      </c>
      <c r="J114" s="82"/>
      <c r="K114" s="82"/>
      <c r="L114" s="239"/>
      <c r="M114" s="63"/>
      <c r="N114" s="243"/>
      <c r="O114" s="92"/>
      <c r="P114" s="92"/>
      <c r="Q114" s="92"/>
      <c r="R114" s="143"/>
      <c r="T114" s="92"/>
      <c r="U114" s="290" t="s">
        <v>38</v>
      </c>
      <c r="V114" s="82" t="s">
        <v>57</v>
      </c>
      <c r="W114" s="81" t="s">
        <v>50</v>
      </c>
      <c r="X114" s="334">
        <v>46140</v>
      </c>
      <c r="Y114" s="81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5"/>
      <c r="AN114" s="115" t="s">
        <v>852</v>
      </c>
      <c r="AO114" s="94"/>
      <c r="AP114" s="256"/>
    </row>
    <row r="115" spans="1:51" s="115" customFormat="1">
      <c r="A115" s="352">
        <v>1</v>
      </c>
      <c r="B115" s="92" t="s">
        <v>266</v>
      </c>
      <c r="C115" s="92" t="s">
        <v>580</v>
      </c>
      <c r="D115" s="92" t="s">
        <v>578</v>
      </c>
      <c r="E115" s="143">
        <v>26</v>
      </c>
      <c r="G115" s="92" t="s">
        <v>66</v>
      </c>
      <c r="H115" s="504">
        <v>46029</v>
      </c>
      <c r="I115" s="82">
        <v>46049</v>
      </c>
      <c r="J115" s="100">
        <v>46049</v>
      </c>
      <c r="K115" s="82">
        <f t="shared" ref="K115:K121" si="2">J115+180</f>
        <v>46229</v>
      </c>
      <c r="L115" s="244"/>
      <c r="M115" s="63"/>
      <c r="N115" s="243"/>
      <c r="O115" s="239" t="s">
        <v>496</v>
      </c>
      <c r="P115" s="239" t="s">
        <v>495</v>
      </c>
      <c r="Q115" s="239"/>
      <c r="R115" s="94">
        <v>1</v>
      </c>
      <c r="S115" s="51"/>
      <c r="T115" s="52"/>
      <c r="U115" s="111" t="s">
        <v>42</v>
      </c>
      <c r="V115" s="261"/>
      <c r="W115" s="81"/>
      <c r="X115" s="334">
        <v>46149</v>
      </c>
      <c r="Y115" s="500" t="s">
        <v>1067</v>
      </c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5"/>
      <c r="AN115" s="115" t="s">
        <v>845</v>
      </c>
      <c r="AO115" s="94"/>
      <c r="AP115" s="256"/>
    </row>
    <row r="116" spans="1:51" s="69" customFormat="1" ht="19.5" customHeight="1">
      <c r="A116" s="254">
        <v>1</v>
      </c>
      <c r="B116" s="263" t="s">
        <v>267</v>
      </c>
      <c r="C116" s="161" t="s">
        <v>445</v>
      </c>
      <c r="D116" s="161" t="s">
        <v>446</v>
      </c>
      <c r="E116" s="164">
        <v>28</v>
      </c>
      <c r="F116" s="264"/>
      <c r="G116" s="161" t="s">
        <v>66</v>
      </c>
      <c r="H116" s="163">
        <v>45790</v>
      </c>
      <c r="I116" s="347">
        <v>45902</v>
      </c>
      <c r="J116" s="101">
        <v>45924</v>
      </c>
      <c r="K116" s="90">
        <f t="shared" si="2"/>
        <v>46104</v>
      </c>
      <c r="L116" s="333"/>
      <c r="M116" s="63"/>
      <c r="N116" s="243"/>
      <c r="O116" s="267" t="s">
        <v>550</v>
      </c>
      <c r="P116" s="267" t="s">
        <v>494</v>
      </c>
      <c r="Q116" s="267"/>
      <c r="R116" s="267"/>
      <c r="S116" s="267"/>
      <c r="T116" s="81">
        <v>1</v>
      </c>
      <c r="U116" s="111" t="s">
        <v>38</v>
      </c>
      <c r="V116" s="266" t="s">
        <v>55</v>
      </c>
      <c r="W116" s="81"/>
      <c r="X116" s="334">
        <v>46153</v>
      </c>
      <c r="Y116" s="436" t="s">
        <v>946</v>
      </c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 t="s">
        <v>828</v>
      </c>
      <c r="AO116" s="111"/>
    </row>
    <row r="117" spans="1:51" s="75" customFormat="1" ht="18" customHeight="1">
      <c r="A117" s="383">
        <v>1</v>
      </c>
      <c r="B117" s="268" t="s">
        <v>267</v>
      </c>
      <c r="C117" s="269" t="s">
        <v>465</v>
      </c>
      <c r="D117" s="269" t="s">
        <v>308</v>
      </c>
      <c r="E117" s="270">
        <v>32</v>
      </c>
      <c r="F117" s="271"/>
      <c r="G117" s="269" t="s">
        <v>67</v>
      </c>
      <c r="H117" s="272">
        <v>45811</v>
      </c>
      <c r="I117" s="103">
        <v>45903</v>
      </c>
      <c r="J117" s="102">
        <v>45929</v>
      </c>
      <c r="K117" s="103">
        <f t="shared" si="2"/>
        <v>46109</v>
      </c>
      <c r="L117" s="317"/>
      <c r="M117" s="418"/>
      <c r="N117" s="407"/>
      <c r="O117" s="274"/>
      <c r="P117" s="274"/>
      <c r="Q117" s="274"/>
      <c r="R117" s="274">
        <v>1</v>
      </c>
      <c r="S117" s="274">
        <v>1</v>
      </c>
      <c r="T117" s="71"/>
      <c r="U117" s="112" t="s">
        <v>41</v>
      </c>
      <c r="V117" s="275" t="s">
        <v>33</v>
      </c>
      <c r="W117" s="71" t="s">
        <v>44</v>
      </c>
      <c r="X117" s="345">
        <v>46154</v>
      </c>
      <c r="Y117" s="436" t="s">
        <v>951</v>
      </c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 t="s">
        <v>627</v>
      </c>
      <c r="AO117" s="11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</row>
    <row r="118" spans="1:51" s="387" customFormat="1" ht="28.5" customHeight="1">
      <c r="A118" s="383">
        <v>1</v>
      </c>
      <c r="B118" s="269" t="s">
        <v>267</v>
      </c>
      <c r="C118" s="269" t="s">
        <v>476</v>
      </c>
      <c r="D118" s="269" t="s">
        <v>480</v>
      </c>
      <c r="E118" s="270">
        <v>29</v>
      </c>
      <c r="F118" s="384"/>
      <c r="G118" s="269" t="s">
        <v>66</v>
      </c>
      <c r="H118" s="272">
        <v>45905</v>
      </c>
      <c r="I118" s="273">
        <v>45930</v>
      </c>
      <c r="J118" s="102">
        <v>45930</v>
      </c>
      <c r="K118" s="103">
        <f t="shared" si="2"/>
        <v>46110</v>
      </c>
      <c r="L118" s="317"/>
      <c r="M118" s="402"/>
      <c r="N118" s="407"/>
      <c r="O118" s="385" t="s">
        <v>64</v>
      </c>
      <c r="P118" s="274"/>
      <c r="Q118" s="274"/>
      <c r="R118" s="385">
        <v>1</v>
      </c>
      <c r="S118" s="385">
        <v>1</v>
      </c>
      <c r="T118" s="384">
        <v>1</v>
      </c>
      <c r="U118" s="384" t="s">
        <v>41</v>
      </c>
      <c r="V118" s="270" t="s">
        <v>57</v>
      </c>
      <c r="W118" s="384" t="s">
        <v>50</v>
      </c>
      <c r="X118" s="102">
        <v>46154</v>
      </c>
      <c r="Y118" s="436" t="s">
        <v>961</v>
      </c>
      <c r="Z118" s="384"/>
      <c r="AA118" s="384"/>
      <c r="AB118" s="384"/>
      <c r="AC118" s="384"/>
      <c r="AD118" s="384"/>
      <c r="AE118" s="384"/>
      <c r="AF118" s="384"/>
      <c r="AG118" s="384"/>
      <c r="AH118" s="384"/>
      <c r="AI118" s="384"/>
      <c r="AJ118" s="384"/>
      <c r="AK118" s="384"/>
      <c r="AL118" s="384"/>
      <c r="AM118" s="384"/>
      <c r="AN118" s="384" t="s">
        <v>854</v>
      </c>
      <c r="AO118" s="384"/>
      <c r="AP118" s="386"/>
      <c r="AQ118" s="386"/>
      <c r="AR118" s="386"/>
      <c r="AS118" s="386"/>
      <c r="AT118" s="386"/>
      <c r="AU118" s="386"/>
      <c r="AV118" s="386"/>
      <c r="AW118" s="386"/>
      <c r="AX118" s="386"/>
      <c r="AY118" s="386"/>
    </row>
    <row r="119" spans="1:51" s="57" customFormat="1" ht="20.100000000000001" customHeight="1">
      <c r="A119" s="254">
        <v>1</v>
      </c>
      <c r="B119" s="76" t="s">
        <v>267</v>
      </c>
      <c r="C119" s="262" t="s">
        <v>399</v>
      </c>
      <c r="D119" s="262" t="s">
        <v>401</v>
      </c>
      <c r="E119" s="143">
        <v>61</v>
      </c>
      <c r="F119" s="259"/>
      <c r="G119" s="92" t="s">
        <v>66</v>
      </c>
      <c r="H119" s="80">
        <v>45835</v>
      </c>
      <c r="I119" s="82">
        <v>45910</v>
      </c>
      <c r="J119" s="100">
        <v>45952</v>
      </c>
      <c r="K119" s="82">
        <f t="shared" si="2"/>
        <v>46132</v>
      </c>
      <c r="L119" s="244"/>
      <c r="M119" s="63"/>
      <c r="N119" s="243"/>
      <c r="O119" s="267" t="s">
        <v>680</v>
      </c>
      <c r="P119" s="267" t="s">
        <v>554</v>
      </c>
      <c r="Q119" s="267"/>
      <c r="R119" s="267"/>
      <c r="S119" s="267"/>
      <c r="T119" s="64"/>
      <c r="U119" s="110" t="s">
        <v>81</v>
      </c>
      <c r="V119" s="261"/>
      <c r="W119" s="64"/>
      <c r="X119" s="344">
        <v>46155</v>
      </c>
      <c r="Y119" s="436" t="s">
        <v>979</v>
      </c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 t="s">
        <v>611</v>
      </c>
      <c r="AO119" s="11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</row>
    <row r="120" spans="1:51" s="115" customFormat="1" ht="17.100000000000001" customHeight="1">
      <c r="A120" s="352">
        <v>1</v>
      </c>
      <c r="B120" s="92" t="s">
        <v>267</v>
      </c>
      <c r="C120" s="92" t="s">
        <v>547</v>
      </c>
      <c r="D120" s="92" t="s">
        <v>548</v>
      </c>
      <c r="E120" s="143">
        <v>55</v>
      </c>
      <c r="G120" s="92" t="s">
        <v>66</v>
      </c>
      <c r="H120" s="504">
        <v>45910</v>
      </c>
      <c r="I120" s="82">
        <v>46001</v>
      </c>
      <c r="J120" s="100">
        <v>46001</v>
      </c>
      <c r="K120" s="82">
        <f t="shared" si="2"/>
        <v>46181</v>
      </c>
      <c r="L120" s="244"/>
      <c r="M120" s="63"/>
      <c r="N120" s="243"/>
      <c r="O120" s="239" t="s">
        <v>557</v>
      </c>
      <c r="P120" s="239"/>
      <c r="Q120" s="239"/>
      <c r="R120" s="94">
        <v>4</v>
      </c>
      <c r="S120" s="51"/>
      <c r="T120" s="52"/>
      <c r="U120" s="111" t="s">
        <v>38</v>
      </c>
      <c r="V120" s="261" t="s">
        <v>56</v>
      </c>
      <c r="W120" s="81"/>
      <c r="X120" s="334">
        <v>46155</v>
      </c>
      <c r="Y120" s="436" t="s">
        <v>960</v>
      </c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5"/>
      <c r="AN120" s="114" t="s">
        <v>808</v>
      </c>
      <c r="AO120" s="113"/>
      <c r="AP120" s="256"/>
    </row>
    <row r="121" spans="1:51" s="55" customFormat="1" ht="18" customHeight="1">
      <c r="A121" s="254">
        <v>1</v>
      </c>
      <c r="B121" s="263" t="s">
        <v>266</v>
      </c>
      <c r="C121" s="161" t="s">
        <v>298</v>
      </c>
      <c r="D121" s="161" t="s">
        <v>300</v>
      </c>
      <c r="E121" s="164">
        <v>41</v>
      </c>
      <c r="F121" s="264"/>
      <c r="G121" s="161" t="s">
        <v>66</v>
      </c>
      <c r="H121" s="163">
        <v>45835</v>
      </c>
      <c r="I121" s="176">
        <v>45875</v>
      </c>
      <c r="J121" s="101">
        <v>45896</v>
      </c>
      <c r="K121" s="90">
        <f t="shared" si="2"/>
        <v>46076</v>
      </c>
      <c r="L121" s="333"/>
      <c r="M121" s="63"/>
      <c r="N121" s="243"/>
      <c r="O121" s="267"/>
      <c r="P121" s="267"/>
      <c r="Q121" s="267"/>
      <c r="R121" s="267"/>
      <c r="S121" s="267"/>
      <c r="T121" s="81"/>
      <c r="U121" s="111" t="s">
        <v>888</v>
      </c>
      <c r="V121" s="266"/>
      <c r="W121" s="81"/>
      <c r="X121" s="334">
        <v>46136</v>
      </c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 t="s">
        <v>856</v>
      </c>
      <c r="AO121" s="111">
        <v>1</v>
      </c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</row>
    <row r="122" spans="1:51" s="52" customFormat="1">
      <c r="A122" s="352">
        <v>1</v>
      </c>
      <c r="B122" s="161" t="s">
        <v>266</v>
      </c>
      <c r="C122" s="161" t="s">
        <v>581</v>
      </c>
      <c r="D122" s="161" t="s">
        <v>582</v>
      </c>
      <c r="E122" s="164">
        <v>35</v>
      </c>
      <c r="G122" s="161" t="s">
        <v>67</v>
      </c>
      <c r="H122" s="163">
        <v>46035</v>
      </c>
      <c r="I122" s="176">
        <v>46049</v>
      </c>
      <c r="J122" s="101"/>
      <c r="K122" s="90"/>
      <c r="L122" s="333"/>
      <c r="M122" s="399"/>
      <c r="N122" s="243"/>
      <c r="O122" s="239"/>
      <c r="P122" s="239"/>
      <c r="Q122" s="239"/>
      <c r="S122" s="51"/>
      <c r="U122" s="111" t="s">
        <v>888</v>
      </c>
      <c r="V122" s="266"/>
      <c r="W122" s="81"/>
      <c r="X122" s="334">
        <v>46154</v>
      </c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52" t="s">
        <v>669</v>
      </c>
      <c r="AP122" s="258"/>
    </row>
    <row r="123" spans="1:51" s="498" customFormat="1" ht="24">
      <c r="A123" s="254">
        <v>1</v>
      </c>
      <c r="B123" s="263" t="s">
        <v>267</v>
      </c>
      <c r="C123" s="161" t="s">
        <v>307</v>
      </c>
      <c r="D123" s="161" t="s">
        <v>308</v>
      </c>
      <c r="E123" s="164">
        <v>31</v>
      </c>
      <c r="F123" s="264"/>
      <c r="G123" s="161" t="s">
        <v>67</v>
      </c>
      <c r="H123" s="163">
        <v>45770</v>
      </c>
      <c r="I123" s="176">
        <v>45889</v>
      </c>
      <c r="J123" s="101">
        <v>45889</v>
      </c>
      <c r="K123" s="90">
        <f>J123+180</f>
        <v>46069</v>
      </c>
      <c r="L123" s="333"/>
      <c r="M123" s="400"/>
      <c r="N123" s="243"/>
      <c r="O123" s="267" t="s">
        <v>499</v>
      </c>
      <c r="P123" s="267" t="s">
        <v>550</v>
      </c>
      <c r="Q123" s="267"/>
      <c r="R123" s="267"/>
      <c r="S123" s="267"/>
      <c r="T123" s="392"/>
      <c r="U123" s="68" t="s">
        <v>888</v>
      </c>
      <c r="V123" s="495"/>
      <c r="W123" s="392"/>
      <c r="X123" s="496">
        <v>46143</v>
      </c>
      <c r="Y123" s="436" t="s">
        <v>958</v>
      </c>
      <c r="Z123" s="392"/>
      <c r="AA123" s="392"/>
      <c r="AB123" s="392"/>
      <c r="AC123" s="392"/>
      <c r="AD123" s="392"/>
      <c r="AE123" s="392"/>
      <c r="AF123" s="392"/>
      <c r="AG123" s="392"/>
      <c r="AH123" s="392"/>
      <c r="AI123" s="392"/>
      <c r="AJ123" s="392"/>
      <c r="AK123" s="392"/>
      <c r="AL123" s="392"/>
      <c r="AM123" s="392"/>
      <c r="AN123" s="487" t="s">
        <v>666</v>
      </c>
      <c r="AO123" s="68"/>
      <c r="AP123" s="497"/>
      <c r="AQ123" s="497"/>
      <c r="AR123" s="497"/>
      <c r="AS123" s="497"/>
      <c r="AT123" s="497"/>
      <c r="AU123" s="497"/>
      <c r="AV123" s="497"/>
      <c r="AW123" s="497"/>
      <c r="AX123" s="497"/>
      <c r="AY123" s="497"/>
    </row>
    <row r="124" spans="1:51" s="55" customFormat="1" ht="24">
      <c r="A124" s="254">
        <v>1</v>
      </c>
      <c r="B124" s="263" t="s">
        <v>266</v>
      </c>
      <c r="C124" s="161" t="s">
        <v>327</v>
      </c>
      <c r="D124" s="161" t="s">
        <v>328</v>
      </c>
      <c r="E124" s="164">
        <v>51</v>
      </c>
      <c r="F124" s="264"/>
      <c r="G124" s="161" t="s">
        <v>67</v>
      </c>
      <c r="H124" s="163">
        <v>45838</v>
      </c>
      <c r="I124" s="176">
        <v>45873</v>
      </c>
      <c r="J124" s="101">
        <v>45890</v>
      </c>
      <c r="K124" s="90">
        <f>J124+180</f>
        <v>46070</v>
      </c>
      <c r="L124" s="333"/>
      <c r="M124" s="399"/>
      <c r="N124" s="243"/>
      <c r="O124" s="267"/>
      <c r="P124" s="267"/>
      <c r="Q124" s="267"/>
      <c r="R124" s="267"/>
      <c r="S124" s="267"/>
      <c r="T124" s="81"/>
      <c r="U124" s="111" t="s">
        <v>888</v>
      </c>
      <c r="V124" s="266"/>
      <c r="W124" s="81"/>
      <c r="X124" s="334">
        <v>46143</v>
      </c>
      <c r="Y124" s="436" t="s">
        <v>930</v>
      </c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108" t="s">
        <v>676</v>
      </c>
      <c r="AO124" s="111">
        <v>1</v>
      </c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</row>
    <row r="125" spans="1:51" s="55" customFormat="1" ht="18" customHeight="1">
      <c r="A125" s="254">
        <v>1</v>
      </c>
      <c r="B125" s="263" t="s">
        <v>266</v>
      </c>
      <c r="C125" s="161" t="s">
        <v>333</v>
      </c>
      <c r="D125" s="161" t="s">
        <v>334</v>
      </c>
      <c r="E125" s="164">
        <v>33</v>
      </c>
      <c r="F125" s="264"/>
      <c r="G125" s="161" t="s">
        <v>66</v>
      </c>
      <c r="H125" s="163">
        <v>45775</v>
      </c>
      <c r="I125" s="176">
        <v>45882</v>
      </c>
      <c r="J125" s="101"/>
      <c r="K125" s="90"/>
      <c r="L125" s="333"/>
      <c r="M125" s="399"/>
      <c r="N125" s="243"/>
      <c r="O125" s="267"/>
      <c r="P125" s="267"/>
      <c r="Q125" s="267"/>
      <c r="R125" s="267"/>
      <c r="S125" s="267"/>
      <c r="T125" s="81"/>
      <c r="U125" s="111" t="s">
        <v>43</v>
      </c>
      <c r="V125" s="266"/>
      <c r="W125" s="81"/>
      <c r="X125" s="334">
        <v>45953</v>
      </c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 t="s">
        <v>600</v>
      </c>
      <c r="AO125" s="111">
        <v>1</v>
      </c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</row>
    <row r="126" spans="1:51" s="73" customFormat="1" ht="19.5" customHeight="1">
      <c r="A126" s="254">
        <v>1</v>
      </c>
      <c r="B126" s="263" t="s">
        <v>266</v>
      </c>
      <c r="C126" s="161" t="s">
        <v>406</v>
      </c>
      <c r="D126" s="161" t="s">
        <v>368</v>
      </c>
      <c r="E126" s="164">
        <v>33</v>
      </c>
      <c r="F126" s="264"/>
      <c r="G126" s="161" t="s">
        <v>66</v>
      </c>
      <c r="H126" s="163">
        <v>45769</v>
      </c>
      <c r="I126" s="176">
        <v>45882</v>
      </c>
      <c r="J126" s="101"/>
      <c r="K126" s="90"/>
      <c r="L126" s="333"/>
      <c r="M126" s="63"/>
      <c r="N126" s="243"/>
      <c r="O126" s="267"/>
      <c r="P126" s="267"/>
      <c r="Q126" s="267"/>
      <c r="R126" s="267"/>
      <c r="S126" s="267"/>
      <c r="T126" s="81"/>
      <c r="U126" s="111" t="s">
        <v>43</v>
      </c>
      <c r="V126" s="266"/>
      <c r="W126" s="81"/>
      <c r="X126" s="334">
        <v>45975</v>
      </c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 t="s">
        <v>615</v>
      </c>
      <c r="AO126" s="111">
        <v>1</v>
      </c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</row>
    <row r="127" spans="1:51" s="498" customFormat="1" ht="14.25">
      <c r="A127" s="254">
        <v>1</v>
      </c>
      <c r="B127" s="263" t="s">
        <v>266</v>
      </c>
      <c r="C127" s="161" t="s">
        <v>321</v>
      </c>
      <c r="D127" s="161" t="s">
        <v>322</v>
      </c>
      <c r="E127" s="164">
        <v>38</v>
      </c>
      <c r="F127" s="264"/>
      <c r="G127" s="161" t="s">
        <v>66</v>
      </c>
      <c r="H127" s="163">
        <v>45775</v>
      </c>
      <c r="I127" s="176">
        <v>45881</v>
      </c>
      <c r="J127" s="101">
        <v>45881</v>
      </c>
      <c r="K127" s="90">
        <f>J127+180</f>
        <v>46061</v>
      </c>
      <c r="L127" s="333"/>
      <c r="M127" s="499"/>
      <c r="N127" s="243"/>
      <c r="O127" s="267" t="s">
        <v>494</v>
      </c>
      <c r="P127" s="267"/>
      <c r="Q127" s="267"/>
      <c r="R127" s="267"/>
      <c r="S127" s="267"/>
      <c r="T127" s="392"/>
      <c r="U127" s="68" t="s">
        <v>888</v>
      </c>
      <c r="V127" s="495"/>
      <c r="W127" s="392"/>
      <c r="X127" s="496">
        <v>46105</v>
      </c>
      <c r="Y127" s="436" t="s">
        <v>966</v>
      </c>
      <c r="Z127" s="392"/>
      <c r="AA127" s="392"/>
      <c r="AB127" s="392"/>
      <c r="AC127" s="392"/>
      <c r="AD127" s="392"/>
      <c r="AE127" s="392"/>
      <c r="AF127" s="392"/>
      <c r="AG127" s="392"/>
      <c r="AH127" s="392"/>
      <c r="AI127" s="392"/>
      <c r="AJ127" s="392"/>
      <c r="AK127" s="392"/>
      <c r="AL127" s="392"/>
      <c r="AM127" s="392"/>
      <c r="AN127" s="487" t="s">
        <v>812</v>
      </c>
      <c r="AO127" s="68">
        <v>1</v>
      </c>
      <c r="AP127" s="497"/>
      <c r="AQ127" s="497"/>
      <c r="AR127" s="497"/>
      <c r="AS127" s="497"/>
      <c r="AT127" s="497"/>
      <c r="AU127" s="497"/>
      <c r="AV127" s="497"/>
      <c r="AW127" s="497"/>
      <c r="AX127" s="497"/>
      <c r="AY127" s="497"/>
    </row>
    <row r="128" spans="1:51" s="73" customFormat="1" ht="19.5" customHeight="1">
      <c r="A128" s="254">
        <v>1</v>
      </c>
      <c r="B128" s="263" t="s">
        <v>266</v>
      </c>
      <c r="C128" s="161" t="s">
        <v>364</v>
      </c>
      <c r="D128" s="161" t="s">
        <v>365</v>
      </c>
      <c r="E128" s="164">
        <v>49</v>
      </c>
      <c r="F128" s="264"/>
      <c r="G128" s="161" t="s">
        <v>66</v>
      </c>
      <c r="H128" s="163">
        <v>45835</v>
      </c>
      <c r="I128" s="176">
        <v>45873</v>
      </c>
      <c r="J128" s="101"/>
      <c r="K128" s="90"/>
      <c r="L128" s="333"/>
      <c r="M128" s="63"/>
      <c r="N128" s="243"/>
      <c r="O128" s="267"/>
      <c r="P128" s="267"/>
      <c r="Q128" s="267"/>
      <c r="R128" s="267"/>
      <c r="S128" s="267"/>
      <c r="T128" s="81"/>
      <c r="U128" s="111" t="s">
        <v>43</v>
      </c>
      <c r="V128" s="266"/>
      <c r="W128" s="81"/>
      <c r="X128" s="334">
        <v>45975</v>
      </c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392" t="s">
        <v>605</v>
      </c>
      <c r="AO128" s="111">
        <v>1</v>
      </c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</row>
    <row r="129" spans="1:51" s="69" customFormat="1" ht="15" customHeight="1">
      <c r="A129" s="254">
        <v>1</v>
      </c>
      <c r="B129" s="263" t="s">
        <v>267</v>
      </c>
      <c r="C129" s="161" t="s">
        <v>440</v>
      </c>
      <c r="D129" s="161" t="s">
        <v>441</v>
      </c>
      <c r="E129" s="164">
        <v>32</v>
      </c>
      <c r="F129" s="264"/>
      <c r="G129" s="161" t="s">
        <v>66</v>
      </c>
      <c r="H129" s="163">
        <v>45835</v>
      </c>
      <c r="I129" s="176">
        <v>45909</v>
      </c>
      <c r="J129" s="68"/>
      <c r="K129" s="90"/>
      <c r="L129" s="333"/>
      <c r="M129" s="63"/>
      <c r="N129" s="243"/>
      <c r="O129" s="267"/>
      <c r="P129" s="267"/>
      <c r="Q129" s="267"/>
      <c r="R129" s="267"/>
      <c r="S129" s="267"/>
      <c r="T129" s="81"/>
      <c r="U129" s="111" t="s">
        <v>43</v>
      </c>
      <c r="V129" s="266"/>
      <c r="W129" s="81"/>
      <c r="X129" s="334">
        <v>45901</v>
      </c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 t="s">
        <v>623</v>
      </c>
      <c r="AO129" s="111">
        <v>1</v>
      </c>
    </row>
    <row r="130" spans="1:51" s="73" customFormat="1" ht="19.5" customHeight="1">
      <c r="A130" s="254">
        <v>1</v>
      </c>
      <c r="B130" s="263" t="s">
        <v>266</v>
      </c>
      <c r="C130" s="161" t="s">
        <v>406</v>
      </c>
      <c r="D130" s="161" t="s">
        <v>368</v>
      </c>
      <c r="E130" s="164">
        <v>33</v>
      </c>
      <c r="F130" s="264"/>
      <c r="G130" s="161" t="s">
        <v>66</v>
      </c>
      <c r="H130" s="163">
        <v>45769</v>
      </c>
      <c r="I130" s="176">
        <v>45882</v>
      </c>
      <c r="J130" s="101"/>
      <c r="K130" s="90"/>
      <c r="L130" s="333"/>
      <c r="M130" s="63"/>
      <c r="N130" s="243"/>
      <c r="O130" s="267"/>
      <c r="P130" s="267"/>
      <c r="Q130" s="267"/>
      <c r="R130" s="267"/>
      <c r="S130" s="267"/>
      <c r="T130" s="81"/>
      <c r="U130" s="111" t="s">
        <v>43</v>
      </c>
      <c r="V130" s="266"/>
      <c r="W130" s="81"/>
      <c r="X130" s="334">
        <v>45975</v>
      </c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 t="s">
        <v>615</v>
      </c>
      <c r="AO130" s="111">
        <v>1</v>
      </c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</row>
    <row r="131" spans="1:51" s="73" customFormat="1" ht="15.95" customHeight="1">
      <c r="A131" s="254">
        <v>1</v>
      </c>
      <c r="B131" s="263" t="s">
        <v>266</v>
      </c>
      <c r="C131" s="161" t="s">
        <v>464</v>
      </c>
      <c r="D131" s="161" t="s">
        <v>379</v>
      </c>
      <c r="E131" s="164">
        <v>25</v>
      </c>
      <c r="F131" s="264"/>
      <c r="G131" s="161" t="s">
        <v>66</v>
      </c>
      <c r="H131" s="163">
        <v>45789</v>
      </c>
      <c r="I131" s="176">
        <v>45902</v>
      </c>
      <c r="J131" s="68"/>
      <c r="K131" s="90"/>
      <c r="L131" s="333"/>
      <c r="M131" s="399"/>
      <c r="N131" s="243"/>
      <c r="O131" s="267"/>
      <c r="P131" s="267"/>
      <c r="Q131" s="267"/>
      <c r="R131" s="267"/>
      <c r="S131" s="267"/>
      <c r="T131" s="81"/>
      <c r="U131" s="111" t="s">
        <v>43</v>
      </c>
      <c r="V131" s="266"/>
      <c r="W131" s="81"/>
      <c r="X131" s="334">
        <v>45975</v>
      </c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 t="s">
        <v>608</v>
      </c>
      <c r="AO131" s="111">
        <v>1</v>
      </c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</row>
    <row r="132" spans="1:51" s="55" customFormat="1" ht="18" customHeight="1">
      <c r="A132" s="254">
        <v>1</v>
      </c>
      <c r="B132" s="263" t="s">
        <v>267</v>
      </c>
      <c r="C132" s="161" t="s">
        <v>482</v>
      </c>
      <c r="D132" s="161" t="s">
        <v>827</v>
      </c>
      <c r="E132" s="164">
        <v>45</v>
      </c>
      <c r="F132" s="264"/>
      <c r="G132" s="161" t="s">
        <v>66</v>
      </c>
      <c r="H132" s="163">
        <v>45793</v>
      </c>
      <c r="I132" s="176">
        <v>45902</v>
      </c>
      <c r="J132" s="101"/>
      <c r="K132" s="90"/>
      <c r="L132" s="333"/>
      <c r="M132" s="411"/>
      <c r="N132" s="243"/>
      <c r="O132" s="267"/>
      <c r="P132" s="267"/>
      <c r="Q132" s="267"/>
      <c r="R132" s="267"/>
      <c r="S132" s="267"/>
      <c r="T132" s="81"/>
      <c r="U132" s="111" t="s">
        <v>43</v>
      </c>
      <c r="V132" s="266"/>
      <c r="W132" s="81"/>
      <c r="X132" s="334">
        <v>46142</v>
      </c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 t="s">
        <v>597</v>
      </c>
      <c r="AO132" s="111">
        <v>1</v>
      </c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</row>
    <row r="133" spans="1:51" s="73" customFormat="1" ht="21" customHeight="1">
      <c r="A133" s="254">
        <v>1</v>
      </c>
      <c r="B133" s="263" t="s">
        <v>266</v>
      </c>
      <c r="C133" s="161" t="s">
        <v>425</v>
      </c>
      <c r="D133" s="161" t="s">
        <v>426</v>
      </c>
      <c r="E133" s="164">
        <v>49</v>
      </c>
      <c r="F133" s="264"/>
      <c r="G133" s="161" t="s">
        <v>66</v>
      </c>
      <c r="H133" s="163">
        <v>45835</v>
      </c>
      <c r="I133" s="176">
        <v>38603</v>
      </c>
      <c r="J133" s="101">
        <v>45897</v>
      </c>
      <c r="K133" s="90">
        <f>J133+180</f>
        <v>46077</v>
      </c>
      <c r="L133" s="333"/>
      <c r="M133" s="399"/>
      <c r="N133" s="243"/>
      <c r="O133" s="267"/>
      <c r="P133" s="267"/>
      <c r="Q133" s="267"/>
      <c r="R133" s="267">
        <v>1</v>
      </c>
      <c r="S133" s="267"/>
      <c r="T133" s="81"/>
      <c r="U133" s="111" t="s">
        <v>43</v>
      </c>
      <c r="V133" s="266"/>
      <c r="W133" s="81"/>
      <c r="X133" s="334">
        <v>46111</v>
      </c>
      <c r="Y133" s="436" t="s">
        <v>935</v>
      </c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 t="s">
        <v>620</v>
      </c>
      <c r="AO133" s="111">
        <v>1</v>
      </c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</row>
    <row r="134" spans="1:51" s="75" customFormat="1" ht="13.15" customHeight="1">
      <c r="A134" s="254">
        <v>1</v>
      </c>
      <c r="B134" s="268" t="s">
        <v>266</v>
      </c>
      <c r="C134" s="269" t="s">
        <v>372</v>
      </c>
      <c r="D134" s="269" t="s">
        <v>373</v>
      </c>
      <c r="E134" s="270">
        <v>26</v>
      </c>
      <c r="F134" s="271"/>
      <c r="G134" s="269" t="s">
        <v>66</v>
      </c>
      <c r="H134" s="272">
        <v>45845</v>
      </c>
      <c r="I134" s="353">
        <v>45860</v>
      </c>
      <c r="J134" s="102">
        <v>45860</v>
      </c>
      <c r="K134" s="103">
        <f>J134+180</f>
        <v>46040</v>
      </c>
      <c r="L134" s="317"/>
      <c r="M134" s="419"/>
      <c r="N134" s="420"/>
      <c r="O134" s="274" t="s">
        <v>63</v>
      </c>
      <c r="P134" s="274"/>
      <c r="Q134" s="274"/>
      <c r="R134" s="274">
        <v>2</v>
      </c>
      <c r="S134" s="274"/>
      <c r="T134" s="71">
        <v>1</v>
      </c>
      <c r="U134" s="112" t="s">
        <v>41</v>
      </c>
      <c r="V134" s="275" t="s">
        <v>57</v>
      </c>
      <c r="W134" s="71" t="s">
        <v>797</v>
      </c>
      <c r="X134" s="345">
        <v>46167</v>
      </c>
      <c r="Y134" s="436" t="s">
        <v>925</v>
      </c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 t="s">
        <v>819</v>
      </c>
      <c r="AO134" s="11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</row>
    <row r="135" spans="1:51" s="52" customFormat="1">
      <c r="A135" s="352">
        <v>1</v>
      </c>
      <c r="B135" s="263" t="s">
        <v>266</v>
      </c>
      <c r="C135" s="161" t="s">
        <v>644</v>
      </c>
      <c r="D135" s="161" t="s">
        <v>645</v>
      </c>
      <c r="E135" s="164">
        <v>55</v>
      </c>
      <c r="G135" s="161" t="s">
        <v>66</v>
      </c>
      <c r="H135" s="505">
        <v>46057</v>
      </c>
      <c r="I135" s="90">
        <v>46076</v>
      </c>
      <c r="J135" s="101">
        <v>46076</v>
      </c>
      <c r="K135" s="90">
        <f>J135+180</f>
        <v>46256</v>
      </c>
      <c r="L135" s="333"/>
      <c r="M135" s="399"/>
      <c r="N135" s="243"/>
      <c r="O135" s="239" t="s">
        <v>495</v>
      </c>
      <c r="P135" s="239"/>
      <c r="Q135" s="239"/>
      <c r="S135" s="51"/>
      <c r="U135" s="111" t="s">
        <v>888</v>
      </c>
      <c r="V135" s="266"/>
      <c r="W135" s="81"/>
      <c r="X135" s="334">
        <v>46174</v>
      </c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52" t="s">
        <v>811</v>
      </c>
      <c r="AP135" s="258"/>
    </row>
    <row r="136" spans="1:51" s="75" customFormat="1" ht="14.25" customHeight="1">
      <c r="A136" s="383">
        <v>1</v>
      </c>
      <c r="B136" s="268" t="s">
        <v>267</v>
      </c>
      <c r="C136" s="269" t="s">
        <v>397</v>
      </c>
      <c r="D136" s="269" t="s">
        <v>398</v>
      </c>
      <c r="E136" s="270">
        <v>44</v>
      </c>
      <c r="F136" s="271"/>
      <c r="G136" s="269" t="s">
        <v>66</v>
      </c>
      <c r="H136" s="272">
        <v>45770</v>
      </c>
      <c r="I136" s="103">
        <v>45945</v>
      </c>
      <c r="J136" s="102">
        <v>45945</v>
      </c>
      <c r="K136" s="103">
        <f>J136+180</f>
        <v>46125</v>
      </c>
      <c r="L136" s="317"/>
      <c r="M136" s="421"/>
      <c r="N136" s="407"/>
      <c r="O136" s="274"/>
      <c r="P136" s="274"/>
      <c r="Q136" s="274"/>
      <c r="R136" s="274">
        <v>1</v>
      </c>
      <c r="S136" s="274"/>
      <c r="T136" s="71"/>
      <c r="U136" s="112" t="s">
        <v>41</v>
      </c>
      <c r="V136" s="275" t="s">
        <v>57</v>
      </c>
      <c r="W136" s="71"/>
      <c r="X136" s="345">
        <v>46169</v>
      </c>
      <c r="Y136" s="436" t="s">
        <v>968</v>
      </c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 t="s">
        <v>863</v>
      </c>
      <c r="AO136" s="11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</row>
    <row r="137" spans="1:51" s="52" customFormat="1" ht="15.6" customHeight="1">
      <c r="A137" s="352">
        <v>1</v>
      </c>
      <c r="B137" s="263" t="s">
        <v>266</v>
      </c>
      <c r="C137" s="161" t="s">
        <v>651</v>
      </c>
      <c r="D137" s="161" t="s">
        <v>634</v>
      </c>
      <c r="E137" s="164">
        <v>33</v>
      </c>
      <c r="G137" s="161" t="s">
        <v>66</v>
      </c>
      <c r="H137" s="505">
        <v>46044</v>
      </c>
      <c r="I137" s="90">
        <v>46063</v>
      </c>
      <c r="J137" s="101"/>
      <c r="K137" s="90"/>
      <c r="L137" s="333"/>
      <c r="M137" s="399"/>
      <c r="N137" s="243"/>
      <c r="O137" s="239"/>
      <c r="P137" s="239"/>
      <c r="Q137" s="239"/>
      <c r="S137" s="51"/>
      <c r="U137" s="111" t="s">
        <v>888</v>
      </c>
      <c r="V137" s="266"/>
      <c r="W137" s="81"/>
      <c r="X137" s="334">
        <v>46154</v>
      </c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52" t="s">
        <v>816</v>
      </c>
      <c r="AP137" s="258"/>
    </row>
    <row r="138" spans="1:51" s="69" customFormat="1" ht="17.45" customHeight="1">
      <c r="A138" s="254">
        <v>1</v>
      </c>
      <c r="B138" s="285" t="s">
        <v>266</v>
      </c>
      <c r="C138" s="286" t="s">
        <v>470</v>
      </c>
      <c r="D138" s="286" t="s">
        <v>473</v>
      </c>
      <c r="E138" s="287">
        <v>26</v>
      </c>
      <c r="F138" s="264"/>
      <c r="G138" s="161" t="s">
        <v>66</v>
      </c>
      <c r="H138" s="289">
        <v>45896</v>
      </c>
      <c r="I138" s="176">
        <v>45922</v>
      </c>
      <c r="J138" s="68"/>
      <c r="K138" s="90"/>
      <c r="L138" s="333"/>
      <c r="M138" s="399"/>
      <c r="N138" s="243"/>
      <c r="O138" s="267"/>
      <c r="P138" s="267"/>
      <c r="Q138" s="267"/>
      <c r="R138" s="267"/>
      <c r="S138" s="267"/>
      <c r="T138" s="81"/>
      <c r="U138" s="111" t="s">
        <v>888</v>
      </c>
      <c r="V138" s="266"/>
      <c r="W138" s="81"/>
      <c r="X138" s="334">
        <v>46001</v>
      </c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 t="s">
        <v>859</v>
      </c>
      <c r="AO138" s="111">
        <v>1</v>
      </c>
    </row>
    <row r="139" spans="1:51" s="52" customFormat="1">
      <c r="A139" s="352">
        <v>1</v>
      </c>
      <c r="B139" s="263" t="s">
        <v>266</v>
      </c>
      <c r="C139" s="161" t="s">
        <v>567</v>
      </c>
      <c r="D139" s="161" t="s">
        <v>568</v>
      </c>
      <c r="E139" s="164">
        <v>32</v>
      </c>
      <c r="G139" s="161" t="s">
        <v>66</v>
      </c>
      <c r="H139" s="505">
        <v>46027</v>
      </c>
      <c r="I139" s="176">
        <v>46048</v>
      </c>
      <c r="J139" s="101">
        <v>46062</v>
      </c>
      <c r="K139" s="90">
        <f>J139+180</f>
        <v>46242</v>
      </c>
      <c r="L139" s="333"/>
      <c r="M139" s="399"/>
      <c r="N139" s="243"/>
      <c r="O139" s="239"/>
      <c r="P139" s="239"/>
      <c r="Q139" s="239"/>
      <c r="S139" s="51"/>
      <c r="U139" s="111" t="s">
        <v>888</v>
      </c>
      <c r="V139" s="266"/>
      <c r="W139" s="81"/>
      <c r="X139" s="334">
        <v>46143</v>
      </c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52" t="s">
        <v>672</v>
      </c>
      <c r="AO139" s="175"/>
      <c r="AP139" s="258"/>
    </row>
    <row r="140" spans="1:51" s="57" customFormat="1" ht="20.100000000000001" customHeight="1">
      <c r="A140" s="254">
        <v>1</v>
      </c>
      <c r="B140" s="76" t="s">
        <v>267</v>
      </c>
      <c r="C140" s="92" t="s">
        <v>498</v>
      </c>
      <c r="D140" s="92" t="s">
        <v>390</v>
      </c>
      <c r="E140" s="143">
        <v>51</v>
      </c>
      <c r="F140" s="259"/>
      <c r="G140" s="92" t="s">
        <v>66</v>
      </c>
      <c r="H140" s="80">
        <v>45835</v>
      </c>
      <c r="I140" s="82">
        <v>45901</v>
      </c>
      <c r="J140" s="100">
        <v>45910</v>
      </c>
      <c r="K140" s="82">
        <f>J140+180</f>
        <v>46090</v>
      </c>
      <c r="L140" s="244" t="s">
        <v>743</v>
      </c>
      <c r="M140" s="399"/>
      <c r="N140" s="243"/>
      <c r="O140" s="267" t="s">
        <v>680</v>
      </c>
      <c r="P140" s="267" t="s">
        <v>495</v>
      </c>
      <c r="Q140" s="267"/>
      <c r="R140" s="267">
        <v>4</v>
      </c>
      <c r="S140" s="267"/>
      <c r="T140" s="64">
        <v>1</v>
      </c>
      <c r="U140" s="110" t="s">
        <v>38</v>
      </c>
      <c r="V140" s="261" t="s">
        <v>56</v>
      </c>
      <c r="W140" s="64"/>
      <c r="X140" s="344">
        <v>46182</v>
      </c>
      <c r="Y140" s="436" t="s">
        <v>933</v>
      </c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 t="s">
        <v>882</v>
      </c>
      <c r="AO140" s="11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</row>
    <row r="141" spans="1:51" s="115" customFormat="1" ht="15" customHeight="1">
      <c r="A141" s="161">
        <v>1</v>
      </c>
      <c r="B141" s="263" t="s">
        <v>266</v>
      </c>
      <c r="C141" s="161" t="s">
        <v>840</v>
      </c>
      <c r="D141" s="161" t="s">
        <v>839</v>
      </c>
      <c r="E141" s="143">
        <v>29</v>
      </c>
      <c r="F141" s="92"/>
      <c r="G141" s="92" t="s">
        <v>66</v>
      </c>
      <c r="H141" s="82">
        <v>46084</v>
      </c>
      <c r="I141" s="100">
        <v>46140</v>
      </c>
      <c r="J141" s="82">
        <v>46140</v>
      </c>
      <c r="K141" s="82">
        <f>J141+180</f>
        <v>46320</v>
      </c>
      <c r="L141" s="239"/>
      <c r="M141" s="399"/>
      <c r="N141" s="244">
        <f>M141+180</f>
        <v>180</v>
      </c>
      <c r="O141" s="92" t="s">
        <v>494</v>
      </c>
      <c r="P141" s="92"/>
      <c r="Q141" s="92"/>
      <c r="R141" s="143">
        <v>1</v>
      </c>
      <c r="T141" s="92"/>
      <c r="U141" s="290" t="s">
        <v>42</v>
      </c>
      <c r="V141" s="82"/>
      <c r="W141" s="81"/>
      <c r="X141" s="334">
        <v>46190</v>
      </c>
      <c r="Y141" s="81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5"/>
      <c r="AO141" s="94"/>
      <c r="AP141" s="256"/>
    </row>
    <row r="142" spans="1:51" s="115" customFormat="1" ht="15" customHeight="1">
      <c r="A142" s="161">
        <v>1</v>
      </c>
      <c r="B142" s="161" t="s">
        <v>266</v>
      </c>
      <c r="C142" s="280" t="s">
        <v>878</v>
      </c>
      <c r="D142" s="279" t="s">
        <v>879</v>
      </c>
      <c r="E142" s="143">
        <v>26</v>
      </c>
      <c r="F142" s="92"/>
      <c r="G142" s="92" t="s">
        <v>66</v>
      </c>
      <c r="H142" s="82">
        <v>46176</v>
      </c>
      <c r="I142" s="100">
        <v>46189</v>
      </c>
      <c r="J142" s="82"/>
      <c r="K142" s="82"/>
      <c r="L142" s="239"/>
      <c r="M142" s="399"/>
      <c r="N142" s="244">
        <f>M142+180</f>
        <v>180</v>
      </c>
      <c r="O142" s="92"/>
      <c r="P142" s="92"/>
      <c r="Q142" s="92"/>
      <c r="R142" s="143"/>
      <c r="T142" s="92"/>
      <c r="U142" s="290" t="s">
        <v>38</v>
      </c>
      <c r="V142" s="82" t="s">
        <v>57</v>
      </c>
      <c r="W142" s="81"/>
      <c r="X142" s="334">
        <v>46192</v>
      </c>
      <c r="Y142" s="81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5"/>
      <c r="AN142" s="115" t="s">
        <v>906</v>
      </c>
      <c r="AO142" s="94"/>
      <c r="AP142" s="256"/>
    </row>
    <row r="143" spans="1:51" s="115" customFormat="1">
      <c r="A143" s="352">
        <v>1</v>
      </c>
      <c r="B143" s="92" t="s">
        <v>266</v>
      </c>
      <c r="C143" s="280" t="s">
        <v>586</v>
      </c>
      <c r="D143" s="280" t="s">
        <v>587</v>
      </c>
      <c r="E143" s="143">
        <v>30</v>
      </c>
      <c r="G143" s="92" t="s">
        <v>67</v>
      </c>
      <c r="H143" s="504">
        <v>46036</v>
      </c>
      <c r="I143" s="82">
        <v>46070</v>
      </c>
      <c r="J143" s="100">
        <v>46070</v>
      </c>
      <c r="K143" s="82">
        <f>J143+180</f>
        <v>46250</v>
      </c>
      <c r="L143" s="244"/>
      <c r="M143" s="399"/>
      <c r="N143" s="244">
        <f>M143+180</f>
        <v>180</v>
      </c>
      <c r="O143" s="239" t="s">
        <v>495</v>
      </c>
      <c r="P143" s="239"/>
      <c r="Q143" s="239"/>
      <c r="R143" s="94">
        <v>1</v>
      </c>
      <c r="S143" s="51"/>
      <c r="T143" s="52">
        <v>2</v>
      </c>
      <c r="U143" s="111" t="s">
        <v>42</v>
      </c>
      <c r="V143" s="261"/>
      <c r="W143" s="81"/>
      <c r="X143" s="334">
        <v>46205</v>
      </c>
      <c r="Y143" s="436" t="s">
        <v>1066</v>
      </c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81"/>
      <c r="AN143" s="115" t="s">
        <v>916</v>
      </c>
      <c r="AO143" s="94"/>
      <c r="AP143" s="256"/>
    </row>
    <row r="144" spans="1:51" s="52" customFormat="1" ht="15" customHeight="1">
      <c r="A144" s="352">
        <v>1</v>
      </c>
      <c r="B144" s="161" t="s">
        <v>266</v>
      </c>
      <c r="C144" s="161" t="s">
        <v>646</v>
      </c>
      <c r="D144" s="161" t="s">
        <v>647</v>
      </c>
      <c r="E144" s="164">
        <v>36</v>
      </c>
      <c r="G144" s="161" t="s">
        <v>66</v>
      </c>
      <c r="H144" s="505">
        <v>46057</v>
      </c>
      <c r="I144" s="90">
        <v>46077</v>
      </c>
      <c r="J144" s="101">
        <v>46077</v>
      </c>
      <c r="K144" s="90">
        <f>J144+180</f>
        <v>46257</v>
      </c>
      <c r="L144" s="333"/>
      <c r="M144" s="440"/>
      <c r="N144" s="333">
        <f>M144+180</f>
        <v>180</v>
      </c>
      <c r="O144" s="239" t="s">
        <v>495</v>
      </c>
      <c r="P144" s="239"/>
      <c r="Q144" s="239"/>
      <c r="R144" s="52">
        <v>2</v>
      </c>
      <c r="S144" s="51"/>
      <c r="U144" s="111" t="s">
        <v>888</v>
      </c>
      <c r="V144" s="266"/>
      <c r="W144" s="81"/>
      <c r="X144" s="334">
        <v>46204</v>
      </c>
      <c r="Y144" s="441" t="s">
        <v>994</v>
      </c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52" t="s">
        <v>846</v>
      </c>
      <c r="AP144" s="258"/>
    </row>
    <row r="145" spans="1:51" s="145" customFormat="1">
      <c r="A145" s="442">
        <v>1</v>
      </c>
      <c r="B145" s="286" t="s">
        <v>266</v>
      </c>
      <c r="C145" s="286" t="s">
        <v>530</v>
      </c>
      <c r="D145" s="286" t="s">
        <v>531</v>
      </c>
      <c r="E145" s="287">
        <v>29</v>
      </c>
      <c r="F145" s="175" t="s">
        <v>532</v>
      </c>
      <c r="G145" s="286" t="s">
        <v>66</v>
      </c>
      <c r="H145" s="289">
        <v>45959</v>
      </c>
      <c r="I145" s="443">
        <v>45979</v>
      </c>
      <c r="J145" s="444">
        <v>45979</v>
      </c>
      <c r="K145" s="445">
        <f>J145+180</f>
        <v>46159</v>
      </c>
      <c r="L145" s="446"/>
      <c r="M145" s="449"/>
      <c r="N145" s="446">
        <f>M145+180</f>
        <v>180</v>
      </c>
      <c r="O145" s="447" t="s">
        <v>494</v>
      </c>
      <c r="P145" s="447"/>
      <c r="Q145" s="447"/>
      <c r="R145" s="175"/>
      <c r="S145" s="448"/>
      <c r="T145" s="175"/>
      <c r="U145" s="111" t="s">
        <v>888</v>
      </c>
      <c r="V145" s="287"/>
      <c r="W145" s="111"/>
      <c r="X145" s="444">
        <v>46204</v>
      </c>
      <c r="Y145" s="450" t="s">
        <v>959</v>
      </c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451" t="s">
        <v>844</v>
      </c>
      <c r="AO145" s="175"/>
    </row>
    <row r="146" spans="1:51" s="115" customFormat="1" ht="14.25">
      <c r="A146" s="160">
        <v>1</v>
      </c>
      <c r="B146" s="161" t="s">
        <v>267</v>
      </c>
      <c r="C146" s="161" t="s">
        <v>917</v>
      </c>
      <c r="D146" s="161" t="s">
        <v>918</v>
      </c>
      <c r="E146" s="143">
        <v>58</v>
      </c>
      <c r="F146" s="92"/>
      <c r="G146" s="161" t="s">
        <v>67</v>
      </c>
      <c r="H146" s="82">
        <v>46197</v>
      </c>
      <c r="I146" s="100">
        <v>46212</v>
      </c>
      <c r="J146" s="82"/>
      <c r="K146" s="82"/>
      <c r="L146" s="239"/>
      <c r="M146" s="399"/>
      <c r="N146" s="244"/>
      <c r="O146" s="92"/>
      <c r="P146" s="92"/>
      <c r="Q146" s="92"/>
      <c r="R146" s="143"/>
      <c r="T146" s="92"/>
      <c r="U146" s="290" t="s">
        <v>38</v>
      </c>
      <c r="V146" s="82" t="s">
        <v>33</v>
      </c>
      <c r="W146" s="81"/>
      <c r="X146" s="334">
        <v>46212</v>
      </c>
      <c r="Y146" s="81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81"/>
      <c r="AO146" s="94"/>
      <c r="AP146" s="256"/>
    </row>
    <row r="147" spans="1:51" s="115" customFormat="1" ht="15" customHeight="1">
      <c r="A147" s="160">
        <v>1</v>
      </c>
      <c r="B147" s="92" t="s">
        <v>266</v>
      </c>
      <c r="C147" s="161" t="s">
        <v>913</v>
      </c>
      <c r="D147" s="143" t="s">
        <v>914</v>
      </c>
      <c r="E147" s="161">
        <v>58</v>
      </c>
      <c r="F147" s="92"/>
      <c r="G147" s="161" t="s">
        <v>66</v>
      </c>
      <c r="H147" s="82">
        <v>46196</v>
      </c>
      <c r="I147" s="100">
        <v>46212</v>
      </c>
      <c r="J147" s="82"/>
      <c r="K147" s="82"/>
      <c r="L147" s="239"/>
      <c r="M147" s="399"/>
      <c r="N147" s="244"/>
      <c r="O147" s="92"/>
      <c r="P147" s="92"/>
      <c r="Q147" s="92"/>
      <c r="R147" s="143"/>
      <c r="T147" s="92"/>
      <c r="U147" s="290" t="s">
        <v>38</v>
      </c>
      <c r="V147" s="82" t="s">
        <v>57</v>
      </c>
      <c r="W147" s="81"/>
      <c r="X147" s="334">
        <v>46213</v>
      </c>
      <c r="Y147" s="81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81"/>
      <c r="AO147" s="94"/>
      <c r="AP147" s="256"/>
    </row>
    <row r="148" spans="1:51" s="115" customFormat="1" ht="15" customHeight="1">
      <c r="A148" s="161">
        <v>1</v>
      </c>
      <c r="B148" s="161" t="s">
        <v>267</v>
      </c>
      <c r="C148" s="161" t="s">
        <v>1014</v>
      </c>
      <c r="D148" s="161" t="s">
        <v>1015</v>
      </c>
      <c r="E148" s="143"/>
      <c r="F148" s="92"/>
      <c r="G148" s="92"/>
      <c r="H148" s="82">
        <v>46205</v>
      </c>
      <c r="I148" s="100">
        <v>46227</v>
      </c>
      <c r="J148" s="82"/>
      <c r="K148" s="82"/>
      <c r="L148" s="239"/>
      <c r="M148" s="399"/>
      <c r="N148" s="244"/>
      <c r="O148" s="92"/>
      <c r="P148" s="92"/>
      <c r="Q148" s="92"/>
      <c r="R148" s="143"/>
      <c r="T148" s="92"/>
      <c r="U148" s="290" t="s">
        <v>38</v>
      </c>
      <c r="V148" s="82" t="s">
        <v>55</v>
      </c>
      <c r="W148" s="81"/>
      <c r="X148" s="334">
        <v>46213</v>
      </c>
      <c r="Y148" s="81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81"/>
      <c r="AO148" s="94"/>
      <c r="AP148" s="256"/>
    </row>
    <row r="149" spans="1:51" s="115" customFormat="1" ht="15" customHeight="1">
      <c r="A149" s="160">
        <v>1</v>
      </c>
      <c r="B149" s="161" t="s">
        <v>267</v>
      </c>
      <c r="C149" s="92" t="s">
        <v>904</v>
      </c>
      <c r="D149" s="161" t="s">
        <v>905</v>
      </c>
      <c r="E149" s="143">
        <v>35</v>
      </c>
      <c r="F149" s="92"/>
      <c r="G149" s="161" t="s">
        <v>66</v>
      </c>
      <c r="H149" s="80">
        <v>46191</v>
      </c>
      <c r="I149" s="90">
        <v>46205</v>
      </c>
      <c r="J149" s="82"/>
      <c r="K149" s="82"/>
      <c r="L149" s="239"/>
      <c r="M149" s="399"/>
      <c r="N149" s="244"/>
      <c r="O149" s="92"/>
      <c r="P149" s="92"/>
      <c r="Q149" s="92"/>
      <c r="R149" s="143"/>
      <c r="T149" s="92"/>
      <c r="U149" s="290" t="s">
        <v>38</v>
      </c>
      <c r="V149" s="82" t="s">
        <v>55</v>
      </c>
      <c r="W149" s="81"/>
      <c r="X149" s="334">
        <v>46219</v>
      </c>
      <c r="Y149" s="81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81"/>
      <c r="AO149" s="94"/>
      <c r="AP149" s="256"/>
    </row>
    <row r="150" spans="1:51" s="52" customFormat="1" ht="15" customHeight="1">
      <c r="A150" s="335">
        <v>1</v>
      </c>
      <c r="B150" s="161" t="s">
        <v>267</v>
      </c>
      <c r="C150" s="161" t="s">
        <v>817</v>
      </c>
      <c r="D150" s="161" t="s">
        <v>818</v>
      </c>
      <c r="E150" s="164">
        <v>50</v>
      </c>
      <c r="G150" s="161" t="s">
        <v>66</v>
      </c>
      <c r="H150" s="505">
        <v>46092</v>
      </c>
      <c r="I150" s="90">
        <v>46112</v>
      </c>
      <c r="J150" s="101">
        <v>46112</v>
      </c>
      <c r="K150" s="90">
        <f>J150+180</f>
        <v>46292</v>
      </c>
      <c r="L150" s="333"/>
      <c r="M150" s="109"/>
      <c r="N150" s="333">
        <f>M150+180</f>
        <v>180</v>
      </c>
      <c r="O150" s="239" t="s">
        <v>814</v>
      </c>
      <c r="P150" s="239"/>
      <c r="Q150" s="239"/>
      <c r="S150" s="51"/>
      <c r="U150" s="111" t="s">
        <v>888</v>
      </c>
      <c r="V150" s="266"/>
      <c r="W150" s="81"/>
      <c r="X150" s="334">
        <v>46218</v>
      </c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52" t="s">
        <v>853</v>
      </c>
      <c r="AP150" s="258"/>
    </row>
    <row r="151" spans="1:51" s="346" customFormat="1" ht="18" customHeight="1">
      <c r="A151" s="383">
        <v>1</v>
      </c>
      <c r="B151" s="268" t="s">
        <v>266</v>
      </c>
      <c r="C151" s="269" t="s">
        <v>357</v>
      </c>
      <c r="D151" s="269" t="s">
        <v>359</v>
      </c>
      <c r="E151" s="270">
        <v>25</v>
      </c>
      <c r="F151" s="271"/>
      <c r="G151" s="269" t="s">
        <v>66</v>
      </c>
      <c r="H151" s="272">
        <v>45847</v>
      </c>
      <c r="I151" s="103">
        <v>45901</v>
      </c>
      <c r="J151" s="102">
        <v>45860</v>
      </c>
      <c r="K151" s="103">
        <f>J151+180</f>
        <v>46040</v>
      </c>
      <c r="L151" s="317" t="s">
        <v>743</v>
      </c>
      <c r="M151" s="402">
        <v>46057</v>
      </c>
      <c r="N151" s="317">
        <f>M151+180</f>
        <v>46237</v>
      </c>
      <c r="O151" s="274" t="s">
        <v>494</v>
      </c>
      <c r="P151" s="274"/>
      <c r="Q151" s="274"/>
      <c r="R151" s="274">
        <v>3</v>
      </c>
      <c r="S151" s="274"/>
      <c r="T151" s="71"/>
      <c r="U151" s="112" t="s">
        <v>38</v>
      </c>
      <c r="V151" s="275" t="s">
        <v>57</v>
      </c>
      <c r="W151" s="71"/>
      <c r="X151" s="345">
        <v>46223</v>
      </c>
      <c r="Y151" s="486" t="s">
        <v>260</v>
      </c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 t="s">
        <v>1063</v>
      </c>
      <c r="AO151" s="112">
        <v>1</v>
      </c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</row>
    <row r="152" spans="1:51" s="52" customFormat="1" ht="15" customHeight="1">
      <c r="A152" s="161">
        <v>1</v>
      </c>
      <c r="B152" s="161" t="s">
        <v>266</v>
      </c>
      <c r="C152" s="161" t="s">
        <v>899</v>
      </c>
      <c r="D152" s="164" t="s">
        <v>900</v>
      </c>
      <c r="E152" s="161">
        <v>49</v>
      </c>
      <c r="F152" s="161"/>
      <c r="G152" s="161" t="s">
        <v>67</v>
      </c>
      <c r="H152" s="163">
        <v>46191</v>
      </c>
      <c r="I152" s="176">
        <v>46209</v>
      </c>
      <c r="J152" s="90"/>
      <c r="K152" s="90"/>
      <c r="L152" s="239"/>
      <c r="M152" s="440"/>
      <c r="N152" s="333"/>
      <c r="O152" s="161"/>
      <c r="P152" s="161"/>
      <c r="Q152" s="161"/>
      <c r="R152" s="164"/>
      <c r="T152" s="161"/>
      <c r="U152" s="336" t="s">
        <v>38</v>
      </c>
      <c r="V152" s="90" t="s">
        <v>57</v>
      </c>
      <c r="W152" s="81"/>
      <c r="X152" s="334">
        <v>46223</v>
      </c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52" t="s">
        <v>1060</v>
      </c>
      <c r="AP152" s="258"/>
    </row>
    <row r="153" spans="1:51" s="55" customFormat="1" ht="18" customHeight="1">
      <c r="A153" s="254">
        <v>1</v>
      </c>
      <c r="B153" s="263" t="s">
        <v>267</v>
      </c>
      <c r="C153" s="161" t="s">
        <v>507</v>
      </c>
      <c r="D153" s="161" t="s">
        <v>306</v>
      </c>
      <c r="E153" s="164">
        <v>56</v>
      </c>
      <c r="F153" s="264"/>
      <c r="G153" s="161" t="s">
        <v>66</v>
      </c>
      <c r="H153" s="163">
        <v>45840</v>
      </c>
      <c r="I153" s="176" t="s">
        <v>484</v>
      </c>
      <c r="J153" s="101">
        <v>45882</v>
      </c>
      <c r="K153" s="90">
        <f t="shared" ref="K153:K159" si="3">J153+180</f>
        <v>46062</v>
      </c>
      <c r="L153" s="333" t="s">
        <v>743</v>
      </c>
      <c r="M153" s="399">
        <v>46170</v>
      </c>
      <c r="N153" s="244">
        <f t="shared" ref="N153:N159" si="4">M153+180</f>
        <v>46350</v>
      </c>
      <c r="O153" s="267" t="s">
        <v>496</v>
      </c>
      <c r="P153" s="267" t="s">
        <v>495</v>
      </c>
      <c r="Q153" s="267"/>
      <c r="R153" s="267"/>
      <c r="S153" s="267"/>
      <c r="T153" s="81"/>
      <c r="U153" s="111" t="s">
        <v>38</v>
      </c>
      <c r="V153" s="266" t="s">
        <v>56</v>
      </c>
      <c r="W153" s="81"/>
      <c r="X153" s="334">
        <v>46223</v>
      </c>
      <c r="Y153" s="436" t="s">
        <v>957</v>
      </c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 t="s">
        <v>848</v>
      </c>
      <c r="AO153" s="111">
        <v>1</v>
      </c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</row>
    <row r="154" spans="1:51" s="53" customFormat="1" ht="18" customHeight="1">
      <c r="A154" s="254">
        <v>1</v>
      </c>
      <c r="B154" s="76" t="s">
        <v>267</v>
      </c>
      <c r="C154" s="92" t="s">
        <v>272</v>
      </c>
      <c r="D154" s="92" t="s">
        <v>273</v>
      </c>
      <c r="E154" s="143">
        <v>44</v>
      </c>
      <c r="F154" s="259"/>
      <c r="G154" s="92" t="s">
        <v>66</v>
      </c>
      <c r="H154" s="260">
        <v>45845</v>
      </c>
      <c r="I154" s="260">
        <v>45859</v>
      </c>
      <c r="J154" s="82">
        <v>45859</v>
      </c>
      <c r="K154" s="90">
        <f t="shared" si="3"/>
        <v>46039</v>
      </c>
      <c r="L154" s="244" t="s">
        <v>743</v>
      </c>
      <c r="M154" s="398">
        <v>46044</v>
      </c>
      <c r="N154" s="244">
        <f t="shared" si="4"/>
        <v>46224</v>
      </c>
      <c r="O154" s="76" t="s">
        <v>63</v>
      </c>
      <c r="P154" s="76" t="s">
        <v>551</v>
      </c>
      <c r="Q154" s="76"/>
      <c r="R154" s="92">
        <v>0</v>
      </c>
      <c r="S154" s="92"/>
      <c r="T154" s="76"/>
      <c r="U154" s="110" t="s">
        <v>38</v>
      </c>
      <c r="V154" s="261" t="s">
        <v>58</v>
      </c>
      <c r="W154" s="64"/>
      <c r="X154" s="344">
        <v>46224</v>
      </c>
      <c r="Y154" s="436" t="s">
        <v>973</v>
      </c>
      <c r="Z154" s="64"/>
      <c r="AA154" s="64"/>
      <c r="AB154" s="64"/>
      <c r="AC154" s="64"/>
      <c r="AD154" s="64">
        <v>1</v>
      </c>
      <c r="AE154" s="64"/>
      <c r="AF154" s="64"/>
      <c r="AG154" s="64"/>
      <c r="AH154" s="64"/>
      <c r="AI154" s="64"/>
      <c r="AJ154" s="64"/>
      <c r="AK154" s="64"/>
      <c r="AL154" s="64"/>
      <c r="AM154" s="64"/>
      <c r="AN154" s="64" t="s">
        <v>860</v>
      </c>
      <c r="AO154" s="11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</row>
    <row r="155" spans="1:51" s="53" customFormat="1" ht="18" customHeight="1">
      <c r="A155" s="254">
        <v>1</v>
      </c>
      <c r="B155" s="76" t="s">
        <v>266</v>
      </c>
      <c r="C155" s="92" t="s">
        <v>346</v>
      </c>
      <c r="D155" s="92" t="s">
        <v>347</v>
      </c>
      <c r="E155" s="143">
        <v>54</v>
      </c>
      <c r="F155" s="259"/>
      <c r="G155" s="92" t="s">
        <v>66</v>
      </c>
      <c r="H155" s="80">
        <v>45835</v>
      </c>
      <c r="I155" s="82">
        <v>45901</v>
      </c>
      <c r="J155" s="100">
        <v>45868</v>
      </c>
      <c r="K155" s="82">
        <f t="shared" si="3"/>
        <v>46048</v>
      </c>
      <c r="L155" s="244" t="s">
        <v>743</v>
      </c>
      <c r="M155" s="399">
        <v>46053</v>
      </c>
      <c r="N155" s="244">
        <f t="shared" si="4"/>
        <v>46233</v>
      </c>
      <c r="O155" s="267" t="s">
        <v>500</v>
      </c>
      <c r="P155" s="267" t="s">
        <v>504</v>
      </c>
      <c r="Q155" s="267"/>
      <c r="R155" s="267">
        <v>4</v>
      </c>
      <c r="S155" s="267"/>
      <c r="T155" s="64"/>
      <c r="U155" s="110" t="s">
        <v>38</v>
      </c>
      <c r="V155" s="261" t="s">
        <v>58</v>
      </c>
      <c r="W155" s="64"/>
      <c r="X155" s="93" t="s">
        <v>1069</v>
      </c>
      <c r="Y155" s="64" t="s">
        <v>920</v>
      </c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11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</row>
    <row r="156" spans="1:51" s="115" customFormat="1" ht="14.25" customHeight="1">
      <c r="A156" s="352">
        <v>1</v>
      </c>
      <c r="B156" s="92" t="s">
        <v>267</v>
      </c>
      <c r="C156" s="92" t="s">
        <v>591</v>
      </c>
      <c r="D156" s="92" t="s">
        <v>590</v>
      </c>
      <c r="E156" s="143">
        <v>56</v>
      </c>
      <c r="G156" s="92" t="s">
        <v>66</v>
      </c>
      <c r="H156" s="504">
        <v>46036</v>
      </c>
      <c r="I156" s="82">
        <v>46050</v>
      </c>
      <c r="J156" s="100">
        <v>46050</v>
      </c>
      <c r="K156" s="82">
        <f t="shared" si="3"/>
        <v>46230</v>
      </c>
      <c r="L156" s="244"/>
      <c r="M156" s="399"/>
      <c r="N156" s="244">
        <f t="shared" si="4"/>
        <v>180</v>
      </c>
      <c r="O156" s="239" t="s">
        <v>496</v>
      </c>
      <c r="P156" s="239" t="s">
        <v>494</v>
      </c>
      <c r="Q156" s="239"/>
      <c r="R156" s="94">
        <v>1</v>
      </c>
      <c r="S156" s="51"/>
      <c r="T156" s="52">
        <v>2</v>
      </c>
      <c r="U156" s="111" t="s">
        <v>38</v>
      </c>
      <c r="V156" s="261" t="s">
        <v>56</v>
      </c>
      <c r="W156" s="81"/>
      <c r="X156" s="334">
        <v>46225</v>
      </c>
      <c r="Y156" s="438" t="s">
        <v>1006</v>
      </c>
      <c r="Z156" s="64"/>
      <c r="AA156" s="64"/>
      <c r="AB156" s="64"/>
      <c r="AC156" s="64"/>
      <c r="AD156" s="64">
        <v>1</v>
      </c>
      <c r="AE156" s="64"/>
      <c r="AF156" s="64"/>
      <c r="AG156" s="64"/>
      <c r="AH156" s="64"/>
      <c r="AI156" s="64"/>
      <c r="AJ156" s="64"/>
      <c r="AK156" s="64"/>
      <c r="AL156" s="64"/>
      <c r="AM156" s="81"/>
      <c r="AO156" s="94"/>
      <c r="AP156" s="256"/>
    </row>
    <row r="157" spans="1:51" s="115" customFormat="1" ht="15" customHeight="1">
      <c r="A157" s="161">
        <v>1</v>
      </c>
      <c r="B157" s="161" t="s">
        <v>266</v>
      </c>
      <c r="C157" s="161" t="s">
        <v>838</v>
      </c>
      <c r="D157" s="161" t="s">
        <v>444</v>
      </c>
      <c r="E157" s="143">
        <v>44</v>
      </c>
      <c r="F157" s="92"/>
      <c r="G157" s="92" t="s">
        <v>66</v>
      </c>
      <c r="H157" s="82">
        <v>46115</v>
      </c>
      <c r="I157" s="100">
        <v>46139</v>
      </c>
      <c r="J157" s="82">
        <v>46153</v>
      </c>
      <c r="K157" s="82">
        <f t="shared" si="3"/>
        <v>46333</v>
      </c>
      <c r="L157" s="239"/>
      <c r="M157" s="399"/>
      <c r="N157" s="244">
        <f t="shared" si="4"/>
        <v>180</v>
      </c>
      <c r="O157" s="92" t="s">
        <v>504</v>
      </c>
      <c r="P157" s="92"/>
      <c r="Q157" s="92"/>
      <c r="R157" s="143"/>
      <c r="T157" s="92"/>
      <c r="U157" s="290" t="s">
        <v>38</v>
      </c>
      <c r="V157" s="82" t="s">
        <v>56</v>
      </c>
      <c r="W157" s="81"/>
      <c r="X157" s="334">
        <v>46232</v>
      </c>
      <c r="Y157" s="436" t="s">
        <v>1002</v>
      </c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81"/>
      <c r="AN157" s="115" t="s">
        <v>915</v>
      </c>
      <c r="AO157" s="94"/>
      <c r="AP157" s="256"/>
    </row>
    <row r="158" spans="1:51" s="52" customFormat="1">
      <c r="A158" s="352">
        <v>1</v>
      </c>
      <c r="B158" s="161" t="s">
        <v>267</v>
      </c>
      <c r="C158" s="161" t="s">
        <v>657</v>
      </c>
      <c r="D158" s="161" t="s">
        <v>658</v>
      </c>
      <c r="E158" s="164">
        <v>58</v>
      </c>
      <c r="G158" s="161" t="s">
        <v>66</v>
      </c>
      <c r="H158" s="336">
        <v>46062</v>
      </c>
      <c r="I158" s="90">
        <v>46080</v>
      </c>
      <c r="J158" s="101">
        <v>46080</v>
      </c>
      <c r="K158" s="90">
        <f t="shared" si="3"/>
        <v>46260</v>
      </c>
      <c r="L158" s="333"/>
      <c r="M158" s="440"/>
      <c r="N158" s="333">
        <f t="shared" si="4"/>
        <v>180</v>
      </c>
      <c r="O158" s="239"/>
      <c r="P158" s="239"/>
      <c r="Q158" s="239"/>
      <c r="R158" s="52">
        <v>5</v>
      </c>
      <c r="S158" s="51"/>
      <c r="U158" s="111" t="s">
        <v>888</v>
      </c>
      <c r="V158" s="266"/>
      <c r="W158" s="81"/>
      <c r="X158" s="334">
        <v>46245</v>
      </c>
      <c r="Y158" s="441" t="s">
        <v>993</v>
      </c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P158" s="258"/>
    </row>
    <row r="159" spans="1:51" s="73" customFormat="1" ht="17.100000000000001" customHeight="1">
      <c r="A159" s="254">
        <v>1</v>
      </c>
      <c r="B159" s="263" t="s">
        <v>267</v>
      </c>
      <c r="C159" s="161" t="s">
        <v>431</v>
      </c>
      <c r="D159" s="263" t="s">
        <v>432</v>
      </c>
      <c r="E159" s="164">
        <v>30</v>
      </c>
      <c r="F159" s="264"/>
      <c r="G159" s="161" t="s">
        <v>66</v>
      </c>
      <c r="H159" s="163">
        <v>45835</v>
      </c>
      <c r="I159" s="90">
        <v>38603</v>
      </c>
      <c r="J159" s="101">
        <v>45909</v>
      </c>
      <c r="K159" s="90">
        <f t="shared" si="3"/>
        <v>46089</v>
      </c>
      <c r="L159" s="333" t="s">
        <v>743</v>
      </c>
      <c r="M159" s="440">
        <v>46107</v>
      </c>
      <c r="N159" s="333">
        <f t="shared" si="4"/>
        <v>46287</v>
      </c>
      <c r="O159" s="276" t="s">
        <v>64</v>
      </c>
      <c r="P159" s="267" t="s">
        <v>494</v>
      </c>
      <c r="Q159" s="267"/>
      <c r="R159" s="267">
        <v>2</v>
      </c>
      <c r="S159" s="267"/>
      <c r="T159" s="81"/>
      <c r="U159" s="111" t="s">
        <v>888</v>
      </c>
      <c r="V159" s="266"/>
      <c r="W159" s="81"/>
      <c r="X159" s="334">
        <v>46245</v>
      </c>
      <c r="Y159" s="441" t="s">
        <v>929</v>
      </c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 t="s">
        <v>861</v>
      </c>
      <c r="AO159" s="111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</row>
    <row r="160" spans="1:51" s="52" customFormat="1" ht="15" customHeight="1">
      <c r="A160" s="161">
        <v>1</v>
      </c>
      <c r="B160" s="161" t="s">
        <v>266</v>
      </c>
      <c r="C160" s="523" t="s">
        <v>841</v>
      </c>
      <c r="D160" s="279" t="s">
        <v>842</v>
      </c>
      <c r="E160" s="164">
        <v>60</v>
      </c>
      <c r="F160" s="161"/>
      <c r="G160" s="161" t="s">
        <v>66</v>
      </c>
      <c r="H160" s="90">
        <v>46125</v>
      </c>
      <c r="I160" s="101">
        <v>46141</v>
      </c>
      <c r="J160" s="90">
        <v>46141</v>
      </c>
      <c r="K160" s="90">
        <f>J160+180</f>
        <v>46321</v>
      </c>
      <c r="L160" s="239"/>
      <c r="M160" s="440"/>
      <c r="N160" s="333">
        <f>M160+180</f>
        <v>180</v>
      </c>
      <c r="O160" s="161" t="s">
        <v>504</v>
      </c>
      <c r="P160" s="161" t="s">
        <v>494</v>
      </c>
      <c r="Q160" s="161"/>
      <c r="R160" s="164"/>
      <c r="T160" s="161"/>
      <c r="U160" s="336" t="s">
        <v>888</v>
      </c>
      <c r="V160" s="90"/>
      <c r="W160" s="81"/>
      <c r="X160" s="334">
        <v>46266</v>
      </c>
      <c r="Y160" s="524" t="s">
        <v>1007</v>
      </c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52" t="s">
        <v>919</v>
      </c>
      <c r="AP160" s="258"/>
    </row>
    <row r="161" spans="1:42" s="115" customFormat="1" ht="15" customHeight="1">
      <c r="A161" s="160">
        <v>1</v>
      </c>
      <c r="B161" s="161" t="s">
        <v>267</v>
      </c>
      <c r="C161" s="92" t="s">
        <v>902</v>
      </c>
      <c r="D161" s="161" t="s">
        <v>903</v>
      </c>
      <c r="E161" s="143">
        <v>30</v>
      </c>
      <c r="F161" s="285"/>
      <c r="G161" s="161" t="s">
        <v>67</v>
      </c>
      <c r="H161" s="80">
        <v>46191</v>
      </c>
      <c r="I161" s="90">
        <v>46205</v>
      </c>
      <c r="J161" s="82">
        <v>46219</v>
      </c>
      <c r="K161" s="82">
        <f>J161+180</f>
        <v>46399</v>
      </c>
      <c r="L161" s="239"/>
      <c r="M161" s="399"/>
      <c r="N161" s="244"/>
      <c r="O161" s="92" t="s">
        <v>496</v>
      </c>
      <c r="P161" s="92"/>
      <c r="Q161" s="92"/>
      <c r="R161" s="143"/>
      <c r="T161" s="92"/>
      <c r="U161" s="290" t="s">
        <v>38</v>
      </c>
      <c r="V161" s="82" t="s">
        <v>56</v>
      </c>
      <c r="W161" s="81"/>
      <c r="X161" s="334">
        <v>46272</v>
      </c>
      <c r="Y161" s="81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81"/>
      <c r="AO161" s="94"/>
      <c r="AP161" s="256"/>
    </row>
  </sheetData>
  <autoFilter ref="A12:CS12"/>
  <mergeCells count="52">
    <mergeCell ref="A5:F5"/>
    <mergeCell ref="B2:I2"/>
    <mergeCell ref="B3:I3"/>
    <mergeCell ref="K3:S3"/>
    <mergeCell ref="B4:I4"/>
    <mergeCell ref="K4:S4"/>
    <mergeCell ref="G11:G12"/>
    <mergeCell ref="V5:W5"/>
    <mergeCell ref="U7:X7"/>
    <mergeCell ref="U8:X10"/>
    <mergeCell ref="J9:K10"/>
    <mergeCell ref="M9:N10"/>
    <mergeCell ref="O9:Q10"/>
    <mergeCell ref="S11:S12"/>
    <mergeCell ref="H11:H12"/>
    <mergeCell ref="I11:I12"/>
    <mergeCell ref="J11:J12"/>
    <mergeCell ref="K11:K12"/>
    <mergeCell ref="L11:L12"/>
    <mergeCell ref="M11:M12"/>
    <mergeCell ref="N11:N12"/>
    <mergeCell ref="O11:O12"/>
    <mergeCell ref="B11:B12"/>
    <mergeCell ref="C11:C12"/>
    <mergeCell ref="D11:D12"/>
    <mergeCell ref="E11:E12"/>
    <mergeCell ref="F11:F12"/>
    <mergeCell ref="P11:P12"/>
    <mergeCell ref="Q11:Q12"/>
    <mergeCell ref="R11:R12"/>
    <mergeCell ref="AE11:AE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L11:AL12"/>
    <mergeCell ref="AM11:AM12"/>
    <mergeCell ref="AN11:AN12"/>
    <mergeCell ref="AO11:AO12"/>
    <mergeCell ref="AF11:AF12"/>
    <mergeCell ref="AG11:AG12"/>
    <mergeCell ref="AH11:AH12"/>
    <mergeCell ref="AI11:AI12"/>
    <mergeCell ref="AJ11:AJ12"/>
    <mergeCell ref="AK11:AK1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'liste deroulante'!$H$2:$H$10</xm:f>
          </x14:formula1>
          <xm:sqref>U13:U161</xm:sqref>
        </x14:dataValidation>
        <x14:dataValidation type="list" allowBlank="1" showInputMessage="1" showErrorMessage="1">
          <x14:formula1>
            <xm:f>'liste deroulante'!$G$17:$G$20</xm:f>
          </x14:formula1>
          <xm:sqref>L13:L161</xm:sqref>
        </x14:dataValidation>
        <x14:dataValidation type="list" allowBlank="1" showInputMessage="1" showErrorMessage="1">
          <x14:formula1>
            <xm:f>'liste deroulante'!$J$2:$J$8</xm:f>
          </x14:formula1>
          <xm:sqref>W13:W161</xm:sqref>
        </x14:dataValidation>
        <x14:dataValidation type="list" allowBlank="1" showInputMessage="1" showErrorMessage="1">
          <x14:formula1>
            <xm:f>'liste deroulante'!$F$2:$F$10</xm:f>
          </x14:formula1>
          <xm:sqref>V13:V161</xm:sqref>
        </x14:dataValidation>
        <x14:dataValidation type="list" allowBlank="1" showInputMessage="1" showErrorMessage="1">
          <x14:formula1>
            <xm:f>'[3]LISTE DEROULANTE'!#REF!</xm:f>
          </x14:formula1>
          <xm:sqref>F127</xm:sqref>
        </x14:dataValidation>
        <x14:dataValidation type="list" allowBlank="1" showInputMessage="1" showErrorMessage="1">
          <x14:formula1>
            <xm:f>'liste deroulante'!$B$13:$B$14</xm:f>
          </x14:formula1>
          <xm:sqref>O13</xm:sqref>
        </x14:dataValidation>
        <x14:dataValidation type="list" allowBlank="1" showInputMessage="1" showErrorMessage="1">
          <x14:formula1>
            <xm:f>'liste deroulante'!$D$12:$D$13</xm:f>
          </x14:formula1>
          <xm:sqref>T50:T51 T13:T28 T54:T55 T59 T61 T65 T70:T71 T74:T75 AO13:AO78 T81 AO86:AO87 AO80:AO84 T83:T84 AO90 T96:T98 AO96:AO98 T113 AO100:AO113 Z13:AL161 T121 AO116:AO121 T123:T125 T127 T132 AO123:AO134 AO136 AO138:AO140 AO145 AO151 T153:T155 AO153:AO155 AO159</xm:sqref>
        </x14:dataValidation>
        <x14:dataValidation type="list" allowBlank="1" showInputMessage="1" showErrorMessage="1">
          <x14:formula1>
            <xm:f>'liste deroulante'!$B$2:$B$9</xm:f>
          </x14:formula1>
          <xm:sqref>F13:F15 F50:F51 F18:F32 F55:F56 F59 F65 F70:F71 F75 F83:F84 F96:F97 F113 F121 F123:F125 F128 F151 F153:F155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D11525"/>
  <sheetViews>
    <sheetView tabSelected="1" topLeftCell="A127" zoomScaleNormal="100" workbookViewId="0">
      <selection activeCell="D143" sqref="D143"/>
    </sheetView>
  </sheetViews>
  <sheetFormatPr baseColWidth="10" defaultRowHeight="15"/>
  <cols>
    <col min="1" max="1" width="21.28515625" customWidth="1"/>
    <col min="2" max="2" width="12.140625" bestFit="1" customWidth="1"/>
    <col min="3" max="4" width="11" customWidth="1"/>
    <col min="5" max="5" width="5.85546875" customWidth="1"/>
    <col min="6" max="16" width="6.7109375" customWidth="1"/>
    <col min="17" max="17" width="8.5703125" style="220" customWidth="1"/>
    <col min="18" max="18" width="10.7109375" style="12" customWidth="1"/>
    <col min="19" max="19" width="12.42578125" customWidth="1"/>
    <col min="20" max="20" width="12.28515625" customWidth="1"/>
    <col min="21" max="22" width="9.28515625" customWidth="1"/>
    <col min="23" max="23" width="12.28515625" customWidth="1"/>
    <col min="24" max="24" width="11.85546875" customWidth="1"/>
    <col min="25" max="25" width="19.7109375" customWidth="1"/>
    <col min="26" max="26" width="22.85546875" style="434" customWidth="1"/>
    <col min="27" max="27" width="14.42578125" customWidth="1"/>
    <col min="28" max="29" width="11.28515625" bestFit="1" customWidth="1"/>
  </cols>
  <sheetData>
    <row r="1" spans="1:30" ht="51.6" customHeight="1">
      <c r="A1" s="199"/>
      <c r="B1" s="199"/>
      <c r="C1" s="614" t="s">
        <v>750</v>
      </c>
      <c r="D1" s="615"/>
      <c r="E1" s="607" t="s">
        <v>753</v>
      </c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9"/>
      <c r="Q1" s="610" t="s">
        <v>704</v>
      </c>
      <c r="R1" s="610"/>
      <c r="S1" s="610"/>
      <c r="T1" s="610"/>
      <c r="U1" s="610"/>
      <c r="V1" s="610"/>
      <c r="W1" s="611" t="s">
        <v>705</v>
      </c>
      <c r="X1" s="611"/>
      <c r="Y1" s="611"/>
      <c r="Z1" s="200" t="s">
        <v>706</v>
      </c>
      <c r="AA1" s="612" t="s">
        <v>707</v>
      </c>
      <c r="AB1" s="613"/>
      <c r="AC1" s="613"/>
      <c r="AD1" s="613"/>
    </row>
    <row r="2" spans="1:30" s="210" customFormat="1" ht="75">
      <c r="A2" s="201" t="s">
        <v>708</v>
      </c>
      <c r="B2" s="201" t="s">
        <v>709</v>
      </c>
      <c r="C2" s="238" t="s">
        <v>751</v>
      </c>
      <c r="D2" s="238" t="s">
        <v>752</v>
      </c>
      <c r="E2" s="202" t="s">
        <v>710</v>
      </c>
      <c r="F2" s="202" t="s">
        <v>711</v>
      </c>
      <c r="G2" s="202" t="s">
        <v>712</v>
      </c>
      <c r="H2" s="202" t="s">
        <v>713</v>
      </c>
      <c r="I2" s="202" t="s">
        <v>714</v>
      </c>
      <c r="J2" s="202" t="s">
        <v>715</v>
      </c>
      <c r="K2" s="202" t="s">
        <v>716</v>
      </c>
      <c r="L2" s="202" t="s">
        <v>717</v>
      </c>
      <c r="M2" s="202" t="s">
        <v>718</v>
      </c>
      <c r="N2" s="202" t="s">
        <v>719</v>
      </c>
      <c r="O2" s="202" t="s">
        <v>720</v>
      </c>
      <c r="P2" s="202" t="s">
        <v>721</v>
      </c>
      <c r="Q2" s="203" t="s">
        <v>722</v>
      </c>
      <c r="R2" s="204" t="s">
        <v>723</v>
      </c>
      <c r="S2" s="205" t="s">
        <v>724</v>
      </c>
      <c r="T2" s="203" t="s">
        <v>725</v>
      </c>
      <c r="U2" s="204" t="s">
        <v>726</v>
      </c>
      <c r="V2" s="205" t="s">
        <v>727</v>
      </c>
      <c r="W2" s="206" t="s">
        <v>728</v>
      </c>
      <c r="X2" s="206" t="s">
        <v>729</v>
      </c>
      <c r="Y2" s="206" t="s">
        <v>730</v>
      </c>
      <c r="Z2" s="207" t="s">
        <v>731</v>
      </c>
      <c r="AA2" s="208" t="s">
        <v>732</v>
      </c>
      <c r="AB2" s="208" t="s">
        <v>733</v>
      </c>
      <c r="AC2" s="208" t="s">
        <v>734</v>
      </c>
      <c r="AD2" s="209" t="s">
        <v>735</v>
      </c>
    </row>
    <row r="3" spans="1:30" s="215" customFormat="1">
      <c r="A3" s="211" t="str">
        <f>'BRSA Sorties '!C154</f>
        <v>AKHMAL</v>
      </c>
      <c r="B3" s="211" t="str">
        <f>'BRSA Sorties '!D154</f>
        <v>Najat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>
        <v>1</v>
      </c>
      <c r="P3" s="211"/>
      <c r="Q3" s="212"/>
      <c r="R3" s="213"/>
      <c r="S3" s="212"/>
      <c r="T3" s="214">
        <f>S3+15</f>
        <v>15</v>
      </c>
      <c r="U3" s="212"/>
      <c r="V3" s="212"/>
      <c r="W3" s="214">
        <f>T3+35</f>
        <v>50</v>
      </c>
      <c r="X3" s="212"/>
      <c r="Y3" s="212"/>
      <c r="Z3" s="365"/>
      <c r="AA3" s="211"/>
      <c r="AB3" s="214"/>
      <c r="AC3" s="214">
        <f>AB3+35</f>
        <v>35</v>
      </c>
    </row>
    <row r="4" spans="1:30">
      <c r="A4" s="211" t="str">
        <f>'OYONNAX NANTUA'!C13</f>
        <v>AL-RIHEMAWEE</v>
      </c>
      <c r="B4" s="211" t="str">
        <f>'OYONNAX NANTUA'!D13</f>
        <v>Qays</v>
      </c>
      <c r="C4" s="211">
        <v>1</v>
      </c>
      <c r="D4" s="211"/>
      <c r="E4" s="232"/>
      <c r="F4" s="232"/>
      <c r="G4" s="232"/>
      <c r="H4" s="232"/>
      <c r="I4" s="232"/>
      <c r="J4" s="232">
        <v>1</v>
      </c>
      <c r="K4" s="232"/>
      <c r="L4" s="232">
        <v>1</v>
      </c>
      <c r="M4" s="232"/>
      <c r="N4" s="232"/>
      <c r="O4" s="232"/>
      <c r="P4" s="232"/>
      <c r="Q4" s="212">
        <v>1</v>
      </c>
      <c r="R4" s="236">
        <v>46132</v>
      </c>
      <c r="S4" s="212"/>
      <c r="T4" s="234">
        <f t="shared" ref="T4:T67" si="0">S4+15</f>
        <v>15</v>
      </c>
      <c r="U4" s="212">
        <v>1</v>
      </c>
      <c r="V4" s="212">
        <v>1</v>
      </c>
      <c r="W4" s="235">
        <f t="shared" ref="W4:W67" si="1">S4+50</f>
        <v>50</v>
      </c>
      <c r="X4" s="212">
        <v>1</v>
      </c>
      <c r="Y4" s="212"/>
      <c r="Z4" s="366"/>
      <c r="AA4" s="232"/>
      <c r="AB4" s="232"/>
      <c r="AC4" s="235">
        <f t="shared" ref="AC4:AC67" si="2">AB4+35</f>
        <v>35</v>
      </c>
      <c r="AD4" s="221"/>
    </row>
    <row r="5" spans="1:30" s="218" customFormat="1">
      <c r="A5" s="211" t="str">
        <f>'OYONNAX NANTUA'!C14</f>
        <v>ARBINOT</v>
      </c>
      <c r="B5" s="211" t="str">
        <f>'OYONNAX NANTUA'!D14</f>
        <v>Alexandre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2"/>
      <c r="R5" s="213"/>
      <c r="S5" s="212"/>
      <c r="T5" s="234">
        <f t="shared" si="0"/>
        <v>15</v>
      </c>
      <c r="U5" s="212"/>
      <c r="V5" s="212"/>
      <c r="W5" s="235">
        <f t="shared" si="1"/>
        <v>50</v>
      </c>
      <c r="X5" s="212"/>
      <c r="Y5" s="212"/>
      <c r="Z5" s="365"/>
      <c r="AA5" s="211"/>
      <c r="AB5" s="211"/>
      <c r="AC5" s="235">
        <f t="shared" si="2"/>
        <v>35</v>
      </c>
      <c r="AD5" s="215"/>
    </row>
    <row r="6" spans="1:30">
      <c r="A6" s="211" t="str">
        <f>'BRSA Sorties '!C98</f>
        <v>BASSI</v>
      </c>
      <c r="B6" s="211" t="str">
        <f>'BRSA Sorties '!D98</f>
        <v>Stephanie</v>
      </c>
      <c r="C6" s="211"/>
      <c r="D6" s="211">
        <v>1</v>
      </c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12"/>
      <c r="R6" s="233"/>
      <c r="S6" s="212"/>
      <c r="T6" s="234">
        <f t="shared" si="0"/>
        <v>15</v>
      </c>
      <c r="U6" s="212"/>
      <c r="V6" s="212"/>
      <c r="W6" s="235">
        <f t="shared" si="1"/>
        <v>50</v>
      </c>
      <c r="X6" s="212"/>
      <c r="Y6" s="212"/>
      <c r="Z6" s="366"/>
      <c r="AA6" s="232"/>
      <c r="AB6" s="232"/>
      <c r="AC6" s="235">
        <f t="shared" si="2"/>
        <v>35</v>
      </c>
      <c r="AD6" s="221"/>
    </row>
    <row r="7" spans="1:30">
      <c r="A7" s="211" t="str">
        <f>'BRSA Sorties '!C132</f>
        <v>BAYIRTEPE</v>
      </c>
      <c r="B7" s="211" t="str">
        <f>'BRSA Sorties '!D132</f>
        <v>Gulsah</v>
      </c>
      <c r="C7" s="211">
        <v>1</v>
      </c>
      <c r="D7" s="211">
        <v>1</v>
      </c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12"/>
      <c r="R7" s="233"/>
      <c r="S7" s="212"/>
      <c r="T7" s="234">
        <f t="shared" si="0"/>
        <v>15</v>
      </c>
      <c r="U7" s="212"/>
      <c r="V7" s="212"/>
      <c r="W7" s="235">
        <f t="shared" si="1"/>
        <v>50</v>
      </c>
      <c r="X7" s="212"/>
      <c r="Y7" s="212"/>
      <c r="Z7" s="366"/>
      <c r="AA7" s="232"/>
      <c r="AB7" s="232"/>
      <c r="AC7" s="235">
        <f t="shared" si="2"/>
        <v>35</v>
      </c>
      <c r="AD7" s="221"/>
    </row>
    <row r="8" spans="1:30" s="219" customFormat="1">
      <c r="A8" s="211" t="str">
        <f>'BRSA Sorties '!C121</f>
        <v>BERTHET-BONDET</v>
      </c>
      <c r="B8" s="211" t="str">
        <f>'BRSA Sorties '!D121</f>
        <v>Franck</v>
      </c>
      <c r="C8" s="211">
        <v>1</v>
      </c>
      <c r="D8" s="211">
        <v>1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12"/>
      <c r="R8" s="236"/>
      <c r="S8" s="212"/>
      <c r="T8" s="234">
        <f t="shared" si="0"/>
        <v>15</v>
      </c>
      <c r="U8" s="212"/>
      <c r="V8" s="212"/>
      <c r="W8" s="235">
        <f t="shared" si="1"/>
        <v>50</v>
      </c>
      <c r="X8" s="212"/>
      <c r="Y8" s="212"/>
      <c r="Z8" s="366"/>
      <c r="AA8" s="232"/>
      <c r="AB8" s="232"/>
      <c r="AC8" s="235">
        <f t="shared" si="2"/>
        <v>35</v>
      </c>
      <c r="AD8" s="221"/>
    </row>
    <row r="9" spans="1:30">
      <c r="A9" s="211" t="str">
        <f>'BRSA Sorties '!C97</f>
        <v>BOSCHMANS</v>
      </c>
      <c r="B9" s="211" t="str">
        <f>'BRSA Sorties '!D97</f>
        <v>Franck</v>
      </c>
      <c r="C9" s="211">
        <v>1</v>
      </c>
      <c r="D9" s="211">
        <v>1</v>
      </c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12"/>
      <c r="R9" s="233"/>
      <c r="S9" s="212"/>
      <c r="T9" s="234">
        <f t="shared" si="0"/>
        <v>15</v>
      </c>
      <c r="U9" s="212"/>
      <c r="V9" s="212"/>
      <c r="W9" s="235">
        <f t="shared" si="1"/>
        <v>50</v>
      </c>
      <c r="X9" s="212"/>
      <c r="Y9" s="212"/>
      <c r="Z9" s="366"/>
      <c r="AA9" s="232"/>
      <c r="AB9" s="232"/>
      <c r="AC9" s="235">
        <f t="shared" si="2"/>
        <v>35</v>
      </c>
      <c r="AD9" s="221"/>
    </row>
    <row r="10" spans="1:30" s="371" customFormat="1">
      <c r="A10" s="365" t="str">
        <f>'BRSA Sorties '!C153</f>
        <v>BRAHIMI</v>
      </c>
      <c r="B10" s="365" t="str">
        <f>'BRSA Sorties '!D153</f>
        <v>Farida</v>
      </c>
      <c r="C10" s="365">
        <v>1</v>
      </c>
      <c r="D10" s="365"/>
      <c r="E10" s="366"/>
      <c r="F10" s="366">
        <v>1</v>
      </c>
      <c r="G10" s="366"/>
      <c r="H10" s="366">
        <v>1</v>
      </c>
      <c r="I10" s="366"/>
      <c r="J10" s="366"/>
      <c r="K10" s="366"/>
      <c r="L10" s="366">
        <v>1</v>
      </c>
      <c r="M10" s="366"/>
      <c r="N10" s="366"/>
      <c r="O10" s="366"/>
      <c r="P10" s="366"/>
      <c r="Q10" s="367">
        <v>1</v>
      </c>
      <c r="R10" s="368">
        <v>46136</v>
      </c>
      <c r="S10" s="389">
        <v>46141</v>
      </c>
      <c r="T10" s="382">
        <f t="shared" si="0"/>
        <v>46156</v>
      </c>
      <c r="U10" s="367">
        <v>1</v>
      </c>
      <c r="V10" s="367">
        <v>1</v>
      </c>
      <c r="W10" s="370">
        <f t="shared" si="1"/>
        <v>46191</v>
      </c>
      <c r="X10" s="367">
        <v>1</v>
      </c>
      <c r="Y10" s="367"/>
      <c r="Z10" s="366"/>
      <c r="AA10" s="366"/>
      <c r="AB10" s="366"/>
      <c r="AC10" s="370">
        <f t="shared" si="2"/>
        <v>35</v>
      </c>
    </row>
    <row r="11" spans="1:30" s="371" customFormat="1" ht="15.75">
      <c r="A11" s="365" t="str">
        <f>'BRSA Sorties '!C123</f>
        <v>BRASSART</v>
      </c>
      <c r="B11" s="365" t="str">
        <f>'BRSA Sorties '!D123</f>
        <v>Cindy</v>
      </c>
      <c r="C11" s="365">
        <v>1</v>
      </c>
      <c r="D11" s="365">
        <v>1</v>
      </c>
      <c r="E11" s="366"/>
      <c r="F11" s="366"/>
      <c r="G11" s="366"/>
      <c r="H11" s="366"/>
      <c r="I11" s="366"/>
      <c r="J11" s="366"/>
      <c r="K11" s="366"/>
      <c r="L11" s="366"/>
      <c r="M11" s="366"/>
      <c r="N11" s="366"/>
      <c r="O11" s="366"/>
      <c r="P11" s="366"/>
      <c r="Q11" s="367">
        <v>1</v>
      </c>
      <c r="R11" s="368">
        <v>46066</v>
      </c>
      <c r="S11" s="374">
        <v>46090</v>
      </c>
      <c r="T11" s="382">
        <f t="shared" si="0"/>
        <v>46105</v>
      </c>
      <c r="U11" s="367"/>
      <c r="V11" s="367"/>
      <c r="W11" s="370">
        <f t="shared" si="1"/>
        <v>46140</v>
      </c>
      <c r="X11" s="367">
        <v>0</v>
      </c>
      <c r="Y11" s="367"/>
      <c r="Z11" s="370">
        <v>46154</v>
      </c>
      <c r="AA11" s="366"/>
      <c r="AB11" s="366"/>
      <c r="AC11" s="370">
        <f t="shared" si="2"/>
        <v>35</v>
      </c>
    </row>
    <row r="12" spans="1:30" ht="15.75">
      <c r="A12" s="211" t="str">
        <f>'OYONNAX NANTUA'!C15</f>
        <v>CAVDAR</v>
      </c>
      <c r="B12" s="211" t="str">
        <f>'OYONNAX NANTUA'!D15</f>
        <v>Tugay</v>
      </c>
      <c r="C12" s="211">
        <v>1</v>
      </c>
      <c r="D12" s="211"/>
      <c r="E12" s="232"/>
      <c r="F12" s="232">
        <v>1</v>
      </c>
      <c r="G12" s="232"/>
      <c r="H12" s="232"/>
      <c r="I12" s="232"/>
      <c r="J12" s="232"/>
      <c r="K12" s="232"/>
      <c r="L12" s="232">
        <v>1</v>
      </c>
      <c r="M12" s="232"/>
      <c r="N12" s="232"/>
      <c r="O12" s="232"/>
      <c r="P12" s="232"/>
      <c r="Q12" s="212"/>
      <c r="R12" s="233"/>
      <c r="S12" s="343"/>
      <c r="T12" s="234">
        <f t="shared" si="0"/>
        <v>15</v>
      </c>
      <c r="U12" s="212"/>
      <c r="V12" s="212"/>
      <c r="W12" s="235">
        <f t="shared" si="1"/>
        <v>50</v>
      </c>
      <c r="X12" s="212"/>
      <c r="Y12" s="212"/>
      <c r="Z12" s="366"/>
      <c r="AA12" s="232"/>
      <c r="AB12" s="232"/>
      <c r="AC12" s="235">
        <f t="shared" si="2"/>
        <v>35</v>
      </c>
      <c r="AD12" s="221"/>
    </row>
    <row r="13" spans="1:30" ht="15.75">
      <c r="A13" s="211" t="str">
        <f>'BRSA Sorties '!C84</f>
        <v>CHHUN</v>
      </c>
      <c r="B13" s="211" t="str">
        <f>'BRSA Sorties '!D84</f>
        <v>Sophanna</v>
      </c>
      <c r="C13" s="211"/>
      <c r="D13" s="211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12"/>
      <c r="R13" s="233"/>
      <c r="S13" s="343"/>
      <c r="T13" s="234">
        <f t="shared" si="0"/>
        <v>15</v>
      </c>
      <c r="U13" s="212"/>
      <c r="V13" s="212"/>
      <c r="W13" s="235">
        <f t="shared" si="1"/>
        <v>50</v>
      </c>
      <c r="X13" s="212"/>
      <c r="Y13" s="212"/>
      <c r="Z13" s="366"/>
      <c r="AA13" s="232"/>
      <c r="AB13" s="232"/>
      <c r="AC13" s="235">
        <f t="shared" si="2"/>
        <v>35</v>
      </c>
      <c r="AD13" s="221"/>
    </row>
    <row r="14" spans="1:30">
      <c r="A14" s="211" t="str">
        <f>'OYONNAX NANTUA'!C16</f>
        <v>CIMEN</v>
      </c>
      <c r="B14" s="211" t="str">
        <f>'OYONNAX NANTUA'!D16</f>
        <v>Mehmet</v>
      </c>
      <c r="C14" s="211">
        <v>1</v>
      </c>
      <c r="D14" s="211"/>
      <c r="E14" s="232">
        <v>1</v>
      </c>
      <c r="F14" s="232"/>
      <c r="G14" s="232"/>
      <c r="H14" s="232"/>
      <c r="I14" s="232"/>
      <c r="J14" s="232"/>
      <c r="K14" s="232"/>
      <c r="L14" s="232"/>
      <c r="M14" s="232"/>
      <c r="N14" s="232">
        <v>1</v>
      </c>
      <c r="O14" s="232"/>
      <c r="P14" s="232"/>
      <c r="Q14" s="212"/>
      <c r="R14" s="236">
        <v>46199</v>
      </c>
      <c r="S14" s="437">
        <v>46211</v>
      </c>
      <c r="T14" s="234">
        <f t="shared" si="0"/>
        <v>46226</v>
      </c>
      <c r="U14" s="212"/>
      <c r="V14" s="212"/>
      <c r="W14" s="235">
        <f t="shared" si="1"/>
        <v>46261</v>
      </c>
      <c r="X14" s="212">
        <v>1</v>
      </c>
      <c r="Y14" s="212"/>
      <c r="Z14" s="370">
        <v>46273</v>
      </c>
      <c r="AA14" s="232"/>
      <c r="AB14" s="232"/>
      <c r="AC14" s="235">
        <f t="shared" si="2"/>
        <v>35</v>
      </c>
      <c r="AD14" s="221"/>
    </row>
    <row r="15" spans="1:30" ht="15.75">
      <c r="A15" s="211" t="str">
        <f>'BRSA Sorties '!C127</f>
        <v>COLOMBEL</v>
      </c>
      <c r="B15" s="211" t="str">
        <f>'BRSA Sorties '!D127</f>
        <v>Mickael</v>
      </c>
      <c r="C15" s="211">
        <v>1</v>
      </c>
      <c r="D15" s="211">
        <v>1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/>
      <c r="P15" s="232"/>
      <c r="Q15" s="212">
        <v>1</v>
      </c>
      <c r="R15" s="236">
        <v>46059</v>
      </c>
      <c r="S15" s="339">
        <v>46062</v>
      </c>
      <c r="T15" s="234">
        <f t="shared" si="0"/>
        <v>46077</v>
      </c>
      <c r="U15" s="212"/>
      <c r="V15" s="212"/>
      <c r="W15" s="235">
        <f t="shared" si="1"/>
        <v>46112</v>
      </c>
      <c r="X15" s="212">
        <v>0</v>
      </c>
      <c r="Y15" s="212"/>
      <c r="Z15" s="370">
        <v>46105</v>
      </c>
      <c r="AA15" s="232"/>
      <c r="AB15" s="232"/>
      <c r="AC15" s="235">
        <f t="shared" si="2"/>
        <v>35</v>
      </c>
      <c r="AD15" s="221"/>
    </row>
    <row r="16" spans="1:30">
      <c r="A16" s="211" t="str">
        <f>'OYONNAX NANTUA'!C17</f>
        <v>DESSAINTJEAN</v>
      </c>
      <c r="B16" s="211" t="str">
        <f>'OYONNAX NANTUA'!D17</f>
        <v>Amandine</v>
      </c>
      <c r="C16" s="211">
        <v>1</v>
      </c>
      <c r="D16" s="211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12"/>
      <c r="R16" s="233"/>
      <c r="S16" s="212"/>
      <c r="T16" s="234">
        <f t="shared" si="0"/>
        <v>15</v>
      </c>
      <c r="U16" s="212"/>
      <c r="V16" s="212"/>
      <c r="W16" s="235">
        <f t="shared" si="1"/>
        <v>50</v>
      </c>
      <c r="X16" s="212"/>
      <c r="Y16" s="212"/>
      <c r="Z16" s="366"/>
      <c r="AA16" s="232"/>
      <c r="AB16" s="232"/>
      <c r="AC16" s="235">
        <f t="shared" si="2"/>
        <v>35</v>
      </c>
      <c r="AD16" s="221"/>
    </row>
    <row r="17" spans="1:30" s="371" customFormat="1" ht="15.75">
      <c r="A17" s="365" t="str">
        <f>'BRSA Sorties '!C124</f>
        <v>DUBOT</v>
      </c>
      <c r="B17" s="365" t="str">
        <f>'BRSA Sorties '!D124</f>
        <v>Sébastien</v>
      </c>
      <c r="C17" s="365">
        <v>1</v>
      </c>
      <c r="D17" s="365">
        <v>1</v>
      </c>
      <c r="E17" s="366"/>
      <c r="F17" s="366"/>
      <c r="G17" s="366"/>
      <c r="H17" s="366"/>
      <c r="I17" s="366"/>
      <c r="J17" s="366"/>
      <c r="K17" s="366"/>
      <c r="L17" s="366"/>
      <c r="M17" s="366"/>
      <c r="N17" s="366"/>
      <c r="O17" s="366"/>
      <c r="P17" s="366"/>
      <c r="Q17" s="367">
        <v>1</v>
      </c>
      <c r="R17" s="368">
        <v>46078</v>
      </c>
      <c r="S17" s="374">
        <v>46083</v>
      </c>
      <c r="T17" s="382">
        <f t="shared" si="0"/>
        <v>46098</v>
      </c>
      <c r="U17" s="367"/>
      <c r="V17" s="367"/>
      <c r="W17" s="370">
        <f t="shared" si="1"/>
        <v>46133</v>
      </c>
      <c r="X17" s="367">
        <v>0</v>
      </c>
      <c r="Y17" s="367">
        <v>1</v>
      </c>
      <c r="Z17" s="370">
        <v>46154</v>
      </c>
      <c r="AA17" s="366"/>
      <c r="AB17" s="366"/>
      <c r="AC17" s="370">
        <f t="shared" si="2"/>
        <v>35</v>
      </c>
    </row>
    <row r="18" spans="1:30" s="219" customFormat="1" ht="15.75">
      <c r="A18" s="211" t="str">
        <f>'BRSA Sorties '!C125</f>
        <v>EL JABBAR</v>
      </c>
      <c r="B18" s="211" t="str">
        <f>'BRSA Sorties '!D125</f>
        <v>Anass</v>
      </c>
      <c r="C18" s="211">
        <v>1</v>
      </c>
      <c r="D18" s="211">
        <v>1</v>
      </c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12"/>
      <c r="R18" s="236"/>
      <c r="S18" s="343"/>
      <c r="T18" s="234">
        <f t="shared" si="0"/>
        <v>15</v>
      </c>
      <c r="U18" s="212"/>
      <c r="V18" s="212"/>
      <c r="W18" s="235">
        <f t="shared" si="1"/>
        <v>50</v>
      </c>
      <c r="X18" s="212"/>
      <c r="Y18" s="212"/>
      <c r="Z18" s="366"/>
      <c r="AA18" s="232"/>
      <c r="AB18" s="232"/>
      <c r="AC18" s="235">
        <f t="shared" si="2"/>
        <v>35</v>
      </c>
      <c r="AD18" s="221"/>
    </row>
    <row r="19" spans="1:30" s="371" customFormat="1" ht="15" customHeight="1">
      <c r="A19" s="365" t="str">
        <f>'BRSA Sorties '!C113</f>
        <v>EL-HAMDI</v>
      </c>
      <c r="B19" s="365" t="str">
        <f>'BRSA Sorties '!D113</f>
        <v>Mourad</v>
      </c>
      <c r="C19" s="365">
        <v>1</v>
      </c>
      <c r="D19" s="365">
        <v>1</v>
      </c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6"/>
      <c r="P19" s="366"/>
      <c r="Q19" s="367">
        <v>1</v>
      </c>
      <c r="R19" s="368">
        <v>46077</v>
      </c>
      <c r="S19" s="374"/>
      <c r="T19" s="382">
        <f t="shared" si="0"/>
        <v>15</v>
      </c>
      <c r="U19" s="367">
        <v>0</v>
      </c>
      <c r="V19" s="367"/>
      <c r="W19" s="370">
        <f t="shared" si="1"/>
        <v>50</v>
      </c>
      <c r="X19" s="367"/>
      <c r="Y19" s="367"/>
      <c r="Z19" s="370">
        <v>46133</v>
      </c>
      <c r="AB19" s="366"/>
      <c r="AC19" s="370">
        <f t="shared" si="2"/>
        <v>35</v>
      </c>
      <c r="AD19" s="373"/>
    </row>
    <row r="20" spans="1:30" s="371" customFormat="1" ht="15.75">
      <c r="A20" s="365" t="str">
        <f>'OYONNAX NANTUA'!C18</f>
        <v>ERAMIL</v>
      </c>
      <c r="B20" s="365" t="str">
        <f>'OYONNAX NANTUA'!D18</f>
        <v>Erhan</v>
      </c>
      <c r="C20" s="365">
        <v>1</v>
      </c>
      <c r="D20" s="365">
        <v>1</v>
      </c>
      <c r="E20" s="366"/>
      <c r="F20" s="366">
        <v>1</v>
      </c>
      <c r="G20" s="366"/>
      <c r="H20" s="366"/>
      <c r="I20" s="366"/>
      <c r="J20" s="366">
        <v>2</v>
      </c>
      <c r="K20" s="366"/>
      <c r="L20" s="366"/>
      <c r="M20" s="366">
        <v>1</v>
      </c>
      <c r="N20" s="366"/>
      <c r="O20" s="366"/>
      <c r="P20" s="366"/>
      <c r="Q20" s="367">
        <v>1</v>
      </c>
      <c r="R20" s="368">
        <v>46136</v>
      </c>
      <c r="S20" s="374">
        <v>46161</v>
      </c>
      <c r="T20" s="382">
        <f t="shared" si="0"/>
        <v>46176</v>
      </c>
      <c r="U20" s="367">
        <v>1</v>
      </c>
      <c r="V20" s="367">
        <v>1</v>
      </c>
      <c r="W20" s="370">
        <f t="shared" si="1"/>
        <v>46211</v>
      </c>
      <c r="X20" s="367"/>
      <c r="Y20" s="367"/>
      <c r="Z20" s="366"/>
      <c r="AA20" s="370">
        <v>46216</v>
      </c>
      <c r="AB20" s="366"/>
      <c r="AC20" s="370">
        <f t="shared" si="2"/>
        <v>35</v>
      </c>
      <c r="AD20" s="373"/>
    </row>
    <row r="21" spans="1:30" s="219" customFormat="1" ht="15.75">
      <c r="A21" s="211" t="str">
        <f>'BRSA Sorties '!C96</f>
        <v>ERSOY</v>
      </c>
      <c r="B21" s="211" t="str">
        <f>'BRSA Sorties '!D96</f>
        <v>Salih</v>
      </c>
      <c r="C21" s="211">
        <v>1</v>
      </c>
      <c r="D21" s="211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12"/>
      <c r="R21" s="236"/>
      <c r="S21" s="343"/>
      <c r="T21" s="234">
        <f t="shared" si="0"/>
        <v>15</v>
      </c>
      <c r="U21" s="212"/>
      <c r="V21" s="212"/>
      <c r="W21" s="235">
        <f t="shared" si="1"/>
        <v>50</v>
      </c>
      <c r="X21" s="212"/>
      <c r="Y21" s="212"/>
      <c r="Z21" s="366"/>
      <c r="AA21" s="232"/>
      <c r="AB21" s="232"/>
      <c r="AC21" s="235">
        <f t="shared" si="2"/>
        <v>35</v>
      </c>
      <c r="AD21" s="221"/>
    </row>
    <row r="22" spans="1:30" ht="15.75">
      <c r="A22" s="211" t="str">
        <f>'BRSA Sorties '!C83</f>
        <v>EZZARHOUNI</v>
      </c>
      <c r="B22" s="211" t="str">
        <f>'BRSA Sorties '!D83</f>
        <v>Nesrdine</v>
      </c>
      <c r="C22" s="211"/>
      <c r="D22" s="211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12"/>
      <c r="R22" s="233"/>
      <c r="S22" s="343"/>
      <c r="T22" s="234">
        <f t="shared" si="0"/>
        <v>15</v>
      </c>
      <c r="U22" s="212"/>
      <c r="V22" s="212"/>
      <c r="W22" s="235">
        <f t="shared" si="1"/>
        <v>50</v>
      </c>
      <c r="X22" s="212"/>
      <c r="Y22" s="212"/>
      <c r="Z22" s="366"/>
      <c r="AA22" s="232"/>
      <c r="AB22" s="232"/>
      <c r="AC22" s="235">
        <f t="shared" si="2"/>
        <v>35</v>
      </c>
      <c r="AD22" s="221"/>
    </row>
    <row r="23" spans="1:30" s="219" customFormat="1" ht="15.75">
      <c r="A23" s="211" t="str">
        <f>'BRSA Sorties '!C155</f>
        <v>GAYNUTDINOV</v>
      </c>
      <c r="B23" s="211" t="str">
        <f>'BRSA Sorties '!D155</f>
        <v>Rafael</v>
      </c>
      <c r="C23" s="211"/>
      <c r="D23" s="211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12"/>
      <c r="R23" s="236"/>
      <c r="S23" s="343"/>
      <c r="T23" s="237">
        <f t="shared" si="0"/>
        <v>15</v>
      </c>
      <c r="U23" s="212"/>
      <c r="V23" s="212"/>
      <c r="W23" s="235">
        <f t="shared" si="1"/>
        <v>50</v>
      </c>
      <c r="X23" s="212"/>
      <c r="Y23" s="212"/>
      <c r="Z23" s="366"/>
      <c r="AA23" s="232"/>
      <c r="AB23" s="232"/>
      <c r="AC23" s="235">
        <f t="shared" si="2"/>
        <v>35</v>
      </c>
      <c r="AD23" s="221"/>
    </row>
    <row r="24" spans="1:30" ht="15.75">
      <c r="A24" s="211" t="str">
        <f>'OYONNAX NANTUA'!C19</f>
        <v>JUILLARD</v>
      </c>
      <c r="B24" s="211" t="str">
        <f>'OYONNAX NANTUA'!D19</f>
        <v>Frédéric</v>
      </c>
      <c r="C24" s="211">
        <v>1</v>
      </c>
      <c r="D24" s="211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12"/>
      <c r="R24" s="236"/>
      <c r="S24" s="343"/>
      <c r="T24" s="237">
        <f t="shared" si="0"/>
        <v>15</v>
      </c>
      <c r="U24" s="212"/>
      <c r="V24" s="212"/>
      <c r="W24" s="235">
        <f t="shared" si="1"/>
        <v>50</v>
      </c>
      <c r="X24" s="212"/>
      <c r="Y24" s="212"/>
      <c r="Z24" s="366"/>
      <c r="AA24" s="232"/>
      <c r="AB24" s="232"/>
      <c r="AC24" s="235">
        <f t="shared" si="2"/>
        <v>35</v>
      </c>
      <c r="AD24" s="221"/>
    </row>
    <row r="25" spans="1:30" ht="15.75">
      <c r="A25" s="211" t="str">
        <f>'BRSA Sorties '!C151</f>
        <v>KAMENICA</v>
      </c>
      <c r="B25" s="211" t="str">
        <f>'BRSA Sorties '!D151</f>
        <v>Ardit</v>
      </c>
      <c r="C25" s="211"/>
      <c r="D25" s="211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12">
        <v>1</v>
      </c>
      <c r="R25" s="236">
        <v>46059</v>
      </c>
      <c r="S25" s="343">
        <v>46091</v>
      </c>
      <c r="T25" s="237">
        <f t="shared" si="0"/>
        <v>46106</v>
      </c>
      <c r="U25" s="212">
        <v>1</v>
      </c>
      <c r="V25" s="212"/>
      <c r="W25" s="235">
        <f t="shared" si="1"/>
        <v>46141</v>
      </c>
      <c r="X25" s="212"/>
      <c r="Y25" s="212"/>
      <c r="Z25" s="366"/>
      <c r="AA25" s="232"/>
      <c r="AB25" s="232"/>
      <c r="AC25" s="235">
        <f t="shared" si="2"/>
        <v>35</v>
      </c>
      <c r="AD25" s="221"/>
    </row>
    <row r="26" spans="1:30">
      <c r="A26" s="211" t="str">
        <f>'OYONNAX NANTUA'!C20</f>
        <v>KANBOUI</v>
      </c>
      <c r="B26" s="211" t="str">
        <f>'OYONNAX NANTUA'!D20</f>
        <v>Zineb</v>
      </c>
      <c r="C26" s="211"/>
      <c r="D26" s="211"/>
      <c r="E26" s="232"/>
      <c r="F26" s="232"/>
      <c r="G26" s="232"/>
      <c r="H26" s="232"/>
      <c r="I26" s="232"/>
      <c r="J26" s="232"/>
      <c r="K26" s="232"/>
      <c r="L26" s="232"/>
      <c r="M26" s="232"/>
      <c r="N26" s="232"/>
      <c r="O26" s="232"/>
      <c r="P26" s="232"/>
      <c r="Q26" s="212"/>
      <c r="R26" s="233"/>
      <c r="S26" s="212"/>
      <c r="T26" s="237">
        <f t="shared" si="0"/>
        <v>15</v>
      </c>
      <c r="U26" s="212"/>
      <c r="V26" s="212"/>
      <c r="W26" s="235">
        <f t="shared" si="1"/>
        <v>50</v>
      </c>
      <c r="X26" s="212"/>
      <c r="Y26" s="212"/>
      <c r="Z26" s="366"/>
      <c r="AA26" s="232"/>
      <c r="AB26" s="232"/>
      <c r="AC26" s="235">
        <f t="shared" si="2"/>
        <v>35</v>
      </c>
      <c r="AD26" s="221"/>
    </row>
    <row r="27" spans="1:30">
      <c r="A27" s="211" t="str">
        <f>'BRSA Sorties '!C128</f>
        <v>KARIAM</v>
      </c>
      <c r="B27" s="211" t="str">
        <f>'BRSA Sorties '!D128</f>
        <v>Omar</v>
      </c>
      <c r="C27" s="211">
        <v>1</v>
      </c>
      <c r="D27" s="211">
        <v>1</v>
      </c>
      <c r="E27" s="232"/>
      <c r="F27" s="232"/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12"/>
      <c r="R27" s="233"/>
      <c r="S27" s="212"/>
      <c r="T27" s="237">
        <f t="shared" si="0"/>
        <v>15</v>
      </c>
      <c r="U27" s="212"/>
      <c r="V27" s="212"/>
      <c r="W27" s="235">
        <f t="shared" si="1"/>
        <v>50</v>
      </c>
      <c r="X27" s="212"/>
      <c r="Y27" s="212"/>
      <c r="Z27" s="366"/>
      <c r="AA27" s="232"/>
      <c r="AB27" s="232"/>
      <c r="AC27" s="235">
        <f t="shared" si="2"/>
        <v>35</v>
      </c>
      <c r="AD27" s="221"/>
    </row>
    <row r="28" spans="1:30" ht="15.75">
      <c r="A28" s="211" t="str">
        <f>'OYONNAX NANTUA'!C21</f>
        <v>KONMAZ</v>
      </c>
      <c r="B28" s="211" t="str">
        <f>'OYONNAX NANTUA'!D21</f>
        <v>Ayse</v>
      </c>
      <c r="C28" s="211">
        <v>1</v>
      </c>
      <c r="D28" s="211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12">
        <v>1</v>
      </c>
      <c r="R28" s="233"/>
      <c r="S28" s="343"/>
      <c r="T28" s="237">
        <f t="shared" si="0"/>
        <v>15</v>
      </c>
      <c r="U28" s="212"/>
      <c r="V28" s="212"/>
      <c r="W28" s="235">
        <f t="shared" si="1"/>
        <v>50</v>
      </c>
      <c r="X28" s="212"/>
      <c r="Y28" s="212"/>
      <c r="Z28" s="366"/>
      <c r="AA28" s="232"/>
      <c r="AB28" s="232"/>
      <c r="AC28" s="235">
        <f t="shared" si="2"/>
        <v>35</v>
      </c>
      <c r="AD28" s="221"/>
    </row>
    <row r="29" spans="1:30">
      <c r="A29" s="211" t="str">
        <f>'OYONNAX NANTUA'!C22</f>
        <v>LAOUFI</v>
      </c>
      <c r="B29" s="211" t="str">
        <f>'OYONNAX NANTUA'!D22</f>
        <v>Hamza</v>
      </c>
      <c r="C29" s="211"/>
      <c r="D29" s="211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12"/>
      <c r="R29" s="233"/>
      <c r="S29" s="212"/>
      <c r="T29" s="237">
        <f t="shared" si="0"/>
        <v>15</v>
      </c>
      <c r="U29" s="212"/>
      <c r="V29" s="212"/>
      <c r="W29" s="235">
        <f t="shared" si="1"/>
        <v>50</v>
      </c>
      <c r="X29" s="212"/>
      <c r="Y29" s="212"/>
      <c r="Z29" s="366"/>
      <c r="AA29" s="232"/>
      <c r="AB29" s="232"/>
      <c r="AC29" s="235">
        <f t="shared" si="2"/>
        <v>35</v>
      </c>
      <c r="AD29" s="221"/>
    </row>
    <row r="30" spans="1:30">
      <c r="A30" s="211" t="str">
        <f>'BRSA Sorties '!C134</f>
        <v>LEANG DATH</v>
      </c>
      <c r="B30" s="211" t="str">
        <f>'BRSA Sorties '!D134</f>
        <v>Benoît</v>
      </c>
      <c r="C30" s="211"/>
      <c r="D30" s="211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12"/>
      <c r="R30" s="233"/>
      <c r="S30" s="212"/>
      <c r="T30" s="237">
        <f t="shared" si="0"/>
        <v>15</v>
      </c>
      <c r="U30" s="212"/>
      <c r="V30" s="212"/>
      <c r="W30" s="235">
        <f t="shared" si="1"/>
        <v>50</v>
      </c>
      <c r="X30" s="212"/>
      <c r="Y30" s="212"/>
      <c r="Z30" s="366"/>
      <c r="AA30" s="232"/>
      <c r="AB30" s="232"/>
      <c r="AC30" s="235">
        <f t="shared" si="2"/>
        <v>35</v>
      </c>
      <c r="AD30" s="221"/>
    </row>
    <row r="31" spans="1:30" s="371" customFormat="1">
      <c r="A31" s="365" t="str">
        <f>'BRSA Sorties '!C112</f>
        <v>LIEU</v>
      </c>
      <c r="B31" s="365" t="str">
        <f>'BRSA Sorties '!D112</f>
        <v>Ophelie-kim</v>
      </c>
      <c r="C31" s="365">
        <v>1</v>
      </c>
      <c r="D31" s="365">
        <v>1</v>
      </c>
      <c r="E31" s="366"/>
      <c r="F31" s="366"/>
      <c r="G31" s="366"/>
      <c r="H31" s="366"/>
      <c r="I31" s="366"/>
      <c r="J31" s="366"/>
      <c r="K31" s="366"/>
      <c r="L31" s="366"/>
      <c r="M31" s="366"/>
      <c r="N31" s="366"/>
      <c r="O31" s="366"/>
      <c r="P31" s="366"/>
      <c r="Q31" s="367">
        <v>1</v>
      </c>
      <c r="R31" s="368">
        <v>46120</v>
      </c>
      <c r="S31" s="389">
        <v>46122</v>
      </c>
      <c r="T31" s="369">
        <f t="shared" si="0"/>
        <v>46137</v>
      </c>
      <c r="U31" s="367">
        <v>1</v>
      </c>
      <c r="V31" s="367">
        <v>1</v>
      </c>
      <c r="W31" s="370">
        <f t="shared" si="1"/>
        <v>46172</v>
      </c>
      <c r="X31" s="367"/>
      <c r="Y31" s="367"/>
      <c r="Z31" s="366"/>
      <c r="AA31" s="366"/>
      <c r="AB31" s="366"/>
      <c r="AC31" s="370">
        <f t="shared" si="2"/>
        <v>35</v>
      </c>
    </row>
    <row r="32" spans="1:30" s="219" customFormat="1">
      <c r="A32" s="211" t="str">
        <f>'BRSA Sorties '!C131</f>
        <v>MAADOUR</v>
      </c>
      <c r="B32" s="211" t="str">
        <f>'BRSA Sorties '!D131</f>
        <v>Anas</v>
      </c>
      <c r="C32" s="211">
        <v>1</v>
      </c>
      <c r="D32" s="211">
        <v>1</v>
      </c>
      <c r="E32" s="232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12"/>
      <c r="R32" s="236"/>
      <c r="S32" s="212"/>
      <c r="T32" s="237">
        <f t="shared" si="0"/>
        <v>15</v>
      </c>
      <c r="U32" s="212"/>
      <c r="V32" s="212"/>
      <c r="W32" s="235">
        <f t="shared" si="1"/>
        <v>50</v>
      </c>
      <c r="X32" s="212"/>
      <c r="Y32" s="212"/>
      <c r="Z32" s="366"/>
      <c r="AA32" s="232"/>
      <c r="AB32" s="232"/>
      <c r="AC32" s="235">
        <f t="shared" si="2"/>
        <v>35</v>
      </c>
      <c r="AD32" s="221"/>
    </row>
    <row r="33" spans="1:30">
      <c r="A33" s="211" t="str">
        <f>'BRSA Sorties '!C107</f>
        <v>MEHALLEL</v>
      </c>
      <c r="B33" s="211" t="str">
        <f>'BRSA Sorties '!D107</f>
        <v>Salim</v>
      </c>
      <c r="C33" s="211"/>
      <c r="D33" s="211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12"/>
      <c r="R33" s="233"/>
      <c r="S33" s="212"/>
      <c r="T33" s="237">
        <f t="shared" si="0"/>
        <v>15</v>
      </c>
      <c r="U33" s="212"/>
      <c r="V33" s="212"/>
      <c r="W33" s="235">
        <f t="shared" si="1"/>
        <v>50</v>
      </c>
      <c r="X33" s="212"/>
      <c r="Y33" s="212"/>
      <c r="Z33" s="366"/>
      <c r="AA33" s="232"/>
      <c r="AB33" s="232"/>
      <c r="AC33" s="235">
        <f t="shared" si="2"/>
        <v>35</v>
      </c>
      <c r="AD33" s="221"/>
    </row>
    <row r="34" spans="1:30">
      <c r="A34" s="211" t="str">
        <f>'OYONNAX NANTUA'!C24</f>
        <v>MOHAMMAD</v>
      </c>
      <c r="B34" s="211" t="str">
        <f>'OYONNAX NANTUA'!D24</f>
        <v>Sania</v>
      </c>
      <c r="C34" s="211">
        <v>1</v>
      </c>
      <c r="D34" s="211"/>
      <c r="E34" s="232"/>
      <c r="F34" s="232"/>
      <c r="G34" s="232"/>
      <c r="H34" s="232"/>
      <c r="I34" s="232"/>
      <c r="J34" s="232"/>
      <c r="K34" s="232">
        <v>1</v>
      </c>
      <c r="L34" s="232"/>
      <c r="M34" s="232"/>
      <c r="N34" s="232"/>
      <c r="O34" s="232"/>
      <c r="P34" s="232"/>
      <c r="Q34" s="212"/>
      <c r="R34" s="233"/>
      <c r="S34" s="212"/>
      <c r="T34" s="237">
        <f t="shared" si="0"/>
        <v>15</v>
      </c>
      <c r="U34" s="212"/>
      <c r="V34" s="212"/>
      <c r="W34" s="235">
        <f t="shared" si="1"/>
        <v>50</v>
      </c>
      <c r="X34" s="212"/>
      <c r="Y34" s="212"/>
      <c r="Z34" s="366"/>
      <c r="AA34" s="232"/>
      <c r="AB34" s="232"/>
      <c r="AC34" s="235">
        <f t="shared" si="2"/>
        <v>35</v>
      </c>
      <c r="AD34" s="221"/>
    </row>
    <row r="35" spans="1:30" s="371" customFormat="1">
      <c r="A35" s="365" t="str">
        <f>'BRSA Sorties '!C140</f>
        <v>MUTLU</v>
      </c>
      <c r="B35" s="365" t="str">
        <f>'BRSA Sorties '!D140</f>
        <v>Mualla</v>
      </c>
      <c r="C35" s="365"/>
      <c r="D35" s="365"/>
      <c r="E35" s="366"/>
      <c r="F35" s="366"/>
      <c r="G35" s="366"/>
      <c r="H35" s="366"/>
      <c r="I35" s="366"/>
      <c r="J35" s="366"/>
      <c r="K35" s="366">
        <v>1</v>
      </c>
      <c r="L35" s="366"/>
      <c r="M35" s="366"/>
      <c r="N35" s="366"/>
      <c r="O35" s="366"/>
      <c r="P35" s="366"/>
      <c r="Q35" s="367"/>
      <c r="R35" s="381"/>
      <c r="S35" s="367"/>
      <c r="T35" s="369">
        <f t="shared" si="0"/>
        <v>15</v>
      </c>
      <c r="U35" s="367"/>
      <c r="V35" s="367"/>
      <c r="W35" s="370">
        <f t="shared" si="1"/>
        <v>50</v>
      </c>
      <c r="X35" s="367"/>
      <c r="Y35" s="367"/>
      <c r="Z35" s="366"/>
      <c r="AA35" s="366"/>
      <c r="AB35" s="366"/>
      <c r="AC35" s="370">
        <f t="shared" si="2"/>
        <v>35</v>
      </c>
    </row>
    <row r="36" spans="1:30">
      <c r="A36" s="211" t="str">
        <f>'OYONNAX NANTUA'!C25</f>
        <v>NACIRY</v>
      </c>
      <c r="B36" s="211" t="str">
        <f>'OYONNAX NANTUA'!D25</f>
        <v>Moussa</v>
      </c>
      <c r="C36" s="211"/>
      <c r="D36" s="211"/>
      <c r="E36" s="232"/>
      <c r="F36" s="232"/>
      <c r="G36" s="232"/>
      <c r="H36" s="232"/>
      <c r="I36" s="232"/>
      <c r="J36" s="232">
        <v>2</v>
      </c>
      <c r="K36" s="232"/>
      <c r="L36" s="232">
        <v>1</v>
      </c>
      <c r="M36" s="232"/>
      <c r="N36" s="232"/>
      <c r="O36" s="232"/>
      <c r="P36" s="232"/>
      <c r="Q36" s="212"/>
      <c r="R36" s="233"/>
      <c r="S36" s="212"/>
      <c r="T36" s="237">
        <f t="shared" si="0"/>
        <v>15</v>
      </c>
      <c r="U36" s="212"/>
      <c r="V36" s="212"/>
      <c r="W36" s="235">
        <f t="shared" si="1"/>
        <v>50</v>
      </c>
      <c r="X36" s="212"/>
      <c r="Y36" s="212"/>
      <c r="Z36" s="366"/>
      <c r="AA36" s="232"/>
      <c r="AB36" s="232"/>
      <c r="AC36" s="235">
        <f t="shared" si="2"/>
        <v>35</v>
      </c>
      <c r="AD36" s="221"/>
    </row>
    <row r="37" spans="1:30">
      <c r="A37" s="211" t="str">
        <f>'BRSA Sorties '!C136</f>
        <v>OULAKBIR</v>
      </c>
      <c r="B37" s="211" t="str">
        <f>'BRSA Sorties '!D136</f>
        <v>Touria</v>
      </c>
      <c r="C37" s="211"/>
      <c r="D37" s="211"/>
      <c r="E37" s="232"/>
      <c r="F37" s="232">
        <v>1</v>
      </c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12"/>
      <c r="R37" s="233"/>
      <c r="S37" s="212"/>
      <c r="T37" s="237">
        <f t="shared" si="0"/>
        <v>15</v>
      </c>
      <c r="U37" s="212"/>
      <c r="V37" s="212"/>
      <c r="W37" s="235">
        <f t="shared" si="1"/>
        <v>50</v>
      </c>
      <c r="X37" s="212"/>
      <c r="Y37" s="212"/>
      <c r="Z37" s="366"/>
      <c r="AA37" s="232"/>
      <c r="AB37" s="232"/>
      <c r="AC37" s="235">
        <f t="shared" si="2"/>
        <v>35</v>
      </c>
      <c r="AD37" s="221"/>
    </row>
    <row r="38" spans="1:30">
      <c r="A38" s="211" t="str">
        <f>'BRSA Sorties '!C90</f>
        <v>OZCAN</v>
      </c>
      <c r="B38" s="211" t="str">
        <f>'BRSA Sorties '!D90</f>
        <v>Okan</v>
      </c>
      <c r="C38" s="211">
        <v>1</v>
      </c>
      <c r="D38" s="211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12"/>
      <c r="R38" s="233"/>
      <c r="S38" s="212"/>
      <c r="T38" s="237">
        <f t="shared" si="0"/>
        <v>15</v>
      </c>
      <c r="U38" s="212"/>
      <c r="V38" s="212"/>
      <c r="W38" s="235">
        <f t="shared" si="1"/>
        <v>50</v>
      </c>
      <c r="X38" s="212"/>
      <c r="Y38" s="212"/>
      <c r="Z38" s="366"/>
      <c r="AA38" s="232"/>
      <c r="AB38" s="232"/>
      <c r="AC38" s="235">
        <f t="shared" si="2"/>
        <v>35</v>
      </c>
      <c r="AD38" s="221"/>
    </row>
    <row r="39" spans="1:30">
      <c r="A39" s="211" t="str">
        <f>'BRSA Sorties '!C119</f>
        <v>OZCAN</v>
      </c>
      <c r="B39" s="211" t="str">
        <f>'BRSA Sorties '!D119</f>
        <v>Kamile</v>
      </c>
      <c r="C39" s="211"/>
      <c r="D39" s="211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12"/>
      <c r="R39" s="233"/>
      <c r="S39" s="212"/>
      <c r="T39" s="237">
        <f t="shared" si="0"/>
        <v>15</v>
      </c>
      <c r="U39" s="212"/>
      <c r="V39" s="212"/>
      <c r="W39" s="235">
        <f t="shared" si="1"/>
        <v>50</v>
      </c>
      <c r="X39" s="212"/>
      <c r="Y39" s="212"/>
      <c r="Z39" s="366"/>
      <c r="AA39" s="232"/>
      <c r="AB39" s="232"/>
      <c r="AC39" s="235">
        <f t="shared" si="2"/>
        <v>35</v>
      </c>
      <c r="AD39" s="221"/>
    </row>
    <row r="40" spans="1:30">
      <c r="A40" s="211" t="str">
        <f>'OYONNAX NANTUA'!C26</f>
        <v>OZDEMIR</v>
      </c>
      <c r="B40" s="211" t="str">
        <f>'OYONNAX NANTUA'!D26</f>
        <v>Songul</v>
      </c>
      <c r="C40" s="211"/>
      <c r="D40" s="211"/>
      <c r="E40" s="232"/>
      <c r="F40" s="232"/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12"/>
      <c r="R40" s="233"/>
      <c r="S40" s="212"/>
      <c r="T40" s="237">
        <f t="shared" si="0"/>
        <v>15</v>
      </c>
      <c r="U40" s="212"/>
      <c r="V40" s="212"/>
      <c r="W40" s="235">
        <f t="shared" si="1"/>
        <v>50</v>
      </c>
      <c r="X40" s="212"/>
      <c r="Y40" s="212"/>
      <c r="Z40" s="366"/>
      <c r="AA40" s="232"/>
      <c r="AB40" s="232"/>
      <c r="AC40" s="235">
        <f t="shared" si="2"/>
        <v>35</v>
      </c>
      <c r="AD40" s="221"/>
    </row>
    <row r="41" spans="1:30" ht="15.75">
      <c r="A41" s="211" t="str">
        <f>'BRSA Sorties '!C108</f>
        <v>OZDEMIR</v>
      </c>
      <c r="B41" s="211" t="str">
        <f>'BRSA Sorties '!D108</f>
        <v>Emine</v>
      </c>
      <c r="C41" s="211">
        <v>1</v>
      </c>
      <c r="D41" s="211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12">
        <v>1</v>
      </c>
      <c r="R41" s="236">
        <v>46059</v>
      </c>
      <c r="S41" s="340">
        <v>46062</v>
      </c>
      <c r="T41" s="237">
        <f t="shared" si="0"/>
        <v>46077</v>
      </c>
      <c r="U41" s="212">
        <v>0</v>
      </c>
      <c r="V41" s="212"/>
      <c r="W41" s="235">
        <f t="shared" si="1"/>
        <v>46112</v>
      </c>
      <c r="X41" s="212"/>
      <c r="Y41" s="212"/>
      <c r="Z41" s="370">
        <v>46119</v>
      </c>
      <c r="AA41" s="232"/>
      <c r="AB41" s="232"/>
      <c r="AC41" s="235">
        <f t="shared" si="2"/>
        <v>35</v>
      </c>
      <c r="AD41" s="221"/>
    </row>
    <row r="42" spans="1:30">
      <c r="A42" s="211" t="str">
        <f>'BRSA Sorties '!C130</f>
        <v>OZER</v>
      </c>
      <c r="B42" s="211" t="str">
        <f>'BRSA Sorties '!D130</f>
        <v>Ismaïl</v>
      </c>
      <c r="C42" s="211">
        <v>1</v>
      </c>
      <c r="D42" s="211">
        <v>1</v>
      </c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12"/>
      <c r="R42" s="233"/>
      <c r="S42" s="212"/>
      <c r="T42" s="237">
        <f t="shared" si="0"/>
        <v>15</v>
      </c>
      <c r="U42" s="212"/>
      <c r="V42" s="212"/>
      <c r="W42" s="235">
        <f t="shared" si="1"/>
        <v>50</v>
      </c>
      <c r="X42" s="212"/>
      <c r="Y42" s="212"/>
      <c r="Z42" s="366"/>
      <c r="AA42" s="232"/>
      <c r="AB42" s="232"/>
      <c r="AC42" s="235">
        <f t="shared" si="2"/>
        <v>35</v>
      </c>
      <c r="AD42" s="221"/>
    </row>
    <row r="43" spans="1:30">
      <c r="A43" s="211" t="str">
        <f>'OYONNAX NANTUA'!C27</f>
        <v>OZKAN</v>
      </c>
      <c r="B43" s="211" t="str">
        <f>'OYONNAX NANTUA'!D27</f>
        <v>Nezahat</v>
      </c>
      <c r="C43" s="211">
        <v>1</v>
      </c>
      <c r="D43" s="211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12"/>
      <c r="R43" s="233"/>
      <c r="S43" s="212"/>
      <c r="T43" s="237">
        <f t="shared" si="0"/>
        <v>15</v>
      </c>
      <c r="U43" s="212"/>
      <c r="V43" s="212"/>
      <c r="W43" s="235">
        <f t="shared" si="1"/>
        <v>50</v>
      </c>
      <c r="X43" s="212"/>
      <c r="Y43" s="212"/>
      <c r="Z43" s="366"/>
      <c r="AA43" s="232"/>
      <c r="AB43" s="232"/>
      <c r="AC43" s="235">
        <f t="shared" si="2"/>
        <v>35</v>
      </c>
      <c r="AD43" s="221"/>
    </row>
    <row r="44" spans="1:30">
      <c r="A44" s="211" t="str">
        <f>'OYONNAX NANTUA'!C28</f>
        <v>OZTURK</v>
      </c>
      <c r="B44" s="211" t="str">
        <f>'OYONNAX NANTUA'!D28</f>
        <v>Fatma</v>
      </c>
      <c r="C44" s="211"/>
      <c r="D44" s="211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12"/>
      <c r="R44" s="233"/>
      <c r="S44" s="212"/>
      <c r="T44" s="237">
        <f t="shared" si="0"/>
        <v>15</v>
      </c>
      <c r="U44" s="212"/>
      <c r="V44" s="212"/>
      <c r="W44" s="235">
        <f t="shared" si="1"/>
        <v>50</v>
      </c>
      <c r="X44" s="212"/>
      <c r="Y44" s="212"/>
      <c r="Z44" s="366"/>
      <c r="AA44" s="232"/>
      <c r="AB44" s="232"/>
      <c r="AC44" s="235">
        <f t="shared" si="2"/>
        <v>35</v>
      </c>
      <c r="AD44" s="221"/>
    </row>
    <row r="45" spans="1:30">
      <c r="A45" s="211" t="str">
        <f>'BRSA Sorties '!C87</f>
        <v>POPRAWA</v>
      </c>
      <c r="B45" s="211" t="str">
        <f>'BRSA Sorties '!D87</f>
        <v>Renata</v>
      </c>
      <c r="C45" s="211">
        <v>1</v>
      </c>
      <c r="D45" s="211">
        <v>1</v>
      </c>
      <c r="E45" s="232"/>
      <c r="F45" s="232"/>
      <c r="G45" s="232">
        <v>2</v>
      </c>
      <c r="H45" s="232"/>
      <c r="I45" s="232"/>
      <c r="J45" s="232"/>
      <c r="K45" s="232"/>
      <c r="L45" s="232"/>
      <c r="M45" s="232"/>
      <c r="N45" s="232"/>
      <c r="O45" s="232"/>
      <c r="P45" s="232"/>
      <c r="Q45" s="212"/>
      <c r="R45" s="233"/>
      <c r="S45" s="212"/>
      <c r="T45" s="237">
        <f t="shared" si="0"/>
        <v>15</v>
      </c>
      <c r="U45" s="212"/>
      <c r="V45" s="212"/>
      <c r="W45" s="235">
        <f t="shared" si="1"/>
        <v>50</v>
      </c>
      <c r="X45" s="212"/>
      <c r="Y45" s="212"/>
      <c r="Z45" s="366"/>
      <c r="AA45" s="232"/>
      <c r="AB45" s="232"/>
      <c r="AC45" s="235">
        <f t="shared" si="2"/>
        <v>35</v>
      </c>
      <c r="AD45" s="221"/>
    </row>
    <row r="46" spans="1:30" s="219" customFormat="1" ht="15.75">
      <c r="A46" s="211" t="str">
        <f>'BRSA Sorties '!C105</f>
        <v>ROSELL</v>
      </c>
      <c r="B46" s="211" t="str">
        <f>'BRSA Sorties '!D105</f>
        <v>Thibault</v>
      </c>
      <c r="C46" s="211">
        <v>1</v>
      </c>
      <c r="D46" s="211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12">
        <v>1</v>
      </c>
      <c r="R46" s="236">
        <v>46059</v>
      </c>
      <c r="S46" s="337">
        <v>46062</v>
      </c>
      <c r="T46" s="237">
        <f t="shared" si="0"/>
        <v>46077</v>
      </c>
      <c r="U46" s="212">
        <v>0</v>
      </c>
      <c r="V46" s="212"/>
      <c r="W46" s="235">
        <f t="shared" si="1"/>
        <v>46112</v>
      </c>
      <c r="X46" s="212"/>
      <c r="Y46" s="212"/>
      <c r="Z46" s="370">
        <v>46119</v>
      </c>
      <c r="AA46" s="232"/>
      <c r="AB46" s="232"/>
      <c r="AC46" s="235">
        <f t="shared" si="2"/>
        <v>35</v>
      </c>
      <c r="AD46" s="375"/>
    </row>
    <row r="47" spans="1:30" ht="15.75">
      <c r="A47" s="211" t="str">
        <f>'OYONNAX NANTUA'!C29</f>
        <v>SAFI</v>
      </c>
      <c r="B47" s="211" t="str">
        <f>'OYONNAX NANTUA'!D29</f>
        <v>Abdul</v>
      </c>
      <c r="C47" s="211"/>
      <c r="D47" s="211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12"/>
      <c r="R47" s="233"/>
      <c r="S47" s="343"/>
      <c r="T47" s="237">
        <f t="shared" si="0"/>
        <v>15</v>
      </c>
      <c r="U47" s="212"/>
      <c r="V47" s="212"/>
      <c r="W47" s="235">
        <f t="shared" si="1"/>
        <v>50</v>
      </c>
      <c r="X47" s="212"/>
      <c r="Y47" s="212"/>
      <c r="Z47" s="366"/>
      <c r="AA47" s="232"/>
      <c r="AB47" s="232"/>
      <c r="AC47" s="235">
        <f t="shared" si="2"/>
        <v>35</v>
      </c>
      <c r="AD47" s="221"/>
    </row>
    <row r="48" spans="1:30" s="219" customFormat="1" ht="15.75">
      <c r="A48" s="211" t="str">
        <f>'OYONNAX NANTUA'!C30</f>
        <v>SARROUKH</v>
      </c>
      <c r="B48" s="211" t="str">
        <f>'OYONNAX NANTUA'!D30</f>
        <v>Mohcine</v>
      </c>
      <c r="C48" s="211"/>
      <c r="D48" s="211"/>
      <c r="E48" s="232"/>
      <c r="F48" s="232"/>
      <c r="G48" s="232"/>
      <c r="H48" s="232">
        <v>1</v>
      </c>
      <c r="I48" s="232"/>
      <c r="J48" s="232"/>
      <c r="K48" s="232"/>
      <c r="L48" s="232"/>
      <c r="M48" s="232"/>
      <c r="N48" s="232"/>
      <c r="O48" s="232"/>
      <c r="P48" s="232"/>
      <c r="Q48" s="212"/>
      <c r="R48" s="236"/>
      <c r="S48" s="343"/>
      <c r="T48" s="237">
        <f t="shared" si="0"/>
        <v>15</v>
      </c>
      <c r="U48" s="212"/>
      <c r="V48" s="212"/>
      <c r="W48" s="235">
        <f t="shared" si="1"/>
        <v>50</v>
      </c>
      <c r="X48" s="212"/>
      <c r="Y48" s="212"/>
      <c r="Z48" s="366"/>
      <c r="AA48" s="232"/>
      <c r="AB48" s="232"/>
      <c r="AC48" s="235">
        <f t="shared" si="2"/>
        <v>35</v>
      </c>
      <c r="AD48" s="221"/>
    </row>
    <row r="49" spans="1:30" ht="15.75">
      <c r="A49" s="211" t="str">
        <f>'BRSA Sorties '!C133</f>
        <v>SMAAL</v>
      </c>
      <c r="B49" s="211" t="str">
        <f>'BRSA Sorties '!D133</f>
        <v>Samir</v>
      </c>
      <c r="C49" s="211">
        <v>1</v>
      </c>
      <c r="D49" s="211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12"/>
      <c r="R49" s="233"/>
      <c r="S49" s="343"/>
      <c r="T49" s="237">
        <f t="shared" si="0"/>
        <v>15</v>
      </c>
      <c r="U49" s="212"/>
      <c r="V49" s="212"/>
      <c r="W49" s="235">
        <f t="shared" si="1"/>
        <v>50</v>
      </c>
      <c r="X49" s="212"/>
      <c r="Y49" s="212"/>
      <c r="Z49" s="366"/>
      <c r="AA49" s="232"/>
      <c r="AB49" s="232"/>
      <c r="AC49" s="235">
        <f t="shared" si="2"/>
        <v>35</v>
      </c>
      <c r="AD49" s="221"/>
    </row>
    <row r="50" spans="1:30" s="371" customFormat="1" ht="15.75">
      <c r="A50" s="365" t="str">
        <f>'OYONNAX NANTUA'!C31</f>
        <v>TARDY</v>
      </c>
      <c r="B50" s="365" t="str">
        <f>'OYONNAX NANTUA'!D31</f>
        <v>Anaïs</v>
      </c>
      <c r="C50" s="365">
        <v>1</v>
      </c>
      <c r="D50" s="365"/>
      <c r="E50" s="366"/>
      <c r="F50" s="366"/>
      <c r="G50" s="366"/>
      <c r="H50" s="366"/>
      <c r="I50" s="366"/>
      <c r="J50" s="366"/>
      <c r="K50" s="366"/>
      <c r="L50" s="366"/>
      <c r="M50" s="366"/>
      <c r="N50" s="366">
        <v>2</v>
      </c>
      <c r="O50" s="366"/>
      <c r="P50" s="366"/>
      <c r="Q50" s="367"/>
      <c r="R50" s="368">
        <v>46199</v>
      </c>
      <c r="S50" s="374">
        <v>46205</v>
      </c>
      <c r="T50" s="369">
        <f t="shared" si="0"/>
        <v>46220</v>
      </c>
      <c r="U50" s="367">
        <v>0</v>
      </c>
      <c r="V50" s="367"/>
      <c r="W50" s="370">
        <f t="shared" si="1"/>
        <v>46255</v>
      </c>
      <c r="X50" s="367"/>
      <c r="Y50" s="367"/>
      <c r="Z50" s="366"/>
      <c r="AA50" s="366"/>
      <c r="AB50" s="366"/>
      <c r="AC50" s="370">
        <f t="shared" si="2"/>
        <v>35</v>
      </c>
    </row>
    <row r="51" spans="1:30" s="371" customFormat="1" ht="15.75">
      <c r="A51" s="365" t="str">
        <f>'BRSA Sorties '!C159</f>
        <v>TECHER</v>
      </c>
      <c r="B51" s="365" t="str">
        <f>'BRSA Sorties '!D159</f>
        <v>Anaelle</v>
      </c>
      <c r="C51" s="365"/>
      <c r="D51" s="365"/>
      <c r="E51" s="366"/>
      <c r="F51" s="366"/>
      <c r="G51" s="366"/>
      <c r="H51" s="366"/>
      <c r="I51" s="366">
        <v>1</v>
      </c>
      <c r="J51" s="366">
        <v>1</v>
      </c>
      <c r="K51" s="366"/>
      <c r="L51" s="366"/>
      <c r="M51" s="366">
        <v>1</v>
      </c>
      <c r="N51" s="366"/>
      <c r="O51" s="366"/>
      <c r="P51" s="366"/>
      <c r="Q51" s="367"/>
      <c r="R51" s="368">
        <v>46168</v>
      </c>
      <c r="S51" s="374">
        <v>46183</v>
      </c>
      <c r="T51" s="369">
        <f t="shared" si="0"/>
        <v>46198</v>
      </c>
      <c r="U51" s="367"/>
      <c r="V51" s="367"/>
      <c r="W51" s="370">
        <f t="shared" si="1"/>
        <v>46233</v>
      </c>
      <c r="X51" s="367"/>
      <c r="Y51" s="367"/>
      <c r="Z51" s="370">
        <v>46245</v>
      </c>
      <c r="AA51" s="366"/>
      <c r="AB51" s="366"/>
      <c r="AC51" s="370">
        <f t="shared" si="2"/>
        <v>35</v>
      </c>
    </row>
    <row r="52" spans="1:30" s="219" customFormat="1" ht="15.75">
      <c r="A52" s="211" t="str">
        <f>'BRSA Sorties '!C86</f>
        <v>TORRES</v>
      </c>
      <c r="B52" s="211" t="str">
        <f>'BRSA Sorties '!D86</f>
        <v>Vicente</v>
      </c>
      <c r="C52" s="211">
        <v>1</v>
      </c>
      <c r="D52" s="211">
        <v>1</v>
      </c>
      <c r="E52" s="232"/>
      <c r="F52" s="232"/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12"/>
      <c r="R52" s="236"/>
      <c r="S52" s="343"/>
      <c r="T52" s="237">
        <f t="shared" si="0"/>
        <v>15</v>
      </c>
      <c r="U52" s="212"/>
      <c r="V52" s="212"/>
      <c r="W52" s="235">
        <f t="shared" si="1"/>
        <v>50</v>
      </c>
      <c r="X52" s="212"/>
      <c r="Y52" s="212"/>
      <c r="Z52" s="366"/>
      <c r="AA52" s="232"/>
      <c r="AB52" s="232"/>
      <c r="AC52" s="235">
        <f t="shared" si="2"/>
        <v>35</v>
      </c>
      <c r="AD52" s="221"/>
    </row>
    <row r="53" spans="1:30" ht="15.75">
      <c r="A53" s="211" t="str">
        <f>'BRSA Sorties '!C129</f>
        <v>BEN EMBARECK</v>
      </c>
      <c r="B53" s="211" t="str">
        <f>'BRSA Sorties '!D129</f>
        <v>Wassila</v>
      </c>
      <c r="C53" s="211">
        <v>1</v>
      </c>
      <c r="D53" s="211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12"/>
      <c r="R53" s="233"/>
      <c r="S53" s="343"/>
      <c r="T53" s="237">
        <f t="shared" si="0"/>
        <v>15</v>
      </c>
      <c r="U53" s="212"/>
      <c r="V53" s="212"/>
      <c r="W53" s="235">
        <f t="shared" si="1"/>
        <v>50</v>
      </c>
      <c r="X53" s="212"/>
      <c r="Y53" s="212"/>
      <c r="Z53" s="366"/>
      <c r="AA53" s="232"/>
      <c r="AB53" s="232"/>
      <c r="AC53" s="235">
        <f t="shared" si="2"/>
        <v>35</v>
      </c>
      <c r="AD53" s="221"/>
    </row>
    <row r="54" spans="1:30" s="371" customFormat="1" ht="15.75">
      <c r="A54" s="365" t="str">
        <f>'OYONNAX NANTUA'!C32</f>
        <v>URCEL</v>
      </c>
      <c r="B54" s="365" t="str">
        <f>'OYONNAX NANTUA'!D32</f>
        <v>Steve</v>
      </c>
      <c r="C54" s="365"/>
      <c r="D54" s="365"/>
      <c r="E54" s="366"/>
      <c r="F54" s="366"/>
      <c r="G54" s="366"/>
      <c r="H54" s="366"/>
      <c r="I54" s="366"/>
      <c r="J54" s="366">
        <v>2</v>
      </c>
      <c r="K54" s="366"/>
      <c r="L54" s="366"/>
      <c r="M54" s="366"/>
      <c r="N54" s="366"/>
      <c r="O54" s="366"/>
      <c r="P54" s="366"/>
      <c r="Q54" s="367"/>
      <c r="R54" s="368">
        <v>46181</v>
      </c>
      <c r="S54" s="374">
        <v>46192</v>
      </c>
      <c r="T54" s="369">
        <f t="shared" si="0"/>
        <v>46207</v>
      </c>
      <c r="U54" s="367">
        <v>0</v>
      </c>
      <c r="V54" s="367"/>
      <c r="W54" s="370">
        <f t="shared" si="1"/>
        <v>46242</v>
      </c>
      <c r="X54" s="367"/>
      <c r="Y54" s="367"/>
      <c r="Z54" s="366"/>
      <c r="AA54" s="366"/>
      <c r="AB54" s="366"/>
      <c r="AC54" s="370">
        <f t="shared" si="2"/>
        <v>35</v>
      </c>
    </row>
    <row r="55" spans="1:30" s="371" customFormat="1" ht="15.75">
      <c r="A55" s="365" t="str">
        <f>'BRSA Sorties '!C116</f>
        <v>VENOT</v>
      </c>
      <c r="B55" s="365" t="str">
        <f>'BRSA Sorties '!D116</f>
        <v>Emilie</v>
      </c>
      <c r="C55" s="365">
        <v>1</v>
      </c>
      <c r="D55" s="365"/>
      <c r="E55" s="366"/>
      <c r="F55" s="366"/>
      <c r="G55" s="366"/>
      <c r="H55" s="366"/>
      <c r="I55" s="366"/>
      <c r="J55" s="366"/>
      <c r="K55" s="366"/>
      <c r="L55" s="366">
        <v>1</v>
      </c>
      <c r="M55" s="366"/>
      <c r="N55" s="366"/>
      <c r="O55" s="366"/>
      <c r="P55" s="366"/>
      <c r="Q55" s="367">
        <v>1</v>
      </c>
      <c r="R55" s="368">
        <v>46121</v>
      </c>
      <c r="S55" s="374">
        <v>46125</v>
      </c>
      <c r="T55" s="369">
        <f t="shared" si="0"/>
        <v>46140</v>
      </c>
      <c r="U55" s="367">
        <v>1</v>
      </c>
      <c r="V55" s="367"/>
      <c r="W55" s="370">
        <f t="shared" si="1"/>
        <v>46175</v>
      </c>
      <c r="X55" s="367"/>
      <c r="Y55" s="367"/>
      <c r="Z55" s="366"/>
      <c r="AA55" s="366"/>
      <c r="AB55" s="366"/>
      <c r="AC55" s="370">
        <f t="shared" si="2"/>
        <v>35</v>
      </c>
    </row>
    <row r="56" spans="1:30" ht="15.75">
      <c r="A56" s="211" t="str">
        <f>'OYONNAX NANTUA'!C23</f>
        <v>LAMBREZ</v>
      </c>
      <c r="B56" s="211" t="str">
        <f>'OYONNAX NANTUA'!D23</f>
        <v>Angélique</v>
      </c>
      <c r="C56" s="211"/>
      <c r="D56" s="211"/>
      <c r="E56" s="232"/>
      <c r="F56" s="232"/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12"/>
      <c r="R56" s="233"/>
      <c r="S56" s="343"/>
      <c r="T56" s="237">
        <f t="shared" si="0"/>
        <v>15</v>
      </c>
      <c r="U56" s="212"/>
      <c r="V56" s="212"/>
      <c r="W56" s="235">
        <f t="shared" si="1"/>
        <v>50</v>
      </c>
      <c r="X56" s="212"/>
      <c r="Y56" s="212"/>
      <c r="Z56" s="366"/>
      <c r="AA56" s="232"/>
      <c r="AB56" s="232"/>
      <c r="AC56" s="235">
        <f t="shared" si="2"/>
        <v>35</v>
      </c>
      <c r="AD56" s="221"/>
    </row>
    <row r="57" spans="1:30" ht="15.75">
      <c r="A57" s="211" t="str">
        <f>'BRSA Sorties '!C138</f>
        <v>HASANI</v>
      </c>
      <c r="B57" s="211" t="str">
        <f>'BRSA Sorties '!D138</f>
        <v>Gazmend</v>
      </c>
      <c r="C57" s="211">
        <v>1</v>
      </c>
      <c r="D57" s="211"/>
      <c r="E57" s="232"/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12"/>
      <c r="R57" s="233"/>
      <c r="S57" s="343"/>
      <c r="T57" s="237">
        <f t="shared" si="0"/>
        <v>15</v>
      </c>
      <c r="U57" s="212"/>
      <c r="V57" s="212"/>
      <c r="W57" s="235">
        <f t="shared" si="1"/>
        <v>50</v>
      </c>
      <c r="X57" s="212"/>
      <c r="Y57" s="212"/>
      <c r="Z57" s="366"/>
      <c r="AA57" s="232"/>
      <c r="AB57" s="232"/>
      <c r="AC57" s="235">
        <f t="shared" si="2"/>
        <v>35</v>
      </c>
      <c r="AD57" s="221"/>
    </row>
    <row r="58" spans="1:30" ht="15.75">
      <c r="A58" s="211" t="str">
        <f>'BRSA Sorties '!C109</f>
        <v>ONCUL</v>
      </c>
      <c r="B58" s="211" t="str">
        <f>'BRSA Sorties '!D109</f>
        <v>Samet</v>
      </c>
      <c r="C58" s="211">
        <v>1</v>
      </c>
      <c r="D58" s="211">
        <v>1</v>
      </c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12">
        <v>1</v>
      </c>
      <c r="R58" s="236">
        <v>46070</v>
      </c>
      <c r="S58" s="343"/>
      <c r="T58" s="237">
        <f t="shared" si="0"/>
        <v>15</v>
      </c>
      <c r="U58" s="212">
        <v>0</v>
      </c>
      <c r="V58" s="212"/>
      <c r="W58" s="235">
        <f t="shared" si="1"/>
        <v>50</v>
      </c>
      <c r="X58" s="212"/>
      <c r="Y58" s="212"/>
      <c r="Z58" s="370">
        <v>46133</v>
      </c>
      <c r="AA58" s="232"/>
      <c r="AB58" s="232"/>
      <c r="AC58" s="235">
        <f t="shared" si="2"/>
        <v>35</v>
      </c>
      <c r="AD58" s="375"/>
    </row>
    <row r="59" spans="1:30" ht="15.75">
      <c r="A59" s="211" t="str">
        <f>'OYONNAX NANTUA'!C33</f>
        <v>AKAKHIL</v>
      </c>
      <c r="B59" s="211" t="str">
        <f>'OYONNAX NANTUA'!D33</f>
        <v>Mohammed</v>
      </c>
      <c r="C59" s="211">
        <v>1</v>
      </c>
      <c r="D59" s="211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12">
        <v>1</v>
      </c>
      <c r="R59" s="236">
        <v>46059</v>
      </c>
      <c r="S59" s="343"/>
      <c r="T59" s="237">
        <f t="shared" si="0"/>
        <v>15</v>
      </c>
      <c r="U59" s="212"/>
      <c r="V59" s="212"/>
      <c r="W59" s="235">
        <f t="shared" si="1"/>
        <v>50</v>
      </c>
      <c r="X59" s="212"/>
      <c r="Y59" s="212"/>
      <c r="Z59" s="366"/>
      <c r="AA59" s="232"/>
      <c r="AB59" s="232"/>
      <c r="AC59" s="235">
        <f t="shared" si="2"/>
        <v>35</v>
      </c>
      <c r="AD59" s="221"/>
    </row>
    <row r="60" spans="1:30" ht="15.75">
      <c r="A60" s="211" t="str">
        <f>'BRSA Sorties '!C118</f>
        <v>KHAROUNI</v>
      </c>
      <c r="B60" s="211" t="str">
        <f>'BRSA Sorties '!D118</f>
        <v>Kaïna</v>
      </c>
      <c r="C60" s="211"/>
      <c r="D60" s="211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12"/>
      <c r="R60" s="233"/>
      <c r="S60" s="343"/>
      <c r="T60" s="237">
        <f t="shared" si="0"/>
        <v>15</v>
      </c>
      <c r="U60" s="212"/>
      <c r="V60" s="212"/>
      <c r="W60" s="235">
        <f t="shared" si="1"/>
        <v>50</v>
      </c>
      <c r="X60" s="212"/>
      <c r="Y60" s="212"/>
      <c r="Z60" s="366"/>
      <c r="AA60" s="232"/>
      <c r="AB60" s="232"/>
      <c r="AC60" s="235">
        <f t="shared" si="2"/>
        <v>35</v>
      </c>
      <c r="AD60" s="221"/>
    </row>
    <row r="61" spans="1:30" s="371" customFormat="1" ht="15.75">
      <c r="A61" s="365" t="str">
        <f>'OYONNAX NANTUA'!C34</f>
        <v>GUERIAUD</v>
      </c>
      <c r="B61" s="365" t="str">
        <f>'OYONNAX NANTUA'!D34</f>
        <v>Sabrina</v>
      </c>
      <c r="C61" s="365"/>
      <c r="D61" s="365"/>
      <c r="E61" s="366">
        <v>1</v>
      </c>
      <c r="F61" s="366"/>
      <c r="G61" s="366">
        <v>1</v>
      </c>
      <c r="H61" s="366"/>
      <c r="I61" s="366"/>
      <c r="J61" s="366"/>
      <c r="K61" s="366"/>
      <c r="L61" s="366"/>
      <c r="M61" s="366"/>
      <c r="N61" s="366"/>
      <c r="O61" s="366"/>
      <c r="P61" s="366"/>
      <c r="Q61" s="367"/>
      <c r="R61" s="368">
        <v>46174</v>
      </c>
      <c r="S61" s="374">
        <v>46192</v>
      </c>
      <c r="T61" s="369">
        <f t="shared" si="0"/>
        <v>46207</v>
      </c>
      <c r="U61" s="367"/>
      <c r="V61" s="367"/>
      <c r="W61" s="370">
        <f t="shared" si="1"/>
        <v>46242</v>
      </c>
      <c r="X61" s="367">
        <v>0</v>
      </c>
      <c r="Y61" s="367"/>
      <c r="Z61" s="370">
        <v>46245</v>
      </c>
      <c r="AA61" s="366"/>
      <c r="AB61" s="366"/>
      <c r="AC61" s="370">
        <f t="shared" si="2"/>
        <v>35</v>
      </c>
    </row>
    <row r="62" spans="1:30" ht="15.75">
      <c r="A62" s="211" t="str">
        <f>'OYONNAX NANTUA'!C35</f>
        <v>BELHASSAN</v>
      </c>
      <c r="B62" s="211" t="str">
        <f>'OYONNAX NANTUA'!D35</f>
        <v>Ilham</v>
      </c>
      <c r="C62" s="211">
        <v>1</v>
      </c>
      <c r="D62" s="211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12"/>
      <c r="R62" s="233"/>
      <c r="S62" s="343"/>
      <c r="T62" s="237">
        <f t="shared" si="0"/>
        <v>15</v>
      </c>
      <c r="U62" s="212"/>
      <c r="V62" s="212"/>
      <c r="W62" s="235">
        <f t="shared" si="1"/>
        <v>50</v>
      </c>
      <c r="X62" s="212"/>
      <c r="Y62" s="212"/>
      <c r="Z62" s="366"/>
      <c r="AA62" s="232"/>
      <c r="AB62" s="232"/>
      <c r="AC62" s="235">
        <f t="shared" si="2"/>
        <v>35</v>
      </c>
      <c r="AD62" s="221"/>
    </row>
    <row r="63" spans="1:30" s="219" customFormat="1" ht="15.75">
      <c r="A63" s="211" t="str">
        <f>'BRSA Sorties '!C100</f>
        <v>TEKELI</v>
      </c>
      <c r="B63" s="211" t="str">
        <f>'BRSA Sorties '!D100</f>
        <v>Atilyahan</v>
      </c>
      <c r="C63" s="211">
        <v>1</v>
      </c>
      <c r="D63" s="211">
        <v>1</v>
      </c>
      <c r="E63" s="232"/>
      <c r="F63" s="232"/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12">
        <v>1</v>
      </c>
      <c r="R63" s="236">
        <v>46059</v>
      </c>
      <c r="S63" s="343"/>
      <c r="T63" s="237">
        <f t="shared" si="0"/>
        <v>15</v>
      </c>
      <c r="U63" s="212">
        <v>0</v>
      </c>
      <c r="V63" s="212"/>
      <c r="W63" s="235">
        <f t="shared" si="1"/>
        <v>50</v>
      </c>
      <c r="X63" s="212"/>
      <c r="Y63" s="212"/>
      <c r="Z63" s="370">
        <v>46119</v>
      </c>
      <c r="AA63" s="232"/>
      <c r="AB63" s="232"/>
      <c r="AC63" s="235">
        <f t="shared" si="2"/>
        <v>35</v>
      </c>
      <c r="AD63" s="375"/>
    </row>
    <row r="64" spans="1:30" s="371" customFormat="1" ht="15.75">
      <c r="A64" s="365" t="str">
        <f>'BRSA Sorties '!C102</f>
        <v>GELAJ</v>
      </c>
      <c r="B64" s="365" t="str">
        <f>'BRSA Sorties '!D102</f>
        <v>Bekim</v>
      </c>
      <c r="C64" s="365">
        <v>1</v>
      </c>
      <c r="D64" s="365"/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7">
        <v>1</v>
      </c>
      <c r="R64" s="236">
        <v>46073</v>
      </c>
      <c r="S64" s="343"/>
      <c r="T64" s="369">
        <f t="shared" si="0"/>
        <v>15</v>
      </c>
      <c r="U64" s="367">
        <v>0</v>
      </c>
      <c r="V64" s="367"/>
      <c r="W64" s="370">
        <f t="shared" si="1"/>
        <v>50</v>
      </c>
      <c r="X64" s="367"/>
      <c r="Y64" s="367"/>
      <c r="Z64" s="370">
        <v>46119</v>
      </c>
      <c r="AA64" s="366"/>
      <c r="AB64" s="366"/>
      <c r="AC64" s="370">
        <f t="shared" si="2"/>
        <v>35</v>
      </c>
      <c r="AD64" s="373"/>
    </row>
    <row r="65" spans="1:30" ht="15.75">
      <c r="A65" s="211" t="str">
        <f>'BRSA Sorties '!C117</f>
        <v>RIVIERE</v>
      </c>
      <c r="B65" s="211" t="str">
        <f>'BRSA Sorties '!D117</f>
        <v>Cindy</v>
      </c>
      <c r="C65" s="211">
        <v>1</v>
      </c>
      <c r="D65" s="211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12"/>
      <c r="R65" s="233"/>
      <c r="S65" s="343"/>
      <c r="T65" s="237">
        <f t="shared" si="0"/>
        <v>15</v>
      </c>
      <c r="U65" s="212"/>
      <c r="V65" s="212"/>
      <c r="W65" s="235">
        <f t="shared" si="1"/>
        <v>50</v>
      </c>
      <c r="X65" s="212"/>
      <c r="Y65" s="212"/>
      <c r="Z65" s="366"/>
      <c r="AA65" s="232"/>
      <c r="AB65" s="232"/>
      <c r="AC65" s="235">
        <f t="shared" si="2"/>
        <v>35</v>
      </c>
      <c r="AD65" s="221"/>
    </row>
    <row r="66" spans="1:30" ht="15.75">
      <c r="A66" s="211" t="str">
        <f>'BRSA Sorties '!C82</f>
        <v xml:space="preserve">NEUVILLE </v>
      </c>
      <c r="B66" s="211" t="str">
        <f>'BRSA Sorties '!D82</f>
        <v>ALLAN</v>
      </c>
      <c r="C66" s="211">
        <v>1</v>
      </c>
      <c r="D66" s="211">
        <v>1</v>
      </c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12">
        <v>1</v>
      </c>
      <c r="R66" s="236">
        <v>46059</v>
      </c>
      <c r="S66" s="343"/>
      <c r="T66" s="237">
        <f t="shared" si="0"/>
        <v>15</v>
      </c>
      <c r="U66" s="212">
        <v>0</v>
      </c>
      <c r="V66" s="212"/>
      <c r="W66" s="235">
        <f t="shared" si="1"/>
        <v>50</v>
      </c>
      <c r="X66" s="212"/>
      <c r="Y66" s="212"/>
      <c r="Z66" s="366"/>
      <c r="AA66" s="232"/>
      <c r="AB66" s="232"/>
      <c r="AC66" s="235">
        <f t="shared" si="2"/>
        <v>35</v>
      </c>
      <c r="AD66" s="221"/>
    </row>
    <row r="67" spans="1:30" s="371" customFormat="1">
      <c r="A67" s="365" t="str">
        <f>'BRSA Sorties '!C145</f>
        <v>KAPTAN</v>
      </c>
      <c r="B67" s="365" t="str">
        <f>'BRSA Sorties '!D145</f>
        <v>Ridvan</v>
      </c>
      <c r="C67" s="365"/>
      <c r="D67" s="365">
        <v>1</v>
      </c>
      <c r="E67" s="366"/>
      <c r="F67" s="366"/>
      <c r="G67" s="366"/>
      <c r="H67" s="366"/>
      <c r="I67" s="366"/>
      <c r="J67" s="366"/>
      <c r="K67" s="366"/>
      <c r="L67" s="366"/>
      <c r="M67" s="366"/>
      <c r="N67" s="366"/>
      <c r="O67" s="366"/>
      <c r="P67" s="366"/>
      <c r="Q67" s="367">
        <v>1</v>
      </c>
      <c r="R67" s="368">
        <v>46128</v>
      </c>
      <c r="S67" s="389">
        <v>46143</v>
      </c>
      <c r="T67" s="369">
        <f t="shared" si="0"/>
        <v>46158</v>
      </c>
      <c r="U67" s="367">
        <v>0</v>
      </c>
      <c r="V67" s="367"/>
      <c r="W67" s="370">
        <f t="shared" si="1"/>
        <v>46193</v>
      </c>
      <c r="X67" s="367"/>
      <c r="Y67" s="367"/>
      <c r="Z67" s="370">
        <v>46196</v>
      </c>
      <c r="AA67" s="366"/>
      <c r="AB67" s="366"/>
      <c r="AC67" s="370">
        <f t="shared" si="2"/>
        <v>35</v>
      </c>
    </row>
    <row r="68" spans="1:30" s="371" customFormat="1">
      <c r="A68" s="365" t="str">
        <f>'BRSA Sorties '!C103</f>
        <v>ONCU</v>
      </c>
      <c r="B68" s="365" t="str">
        <f>'BRSA Sorties '!D103</f>
        <v>ONDER</v>
      </c>
      <c r="C68" s="365">
        <v>2</v>
      </c>
      <c r="D68" s="365">
        <v>1</v>
      </c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  <c r="P68" s="366"/>
      <c r="Q68" s="367">
        <v>1</v>
      </c>
      <c r="R68" s="368">
        <v>46070</v>
      </c>
      <c r="S68" s="367"/>
      <c r="T68" s="369">
        <f t="shared" ref="T68:T110" si="3">S68+15</f>
        <v>15</v>
      </c>
      <c r="U68" s="367">
        <v>0</v>
      </c>
      <c r="V68" s="367"/>
      <c r="W68" s="370">
        <f t="shared" ref="W68:W110" si="4">S68+50</f>
        <v>50</v>
      </c>
      <c r="X68" s="367"/>
      <c r="Y68" s="367"/>
      <c r="Z68" s="370">
        <v>46119</v>
      </c>
      <c r="AA68" s="366"/>
      <c r="AB68" s="366"/>
      <c r="AC68" s="370">
        <f t="shared" ref="AC68:AC110" si="5">AB68+35</f>
        <v>35</v>
      </c>
      <c r="AD68" s="373"/>
    </row>
    <row r="69" spans="1:30" ht="15.75">
      <c r="A69" s="211" t="str">
        <f>'BRSA Sorties '!C104</f>
        <v>SULTANKHEL</v>
      </c>
      <c r="B69" s="211" t="str">
        <f>'BRSA Sorties '!D104</f>
        <v>SAMIULLAH</v>
      </c>
      <c r="C69" s="211">
        <v>1</v>
      </c>
      <c r="D69" s="211">
        <v>1</v>
      </c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12">
        <v>1</v>
      </c>
      <c r="R69" s="236">
        <v>46059</v>
      </c>
      <c r="S69" s="338">
        <v>46062</v>
      </c>
      <c r="T69" s="237">
        <f t="shared" si="3"/>
        <v>46077</v>
      </c>
      <c r="U69" s="212">
        <v>0</v>
      </c>
      <c r="V69" s="212"/>
      <c r="W69" s="235">
        <f t="shared" si="4"/>
        <v>46112</v>
      </c>
      <c r="X69" s="212"/>
      <c r="Y69" s="212"/>
      <c r="Z69" s="370">
        <v>46119</v>
      </c>
      <c r="AA69" s="232"/>
      <c r="AB69" s="232"/>
      <c r="AC69" s="235">
        <f t="shared" si="5"/>
        <v>35</v>
      </c>
      <c r="AD69" s="375"/>
    </row>
    <row r="70" spans="1:30">
      <c r="A70" s="211" t="str">
        <f>'BRSA Sorties '!C120</f>
        <v>ROCHELLE</v>
      </c>
      <c r="B70" s="211" t="str">
        <f>'BRSA Sorties '!D120</f>
        <v>PATRICIA</v>
      </c>
      <c r="C70" s="211"/>
      <c r="D70" s="211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12"/>
      <c r="R70" s="233"/>
      <c r="S70" s="212"/>
      <c r="T70" s="237">
        <f t="shared" si="3"/>
        <v>15</v>
      </c>
      <c r="U70" s="212"/>
      <c r="V70" s="212"/>
      <c r="W70" s="235">
        <f t="shared" si="4"/>
        <v>50</v>
      </c>
      <c r="X70" s="212"/>
      <c r="Y70" s="212"/>
      <c r="Z70" s="366"/>
      <c r="AA70" s="232"/>
      <c r="AB70" s="232"/>
      <c r="AC70" s="235">
        <f t="shared" si="5"/>
        <v>35</v>
      </c>
      <c r="AD70" s="221"/>
    </row>
    <row r="71" spans="1:30" s="371" customFormat="1" ht="15.75">
      <c r="A71" s="365" t="str">
        <f>'BRSA Sorties '!C101</f>
        <v>CLERMONT</v>
      </c>
      <c r="B71" s="365" t="str">
        <f>'BRSA Sorties '!D101</f>
        <v>CHRISTIAN</v>
      </c>
      <c r="C71" s="365">
        <v>1</v>
      </c>
      <c r="D71" s="365">
        <v>1</v>
      </c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6"/>
      <c r="P71" s="366"/>
      <c r="Q71" s="367">
        <v>1</v>
      </c>
      <c r="R71" s="372">
        <v>46054</v>
      </c>
      <c r="S71" s="374">
        <v>46062</v>
      </c>
      <c r="T71" s="369">
        <f t="shared" si="3"/>
        <v>46077</v>
      </c>
      <c r="U71" s="367">
        <v>0</v>
      </c>
      <c r="V71" s="367"/>
      <c r="W71" s="370">
        <f t="shared" si="4"/>
        <v>46112</v>
      </c>
      <c r="X71" s="367"/>
      <c r="Y71" s="367"/>
      <c r="Z71" s="370">
        <v>46119</v>
      </c>
      <c r="AA71" s="366"/>
      <c r="AB71" s="366"/>
      <c r="AC71" s="370">
        <f t="shared" si="5"/>
        <v>35</v>
      </c>
      <c r="AD71" s="373"/>
    </row>
    <row r="72" spans="1:30">
      <c r="A72" s="211" t="str">
        <f>'BRSA Sorties '!C110</f>
        <v xml:space="preserve">ANNOUR ALI// ABDALLAH  ABDRAMANE </v>
      </c>
      <c r="B72" s="211" t="str">
        <f>'BRSA Sorties '!D110</f>
        <v>MARIAM</v>
      </c>
      <c r="C72" s="211"/>
      <c r="D72" s="211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12"/>
      <c r="R72" s="233"/>
      <c r="S72" s="212"/>
      <c r="T72" s="237">
        <f t="shared" si="3"/>
        <v>15</v>
      </c>
      <c r="U72" s="212"/>
      <c r="V72" s="212"/>
      <c r="W72" s="235">
        <f t="shared" si="4"/>
        <v>50</v>
      </c>
      <c r="X72" s="212"/>
      <c r="Y72" s="212"/>
      <c r="Z72" s="366"/>
      <c r="AA72" s="232"/>
      <c r="AB72" s="232"/>
      <c r="AC72" s="235">
        <f t="shared" si="5"/>
        <v>35</v>
      </c>
      <c r="AD72" s="221"/>
    </row>
    <row r="73" spans="1:30" ht="15.75">
      <c r="A73" s="211" t="str">
        <f>'BRSA Sorties '!C139</f>
        <v xml:space="preserve">CHERIFI </v>
      </c>
      <c r="B73" s="211" t="str">
        <f>'BRSA Sorties '!D139</f>
        <v>HAMZA</v>
      </c>
      <c r="C73" s="211">
        <v>1</v>
      </c>
      <c r="D73" s="211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12">
        <v>1</v>
      </c>
      <c r="R73" s="236">
        <v>46080</v>
      </c>
      <c r="S73" s="342">
        <v>46092</v>
      </c>
      <c r="T73" s="237">
        <f t="shared" si="3"/>
        <v>46107</v>
      </c>
      <c r="U73" s="212">
        <v>0</v>
      </c>
      <c r="V73" s="212"/>
      <c r="W73" s="235">
        <f t="shared" si="4"/>
        <v>46142</v>
      </c>
      <c r="X73" s="212"/>
      <c r="Y73" s="212"/>
      <c r="Z73" s="366"/>
      <c r="AA73" s="232"/>
      <c r="AB73" s="232"/>
      <c r="AC73" s="235">
        <f t="shared" si="5"/>
        <v>35</v>
      </c>
      <c r="AD73" s="221"/>
    </row>
    <row r="74" spans="1:30" s="371" customFormat="1">
      <c r="A74" s="365" t="str">
        <f>'OYONNAX NANTUA'!C36</f>
        <v>LEGGUI</v>
      </c>
      <c r="B74" s="365" t="str">
        <f>'OYONNAX NANTUA'!D36</f>
        <v>HAFIDA</v>
      </c>
      <c r="C74" s="365">
        <v>1</v>
      </c>
      <c r="D74" s="365"/>
      <c r="E74" s="366"/>
      <c r="F74" s="366"/>
      <c r="G74" s="366"/>
      <c r="H74" s="366">
        <v>1</v>
      </c>
      <c r="I74" s="366"/>
      <c r="J74" s="366"/>
      <c r="K74" s="366"/>
      <c r="L74" s="366"/>
      <c r="M74" s="366"/>
      <c r="N74" s="366"/>
      <c r="O74" s="366"/>
      <c r="P74" s="366"/>
      <c r="Q74" s="367"/>
      <c r="R74" s="381"/>
      <c r="S74" s="367"/>
      <c r="T74" s="369">
        <f t="shared" si="3"/>
        <v>15</v>
      </c>
      <c r="U74" s="367"/>
      <c r="V74" s="367"/>
      <c r="W74" s="370">
        <f t="shared" si="4"/>
        <v>50</v>
      </c>
      <c r="X74" s="367"/>
      <c r="Y74" s="367"/>
      <c r="Z74" s="366"/>
      <c r="AA74" s="366"/>
      <c r="AB74" s="366"/>
      <c r="AC74" s="370">
        <f t="shared" si="5"/>
        <v>35</v>
      </c>
    </row>
    <row r="75" spans="1:30" ht="15.75">
      <c r="A75" s="211" t="str">
        <f>'BRSA Sorties '!C106</f>
        <v>NUNES GOUVEIA</v>
      </c>
      <c r="B75" s="211" t="str">
        <f>'BRSA Sorties '!D106</f>
        <v>SABRINA</v>
      </c>
      <c r="C75" s="211">
        <v>1</v>
      </c>
      <c r="D75" s="211">
        <v>1</v>
      </c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12"/>
      <c r="R75" s="236">
        <v>46062</v>
      </c>
      <c r="S75" s="341">
        <v>46064</v>
      </c>
      <c r="T75" s="237">
        <f t="shared" si="3"/>
        <v>46079</v>
      </c>
      <c r="U75" s="212">
        <v>0</v>
      </c>
      <c r="V75" s="212"/>
      <c r="W75" s="235">
        <f t="shared" si="4"/>
        <v>46114</v>
      </c>
      <c r="X75" s="212"/>
      <c r="Y75" s="212"/>
      <c r="Z75" s="370">
        <v>46119</v>
      </c>
      <c r="AA75" s="232"/>
      <c r="AB75" s="232"/>
      <c r="AC75" s="235">
        <f t="shared" si="5"/>
        <v>35</v>
      </c>
      <c r="AD75" s="375"/>
    </row>
    <row r="76" spans="1:30">
      <c r="A76" s="211" t="str">
        <f>'BRSA Sorties '!C111</f>
        <v>GONNETAN</v>
      </c>
      <c r="B76" s="211" t="str">
        <f>'BRSA Sorties '!D111</f>
        <v>PIERRE</v>
      </c>
      <c r="C76" s="211"/>
      <c r="D76" s="211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12"/>
      <c r="R76" s="233"/>
      <c r="S76" s="212"/>
      <c r="T76" s="237">
        <f t="shared" si="3"/>
        <v>15</v>
      </c>
      <c r="U76" s="212"/>
      <c r="V76" s="212"/>
      <c r="W76" s="235">
        <f t="shared" si="4"/>
        <v>50</v>
      </c>
      <c r="X76" s="212"/>
      <c r="Y76" s="212"/>
      <c r="Z76" s="366"/>
      <c r="AA76" s="232"/>
      <c r="AB76" s="232"/>
      <c r="AC76" s="235">
        <f t="shared" si="5"/>
        <v>35</v>
      </c>
      <c r="AD76" s="221"/>
    </row>
    <row r="77" spans="1:30">
      <c r="A77" s="211" t="str">
        <f>'BRSA Sorties '!C115</f>
        <v>BANDATIA</v>
      </c>
      <c r="B77" s="211" t="str">
        <f>'BRSA Sorties '!D115</f>
        <v>ULRICH</v>
      </c>
      <c r="C77" s="211"/>
      <c r="D77" s="211"/>
      <c r="E77" s="232"/>
      <c r="F77" s="232"/>
      <c r="G77" s="232"/>
      <c r="H77" s="232">
        <v>1</v>
      </c>
      <c r="I77" s="232"/>
      <c r="J77" s="232"/>
      <c r="K77" s="232"/>
      <c r="L77" s="232"/>
      <c r="M77" s="232"/>
      <c r="N77" s="232"/>
      <c r="O77" s="232"/>
      <c r="P77" s="232"/>
      <c r="Q77" s="212"/>
      <c r="R77" s="233"/>
      <c r="S77" s="212"/>
      <c r="T77" s="237">
        <f t="shared" si="3"/>
        <v>15</v>
      </c>
      <c r="U77" s="212"/>
      <c r="V77" s="212"/>
      <c r="W77" s="235">
        <f t="shared" si="4"/>
        <v>50</v>
      </c>
      <c r="X77" s="212"/>
      <c r="Y77" s="212"/>
      <c r="Z77" s="366"/>
      <c r="AA77" s="232"/>
      <c r="AB77" s="232"/>
      <c r="AC77" s="235">
        <f t="shared" si="5"/>
        <v>35</v>
      </c>
      <c r="AD77" s="221"/>
    </row>
    <row r="78" spans="1:30">
      <c r="A78" s="211" t="str">
        <f>'OYONNAX NANTUA'!C37</f>
        <v>BENHAMED</v>
      </c>
      <c r="B78" s="211" t="str">
        <f>'OYONNAX NANTUA'!D37</f>
        <v>ZIED</v>
      </c>
      <c r="C78" s="211">
        <v>1</v>
      </c>
      <c r="D78" s="211">
        <v>1</v>
      </c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12">
        <v>1</v>
      </c>
      <c r="R78" s="233"/>
      <c r="S78" s="212"/>
      <c r="T78" s="237">
        <f t="shared" si="3"/>
        <v>15</v>
      </c>
      <c r="U78" s="212">
        <v>1</v>
      </c>
      <c r="V78" s="212"/>
      <c r="W78" s="235">
        <f t="shared" si="4"/>
        <v>50</v>
      </c>
      <c r="X78" s="212"/>
      <c r="Y78" s="212"/>
      <c r="Z78" s="366"/>
      <c r="AA78" s="232"/>
      <c r="AB78" s="232"/>
      <c r="AC78" s="235">
        <f t="shared" si="5"/>
        <v>35</v>
      </c>
      <c r="AD78" s="221"/>
    </row>
    <row r="79" spans="1:30" s="371" customFormat="1" ht="15.75">
      <c r="A79" s="365" t="str">
        <f>'BRSA Sorties '!C122</f>
        <v>DERRIEN</v>
      </c>
      <c r="B79" s="365" t="str">
        <f>'BRSA Sorties '!D122</f>
        <v>BRYCE</v>
      </c>
      <c r="C79" s="365">
        <v>1</v>
      </c>
      <c r="D79" s="365">
        <v>1</v>
      </c>
      <c r="E79" s="366"/>
      <c r="F79" s="366"/>
      <c r="G79" s="366"/>
      <c r="H79" s="366"/>
      <c r="I79" s="366"/>
      <c r="J79" s="366"/>
      <c r="K79" s="366"/>
      <c r="L79" s="366"/>
      <c r="M79" s="366"/>
      <c r="N79" s="366"/>
      <c r="O79" s="366"/>
      <c r="P79" s="366"/>
      <c r="Q79" s="367">
        <v>1</v>
      </c>
      <c r="R79" s="368">
        <v>46070</v>
      </c>
      <c r="S79" s="374">
        <v>46078</v>
      </c>
      <c r="T79" s="369">
        <f t="shared" si="3"/>
        <v>46093</v>
      </c>
      <c r="U79" s="367">
        <v>0</v>
      </c>
      <c r="V79" s="367"/>
      <c r="W79" s="370">
        <f t="shared" si="4"/>
        <v>46128</v>
      </c>
      <c r="X79" s="367"/>
      <c r="Y79" s="367"/>
      <c r="Z79" s="370">
        <v>46154</v>
      </c>
      <c r="AA79" s="366"/>
      <c r="AB79" s="366"/>
      <c r="AC79" s="370">
        <f t="shared" si="5"/>
        <v>35</v>
      </c>
    </row>
    <row r="80" spans="1:30" s="434" customFormat="1">
      <c r="A80" s="513" t="str">
        <f>'OYONNAX NANTUA'!C38</f>
        <v>SIOUDA</v>
      </c>
      <c r="B80" s="513" t="str">
        <f>'OYONNAX NANTUA'!D38</f>
        <v>OUSSAMA</v>
      </c>
      <c r="C80" s="513"/>
      <c r="D80" s="513"/>
      <c r="E80" s="514"/>
      <c r="F80" s="514">
        <v>1</v>
      </c>
      <c r="G80" s="514"/>
      <c r="H80" s="514"/>
      <c r="I80" s="514"/>
      <c r="J80" s="514">
        <v>1</v>
      </c>
      <c r="K80" s="514"/>
      <c r="L80" s="514"/>
      <c r="M80" s="514"/>
      <c r="N80" s="514"/>
      <c r="O80" s="514"/>
      <c r="P80" s="514"/>
      <c r="Q80" s="515">
        <v>1</v>
      </c>
      <c r="R80" s="516">
        <v>46161</v>
      </c>
      <c r="S80" s="517">
        <v>46183</v>
      </c>
      <c r="T80" s="518">
        <f t="shared" si="3"/>
        <v>46198</v>
      </c>
      <c r="U80" s="515">
        <v>0</v>
      </c>
      <c r="V80" s="515"/>
      <c r="W80" s="519">
        <f t="shared" si="4"/>
        <v>46233</v>
      </c>
      <c r="X80" s="515"/>
      <c r="Y80" s="515"/>
      <c r="Z80" s="519">
        <v>46301</v>
      </c>
      <c r="AA80" s="514"/>
      <c r="AB80" s="514"/>
      <c r="AC80" s="519">
        <f t="shared" si="5"/>
        <v>35</v>
      </c>
    </row>
    <row r="81" spans="1:30" s="371" customFormat="1">
      <c r="A81" s="365" t="str">
        <f>'BRSA Sorties '!C143</f>
        <v>NEUVILLE</v>
      </c>
      <c r="B81" s="365" t="str">
        <f>'BRSA Sorties '!D143</f>
        <v>Mickael </v>
      </c>
      <c r="C81" s="365"/>
      <c r="D81" s="365"/>
      <c r="E81" s="366"/>
      <c r="F81" s="366"/>
      <c r="G81" s="366">
        <v>1</v>
      </c>
      <c r="H81" s="366"/>
      <c r="I81" s="366">
        <v>1</v>
      </c>
      <c r="J81" s="366"/>
      <c r="K81" s="366"/>
      <c r="L81" s="366"/>
      <c r="M81" s="366"/>
      <c r="N81" s="366"/>
      <c r="O81" s="366"/>
      <c r="P81" s="366"/>
      <c r="Q81" s="367"/>
      <c r="R81" s="381"/>
      <c r="S81" s="367"/>
      <c r="T81" s="369">
        <f t="shared" si="3"/>
        <v>15</v>
      </c>
      <c r="U81" s="367"/>
      <c r="V81" s="367"/>
      <c r="W81" s="370">
        <f t="shared" si="4"/>
        <v>50</v>
      </c>
      <c r="X81" s="367"/>
      <c r="Y81" s="367"/>
      <c r="Z81" s="366"/>
      <c r="AA81" s="366"/>
      <c r="AB81" s="366"/>
      <c r="AC81" s="370">
        <f t="shared" si="5"/>
        <v>35</v>
      </c>
    </row>
    <row r="82" spans="1:30">
      <c r="A82" s="211" t="str">
        <f>'BRSA Sorties '!C89</f>
        <v>TOURNERY</v>
      </c>
      <c r="B82" s="211" t="str">
        <f>'BRSA Sorties '!D89</f>
        <v>PIERRE-LOU</v>
      </c>
      <c r="C82" s="211">
        <v>1</v>
      </c>
      <c r="D82" s="211">
        <v>1</v>
      </c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12">
        <v>1</v>
      </c>
      <c r="R82" s="233"/>
      <c r="S82" s="212"/>
      <c r="T82" s="237">
        <f t="shared" si="3"/>
        <v>15</v>
      </c>
      <c r="U82" s="212">
        <v>0</v>
      </c>
      <c r="V82" s="212"/>
      <c r="W82" s="235">
        <f t="shared" si="4"/>
        <v>50</v>
      </c>
      <c r="X82" s="212"/>
      <c r="Y82" s="212"/>
      <c r="Z82" s="366"/>
      <c r="AA82" s="232"/>
      <c r="AB82" s="232"/>
      <c r="AC82" s="235">
        <f t="shared" si="5"/>
        <v>35</v>
      </c>
      <c r="AD82" s="221"/>
    </row>
    <row r="83" spans="1:30">
      <c r="A83" s="211" t="str">
        <f>'BRSA Sorties '!C156</f>
        <v>MARCHAND/BOUAKKAZ</v>
      </c>
      <c r="B83" s="211" t="str">
        <f>'BRSA Sorties '!D156</f>
        <v>DJIDA</v>
      </c>
      <c r="C83" s="211"/>
      <c r="D83" s="211"/>
      <c r="E83" s="232"/>
      <c r="F83" s="232"/>
      <c r="G83" s="232"/>
      <c r="H83" s="232"/>
      <c r="I83" s="232"/>
      <c r="J83" s="232"/>
      <c r="K83" s="232"/>
      <c r="L83" s="232"/>
      <c r="M83" s="232"/>
      <c r="N83" s="232"/>
      <c r="O83" s="232"/>
      <c r="P83" s="232"/>
      <c r="Q83" s="212"/>
      <c r="R83" s="233"/>
      <c r="S83" s="212"/>
      <c r="T83" s="237">
        <f t="shared" si="3"/>
        <v>15</v>
      </c>
      <c r="U83" s="212"/>
      <c r="V83" s="212"/>
      <c r="W83" s="235">
        <f t="shared" si="4"/>
        <v>50</v>
      </c>
      <c r="X83" s="212"/>
      <c r="Y83" s="212"/>
      <c r="Z83" s="366"/>
      <c r="AA83" s="232"/>
      <c r="AB83" s="232"/>
      <c r="AC83" s="235">
        <f t="shared" si="5"/>
        <v>35</v>
      </c>
      <c r="AD83" s="221"/>
    </row>
    <row r="84" spans="1:30">
      <c r="A84" s="211" t="str">
        <f>'BRSA Sorties '!C85</f>
        <v>YILDIRIM</v>
      </c>
      <c r="B84" s="211" t="str">
        <f>'BRSA Sorties '!D85</f>
        <v>AMINA</v>
      </c>
      <c r="C84" s="211"/>
      <c r="D84" s="211"/>
      <c r="E84" s="232"/>
      <c r="F84" s="232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12"/>
      <c r="R84" s="233"/>
      <c r="S84" s="212"/>
      <c r="T84" s="235">
        <f t="shared" si="3"/>
        <v>15</v>
      </c>
      <c r="U84" s="212"/>
      <c r="V84" s="212"/>
      <c r="W84" s="235">
        <f t="shared" si="4"/>
        <v>50</v>
      </c>
      <c r="X84" s="212"/>
      <c r="Y84" s="212"/>
      <c r="Z84" s="366"/>
      <c r="AA84" s="232"/>
      <c r="AB84" s="232"/>
      <c r="AC84" s="235">
        <f t="shared" si="5"/>
        <v>35</v>
      </c>
      <c r="AD84" s="221"/>
    </row>
    <row r="85" spans="1:30" s="371" customFormat="1">
      <c r="A85" s="365" t="str">
        <f>'BRSA Sorties '!C137</f>
        <v>GOUROUVIN</v>
      </c>
      <c r="B85" s="365" t="str">
        <f>'BRSA Sorties '!D137</f>
        <v>Gabriel</v>
      </c>
      <c r="C85" s="365">
        <v>1</v>
      </c>
      <c r="D85" s="365">
        <v>1</v>
      </c>
      <c r="E85" s="366"/>
      <c r="F85" s="366"/>
      <c r="G85" s="366"/>
      <c r="H85" s="366"/>
      <c r="I85" s="366"/>
      <c r="J85" s="366"/>
      <c r="K85" s="366"/>
      <c r="L85" s="366"/>
      <c r="M85" s="366"/>
      <c r="N85" s="366"/>
      <c r="O85" s="366"/>
      <c r="P85" s="366"/>
      <c r="Q85" s="367">
        <v>1</v>
      </c>
      <c r="R85" s="368">
        <v>46092</v>
      </c>
      <c r="S85" s="389">
        <v>46113</v>
      </c>
      <c r="T85" s="370">
        <f t="shared" si="3"/>
        <v>46128</v>
      </c>
      <c r="U85" s="367">
        <v>0</v>
      </c>
      <c r="V85" s="367"/>
      <c r="W85" s="370">
        <f t="shared" si="4"/>
        <v>46163</v>
      </c>
      <c r="X85" s="367"/>
      <c r="Y85" s="367"/>
      <c r="Z85" s="370">
        <v>46154</v>
      </c>
      <c r="AA85" s="366"/>
      <c r="AB85" s="366"/>
      <c r="AC85" s="370">
        <f t="shared" si="5"/>
        <v>35</v>
      </c>
    </row>
    <row r="86" spans="1:30">
      <c r="A86" s="211" t="str">
        <f>'BRSA Sorties '!C95</f>
        <v>YENI /OCAL</v>
      </c>
      <c r="B86" s="211" t="str">
        <f>'BRSA Sorties '!D95</f>
        <v>Serife</v>
      </c>
      <c r="C86" s="211"/>
      <c r="D86" s="211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12"/>
      <c r="R86" s="233"/>
      <c r="S86" s="212"/>
      <c r="T86" s="235">
        <f t="shared" si="3"/>
        <v>15</v>
      </c>
      <c r="U86" s="212"/>
      <c r="V86" s="212"/>
      <c r="W86" s="235">
        <f t="shared" si="4"/>
        <v>50</v>
      </c>
      <c r="X86" s="212"/>
      <c r="Y86" s="212"/>
      <c r="Z86" s="366"/>
      <c r="AA86" s="232"/>
      <c r="AB86" s="232"/>
      <c r="AC86" s="235">
        <f t="shared" si="5"/>
        <v>35</v>
      </c>
      <c r="AD86" s="221"/>
    </row>
    <row r="87" spans="1:30" s="371" customFormat="1">
      <c r="A87" s="365" t="str">
        <f>'BRSA Sorties '!C135</f>
        <v>DIABY</v>
      </c>
      <c r="B87" s="365" t="str">
        <f>'BRSA Sorties '!D135</f>
        <v xml:space="preserve"> MAMADOU</v>
      </c>
      <c r="C87" s="365"/>
      <c r="D87" s="365"/>
      <c r="E87" s="366">
        <v>4</v>
      </c>
      <c r="F87" s="366"/>
      <c r="G87" s="366"/>
      <c r="H87" s="366"/>
      <c r="I87" s="366"/>
      <c r="J87" s="366"/>
      <c r="K87" s="366"/>
      <c r="L87" s="366"/>
      <c r="M87" s="366"/>
      <c r="N87" s="366"/>
      <c r="O87" s="366"/>
      <c r="P87" s="366"/>
      <c r="Q87" s="367">
        <v>1</v>
      </c>
      <c r="R87" s="368">
        <v>46104</v>
      </c>
      <c r="S87" s="367"/>
      <c r="T87" s="370">
        <f t="shared" si="3"/>
        <v>15</v>
      </c>
      <c r="U87" s="367">
        <v>0</v>
      </c>
      <c r="V87" s="367"/>
      <c r="W87" s="370">
        <f t="shared" si="4"/>
        <v>50</v>
      </c>
      <c r="X87" s="367"/>
      <c r="Y87" s="367"/>
      <c r="Z87" s="370">
        <v>46162</v>
      </c>
      <c r="AA87" s="366"/>
      <c r="AB87" s="366"/>
      <c r="AC87" s="370">
        <f t="shared" si="5"/>
        <v>35</v>
      </c>
    </row>
    <row r="88" spans="1:30" s="371" customFormat="1">
      <c r="A88" s="365" t="str">
        <f>'BRSA Sorties '!C144</f>
        <v>TIMSILINE</v>
      </c>
      <c r="B88" s="365" t="str">
        <f>'BRSA Sorties '!D144</f>
        <v>DJAFFAR</v>
      </c>
      <c r="C88" s="365"/>
      <c r="D88" s="365"/>
      <c r="E88" s="366"/>
      <c r="F88" s="366"/>
      <c r="G88" s="366">
        <v>1</v>
      </c>
      <c r="H88" s="366">
        <v>1</v>
      </c>
      <c r="I88" s="366"/>
      <c r="J88" s="366"/>
      <c r="K88" s="366"/>
      <c r="L88" s="366"/>
      <c r="M88" s="366"/>
      <c r="N88" s="366"/>
      <c r="O88" s="366"/>
      <c r="P88" s="366"/>
      <c r="Q88" s="367">
        <v>1</v>
      </c>
      <c r="R88" s="368">
        <v>46129</v>
      </c>
      <c r="S88" s="389">
        <v>46143</v>
      </c>
      <c r="T88" s="370">
        <f t="shared" si="3"/>
        <v>46158</v>
      </c>
      <c r="U88" s="367">
        <v>0</v>
      </c>
      <c r="V88" s="367"/>
      <c r="W88" s="370">
        <f t="shared" si="4"/>
        <v>46193</v>
      </c>
      <c r="X88" s="367">
        <v>0</v>
      </c>
      <c r="Y88" s="367"/>
      <c r="Z88" s="370">
        <v>46196</v>
      </c>
      <c r="AA88" s="366"/>
      <c r="AB88" s="366"/>
      <c r="AC88" s="370">
        <f t="shared" si="5"/>
        <v>35</v>
      </c>
      <c r="AD88" s="373"/>
    </row>
    <row r="89" spans="1:30">
      <c r="A89" s="211" t="str">
        <f>'BRSA Sorties '!C93</f>
        <v>SADA</v>
      </c>
      <c r="B89" s="211" t="str">
        <f>'BRSA Sorties '!D93</f>
        <v>THIERRY</v>
      </c>
      <c r="C89" s="211"/>
      <c r="D89" s="211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12"/>
      <c r="R89" s="233"/>
      <c r="S89" s="212"/>
      <c r="T89" s="235">
        <f t="shared" si="3"/>
        <v>15</v>
      </c>
      <c r="U89" s="212"/>
      <c r="V89" s="212"/>
      <c r="W89" s="235">
        <f t="shared" si="4"/>
        <v>50</v>
      </c>
      <c r="X89" s="212"/>
      <c r="Y89" s="212"/>
      <c r="Z89" s="366"/>
      <c r="AA89" s="232"/>
      <c r="AB89" s="232"/>
      <c r="AC89" s="235">
        <f t="shared" si="5"/>
        <v>35</v>
      </c>
      <c r="AD89" s="221"/>
    </row>
    <row r="90" spans="1:30">
      <c r="A90" s="211" t="str">
        <f>'BRSA Sorties '!C94</f>
        <v xml:space="preserve">BALLEIN </v>
      </c>
      <c r="B90" s="211" t="str">
        <f>'BRSA Sorties '!D94</f>
        <v>JEROME</v>
      </c>
      <c r="C90" s="211"/>
      <c r="D90" s="211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12"/>
      <c r="R90" s="233"/>
      <c r="S90" s="212"/>
      <c r="T90" s="235">
        <f t="shared" si="3"/>
        <v>15</v>
      </c>
      <c r="U90" s="212"/>
      <c r="V90" s="212"/>
      <c r="W90" s="235">
        <f t="shared" si="4"/>
        <v>50</v>
      </c>
      <c r="X90" s="212"/>
      <c r="Y90" s="212"/>
      <c r="Z90" s="366"/>
      <c r="AA90" s="232"/>
      <c r="AB90" s="232"/>
      <c r="AC90" s="235">
        <f t="shared" si="5"/>
        <v>35</v>
      </c>
      <c r="AD90" s="221"/>
    </row>
    <row r="91" spans="1:30">
      <c r="A91" s="211" t="str">
        <f>'BRSA Sorties '!C88</f>
        <v>ERGOC /ERDOGAN</v>
      </c>
      <c r="B91" s="211" t="str">
        <f>'BRSA Sorties '!D88</f>
        <v>MEYREM</v>
      </c>
      <c r="C91" s="211"/>
      <c r="D91" s="211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12"/>
      <c r="R91" s="233"/>
      <c r="S91" s="212"/>
      <c r="T91" s="235">
        <f t="shared" si="3"/>
        <v>15</v>
      </c>
      <c r="U91" s="212"/>
      <c r="V91" s="212"/>
      <c r="W91" s="235">
        <f t="shared" si="4"/>
        <v>50</v>
      </c>
      <c r="X91" s="212"/>
      <c r="Y91" s="212"/>
      <c r="Z91" s="366"/>
      <c r="AA91" s="232"/>
      <c r="AB91" s="232"/>
      <c r="AC91" s="235">
        <f t="shared" si="5"/>
        <v>35</v>
      </c>
      <c r="AD91" s="221"/>
    </row>
    <row r="92" spans="1:30">
      <c r="A92" s="211" t="str">
        <f>'BRSA Sorties '!C91</f>
        <v>TRAORE</v>
      </c>
      <c r="B92" s="211" t="str">
        <f>'BRSA Sorties '!D91</f>
        <v>ISSA</v>
      </c>
      <c r="C92" s="211">
        <v>1</v>
      </c>
      <c r="D92" s="211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12"/>
      <c r="R92" s="233"/>
      <c r="S92" s="212"/>
      <c r="T92" s="235">
        <f t="shared" si="3"/>
        <v>15</v>
      </c>
      <c r="U92" s="212"/>
      <c r="V92" s="212"/>
      <c r="W92" s="235">
        <f t="shared" si="4"/>
        <v>50</v>
      </c>
      <c r="X92" s="212"/>
      <c r="Y92" s="212"/>
      <c r="Z92" s="366"/>
      <c r="AA92" s="232"/>
      <c r="AB92" s="232"/>
      <c r="AC92" s="235">
        <f t="shared" si="5"/>
        <v>35</v>
      </c>
      <c r="AD92" s="221"/>
    </row>
    <row r="93" spans="1:30" s="371" customFormat="1">
      <c r="A93" s="365" t="str">
        <f>'BRSA Sorties '!C158</f>
        <v>PONSON</v>
      </c>
      <c r="B93" s="365" t="str">
        <f>'BRSA Sorties '!D158</f>
        <v>FRANCOISE</v>
      </c>
      <c r="C93" s="365"/>
      <c r="D93" s="365"/>
      <c r="E93" s="366"/>
      <c r="F93" s="366"/>
      <c r="G93" s="366"/>
      <c r="H93" s="366"/>
      <c r="I93" s="366"/>
      <c r="J93" s="366"/>
      <c r="K93" s="366"/>
      <c r="L93" s="366"/>
      <c r="M93" s="366"/>
      <c r="N93" s="366"/>
      <c r="O93" s="366"/>
      <c r="P93" s="366"/>
      <c r="Q93" s="367"/>
      <c r="R93" s="368">
        <v>46189</v>
      </c>
      <c r="S93" s="389">
        <v>46192</v>
      </c>
      <c r="T93" s="370">
        <f t="shared" si="3"/>
        <v>46207</v>
      </c>
      <c r="U93" s="367"/>
      <c r="V93" s="367"/>
      <c r="W93" s="370">
        <f t="shared" si="4"/>
        <v>46242</v>
      </c>
      <c r="X93" s="367">
        <v>0</v>
      </c>
      <c r="Y93" s="367"/>
      <c r="Z93" s="370">
        <v>46245</v>
      </c>
      <c r="AA93" s="366"/>
      <c r="AB93" s="366"/>
      <c r="AC93" s="370">
        <f t="shared" si="5"/>
        <v>35</v>
      </c>
    </row>
    <row r="94" spans="1:30">
      <c r="A94" s="211" t="str">
        <f>'OYONNAX NANTUA'!C39</f>
        <v xml:space="preserve">NAOUMI </v>
      </c>
      <c r="B94" s="211" t="str">
        <f>'OYONNAX NANTUA'!D39</f>
        <v>MILOUDA</v>
      </c>
      <c r="C94" s="211"/>
      <c r="D94" s="211"/>
      <c r="E94" s="232">
        <v>1</v>
      </c>
      <c r="F94" s="232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12"/>
      <c r="R94" s="233"/>
      <c r="S94" s="212"/>
      <c r="T94" s="235">
        <f t="shared" si="3"/>
        <v>15</v>
      </c>
      <c r="U94" s="212"/>
      <c r="V94" s="212"/>
      <c r="W94" s="235">
        <f t="shared" si="4"/>
        <v>50</v>
      </c>
      <c r="X94" s="212"/>
      <c r="Y94" s="212"/>
      <c r="Z94" s="366"/>
      <c r="AA94" s="232"/>
      <c r="AB94" s="232"/>
      <c r="AC94" s="235">
        <f t="shared" si="5"/>
        <v>35</v>
      </c>
      <c r="AD94" s="221"/>
    </row>
    <row r="95" spans="1:30">
      <c r="A95" s="76" t="s">
        <v>825</v>
      </c>
      <c r="B95" s="379" t="s">
        <v>822</v>
      </c>
      <c r="C95" s="211"/>
      <c r="D95" s="211"/>
      <c r="E95" s="232"/>
      <c r="F95" s="232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12"/>
      <c r="R95" s="233"/>
      <c r="S95" s="212"/>
      <c r="T95" s="235">
        <f t="shared" si="3"/>
        <v>15</v>
      </c>
      <c r="U95" s="212"/>
      <c r="V95" s="212"/>
      <c r="W95" s="235">
        <f t="shared" si="4"/>
        <v>50</v>
      </c>
      <c r="X95" s="212"/>
      <c r="Y95" s="212"/>
      <c r="Z95" s="366"/>
      <c r="AA95" s="232"/>
      <c r="AB95" s="232"/>
      <c r="AC95" s="235">
        <f t="shared" si="5"/>
        <v>35</v>
      </c>
      <c r="AD95" s="221"/>
    </row>
    <row r="96" spans="1:30">
      <c r="A96" s="263" t="s">
        <v>806</v>
      </c>
      <c r="B96" s="263" t="s">
        <v>807</v>
      </c>
      <c r="C96" s="211"/>
      <c r="D96" s="211"/>
      <c r="E96" s="232"/>
      <c r="F96" s="232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12"/>
      <c r="R96" s="233"/>
      <c r="S96" s="212"/>
      <c r="T96" s="235">
        <f t="shared" si="3"/>
        <v>15</v>
      </c>
      <c r="U96" s="212"/>
      <c r="V96" s="212"/>
      <c r="W96" s="235">
        <f t="shared" si="4"/>
        <v>50</v>
      </c>
      <c r="X96" s="212"/>
      <c r="Y96" s="212"/>
      <c r="Z96" s="366"/>
      <c r="AA96" s="232"/>
      <c r="AB96" s="232"/>
      <c r="AC96" s="235">
        <f t="shared" si="5"/>
        <v>35</v>
      </c>
      <c r="AD96" s="221"/>
    </row>
    <row r="97" spans="1:30" s="371" customFormat="1">
      <c r="A97" s="263" t="s">
        <v>817</v>
      </c>
      <c r="B97" s="263" t="s">
        <v>818</v>
      </c>
      <c r="C97" s="365"/>
      <c r="D97" s="365"/>
      <c r="E97" s="366"/>
      <c r="F97" s="366">
        <v>1</v>
      </c>
      <c r="G97" s="366">
        <v>1</v>
      </c>
      <c r="H97" s="366"/>
      <c r="I97" s="366"/>
      <c r="J97" s="366"/>
      <c r="K97" s="366"/>
      <c r="L97" s="366"/>
      <c r="M97" s="366"/>
      <c r="N97" s="366"/>
      <c r="O97" s="366"/>
      <c r="P97" s="366"/>
      <c r="Q97" s="367">
        <v>1</v>
      </c>
      <c r="R97" s="368">
        <v>46154</v>
      </c>
      <c r="S97" s="389">
        <v>46155</v>
      </c>
      <c r="T97" s="370">
        <f t="shared" si="3"/>
        <v>46170</v>
      </c>
      <c r="U97" s="367">
        <v>0</v>
      </c>
      <c r="V97" s="367"/>
      <c r="W97" s="370">
        <f t="shared" si="4"/>
        <v>46205</v>
      </c>
      <c r="X97" s="367"/>
      <c r="Y97" s="367"/>
      <c r="Z97" s="366"/>
      <c r="AA97" s="366"/>
      <c r="AB97" s="366"/>
      <c r="AC97" s="370">
        <f t="shared" si="5"/>
        <v>35</v>
      </c>
      <c r="AD97" s="373">
        <v>46218</v>
      </c>
    </row>
    <row r="98" spans="1:30">
      <c r="A98" s="76" t="s">
        <v>823</v>
      </c>
      <c r="B98" s="379" t="s">
        <v>824</v>
      </c>
      <c r="C98" s="199"/>
      <c r="D98" s="199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12"/>
      <c r="R98" s="233"/>
      <c r="S98" s="212"/>
      <c r="T98" s="235">
        <f t="shared" si="3"/>
        <v>15</v>
      </c>
      <c r="U98" s="212"/>
      <c r="V98" s="212"/>
      <c r="W98" s="235">
        <f t="shared" si="4"/>
        <v>50</v>
      </c>
      <c r="X98" s="212"/>
      <c r="Y98" s="212"/>
      <c r="Z98" s="366"/>
      <c r="AA98" s="232"/>
      <c r="AB98" s="232"/>
      <c r="AC98" s="235">
        <f t="shared" si="5"/>
        <v>35</v>
      </c>
      <c r="AD98" s="221"/>
    </row>
    <row r="99" spans="1:30">
      <c r="A99" s="76" t="str">
        <f>'OYONNAX NANTUA'!C43</f>
        <v>CHAMCHAM </v>
      </c>
      <c r="B99" s="76" t="str">
        <f>'OYONNAX NANTUA'!D43</f>
        <v>M'barek</v>
      </c>
      <c r="C99" s="199"/>
      <c r="D99" s="199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12"/>
      <c r="R99" s="233"/>
      <c r="S99" s="212"/>
      <c r="T99" s="235">
        <f t="shared" si="3"/>
        <v>15</v>
      </c>
      <c r="U99" s="212"/>
      <c r="V99" s="212"/>
      <c r="W99" s="235">
        <f t="shared" si="4"/>
        <v>50</v>
      </c>
      <c r="X99" s="212"/>
      <c r="Y99" s="212"/>
      <c r="Z99" s="366"/>
      <c r="AA99" s="232"/>
      <c r="AB99" s="232"/>
      <c r="AC99" s="235">
        <f t="shared" si="5"/>
        <v>35</v>
      </c>
      <c r="AD99" s="221"/>
    </row>
    <row r="100" spans="1:30">
      <c r="A100" s="76" t="str">
        <f>'OYONNAX NANTUA'!C44</f>
        <v xml:space="preserve">CHEVAUCHET </v>
      </c>
      <c r="B100" s="76" t="str">
        <f>'OYONNAX NANTUA'!D44</f>
        <v>Andy</v>
      </c>
      <c r="C100" s="199"/>
      <c r="D100" s="199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12"/>
      <c r="R100" s="233"/>
      <c r="S100" s="212"/>
      <c r="T100" s="235">
        <f t="shared" si="3"/>
        <v>15</v>
      </c>
      <c r="U100" s="212"/>
      <c r="V100" s="212"/>
      <c r="W100" s="235">
        <f t="shared" si="4"/>
        <v>50</v>
      </c>
      <c r="X100" s="212"/>
      <c r="Y100" s="212"/>
      <c r="Z100" s="366"/>
      <c r="AA100" s="232"/>
      <c r="AB100" s="232"/>
      <c r="AC100" s="235">
        <f t="shared" si="5"/>
        <v>35</v>
      </c>
      <c r="AD100" s="221"/>
    </row>
    <row r="101" spans="1:30">
      <c r="A101" s="76" t="str">
        <f>'OYONNAX NANTUA'!C45</f>
        <v>EL BARHMI </v>
      </c>
      <c r="B101" s="76" t="str">
        <f>'OYONNAX NANTUA'!D45</f>
        <v>Chaima</v>
      </c>
      <c r="C101" s="199"/>
      <c r="D101" s="199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12"/>
      <c r="R101" s="233"/>
      <c r="S101" s="212"/>
      <c r="T101" s="235">
        <f t="shared" si="3"/>
        <v>15</v>
      </c>
      <c r="U101" s="212"/>
      <c r="V101" s="212"/>
      <c r="W101" s="235">
        <f t="shared" si="4"/>
        <v>50</v>
      </c>
      <c r="X101" s="212"/>
      <c r="Y101" s="212"/>
      <c r="Z101" s="366"/>
      <c r="AA101" s="232"/>
      <c r="AB101" s="232"/>
      <c r="AC101" s="235">
        <f t="shared" si="5"/>
        <v>35</v>
      </c>
      <c r="AD101" s="221"/>
    </row>
    <row r="102" spans="1:30">
      <c r="A102" s="76" t="str">
        <f>'BRSA Sorties '!C114</f>
        <v xml:space="preserve">JEBARI </v>
      </c>
      <c r="B102" s="76" t="str">
        <f>'BRSA Sorties '!D114</f>
        <v>Naoual</v>
      </c>
      <c r="C102" s="199"/>
      <c r="D102" s="199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12"/>
      <c r="R102" s="233"/>
      <c r="S102" s="212"/>
      <c r="T102" s="235">
        <f t="shared" si="3"/>
        <v>15</v>
      </c>
      <c r="U102" s="212"/>
      <c r="V102" s="212"/>
      <c r="W102" s="235">
        <f t="shared" si="4"/>
        <v>50</v>
      </c>
      <c r="X102" s="212"/>
      <c r="Y102" s="212"/>
      <c r="Z102" s="366"/>
      <c r="AA102" s="232"/>
      <c r="AB102" s="232"/>
      <c r="AC102" s="235">
        <f t="shared" si="5"/>
        <v>35</v>
      </c>
      <c r="AD102" s="221"/>
    </row>
    <row r="103" spans="1:30">
      <c r="A103" s="76" t="str">
        <f>'BRSA Sorties '!C157</f>
        <v xml:space="preserve">LOPES CABRAL </v>
      </c>
      <c r="B103" s="76" t="str">
        <f>'BRSA Sorties '!D157</f>
        <v>Jose</v>
      </c>
      <c r="C103" s="199">
        <v>1</v>
      </c>
      <c r="D103" s="199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12"/>
      <c r="R103" s="233"/>
      <c r="S103" s="212"/>
      <c r="T103" s="235">
        <f t="shared" si="3"/>
        <v>15</v>
      </c>
      <c r="U103" s="212"/>
      <c r="V103" s="212"/>
      <c r="W103" s="235">
        <f t="shared" si="4"/>
        <v>50</v>
      </c>
      <c r="X103" s="212"/>
      <c r="Y103" s="212"/>
      <c r="Z103" s="366"/>
      <c r="AA103" s="232"/>
      <c r="AB103" s="232"/>
      <c r="AC103" s="235">
        <f t="shared" si="5"/>
        <v>35</v>
      </c>
      <c r="AD103" s="221"/>
    </row>
    <row r="104" spans="1:30">
      <c r="A104" s="76" t="str">
        <f>'BRSA Sorties '!C141</f>
        <v xml:space="preserve">RISSELIN </v>
      </c>
      <c r="B104" s="76" t="str">
        <f>'BRSA Sorties '!D141</f>
        <v>Pierre</v>
      </c>
      <c r="C104" s="199"/>
      <c r="D104" s="199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12"/>
      <c r="R104" s="236"/>
      <c r="S104" s="212"/>
      <c r="T104" s="235">
        <f t="shared" si="3"/>
        <v>15</v>
      </c>
      <c r="U104" s="212"/>
      <c r="V104" s="212"/>
      <c r="W104" s="235">
        <f t="shared" si="4"/>
        <v>50</v>
      </c>
      <c r="X104" s="212"/>
      <c r="Y104" s="212"/>
      <c r="Z104" s="366"/>
      <c r="AA104" s="232"/>
      <c r="AB104" s="232"/>
      <c r="AC104" s="235">
        <f t="shared" si="5"/>
        <v>35</v>
      </c>
      <c r="AD104" s="221"/>
    </row>
    <row r="105" spans="1:30" s="371" customFormat="1">
      <c r="A105" s="263" t="str">
        <f>'BRSA Sorties '!C160</f>
        <v xml:space="preserve">BEL HAJ MOHAMED </v>
      </c>
      <c r="B105" s="263" t="str">
        <f>'BRSA Sorties '!D160</f>
        <v>Ahmed</v>
      </c>
      <c r="C105" s="366"/>
      <c r="D105" s="366"/>
      <c r="E105" s="366"/>
      <c r="F105" s="366"/>
      <c r="G105" s="366">
        <v>2</v>
      </c>
      <c r="H105" s="366"/>
      <c r="I105" s="366"/>
      <c r="J105" s="366"/>
      <c r="K105" s="366"/>
      <c r="L105" s="366"/>
      <c r="M105" s="366"/>
      <c r="N105" s="366"/>
      <c r="O105" s="366"/>
      <c r="P105" s="366"/>
      <c r="Q105" s="367">
        <v>1</v>
      </c>
      <c r="R105" s="368">
        <v>46197</v>
      </c>
      <c r="S105" s="389">
        <v>46203</v>
      </c>
      <c r="T105" s="370">
        <f t="shared" si="3"/>
        <v>46218</v>
      </c>
      <c r="U105" s="367"/>
      <c r="V105" s="367"/>
      <c r="W105" s="370">
        <f t="shared" si="4"/>
        <v>46253</v>
      </c>
      <c r="X105" s="367"/>
      <c r="Y105" s="389">
        <v>46260</v>
      </c>
      <c r="Z105" s="370">
        <v>46266</v>
      </c>
      <c r="AA105" s="366"/>
      <c r="AB105" s="366"/>
      <c r="AC105" s="370">
        <f t="shared" si="5"/>
        <v>35</v>
      </c>
    </row>
    <row r="106" spans="1:30">
      <c r="A106" s="76" t="str">
        <f>'OYONNAX NANTUA'!C46</f>
        <v>SAHBAZER </v>
      </c>
      <c r="B106" s="76" t="str">
        <f>'OYONNAX NANTUA'!D46</f>
        <v>Fatih</v>
      </c>
      <c r="C106" s="199"/>
      <c r="D106" s="199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12"/>
      <c r="R106" s="233"/>
      <c r="S106" s="212"/>
      <c r="T106" s="235">
        <f t="shared" si="3"/>
        <v>15</v>
      </c>
      <c r="U106" s="212"/>
      <c r="V106" s="212"/>
      <c r="W106" s="235">
        <f t="shared" si="4"/>
        <v>50</v>
      </c>
      <c r="X106" s="212"/>
      <c r="Y106" s="212"/>
      <c r="Z106" s="366"/>
      <c r="AA106" s="232"/>
      <c r="AB106" s="232"/>
      <c r="AC106" s="235">
        <f t="shared" si="5"/>
        <v>35</v>
      </c>
      <c r="AD106" s="221"/>
    </row>
    <row r="107" spans="1:30" ht="24">
      <c r="A107" s="76" t="str">
        <f>'OYONNAX NANTUA'!C47</f>
        <v xml:space="preserve">AMAL </v>
      </c>
      <c r="B107" s="76" t="str">
        <f>'OYONNAX NANTUA'!D47</f>
        <v> Zine-El-Abidine</v>
      </c>
      <c r="C107" s="199">
        <v>1</v>
      </c>
      <c r="D107" s="199">
        <v>1</v>
      </c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12"/>
      <c r="R107" s="236">
        <v>46199</v>
      </c>
      <c r="S107" s="437">
        <v>46205</v>
      </c>
      <c r="T107" s="235">
        <f t="shared" si="3"/>
        <v>46220</v>
      </c>
      <c r="U107" s="212"/>
      <c r="V107" s="212"/>
      <c r="W107" s="235">
        <f t="shared" si="4"/>
        <v>46255</v>
      </c>
      <c r="X107" s="212"/>
      <c r="Y107" s="212"/>
      <c r="Z107" s="366"/>
      <c r="AA107" s="232"/>
      <c r="AB107" s="232"/>
      <c r="AC107" s="235">
        <f t="shared" si="5"/>
        <v>35</v>
      </c>
      <c r="AD107" s="221"/>
    </row>
    <row r="108" spans="1:30">
      <c r="A108" s="76" t="str">
        <f>'OYONNAX NANTUA'!C48</f>
        <v xml:space="preserve">BAMBA </v>
      </c>
      <c r="B108" s="76" t="str">
        <f>'OYONNAX NANTUA'!D48</f>
        <v>Tenimba</v>
      </c>
      <c r="C108" s="199"/>
      <c r="D108" s="199"/>
      <c r="E108" s="232"/>
      <c r="F108" s="232">
        <v>1</v>
      </c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12"/>
      <c r="R108" s="233"/>
      <c r="S108" s="212"/>
      <c r="T108" s="235">
        <f t="shared" si="3"/>
        <v>15</v>
      </c>
      <c r="U108" s="212"/>
      <c r="V108" s="212"/>
      <c r="W108" s="235">
        <f t="shared" si="4"/>
        <v>50</v>
      </c>
      <c r="X108" s="212"/>
      <c r="Y108" s="212"/>
      <c r="Z108" s="366"/>
      <c r="AA108" s="232"/>
      <c r="AB108" s="232"/>
      <c r="AC108" s="235">
        <f t="shared" si="5"/>
        <v>35</v>
      </c>
      <c r="AD108" s="221"/>
    </row>
    <row r="109" spans="1:30">
      <c r="A109" s="76" t="str">
        <f>'OYONNAX NANTUA'!C49</f>
        <v xml:space="preserve">RODRIGUEZ- PODESTA </v>
      </c>
      <c r="B109" s="76" t="str">
        <f>'OYONNAX NANTUA'!D49</f>
        <v>Alexis</v>
      </c>
      <c r="C109" s="199"/>
      <c r="D109" s="199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12"/>
      <c r="R109" s="233"/>
      <c r="S109" s="212"/>
      <c r="T109" s="235">
        <f t="shared" si="3"/>
        <v>15</v>
      </c>
      <c r="U109" s="212"/>
      <c r="V109" s="212"/>
      <c r="W109" s="235">
        <f t="shared" si="4"/>
        <v>50</v>
      </c>
      <c r="X109" s="212"/>
      <c r="Y109" s="212"/>
      <c r="Z109" s="366"/>
      <c r="AA109" s="232"/>
      <c r="AB109" s="232"/>
      <c r="AC109" s="235">
        <f t="shared" si="5"/>
        <v>35</v>
      </c>
      <c r="AD109" s="221"/>
    </row>
    <row r="110" spans="1:30">
      <c r="A110" s="76" t="str">
        <f>'OYONNAX NANTUA'!C50</f>
        <v xml:space="preserve">YILDIZ </v>
      </c>
      <c r="B110" s="76" t="str">
        <f>'OYONNAX NANTUA'!D50</f>
        <v>Yusuf</v>
      </c>
      <c r="C110" s="199">
        <v>1</v>
      </c>
      <c r="D110" s="199"/>
      <c r="E110" s="199">
        <v>1</v>
      </c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212"/>
      <c r="R110" s="216"/>
      <c r="S110" s="212"/>
      <c r="T110" s="217">
        <f t="shared" si="3"/>
        <v>15</v>
      </c>
      <c r="U110" s="212"/>
      <c r="V110" s="212"/>
      <c r="W110" s="217">
        <f t="shared" si="4"/>
        <v>50</v>
      </c>
      <c r="X110" s="212"/>
      <c r="Y110" s="212"/>
      <c r="Z110" s="366"/>
      <c r="AA110" s="199"/>
      <c r="AB110" s="199"/>
      <c r="AC110" s="217">
        <f t="shared" si="5"/>
        <v>35</v>
      </c>
    </row>
    <row r="111" spans="1:30" s="371" customFormat="1">
      <c r="A111" s="263" t="str">
        <f>'OYONNAX NANTUA'!C51</f>
        <v>ROSSIGNOL </v>
      </c>
      <c r="B111" s="263" t="str">
        <f>'OYONNAX NANTUA'!D51</f>
        <v>Tiffany</v>
      </c>
      <c r="C111" s="366"/>
      <c r="D111" s="366"/>
      <c r="E111" s="366"/>
      <c r="F111" s="366">
        <v>2</v>
      </c>
      <c r="G111" s="366"/>
      <c r="H111" s="366"/>
      <c r="I111" s="366"/>
      <c r="J111" s="366"/>
      <c r="K111" s="366"/>
      <c r="L111" s="366"/>
      <c r="M111" s="366"/>
      <c r="N111" s="366"/>
      <c r="O111" s="366"/>
      <c r="P111" s="366"/>
      <c r="Q111" s="367"/>
      <c r="R111" s="368">
        <v>46211</v>
      </c>
      <c r="S111" s="389">
        <v>46224</v>
      </c>
      <c r="T111" s="370">
        <v>46224</v>
      </c>
      <c r="U111" s="367"/>
      <c r="V111" s="367"/>
      <c r="W111" s="370">
        <f t="shared" ref="W111:W120" si="6">S111+50</f>
        <v>46274</v>
      </c>
      <c r="X111" s="367"/>
      <c r="Y111" s="367"/>
      <c r="Z111" s="370">
        <v>46287</v>
      </c>
      <c r="AA111" s="366"/>
      <c r="AB111" s="366"/>
      <c r="AC111" s="370">
        <f t="shared" ref="AC111:AC120" si="7">AB111+35</f>
        <v>35</v>
      </c>
    </row>
    <row r="112" spans="1:30">
      <c r="A112" s="76" t="str">
        <f>'OYONNAX NANTUA'!C52</f>
        <v xml:space="preserve">BOUNABI </v>
      </c>
      <c r="B112" s="76" t="str">
        <f>'OYONNAX NANTUA'!D52</f>
        <v>Azedine</v>
      </c>
      <c r="C112" s="199">
        <v>1</v>
      </c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212"/>
      <c r="R112" s="439"/>
      <c r="S112" s="212"/>
      <c r="T112" s="217">
        <f t="shared" ref="T112:T120" si="8">S112+15</f>
        <v>15</v>
      </c>
      <c r="U112" s="212"/>
      <c r="V112" s="212"/>
      <c r="W112" s="217">
        <f t="shared" si="6"/>
        <v>50</v>
      </c>
      <c r="X112" s="212"/>
      <c r="Y112" s="212"/>
      <c r="Z112" s="366"/>
      <c r="AA112" s="199"/>
      <c r="AB112" s="199"/>
      <c r="AC112" s="217">
        <f t="shared" si="7"/>
        <v>35</v>
      </c>
    </row>
    <row r="113" spans="1:29">
      <c r="A113" s="76" t="str">
        <f>'OYONNAX NANTUA'!C53</f>
        <v>CHAU</v>
      </c>
      <c r="B113" s="76" t="str">
        <f>'OYONNAX NANTUA'!D53</f>
        <v xml:space="preserve">Georges </v>
      </c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212"/>
      <c r="R113" s="216"/>
      <c r="S113" s="212"/>
      <c r="T113" s="217">
        <f t="shared" si="8"/>
        <v>15</v>
      </c>
      <c r="U113" s="212"/>
      <c r="V113" s="212"/>
      <c r="W113" s="217">
        <f t="shared" si="6"/>
        <v>50</v>
      </c>
      <c r="X113" s="212"/>
      <c r="Y113" s="212"/>
      <c r="Z113" s="366"/>
      <c r="AA113" s="199"/>
      <c r="AB113" s="199"/>
      <c r="AC113" s="217">
        <f t="shared" si="7"/>
        <v>35</v>
      </c>
    </row>
    <row r="114" spans="1:29">
      <c r="A114" s="76" t="str">
        <f>'BRSA Sorties '!C142</f>
        <v xml:space="preserve">FLIPO </v>
      </c>
      <c r="B114" s="76" t="str">
        <f>'BRSA Sorties '!D142</f>
        <v>Morgann</v>
      </c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212"/>
      <c r="R114" s="216"/>
      <c r="S114" s="212"/>
      <c r="T114" s="217">
        <f t="shared" si="8"/>
        <v>15</v>
      </c>
      <c r="U114" s="212"/>
      <c r="V114" s="212"/>
      <c r="W114" s="217">
        <f t="shared" si="6"/>
        <v>50</v>
      </c>
      <c r="X114" s="212"/>
      <c r="Y114" s="212"/>
      <c r="Z114" s="366"/>
      <c r="AA114" s="199"/>
      <c r="AB114" s="199"/>
      <c r="AC114" s="217">
        <f t="shared" si="7"/>
        <v>35</v>
      </c>
    </row>
    <row r="115" spans="1:29">
      <c r="A115" s="76" t="str">
        <f>'OYONNAX NANTUA'!C54</f>
        <v xml:space="preserve">ALCHAB </v>
      </c>
      <c r="B115" s="76" t="str">
        <f>'OYONNAX NANTUA'!D54</f>
        <v>Younes</v>
      </c>
      <c r="C115" s="199">
        <v>1</v>
      </c>
      <c r="D115" s="199">
        <v>1</v>
      </c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212"/>
      <c r="R115" s="439">
        <v>46210</v>
      </c>
      <c r="S115" s="437"/>
      <c r="T115" s="217">
        <f t="shared" si="8"/>
        <v>15</v>
      </c>
      <c r="U115" s="212"/>
      <c r="V115" s="212"/>
      <c r="W115" s="217">
        <f t="shared" si="6"/>
        <v>50</v>
      </c>
      <c r="X115" s="212"/>
      <c r="Y115" s="212"/>
      <c r="Z115" s="366"/>
      <c r="AA115" s="199"/>
      <c r="AB115" s="199"/>
      <c r="AC115" s="217">
        <f t="shared" si="7"/>
        <v>35</v>
      </c>
    </row>
    <row r="116" spans="1:29">
      <c r="A116" s="76" t="str">
        <f>'OYONNAX NANTUA'!C55</f>
        <v xml:space="preserve">MOUHSINE </v>
      </c>
      <c r="B116" s="76" t="str">
        <f>'OYONNAX NANTUA'!D55</f>
        <v>Amine</v>
      </c>
      <c r="C116" s="199"/>
      <c r="D116" s="199"/>
      <c r="E116" s="199">
        <v>2</v>
      </c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212"/>
      <c r="R116" s="439">
        <v>46216</v>
      </c>
      <c r="S116" s="437">
        <v>46224</v>
      </c>
      <c r="T116" s="217">
        <v>46224</v>
      </c>
      <c r="U116" s="212"/>
      <c r="V116" s="212"/>
      <c r="W116" s="217">
        <f t="shared" si="6"/>
        <v>46274</v>
      </c>
      <c r="X116" s="212"/>
      <c r="Y116" s="212"/>
      <c r="Z116" s="366"/>
      <c r="AA116" s="199"/>
      <c r="AB116" s="199"/>
      <c r="AC116" s="217">
        <f t="shared" si="7"/>
        <v>35</v>
      </c>
    </row>
    <row r="117" spans="1:29">
      <c r="A117" s="76" t="str">
        <f>'OYONNAX NANTUA'!C56</f>
        <v xml:space="preserve">OUAFIK </v>
      </c>
      <c r="B117" s="76" t="str">
        <f>'OYONNAX NANTUA'!D56</f>
        <v>Marouane</v>
      </c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212"/>
      <c r="R117" s="216"/>
      <c r="S117" s="212"/>
      <c r="T117" s="217">
        <f t="shared" si="8"/>
        <v>15</v>
      </c>
      <c r="U117" s="212"/>
      <c r="V117" s="212"/>
      <c r="W117" s="217">
        <f t="shared" si="6"/>
        <v>50</v>
      </c>
      <c r="X117" s="212"/>
      <c r="Y117" s="212"/>
      <c r="Z117" s="366"/>
      <c r="AA117" s="199"/>
      <c r="AB117" s="199"/>
      <c r="AC117" s="217">
        <f t="shared" si="7"/>
        <v>35</v>
      </c>
    </row>
    <row r="118" spans="1:29">
      <c r="A118" s="76" t="str">
        <f>'OYONNAX NANTUA'!C57</f>
        <v xml:space="preserve">SAHLI </v>
      </c>
      <c r="B118" s="76" t="str">
        <f>'OYONNAX NANTUA'!D57</f>
        <v>Rahma</v>
      </c>
      <c r="C118" s="199">
        <v>1</v>
      </c>
      <c r="D118" s="199">
        <v>1</v>
      </c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212"/>
      <c r="R118" s="216"/>
      <c r="S118" s="212"/>
      <c r="T118" s="217">
        <f t="shared" si="8"/>
        <v>15</v>
      </c>
      <c r="U118" s="212"/>
      <c r="V118" s="212"/>
      <c r="W118" s="217">
        <f t="shared" si="6"/>
        <v>50</v>
      </c>
      <c r="X118" s="212"/>
      <c r="Y118" s="212"/>
      <c r="Z118" s="366"/>
      <c r="AA118" s="199"/>
      <c r="AB118" s="199"/>
      <c r="AC118" s="217">
        <f t="shared" si="7"/>
        <v>35</v>
      </c>
    </row>
    <row r="119" spans="1:29">
      <c r="A119" s="76" t="str">
        <f>'OYONNAX NANTUA'!C58</f>
        <v xml:space="preserve">MICHAUD </v>
      </c>
      <c r="B119" s="76" t="str">
        <f>'OYONNAX NANTUA'!D58</f>
        <v>Thierry</v>
      </c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212"/>
      <c r="R119" s="216"/>
      <c r="S119" s="212"/>
      <c r="T119" s="217">
        <f t="shared" si="8"/>
        <v>15</v>
      </c>
      <c r="U119" s="212"/>
      <c r="V119" s="212"/>
      <c r="W119" s="217">
        <f t="shared" si="6"/>
        <v>50</v>
      </c>
      <c r="X119" s="212"/>
      <c r="Y119" s="212"/>
      <c r="Z119" s="366"/>
      <c r="AA119" s="199"/>
      <c r="AB119" s="199"/>
      <c r="AC119" s="217">
        <f t="shared" si="7"/>
        <v>35</v>
      </c>
    </row>
    <row r="120" spans="1:29">
      <c r="A120" s="76" t="str">
        <f>'BRSA Sorties '!C152</f>
        <v xml:space="preserve">MAGOUH </v>
      </c>
      <c r="B120" s="76" t="str">
        <f>'BRSA Sorties '!D152</f>
        <v xml:space="preserve">Fikry </v>
      </c>
      <c r="C120" s="199">
        <v>1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212"/>
      <c r="R120" s="216"/>
      <c r="S120" s="212"/>
      <c r="T120" s="217">
        <f t="shared" si="8"/>
        <v>15</v>
      </c>
      <c r="U120" s="212"/>
      <c r="V120" s="212"/>
      <c r="W120" s="217">
        <f t="shared" si="6"/>
        <v>50</v>
      </c>
      <c r="X120" s="212"/>
      <c r="Y120" s="212"/>
      <c r="Z120" s="366"/>
      <c r="AA120" s="199"/>
      <c r="AB120" s="199"/>
      <c r="AC120" s="217">
        <f t="shared" si="7"/>
        <v>35</v>
      </c>
    </row>
    <row r="121" spans="1:29">
      <c r="A121" s="76" t="str">
        <f>'OYONNAX NANTUA'!C60</f>
        <v xml:space="preserve">KABERUKA </v>
      </c>
      <c r="B121" s="76" t="str">
        <f>'OYONNAX NANTUA'!D60</f>
        <v>Nyiramahoro</v>
      </c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212"/>
      <c r="R121" s="216"/>
      <c r="S121" s="212"/>
      <c r="T121" s="217"/>
      <c r="U121" s="212"/>
      <c r="V121" s="212"/>
      <c r="W121" s="217"/>
      <c r="X121" s="212"/>
      <c r="Y121" s="212"/>
      <c r="Z121" s="366"/>
      <c r="AA121" s="199"/>
      <c r="AB121" s="199"/>
      <c r="AC121" s="217"/>
    </row>
    <row r="122" spans="1:29">
      <c r="A122" s="76" t="str">
        <f>'OYONNAX NANTUA'!C61</f>
        <v xml:space="preserve">KORUCU </v>
      </c>
      <c r="B122" s="76" t="str">
        <f>'OYONNAX NANTUA'!D61</f>
        <v>Sevcan</v>
      </c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212"/>
      <c r="R122" s="216"/>
      <c r="S122" s="212"/>
      <c r="T122" s="217"/>
      <c r="U122" s="212"/>
      <c r="V122" s="212"/>
      <c r="W122" s="217"/>
      <c r="X122" s="212"/>
      <c r="Y122" s="212"/>
      <c r="Z122" s="366"/>
      <c r="AA122" s="199"/>
      <c r="AB122" s="199"/>
      <c r="AC122" s="217"/>
    </row>
    <row r="123" spans="1:29">
      <c r="A123" s="76" t="str">
        <f>'BRSA Sorties '!C147</f>
        <v xml:space="preserve">GUNBEY </v>
      </c>
      <c r="B123" s="76" t="str">
        <f>'BRSA Sorties '!D147</f>
        <v>Ayhan</v>
      </c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212"/>
      <c r="R123" s="216"/>
      <c r="S123" s="212"/>
      <c r="T123" s="217"/>
      <c r="U123" s="212"/>
      <c r="V123" s="212"/>
      <c r="W123" s="217"/>
      <c r="X123" s="212"/>
      <c r="Y123" s="212"/>
      <c r="Z123" s="366"/>
      <c r="AA123" s="199"/>
      <c r="AB123" s="199"/>
      <c r="AC123" s="217"/>
    </row>
    <row r="124" spans="1:29">
      <c r="A124" s="76" t="str">
        <f>'BRSA Sorties '!C146</f>
        <v xml:space="preserve">GARRA MALEM </v>
      </c>
      <c r="B124" s="76" t="str">
        <f>'BRSA Sorties '!D146</f>
        <v xml:space="preserve">Saida 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212"/>
      <c r="R124" s="216"/>
      <c r="S124" s="212"/>
      <c r="T124" s="217"/>
      <c r="U124" s="212"/>
      <c r="V124" s="212"/>
      <c r="W124" s="217"/>
      <c r="X124" s="212"/>
      <c r="Y124" s="212"/>
      <c r="Z124" s="366"/>
      <c r="AA124" s="199"/>
      <c r="AB124" s="199"/>
      <c r="AC124" s="217"/>
    </row>
    <row r="125" spans="1:29" s="371" customFormat="1">
      <c r="A125" s="263" t="str">
        <f>'OYONNAX NANTUA'!C62</f>
        <v xml:space="preserve">SOLTANI </v>
      </c>
      <c r="B125" s="263" t="str">
        <f>'OYONNAX NANTUA'!D62</f>
        <v xml:space="preserve"> Kamel  </v>
      </c>
      <c r="C125" s="366">
        <v>1</v>
      </c>
      <c r="D125" s="366"/>
      <c r="E125" s="366"/>
      <c r="F125" s="366"/>
      <c r="G125" s="366"/>
      <c r="H125" s="366"/>
      <c r="I125" s="366"/>
      <c r="J125" s="366"/>
      <c r="K125" s="366"/>
      <c r="L125" s="366"/>
      <c r="M125" s="366"/>
      <c r="N125" s="366"/>
      <c r="O125" s="366"/>
      <c r="P125" s="366"/>
      <c r="Q125" s="367"/>
      <c r="R125" s="381"/>
      <c r="S125" s="367"/>
      <c r="T125" s="370"/>
      <c r="U125" s="367"/>
      <c r="V125" s="367"/>
      <c r="W125" s="370"/>
      <c r="X125" s="367"/>
      <c r="Y125" s="367"/>
      <c r="Z125" s="370">
        <v>46301</v>
      </c>
      <c r="AA125" s="366"/>
      <c r="AB125" s="366"/>
      <c r="AC125" s="370"/>
    </row>
    <row r="126" spans="1:29">
      <c r="A126" s="76" t="str">
        <f>'OYONNAX NANTUA'!C63</f>
        <v xml:space="preserve">BUFFARD </v>
      </c>
      <c r="B126" s="76" t="str">
        <f>'OYONNAX NANTUA'!D63</f>
        <v xml:space="preserve">Jessica </v>
      </c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212"/>
      <c r="R126" s="216"/>
      <c r="S126" s="212"/>
      <c r="T126" s="217"/>
      <c r="U126" s="212"/>
      <c r="V126" s="212"/>
      <c r="W126" s="217"/>
      <c r="X126" s="212"/>
      <c r="Y126" s="212"/>
      <c r="Z126" s="366"/>
      <c r="AA126" s="199"/>
      <c r="AB126" s="199"/>
      <c r="AC126" s="217"/>
    </row>
    <row r="127" spans="1:29">
      <c r="A127" s="76" t="str">
        <f>'BRSA Sorties '!C148</f>
        <v>NEM</v>
      </c>
      <c r="B127" s="76" t="str">
        <f>'BRSA Sorties '!D148</f>
        <v>Chan</v>
      </c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212"/>
      <c r="R127" s="216"/>
      <c r="S127" s="212"/>
      <c r="T127" s="217"/>
      <c r="U127" s="212"/>
      <c r="V127" s="212"/>
      <c r="W127" s="217"/>
      <c r="X127" s="212"/>
      <c r="Y127" s="212"/>
      <c r="Z127" s="366"/>
      <c r="AA127" s="199"/>
      <c r="AB127" s="199"/>
      <c r="AC127" s="217"/>
    </row>
    <row r="128" spans="1:29" s="371" customFormat="1">
      <c r="A128" s="263" t="str">
        <f>'OYONNAX NANTUA'!C64</f>
        <v xml:space="preserve">BELHADJ </v>
      </c>
      <c r="B128" s="263" t="str">
        <f>'OYONNAX NANTUA'!D64</f>
        <v xml:space="preserve"> Lila </v>
      </c>
      <c r="C128" s="366">
        <v>1</v>
      </c>
      <c r="D128" s="366">
        <v>1</v>
      </c>
      <c r="E128" s="366"/>
      <c r="F128" s="366"/>
      <c r="G128" s="366"/>
      <c r="H128" s="366"/>
      <c r="I128" s="366"/>
      <c r="J128" s="366"/>
      <c r="K128" s="366"/>
      <c r="L128" s="366"/>
      <c r="M128" s="366"/>
      <c r="N128" s="366"/>
      <c r="O128" s="366"/>
      <c r="P128" s="366"/>
      <c r="Q128" s="367"/>
      <c r="R128" s="368">
        <v>46244</v>
      </c>
      <c r="S128" s="367"/>
      <c r="T128" s="370"/>
      <c r="U128" s="367"/>
      <c r="V128" s="367"/>
      <c r="W128" s="370"/>
      <c r="X128" s="367"/>
      <c r="Y128" s="367"/>
      <c r="Z128" s="366"/>
      <c r="AA128" s="366"/>
      <c r="AB128" s="366"/>
      <c r="AC128" s="370"/>
    </row>
    <row r="129" spans="1:29">
      <c r="A129" s="76" t="str">
        <f>'OYONNAX NANTUA'!C65</f>
        <v xml:space="preserve">DE BONA </v>
      </c>
      <c r="B129" s="76" t="str">
        <f>'OYONNAX NANTUA'!D65</f>
        <v xml:space="preserve"> Vanessa </v>
      </c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212"/>
      <c r="R129" s="216"/>
      <c r="S129" s="212"/>
      <c r="T129" s="217"/>
      <c r="U129" s="212"/>
      <c r="V129" s="212"/>
      <c r="W129" s="217"/>
      <c r="X129" s="212"/>
      <c r="Y129" s="212"/>
      <c r="Z129" s="366"/>
      <c r="AA129" s="199"/>
      <c r="AB129" s="199"/>
      <c r="AC129" s="217"/>
    </row>
    <row r="130" spans="1:29">
      <c r="A130" s="76" t="str">
        <f>'OYONNAX NANTUA'!C66</f>
        <v>CENGIZ</v>
      </c>
      <c r="B130" s="76" t="str">
        <f>'OYONNAX NANTUA'!D66</f>
        <v xml:space="preserve"> Elif </v>
      </c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212"/>
      <c r="R130" s="216"/>
      <c r="S130" s="212"/>
      <c r="T130" s="217"/>
      <c r="U130" s="212"/>
      <c r="V130" s="212"/>
      <c r="W130" s="217"/>
      <c r="X130" s="212"/>
      <c r="Y130" s="212"/>
      <c r="Z130" s="366"/>
      <c r="AA130" s="199"/>
      <c r="AB130" s="199"/>
      <c r="AC130" s="217"/>
    </row>
    <row r="131" spans="1:29">
      <c r="A131" s="76" t="str">
        <f>'OYONNAX NANTUA'!C67</f>
        <v xml:space="preserve">FICHOT </v>
      </c>
      <c r="B131" s="76" t="str">
        <f>'OYONNAX NANTUA'!D67</f>
        <v xml:space="preserve"> Christelle  </v>
      </c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212"/>
      <c r="R131" s="216"/>
      <c r="S131" s="212"/>
      <c r="T131" s="217"/>
      <c r="U131" s="212"/>
      <c r="V131" s="212"/>
      <c r="W131" s="217"/>
      <c r="X131" s="212"/>
      <c r="Y131" s="212"/>
      <c r="Z131" s="366"/>
      <c r="AA131" s="199"/>
      <c r="AB131" s="199"/>
      <c r="AC131" s="217"/>
    </row>
    <row r="132" spans="1:29">
      <c r="A132" s="76" t="str">
        <f>'OYONNAX NANTUA'!C68</f>
        <v xml:space="preserve">DEDIC </v>
      </c>
      <c r="B132" s="76" t="str">
        <f>'OYONNAX NANTUA'!D68</f>
        <v xml:space="preserve"> Hanifa </v>
      </c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212"/>
      <c r="R132" s="216"/>
      <c r="S132" s="212"/>
      <c r="T132" s="217"/>
      <c r="U132" s="212"/>
      <c r="V132" s="212"/>
      <c r="W132" s="217"/>
      <c r="X132" s="212"/>
      <c r="Y132" s="212"/>
      <c r="Z132" s="366"/>
      <c r="AA132" s="199"/>
      <c r="AB132" s="199"/>
      <c r="AC132" s="217"/>
    </row>
    <row r="133" spans="1:29">
      <c r="A133" s="76" t="str">
        <f>'OYONNAX NANTUA'!C69</f>
        <v>VAHA  </v>
      </c>
      <c r="B133" s="76" t="str">
        <f>'OYONNAX NANTUA'!D69</f>
        <v xml:space="preserve"> Perline  </v>
      </c>
      <c r="C133" s="199">
        <v>1</v>
      </c>
      <c r="D133" s="199">
        <v>1</v>
      </c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212"/>
      <c r="R133" s="216"/>
      <c r="S133" s="212"/>
      <c r="T133" s="217"/>
      <c r="U133" s="212"/>
      <c r="V133" s="212"/>
      <c r="W133" s="217"/>
      <c r="X133" s="212"/>
      <c r="Y133" s="212"/>
      <c r="Z133" s="366"/>
      <c r="AA133" s="199"/>
      <c r="AB133" s="199"/>
      <c r="AC133" s="217"/>
    </row>
    <row r="134" spans="1:29">
      <c r="A134" s="76" t="str">
        <f>'OYONNAX NANTUA'!C70</f>
        <v xml:space="preserve">BUISSON </v>
      </c>
      <c r="B134" s="76" t="str">
        <f>'OYONNAX NANTUA'!D70</f>
        <v>MAEVA</v>
      </c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212"/>
      <c r="R134" s="216"/>
      <c r="S134" s="212"/>
      <c r="T134" s="217"/>
      <c r="U134" s="212"/>
      <c r="V134" s="212"/>
      <c r="W134" s="217"/>
      <c r="X134" s="212"/>
      <c r="Y134" s="212"/>
      <c r="Z134" s="366"/>
      <c r="AA134" s="199"/>
      <c r="AB134" s="199"/>
      <c r="AC134" s="217"/>
    </row>
    <row r="135" spans="1:29">
      <c r="A135" s="76" t="str">
        <f>'OYONNAX NANTUA'!C71</f>
        <v xml:space="preserve">TOURI  </v>
      </c>
      <c r="B135" s="76" t="str">
        <f>'OYONNAX NANTUA'!D71</f>
        <v xml:space="preserve"> Nabila </v>
      </c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212"/>
      <c r="R135" s="216"/>
      <c r="S135" s="212"/>
      <c r="T135" s="217"/>
      <c r="U135" s="212"/>
      <c r="V135" s="212"/>
      <c r="W135" s="217"/>
      <c r="X135" s="212"/>
      <c r="Y135" s="212"/>
      <c r="Z135" s="366"/>
      <c r="AA135" s="199"/>
      <c r="AB135" s="199"/>
      <c r="AC135" s="217"/>
    </row>
    <row r="136" spans="1:29">
      <c r="A136" s="76" t="str">
        <f>'OYONNAX NANTUA'!C72</f>
        <v>STELLFELD  </v>
      </c>
      <c r="B136" s="76" t="str">
        <f>'OYONNAX NANTUA'!D72</f>
        <v xml:space="preserve"> Fanny  </v>
      </c>
      <c r="C136" s="199">
        <v>1</v>
      </c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212"/>
      <c r="R136" s="216"/>
      <c r="S136" s="212"/>
      <c r="T136" s="217"/>
      <c r="U136" s="212"/>
      <c r="V136" s="212"/>
      <c r="W136" s="217"/>
      <c r="X136" s="212"/>
      <c r="Y136" s="212"/>
      <c r="Z136" s="366"/>
      <c r="AA136" s="199"/>
      <c r="AB136" s="199"/>
      <c r="AC136" s="217"/>
    </row>
    <row r="137" spans="1:29">
      <c r="A137" s="76" t="str">
        <f>'OYONNAX NANTUA'!C73</f>
        <v xml:space="preserve">DJANE LOU </v>
      </c>
      <c r="B137" s="76" t="str">
        <f>'OYONNAX NANTUA'!D73</f>
        <v xml:space="preserve"> Nikima </v>
      </c>
      <c r="C137" s="199">
        <v>1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212"/>
      <c r="R137" s="216"/>
      <c r="S137" s="212"/>
      <c r="T137" s="217"/>
      <c r="U137" s="212"/>
      <c r="V137" s="212"/>
      <c r="W137" s="217"/>
      <c r="X137" s="212"/>
      <c r="Y137" s="212"/>
      <c r="Z137" s="366"/>
      <c r="AA137" s="199"/>
      <c r="AB137" s="199"/>
      <c r="AC137" s="217"/>
    </row>
    <row r="138" spans="1:29">
      <c r="A138" s="76" t="str">
        <f>'OYONNAX NANTUA'!C74</f>
        <v xml:space="preserve">MIHOUBI </v>
      </c>
      <c r="B138" s="76" t="str">
        <f>'OYONNAX NANTUA'!D74</f>
        <v>Ali</v>
      </c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212"/>
      <c r="R138" s="216"/>
      <c r="S138" s="212"/>
      <c r="T138" s="217"/>
      <c r="U138" s="212"/>
      <c r="V138" s="212"/>
      <c r="W138" s="217"/>
      <c r="X138" s="212"/>
      <c r="Y138" s="212"/>
      <c r="Z138" s="366"/>
      <c r="AA138" s="199"/>
      <c r="AB138" s="199"/>
      <c r="AC138" s="217"/>
    </row>
    <row r="139" spans="1:29">
      <c r="A139" s="76" t="str">
        <f>'OYONNAX NANTUA'!C75</f>
        <v xml:space="preserve">DA SILVA </v>
      </c>
      <c r="B139" s="76" t="str">
        <f>'OYONNAX NANTUA'!D75</f>
        <v xml:space="preserve">Francois </v>
      </c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212"/>
      <c r="R139" s="216"/>
      <c r="S139" s="212"/>
      <c r="T139" s="217"/>
      <c r="U139" s="212"/>
      <c r="V139" s="212"/>
      <c r="W139" s="217"/>
      <c r="X139" s="212"/>
      <c r="Y139" s="212"/>
      <c r="Z139" s="366"/>
      <c r="AA139" s="199"/>
      <c r="AB139" s="199"/>
      <c r="AC139" s="217"/>
    </row>
    <row r="140" spans="1:29">
      <c r="A140" s="76" t="str">
        <f>'OYONNAX NANTUA'!C76</f>
        <v>ZRIBI/OUESLATI</v>
      </c>
      <c r="B140" s="76" t="str">
        <f>'OYONNAX NANTUA'!D76</f>
        <v>Sihem</v>
      </c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212"/>
      <c r="R140" s="216"/>
      <c r="S140" s="212"/>
      <c r="T140" s="217"/>
      <c r="U140" s="212"/>
      <c r="V140" s="212"/>
      <c r="W140" s="217"/>
      <c r="X140" s="212"/>
      <c r="Y140" s="212"/>
      <c r="Z140" s="366"/>
      <c r="AA140" s="199"/>
      <c r="AB140" s="199"/>
      <c r="AC140" s="217"/>
    </row>
    <row r="141" spans="1:29" s="371" customFormat="1">
      <c r="A141" s="263" t="str">
        <f>'OYONNAX NANTUA'!C77</f>
        <v xml:space="preserve">KHAJOU </v>
      </c>
      <c r="B141" s="263" t="str">
        <f>'OYONNAX NANTUA'!D77</f>
        <v xml:space="preserve">Kamale </v>
      </c>
      <c r="C141" s="366">
        <v>1</v>
      </c>
      <c r="D141" s="366"/>
      <c r="E141" s="366"/>
      <c r="F141" s="366"/>
      <c r="G141" s="366"/>
      <c r="H141" s="366"/>
      <c r="I141" s="366"/>
      <c r="J141" s="366"/>
      <c r="K141" s="366"/>
      <c r="L141" s="366"/>
      <c r="M141" s="366"/>
      <c r="N141" s="366"/>
      <c r="O141" s="366"/>
      <c r="P141" s="366"/>
      <c r="Q141" s="367"/>
      <c r="R141" s="381"/>
      <c r="S141" s="367"/>
      <c r="T141" s="370"/>
      <c r="U141" s="367"/>
      <c r="V141" s="367"/>
      <c r="W141" s="370"/>
      <c r="X141" s="367"/>
      <c r="Y141" s="367"/>
      <c r="Z141" s="370">
        <v>46301</v>
      </c>
      <c r="AA141" s="366"/>
      <c r="AB141" s="366"/>
      <c r="AC141" s="370"/>
    </row>
    <row r="142" spans="1:29">
      <c r="A142" s="76" t="str">
        <f>'OYONNAX NANTUA'!C78</f>
        <v xml:space="preserve">MAGOURA </v>
      </c>
      <c r="B142" s="76" t="str">
        <f>'OYONNAX NANTUA'!D78</f>
        <v xml:space="preserve">Fouzi </v>
      </c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212"/>
      <c r="R142" s="216"/>
      <c r="S142" s="212"/>
      <c r="T142" s="217"/>
      <c r="U142" s="212"/>
      <c r="V142" s="212"/>
      <c r="W142" s="217"/>
      <c r="X142" s="212"/>
      <c r="Y142" s="212"/>
      <c r="Z142" s="366"/>
      <c r="AA142" s="199"/>
      <c r="AB142" s="199"/>
      <c r="AC142" s="217"/>
    </row>
    <row r="143" spans="1:29">
      <c r="A143" s="76" t="str">
        <f>'OYONNAX NANTUA'!C79</f>
        <v xml:space="preserve">MESSAOUDI /ATTAR </v>
      </c>
      <c r="B143" s="76" t="str">
        <f>'OYONNAX NANTUA'!D79</f>
        <v xml:space="preserve"> Fatima </v>
      </c>
      <c r="C143" s="199">
        <v>1</v>
      </c>
      <c r="D143" s="199">
        <v>1</v>
      </c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212"/>
      <c r="R143" s="216"/>
      <c r="S143" s="212"/>
      <c r="T143" s="217"/>
      <c r="U143" s="212"/>
      <c r="V143" s="212"/>
      <c r="W143" s="217"/>
      <c r="X143" s="212"/>
      <c r="Y143" s="212"/>
      <c r="Z143" s="366"/>
      <c r="AA143" s="199"/>
      <c r="AB143" s="199"/>
      <c r="AC143" s="217"/>
    </row>
    <row r="144" spans="1:29">
      <c r="A144" s="76" t="str">
        <f>'OYONNAX NANTUA'!C80</f>
        <v>MEJBER / MAROINE</v>
      </c>
      <c r="B144" s="76" t="str">
        <f>'OYONNAX NANTUA'!D80</f>
        <v xml:space="preserve"> Naima </v>
      </c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212"/>
      <c r="R144" s="216"/>
      <c r="S144" s="212"/>
      <c r="T144" s="217"/>
      <c r="U144" s="212"/>
      <c r="V144" s="212"/>
      <c r="W144" s="217"/>
      <c r="X144" s="212"/>
      <c r="Y144" s="212"/>
      <c r="Z144" s="366"/>
      <c r="AA144" s="199"/>
      <c r="AB144" s="199"/>
      <c r="AC144" s="217"/>
    </row>
    <row r="145" spans="1:29">
      <c r="A145" s="76" t="str">
        <f>'OYONNAX NANTUA'!C81</f>
        <v xml:space="preserve">SOARES LIMA </v>
      </c>
      <c r="B145" s="76" t="str">
        <f>'OYONNAX NANTUA'!D81</f>
        <v xml:space="preserve"> Emelly </v>
      </c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212"/>
      <c r="R145" s="216"/>
      <c r="S145" s="212"/>
      <c r="T145" s="217"/>
      <c r="U145" s="212"/>
      <c r="V145" s="212"/>
      <c r="W145" s="217"/>
      <c r="X145" s="212"/>
      <c r="Y145" s="212"/>
      <c r="Z145" s="366"/>
      <c r="AA145" s="199"/>
      <c r="AB145" s="199"/>
      <c r="AC145" s="217"/>
    </row>
    <row r="146" spans="1:29">
      <c r="A146" s="76" t="str">
        <f>'OYONNAX NANTUA'!C82</f>
        <v xml:space="preserve">BOCKSTAL </v>
      </c>
      <c r="B146" s="76" t="str">
        <f>'OYONNAX NANTUA'!D82</f>
        <v xml:space="preserve">Sabine </v>
      </c>
      <c r="C146" s="199">
        <v>1</v>
      </c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212"/>
      <c r="R146" s="216"/>
      <c r="S146" s="212"/>
      <c r="T146" s="217"/>
      <c r="U146" s="212"/>
      <c r="V146" s="212"/>
      <c r="W146" s="217"/>
      <c r="X146" s="212"/>
      <c r="Y146" s="212"/>
      <c r="Z146" s="366"/>
      <c r="AA146" s="199"/>
      <c r="AB146" s="199"/>
      <c r="AC146" s="217"/>
    </row>
    <row r="147" spans="1:29">
      <c r="A147" s="76" t="str">
        <f>'OYONNAX NANTUA'!C83</f>
        <v xml:space="preserve">ZITOUNI </v>
      </c>
      <c r="B147" s="76" t="str">
        <f>'OYONNAX NANTUA'!D83</f>
        <v xml:space="preserve"> Ouarda </v>
      </c>
      <c r="C147" s="199">
        <v>1</v>
      </c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212"/>
      <c r="R147" s="216"/>
      <c r="S147" s="212"/>
      <c r="T147" s="217"/>
      <c r="U147" s="212"/>
      <c r="V147" s="212"/>
      <c r="W147" s="217"/>
      <c r="X147" s="212"/>
      <c r="Y147" s="212"/>
      <c r="Z147" s="366"/>
      <c r="AA147" s="199"/>
      <c r="AB147" s="199"/>
      <c r="AC147" s="217"/>
    </row>
    <row r="148" spans="1:29" s="371" customFormat="1">
      <c r="A148" s="263" t="str">
        <f>'OYONNAX NANTUA'!C84</f>
        <v>MANDOKHAIL</v>
      </c>
      <c r="B148" s="263" t="str">
        <f>'OYONNAX NANTUA'!D84</f>
        <v xml:space="preserve"> Faiz </v>
      </c>
      <c r="C148" s="366">
        <v>1</v>
      </c>
      <c r="D148" s="366">
        <v>1</v>
      </c>
      <c r="E148" s="366"/>
      <c r="F148" s="366"/>
      <c r="G148" s="366"/>
      <c r="H148" s="366"/>
      <c r="I148" s="366"/>
      <c r="J148" s="366"/>
      <c r="K148" s="366"/>
      <c r="L148" s="366"/>
      <c r="M148" s="366"/>
      <c r="N148" s="366"/>
      <c r="O148" s="366"/>
      <c r="P148" s="366"/>
      <c r="Q148" s="367"/>
      <c r="R148" s="368">
        <v>46273</v>
      </c>
      <c r="S148" s="367"/>
      <c r="T148" s="370"/>
      <c r="U148" s="367"/>
      <c r="V148" s="367"/>
      <c r="W148" s="370"/>
      <c r="X148" s="367"/>
      <c r="Y148" s="367"/>
      <c r="Z148" s="366"/>
      <c r="AA148" s="366"/>
      <c r="AB148" s="366"/>
      <c r="AC148" s="370"/>
    </row>
    <row r="149" spans="1:29">
      <c r="A149" s="76" t="str">
        <f>'OYONNAX NANTUA'!C85</f>
        <v>DJELLOUL</v>
      </c>
      <c r="B149" s="76" t="str">
        <f>'OYONNAX NANTUA'!D85</f>
        <v xml:space="preserve"> Raouf </v>
      </c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212"/>
      <c r="R149" s="216"/>
      <c r="S149" s="212"/>
      <c r="T149" s="217"/>
      <c r="U149" s="212"/>
      <c r="V149" s="212"/>
      <c r="W149" s="217"/>
      <c r="X149" s="212"/>
      <c r="Y149" s="212"/>
      <c r="Z149" s="366"/>
      <c r="AA149" s="199"/>
      <c r="AB149" s="199"/>
      <c r="AC149" s="217"/>
    </row>
    <row r="150" spans="1:29">
      <c r="A150" s="76" t="str">
        <f>'OYONNAX NANTUA'!C86</f>
        <v xml:space="preserve">MEHARI GEBREMESKEL </v>
      </c>
      <c r="B150" s="76" t="str">
        <f>'OYONNAX NANTUA'!D86</f>
        <v xml:space="preserve">Robel </v>
      </c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212"/>
      <c r="R150" s="216"/>
      <c r="S150" s="212"/>
      <c r="T150" s="217"/>
      <c r="U150" s="212"/>
      <c r="V150" s="212"/>
      <c r="W150" s="217"/>
      <c r="X150" s="212"/>
      <c r="Y150" s="212"/>
      <c r="Z150" s="366"/>
      <c r="AA150" s="199"/>
      <c r="AB150" s="199"/>
      <c r="AC150" s="217"/>
    </row>
    <row r="151" spans="1:29">
      <c r="A151" s="76" t="str">
        <f>'OYONNAX NANTUA'!C87</f>
        <v xml:space="preserve">Zuno </v>
      </c>
      <c r="B151" s="76" t="str">
        <f>'OYONNAX NANTUA'!D87</f>
        <v>Nathalie</v>
      </c>
      <c r="C151" s="199">
        <v>1</v>
      </c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212"/>
      <c r="R151" s="216"/>
      <c r="S151" s="212"/>
      <c r="T151" s="217"/>
      <c r="U151" s="212"/>
      <c r="V151" s="212"/>
      <c r="W151" s="217"/>
      <c r="X151" s="212"/>
      <c r="Y151" s="212"/>
      <c r="Z151" s="366"/>
      <c r="AA151" s="199"/>
      <c r="AB151" s="199"/>
      <c r="AC151" s="217"/>
    </row>
    <row r="152" spans="1:29">
      <c r="A152" s="76" t="str">
        <f>'OYONNAX NANTUA'!C88</f>
        <v xml:space="preserve">ZITOUNI </v>
      </c>
      <c r="B152" s="76" t="str">
        <f>'OYONNAX NANTUA'!D88</f>
        <v xml:space="preserve">Ouarda </v>
      </c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212"/>
      <c r="R152" s="216"/>
      <c r="S152" s="212"/>
      <c r="T152" s="217"/>
      <c r="U152" s="212"/>
      <c r="V152" s="212"/>
      <c r="W152" s="217"/>
      <c r="X152" s="212"/>
      <c r="Y152" s="212"/>
      <c r="Z152" s="366"/>
      <c r="AA152" s="199"/>
      <c r="AB152" s="199"/>
      <c r="AC152" s="217"/>
    </row>
    <row r="153" spans="1:29">
      <c r="A153" s="76" t="str">
        <f>'OYONNAX NANTUA'!C89</f>
        <v xml:space="preserve">MAADINI </v>
      </c>
      <c r="B153" s="76" t="str">
        <f>'OYONNAX NANTUA'!D89</f>
        <v xml:space="preserve">Mounir </v>
      </c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212"/>
      <c r="R153" s="216"/>
      <c r="S153" s="212"/>
      <c r="T153" s="217"/>
      <c r="U153" s="212"/>
      <c r="V153" s="212"/>
      <c r="W153" s="217"/>
      <c r="X153" s="212"/>
      <c r="Y153" s="212"/>
      <c r="Z153" s="366"/>
      <c r="AA153" s="199"/>
      <c r="AB153" s="199"/>
      <c r="AC153" s="217"/>
    </row>
    <row r="154" spans="1:29">
      <c r="A154" s="76" t="str">
        <f>'OYONNAX NANTUA'!C90</f>
        <v xml:space="preserve">BOUSHABA </v>
      </c>
      <c r="B154" s="76" t="str">
        <f>'OYONNAX NANTUA'!D90</f>
        <v xml:space="preserve">Riad </v>
      </c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212"/>
      <c r="R154" s="216"/>
      <c r="S154" s="212"/>
      <c r="T154" s="217"/>
      <c r="U154" s="212"/>
      <c r="V154" s="212"/>
      <c r="W154" s="217"/>
      <c r="X154" s="212"/>
      <c r="Y154" s="212"/>
      <c r="Z154" s="366"/>
      <c r="AA154" s="199"/>
      <c r="AB154" s="199"/>
      <c r="AC154" s="217"/>
    </row>
    <row r="155" spans="1:29">
      <c r="A155" s="76">
        <f>'OYONNAX NANTUA'!C91</f>
        <v>0</v>
      </c>
      <c r="B155" s="76">
        <f>'OYONNAX NANTUA'!D91</f>
        <v>0</v>
      </c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212"/>
      <c r="R155" s="216"/>
      <c r="S155" s="212"/>
      <c r="T155" s="217"/>
      <c r="U155" s="212"/>
      <c r="V155" s="212"/>
      <c r="W155" s="217"/>
      <c r="X155" s="212"/>
      <c r="Y155" s="212"/>
      <c r="Z155" s="366"/>
      <c r="AA155" s="199"/>
      <c r="AB155" s="199"/>
      <c r="AC155" s="217"/>
    </row>
    <row r="156" spans="1:29">
      <c r="A156" s="76">
        <f>'OYONNAX NANTUA'!C92</f>
        <v>0</v>
      </c>
      <c r="B156" s="76">
        <f>'OYONNAX NANTUA'!D92</f>
        <v>0</v>
      </c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212"/>
      <c r="R156" s="216"/>
      <c r="S156" s="212"/>
      <c r="T156" s="217"/>
      <c r="U156" s="212"/>
      <c r="V156" s="212"/>
      <c r="W156" s="217"/>
      <c r="X156" s="212"/>
      <c r="Y156" s="212"/>
      <c r="Z156" s="366"/>
      <c r="AA156" s="199"/>
      <c r="AB156" s="199"/>
      <c r="AC156" s="217"/>
    </row>
    <row r="157" spans="1:29">
      <c r="A157" s="76">
        <f>'OYONNAX NANTUA'!C93</f>
        <v>0</v>
      </c>
      <c r="B157" s="76">
        <f>'OYONNAX NANTUA'!D93</f>
        <v>0</v>
      </c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212"/>
      <c r="R157" s="216"/>
      <c r="S157" s="212"/>
      <c r="T157" s="217"/>
      <c r="U157" s="212"/>
      <c r="V157" s="212"/>
      <c r="W157" s="217"/>
      <c r="X157" s="212"/>
      <c r="Y157" s="212"/>
      <c r="Z157" s="366"/>
      <c r="AA157" s="199"/>
      <c r="AB157" s="199"/>
      <c r="AC157" s="217"/>
    </row>
    <row r="158" spans="1:29">
      <c r="A158" s="76">
        <f>'OYONNAX NANTUA'!C94</f>
        <v>0</v>
      </c>
      <c r="B158" s="76">
        <f>'OYONNAX NANTUA'!D94</f>
        <v>0</v>
      </c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212"/>
      <c r="R158" s="216"/>
      <c r="S158" s="212"/>
      <c r="T158" s="217"/>
      <c r="U158" s="212"/>
      <c r="V158" s="212"/>
      <c r="W158" s="217"/>
      <c r="X158" s="212"/>
      <c r="Y158" s="212"/>
      <c r="Z158" s="366"/>
      <c r="AA158" s="199"/>
      <c r="AB158" s="199"/>
      <c r="AC158" s="217"/>
    </row>
    <row r="159" spans="1:29">
      <c r="A159" s="76">
        <f>'OYONNAX NANTUA'!C95</f>
        <v>0</v>
      </c>
      <c r="B159" s="76">
        <f>'OYONNAX NANTUA'!D95</f>
        <v>0</v>
      </c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212"/>
      <c r="R159" s="216"/>
      <c r="S159" s="212"/>
      <c r="T159" s="217"/>
      <c r="U159" s="212"/>
      <c r="V159" s="212"/>
      <c r="W159" s="217"/>
      <c r="X159" s="212"/>
      <c r="Y159" s="212"/>
      <c r="Z159" s="366"/>
      <c r="AA159" s="199"/>
      <c r="AB159" s="199"/>
      <c r="AC159" s="217"/>
    </row>
    <row r="160" spans="1:29">
      <c r="A160" s="76">
        <f>'OYONNAX NANTUA'!C96</f>
        <v>0</v>
      </c>
      <c r="B160" s="76">
        <f>'OYONNAX NANTUA'!D96</f>
        <v>0</v>
      </c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212"/>
      <c r="R160" s="216"/>
      <c r="S160" s="212"/>
      <c r="T160" s="217"/>
      <c r="U160" s="212"/>
      <c r="V160" s="212"/>
      <c r="W160" s="217"/>
      <c r="X160" s="212"/>
      <c r="Y160" s="212"/>
      <c r="Z160" s="366"/>
      <c r="AA160" s="199"/>
      <c r="AB160" s="199"/>
      <c r="AC160" s="217"/>
    </row>
    <row r="161" spans="1:29">
      <c r="A161" s="76">
        <f>'OYONNAX NANTUA'!C97</f>
        <v>0</v>
      </c>
      <c r="B161" s="76">
        <f>'OYONNAX NANTUA'!D97</f>
        <v>0</v>
      </c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212"/>
      <c r="R161" s="216"/>
      <c r="S161" s="212"/>
      <c r="T161" s="217"/>
      <c r="U161" s="212"/>
      <c r="V161" s="212"/>
      <c r="W161" s="217"/>
      <c r="X161" s="212"/>
      <c r="Y161" s="212"/>
      <c r="Z161" s="366"/>
      <c r="AA161" s="199"/>
      <c r="AB161" s="199"/>
      <c r="AC161" s="217"/>
    </row>
    <row r="162" spans="1:29">
      <c r="A162" s="76">
        <f>'OYONNAX NANTUA'!C98</f>
        <v>0</v>
      </c>
      <c r="B162" s="76">
        <f>'OYONNAX NANTUA'!D98</f>
        <v>0</v>
      </c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212"/>
      <c r="R162" s="216"/>
      <c r="S162" s="212"/>
      <c r="T162" s="217"/>
      <c r="U162" s="212"/>
      <c r="V162" s="212"/>
      <c r="W162" s="217"/>
      <c r="X162" s="212"/>
      <c r="Y162" s="212"/>
      <c r="Z162" s="366"/>
      <c r="AA162" s="199"/>
      <c r="AB162" s="199"/>
      <c r="AC162" s="217"/>
    </row>
    <row r="163" spans="1:29">
      <c r="A163" s="76">
        <f>'OYONNAX NANTUA'!C99</f>
        <v>0</v>
      </c>
      <c r="B163" s="76">
        <f>'OYONNAX NANTUA'!D99</f>
        <v>0</v>
      </c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212"/>
      <c r="R163" s="216"/>
      <c r="S163" s="212"/>
      <c r="T163" s="217"/>
      <c r="U163" s="212"/>
      <c r="V163" s="212"/>
      <c r="W163" s="217"/>
      <c r="X163" s="212"/>
      <c r="Y163" s="212"/>
      <c r="Z163" s="366"/>
      <c r="AA163" s="199"/>
      <c r="AB163" s="199"/>
      <c r="AC163" s="217"/>
    </row>
    <row r="164" spans="1:29">
      <c r="A164" s="76">
        <f>'OYONNAX NANTUA'!C100</f>
        <v>0</v>
      </c>
      <c r="B164" s="76">
        <f>'OYONNAX NANTUA'!D100</f>
        <v>0</v>
      </c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212"/>
      <c r="R164" s="216"/>
      <c r="S164" s="212"/>
      <c r="T164" s="217"/>
      <c r="U164" s="212"/>
      <c r="V164" s="212"/>
      <c r="W164" s="217"/>
      <c r="X164" s="212"/>
      <c r="Y164" s="212"/>
      <c r="Z164" s="366"/>
      <c r="AA164" s="199"/>
      <c r="AB164" s="199"/>
      <c r="AC164" s="217"/>
    </row>
    <row r="165" spans="1:29">
      <c r="A165" s="76">
        <f>'OYONNAX NANTUA'!C101</f>
        <v>0</v>
      </c>
      <c r="B165" s="76">
        <f>'OYONNAX NANTUA'!D101</f>
        <v>0</v>
      </c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212"/>
      <c r="R165" s="216"/>
      <c r="S165" s="212"/>
      <c r="T165" s="217"/>
      <c r="U165" s="212"/>
      <c r="V165" s="212"/>
      <c r="W165" s="217"/>
      <c r="X165" s="212"/>
      <c r="Y165" s="212"/>
      <c r="Z165" s="366"/>
      <c r="AA165" s="199"/>
      <c r="AB165" s="199"/>
      <c r="AC165" s="217"/>
    </row>
    <row r="166" spans="1:29">
      <c r="A166" s="76">
        <f>'OYONNAX NANTUA'!C102</f>
        <v>0</v>
      </c>
      <c r="B166" s="76">
        <f>'OYONNAX NANTUA'!D102</f>
        <v>0</v>
      </c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212"/>
      <c r="R166" s="216"/>
      <c r="S166" s="212"/>
      <c r="T166" s="217"/>
      <c r="U166" s="212"/>
      <c r="V166" s="212"/>
      <c r="W166" s="217"/>
      <c r="X166" s="212"/>
      <c r="Y166" s="212"/>
      <c r="Z166" s="366"/>
      <c r="AA166" s="199"/>
      <c r="AB166" s="199"/>
      <c r="AC166" s="217"/>
    </row>
    <row r="167" spans="1:29">
      <c r="A167" s="76">
        <f>'OYONNAX NANTUA'!C103</f>
        <v>0</v>
      </c>
      <c r="B167" s="76">
        <f>'OYONNAX NANTUA'!D103</f>
        <v>0</v>
      </c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212"/>
      <c r="R167" s="216"/>
      <c r="S167" s="212"/>
      <c r="T167" s="217"/>
      <c r="U167" s="212"/>
      <c r="V167" s="212"/>
      <c r="W167" s="217"/>
      <c r="X167" s="212"/>
      <c r="Y167" s="212"/>
      <c r="Z167" s="366"/>
      <c r="AA167" s="199"/>
      <c r="AB167" s="199"/>
      <c r="AC167" s="217"/>
    </row>
    <row r="168" spans="1:29">
      <c r="A168" s="76">
        <f>'OYONNAX NANTUA'!C104</f>
        <v>0</v>
      </c>
      <c r="B168" s="76">
        <f>'OYONNAX NANTUA'!D104</f>
        <v>0</v>
      </c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212"/>
      <c r="R168" s="216"/>
      <c r="S168" s="212"/>
      <c r="T168" s="217"/>
      <c r="U168" s="212"/>
      <c r="V168" s="212"/>
      <c r="W168" s="217"/>
      <c r="X168" s="212"/>
      <c r="Y168" s="212"/>
      <c r="Z168" s="366"/>
      <c r="AA168" s="199"/>
      <c r="AB168" s="199"/>
      <c r="AC168" s="217"/>
    </row>
    <row r="169" spans="1:29">
      <c r="A169" s="76">
        <f>'OYONNAX NANTUA'!C105</f>
        <v>0</v>
      </c>
      <c r="B169" s="76">
        <f>'OYONNAX NANTUA'!D105</f>
        <v>0</v>
      </c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212"/>
      <c r="R169" s="216"/>
      <c r="S169" s="212"/>
      <c r="T169" s="217"/>
      <c r="U169" s="212"/>
      <c r="V169" s="212"/>
      <c r="W169" s="217"/>
      <c r="X169" s="212"/>
      <c r="Y169" s="212"/>
      <c r="Z169" s="366"/>
      <c r="AA169" s="199"/>
      <c r="AB169" s="199"/>
      <c r="AC169" s="217"/>
    </row>
    <row r="170" spans="1:29">
      <c r="A170" s="76">
        <f>'OYONNAX NANTUA'!C106</f>
        <v>0</v>
      </c>
      <c r="B170" s="76">
        <f>'OYONNAX NANTUA'!D106</f>
        <v>0</v>
      </c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212"/>
      <c r="R170" s="216"/>
      <c r="S170" s="212"/>
      <c r="T170" s="217"/>
      <c r="U170" s="212"/>
      <c r="V170" s="212"/>
      <c r="W170" s="217"/>
      <c r="X170" s="212"/>
      <c r="Y170" s="212"/>
      <c r="Z170" s="366"/>
      <c r="AA170" s="199"/>
      <c r="AB170" s="199"/>
      <c r="AC170" s="217"/>
    </row>
    <row r="171" spans="1:29">
      <c r="A171" s="76">
        <f>'OYONNAX NANTUA'!C107</f>
        <v>0</v>
      </c>
      <c r="B171" s="76">
        <f>'OYONNAX NANTUA'!D107</f>
        <v>0</v>
      </c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212"/>
      <c r="R171" s="216"/>
      <c r="S171" s="212"/>
      <c r="T171" s="217"/>
      <c r="U171" s="212"/>
      <c r="V171" s="212"/>
      <c r="W171" s="217"/>
      <c r="X171" s="212"/>
      <c r="Y171" s="212"/>
      <c r="Z171" s="366"/>
      <c r="AA171" s="199"/>
      <c r="AB171" s="199"/>
      <c r="AC171" s="217"/>
    </row>
    <row r="172" spans="1:29">
      <c r="A172" s="76">
        <f>'OYONNAX NANTUA'!C108</f>
        <v>0</v>
      </c>
      <c r="B172" s="76">
        <f>'OYONNAX NANTUA'!D108</f>
        <v>0</v>
      </c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212"/>
      <c r="R172" s="216"/>
      <c r="S172" s="212"/>
      <c r="T172" s="217"/>
      <c r="U172" s="212"/>
      <c r="V172" s="212"/>
      <c r="W172" s="217"/>
      <c r="X172" s="212"/>
      <c r="Y172" s="212"/>
      <c r="Z172" s="366"/>
      <c r="AA172" s="199"/>
      <c r="AB172" s="199"/>
      <c r="AC172" s="217"/>
    </row>
    <row r="173" spans="1:29">
      <c r="A173" s="76">
        <f>'OYONNAX NANTUA'!C109</f>
        <v>0</v>
      </c>
      <c r="B173" s="76">
        <f>'OYONNAX NANTUA'!D109</f>
        <v>0</v>
      </c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212"/>
      <c r="R173" s="216"/>
      <c r="S173" s="212"/>
      <c r="T173" s="217"/>
      <c r="U173" s="212"/>
      <c r="V173" s="212"/>
      <c r="W173" s="217"/>
      <c r="X173" s="212"/>
      <c r="Y173" s="212"/>
      <c r="Z173" s="366"/>
      <c r="AA173" s="199"/>
      <c r="AB173" s="199"/>
      <c r="AC173" s="217"/>
    </row>
    <row r="174" spans="1:29">
      <c r="A174" s="76">
        <f>'OYONNAX NANTUA'!C110</f>
        <v>0</v>
      </c>
      <c r="B174" s="76">
        <f>'OYONNAX NANTUA'!D110</f>
        <v>0</v>
      </c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212"/>
      <c r="R174" s="216"/>
      <c r="S174" s="212"/>
      <c r="T174" s="217"/>
      <c r="U174" s="212"/>
      <c r="V174" s="212"/>
      <c r="W174" s="217"/>
      <c r="X174" s="212"/>
      <c r="Y174" s="212"/>
      <c r="Z174" s="366"/>
      <c r="AA174" s="199"/>
      <c r="AB174" s="199"/>
      <c r="AC174" s="217"/>
    </row>
    <row r="175" spans="1:29">
      <c r="A175" s="76">
        <f>'OYONNAX NANTUA'!C111</f>
        <v>0</v>
      </c>
      <c r="B175" s="76">
        <f>'OYONNAX NANTUA'!D111</f>
        <v>0</v>
      </c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212"/>
      <c r="R175" s="216"/>
      <c r="S175" s="212"/>
      <c r="T175" s="217"/>
      <c r="U175" s="212"/>
      <c r="V175" s="212"/>
      <c r="W175" s="217"/>
      <c r="X175" s="212"/>
      <c r="Y175" s="212"/>
      <c r="Z175" s="366"/>
      <c r="AA175" s="199"/>
      <c r="AB175" s="199"/>
      <c r="AC175" s="217"/>
    </row>
    <row r="176" spans="1:29">
      <c r="A176" s="76">
        <f>'OYONNAX NANTUA'!C112</f>
        <v>0</v>
      </c>
      <c r="B176" s="76">
        <f>'OYONNAX NANTUA'!D112</f>
        <v>0</v>
      </c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212"/>
      <c r="R176" s="216"/>
      <c r="S176" s="212"/>
      <c r="T176" s="217"/>
      <c r="U176" s="212"/>
      <c r="V176" s="212"/>
      <c r="W176" s="217"/>
      <c r="X176" s="212"/>
      <c r="Y176" s="212"/>
      <c r="Z176" s="366"/>
      <c r="AA176" s="199"/>
      <c r="AB176" s="199"/>
      <c r="AC176" s="217"/>
    </row>
    <row r="177" spans="1:29">
      <c r="A177" s="76">
        <f>'OYONNAX NANTUA'!C113</f>
        <v>0</v>
      </c>
      <c r="B177" s="76">
        <f>'OYONNAX NANTUA'!D113</f>
        <v>0</v>
      </c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212"/>
      <c r="R177" s="216"/>
      <c r="S177" s="212"/>
      <c r="T177" s="217"/>
      <c r="U177" s="212"/>
      <c r="V177" s="212"/>
      <c r="W177" s="217"/>
      <c r="X177" s="212"/>
      <c r="Y177" s="212"/>
      <c r="Z177" s="366"/>
      <c r="AA177" s="199"/>
      <c r="AB177" s="199"/>
      <c r="AC177" s="217"/>
    </row>
    <row r="178" spans="1:29">
      <c r="A178" s="76">
        <f>'OYONNAX NANTUA'!C114</f>
        <v>0</v>
      </c>
      <c r="B178" s="76">
        <f>'OYONNAX NANTUA'!D114</f>
        <v>0</v>
      </c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212"/>
      <c r="R178" s="216"/>
      <c r="S178" s="212"/>
      <c r="T178" s="217"/>
      <c r="U178" s="212"/>
      <c r="V178" s="212"/>
      <c r="W178" s="217"/>
      <c r="X178" s="212"/>
      <c r="Y178" s="212"/>
      <c r="Z178" s="366"/>
      <c r="AA178" s="199"/>
      <c r="AB178" s="199"/>
      <c r="AC178" s="217"/>
    </row>
    <row r="179" spans="1:29">
      <c r="A179" s="76">
        <f>'OYONNAX NANTUA'!C115</f>
        <v>0</v>
      </c>
      <c r="B179" s="76">
        <f>'OYONNAX NANTUA'!D115</f>
        <v>0</v>
      </c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212"/>
      <c r="R179" s="216"/>
      <c r="S179" s="212"/>
      <c r="T179" s="217"/>
      <c r="U179" s="212"/>
      <c r="V179" s="212"/>
      <c r="W179" s="217"/>
      <c r="X179" s="212"/>
      <c r="Y179" s="212"/>
      <c r="Z179" s="366"/>
      <c r="AA179" s="199"/>
      <c r="AB179" s="199"/>
      <c r="AC179" s="217"/>
    </row>
    <row r="180" spans="1:29">
      <c r="A180" s="76">
        <f>'OYONNAX NANTUA'!C116</f>
        <v>0</v>
      </c>
      <c r="B180" s="76">
        <f>'OYONNAX NANTUA'!D116</f>
        <v>0</v>
      </c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212"/>
      <c r="R180" s="216"/>
      <c r="S180" s="212"/>
      <c r="T180" s="217"/>
      <c r="U180" s="212"/>
      <c r="V180" s="212"/>
      <c r="W180" s="217"/>
      <c r="X180" s="212"/>
      <c r="Y180" s="212"/>
      <c r="Z180" s="366"/>
      <c r="AA180" s="199"/>
      <c r="AB180" s="199"/>
      <c r="AC180" s="217"/>
    </row>
    <row r="181" spans="1:29">
      <c r="A181" s="76">
        <f>'OYONNAX NANTUA'!C117</f>
        <v>0</v>
      </c>
      <c r="B181" s="76">
        <f>'OYONNAX NANTUA'!D117</f>
        <v>0</v>
      </c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212"/>
      <c r="R181" s="216"/>
      <c r="S181" s="212"/>
      <c r="T181" s="217"/>
      <c r="U181" s="212"/>
      <c r="V181" s="212"/>
      <c r="W181" s="217"/>
      <c r="X181" s="212"/>
      <c r="Y181" s="212"/>
      <c r="Z181" s="366"/>
      <c r="AA181" s="199"/>
      <c r="AB181" s="199"/>
      <c r="AC181" s="217"/>
    </row>
    <row r="182" spans="1:29">
      <c r="A182" s="76">
        <f>'OYONNAX NANTUA'!C118</f>
        <v>0</v>
      </c>
      <c r="B182" s="76">
        <f>'OYONNAX NANTUA'!D118</f>
        <v>0</v>
      </c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212"/>
      <c r="R182" s="216"/>
      <c r="S182" s="212"/>
      <c r="T182" s="217"/>
      <c r="U182" s="212"/>
      <c r="V182" s="212"/>
      <c r="W182" s="217"/>
      <c r="X182" s="212"/>
      <c r="Y182" s="212"/>
      <c r="Z182" s="366"/>
      <c r="AA182" s="199"/>
      <c r="AB182" s="199"/>
      <c r="AC182" s="217"/>
    </row>
    <row r="183" spans="1:29">
      <c r="A183" s="76">
        <f>'OYONNAX NANTUA'!C119</f>
        <v>0</v>
      </c>
      <c r="B183" s="76">
        <f>'OYONNAX NANTUA'!D119</f>
        <v>0</v>
      </c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212"/>
      <c r="R183" s="216"/>
      <c r="S183" s="212"/>
      <c r="T183" s="217"/>
      <c r="U183" s="212"/>
      <c r="V183" s="212"/>
      <c r="W183" s="217"/>
      <c r="X183" s="212"/>
      <c r="Y183" s="212"/>
      <c r="Z183" s="366"/>
      <c r="AA183" s="199"/>
      <c r="AB183" s="199"/>
      <c r="AC183" s="217"/>
    </row>
    <row r="184" spans="1:29">
      <c r="A184" s="76">
        <f>'OYONNAX NANTUA'!C120</f>
        <v>0</v>
      </c>
      <c r="B184" s="76">
        <f>'OYONNAX NANTUA'!D120</f>
        <v>0</v>
      </c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212"/>
      <c r="R184" s="216"/>
      <c r="S184" s="212"/>
      <c r="T184" s="217"/>
      <c r="U184" s="212"/>
      <c r="V184" s="212"/>
      <c r="W184" s="217"/>
      <c r="X184" s="212"/>
      <c r="Y184" s="212"/>
      <c r="Z184" s="366"/>
      <c r="AA184" s="199"/>
      <c r="AB184" s="199"/>
      <c r="AC184" s="217"/>
    </row>
    <row r="185" spans="1:29">
      <c r="A185" s="76">
        <f>'OYONNAX NANTUA'!C121</f>
        <v>0</v>
      </c>
      <c r="B185" s="76">
        <f>'OYONNAX NANTUA'!D121</f>
        <v>0</v>
      </c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212"/>
      <c r="R185" s="216"/>
      <c r="S185" s="212"/>
      <c r="T185" s="217"/>
      <c r="U185" s="212"/>
      <c r="V185" s="212"/>
      <c r="W185" s="217"/>
      <c r="X185" s="212"/>
      <c r="Y185" s="212"/>
      <c r="Z185" s="366"/>
      <c r="AA185" s="199"/>
      <c r="AB185" s="199"/>
      <c r="AC185" s="217"/>
    </row>
    <row r="186" spans="1:29">
      <c r="A186" s="76">
        <f>'OYONNAX NANTUA'!C122</f>
        <v>0</v>
      </c>
      <c r="B186" s="76">
        <f>'OYONNAX NANTUA'!D122</f>
        <v>0</v>
      </c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212"/>
      <c r="R186" s="216"/>
      <c r="S186" s="212"/>
      <c r="T186" s="217"/>
      <c r="U186" s="212"/>
      <c r="V186" s="212"/>
      <c r="W186" s="217"/>
      <c r="X186" s="212"/>
      <c r="Y186" s="212"/>
      <c r="Z186" s="366"/>
      <c r="AA186" s="199"/>
      <c r="AB186" s="199"/>
      <c r="AC186" s="217"/>
    </row>
    <row r="187" spans="1:29">
      <c r="A187" s="76">
        <f>'OYONNAX NANTUA'!C123</f>
        <v>0</v>
      </c>
      <c r="B187" s="76">
        <f>'OYONNAX NANTUA'!D123</f>
        <v>0</v>
      </c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212"/>
      <c r="R187" s="216"/>
      <c r="S187" s="212"/>
      <c r="T187" s="217"/>
      <c r="U187" s="212"/>
      <c r="V187" s="212"/>
      <c r="W187" s="217"/>
      <c r="X187" s="212"/>
      <c r="Y187" s="212"/>
      <c r="Z187" s="366"/>
      <c r="AA187" s="199"/>
      <c r="AB187" s="199"/>
      <c r="AC187" s="217"/>
    </row>
    <row r="188" spans="1:29">
      <c r="A188" s="76">
        <f>'OYONNAX NANTUA'!C124</f>
        <v>0</v>
      </c>
      <c r="B188" s="76">
        <f>'OYONNAX NANTUA'!D124</f>
        <v>0</v>
      </c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212"/>
      <c r="R188" s="216"/>
      <c r="S188" s="212"/>
      <c r="T188" s="217"/>
      <c r="U188" s="212"/>
      <c r="V188" s="212"/>
      <c r="W188" s="217"/>
      <c r="X188" s="212"/>
      <c r="Y188" s="212"/>
      <c r="Z188" s="366"/>
      <c r="AA188" s="199"/>
      <c r="AB188" s="199"/>
      <c r="AC188" s="217"/>
    </row>
    <row r="189" spans="1:29">
      <c r="A189" s="76">
        <f>'OYONNAX NANTUA'!C125</f>
        <v>0</v>
      </c>
      <c r="B189" s="76">
        <f>'OYONNAX NANTUA'!D125</f>
        <v>0</v>
      </c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212"/>
      <c r="R189" s="216"/>
      <c r="S189" s="212"/>
      <c r="T189" s="217"/>
      <c r="U189" s="212"/>
      <c r="V189" s="212"/>
      <c r="W189" s="217"/>
      <c r="X189" s="212"/>
      <c r="Y189" s="212"/>
      <c r="Z189" s="366"/>
      <c r="AA189" s="199"/>
      <c r="AB189" s="199"/>
      <c r="AC189" s="217"/>
    </row>
    <row r="190" spans="1:29">
      <c r="A190" s="76">
        <f>'OYONNAX NANTUA'!C126</f>
        <v>0</v>
      </c>
      <c r="B190" s="76">
        <f>'OYONNAX NANTUA'!D126</f>
        <v>0</v>
      </c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212"/>
      <c r="R190" s="216"/>
      <c r="S190" s="212"/>
      <c r="T190" s="217"/>
      <c r="U190" s="212"/>
      <c r="V190" s="212"/>
      <c r="W190" s="217"/>
      <c r="X190" s="212"/>
      <c r="Y190" s="212"/>
      <c r="Z190" s="366"/>
      <c r="AA190" s="199"/>
      <c r="AB190" s="199"/>
      <c r="AC190" s="217"/>
    </row>
    <row r="191" spans="1:29">
      <c r="A191" s="76">
        <f>'OYONNAX NANTUA'!C127</f>
        <v>0</v>
      </c>
      <c r="B191" s="76">
        <f>'OYONNAX NANTUA'!D127</f>
        <v>0</v>
      </c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212"/>
      <c r="R191" s="216"/>
      <c r="S191" s="212"/>
      <c r="T191" s="217"/>
      <c r="U191" s="212"/>
      <c r="V191" s="212"/>
      <c r="W191" s="217"/>
      <c r="X191" s="212"/>
      <c r="Y191" s="212"/>
      <c r="Z191" s="366"/>
      <c r="AA191" s="199"/>
      <c r="AB191" s="199"/>
      <c r="AC191" s="217"/>
    </row>
    <row r="192" spans="1:29">
      <c r="A192" s="76">
        <f>'OYONNAX NANTUA'!C128</f>
        <v>0</v>
      </c>
      <c r="B192" s="76">
        <f>'OYONNAX NANTUA'!D128</f>
        <v>0</v>
      </c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212"/>
      <c r="R192" s="216"/>
      <c r="S192" s="212"/>
      <c r="T192" s="217"/>
      <c r="U192" s="212"/>
      <c r="V192" s="212"/>
      <c r="W192" s="217"/>
      <c r="X192" s="212"/>
      <c r="Y192" s="212"/>
      <c r="Z192" s="366"/>
      <c r="AA192" s="199"/>
      <c r="AB192" s="199"/>
      <c r="AC192" s="217"/>
    </row>
    <row r="193" spans="1:29">
      <c r="A193" s="76">
        <f>'OYONNAX NANTUA'!C129</f>
        <v>0</v>
      </c>
      <c r="B193" s="76">
        <f>'OYONNAX NANTUA'!D129</f>
        <v>0</v>
      </c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212"/>
      <c r="R193" s="216"/>
      <c r="S193" s="212"/>
      <c r="T193" s="217"/>
      <c r="U193" s="212"/>
      <c r="V193" s="212"/>
      <c r="W193" s="217"/>
      <c r="X193" s="212"/>
      <c r="Y193" s="212"/>
      <c r="Z193" s="366"/>
      <c r="AA193" s="199"/>
      <c r="AB193" s="199"/>
      <c r="AC193" s="217"/>
    </row>
    <row r="194" spans="1:29">
      <c r="A194" s="76">
        <f>'OYONNAX NANTUA'!C130</f>
        <v>0</v>
      </c>
      <c r="B194" s="76">
        <f>'OYONNAX NANTUA'!D130</f>
        <v>0</v>
      </c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212"/>
      <c r="R194" s="216"/>
      <c r="S194" s="212"/>
      <c r="T194" s="217"/>
      <c r="U194" s="212"/>
      <c r="V194" s="212"/>
      <c r="W194" s="217"/>
      <c r="X194" s="212"/>
      <c r="Y194" s="212"/>
      <c r="Z194" s="366"/>
      <c r="AA194" s="199"/>
      <c r="AB194" s="199"/>
      <c r="AC194" s="217"/>
    </row>
    <row r="195" spans="1:29">
      <c r="A195" s="76">
        <f>'OYONNAX NANTUA'!C131</f>
        <v>0</v>
      </c>
      <c r="B195" s="76">
        <f>'OYONNAX NANTUA'!D131</f>
        <v>0</v>
      </c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212"/>
      <c r="R195" s="216"/>
      <c r="S195" s="212"/>
      <c r="T195" s="217"/>
      <c r="U195" s="212"/>
      <c r="V195" s="212"/>
      <c r="W195" s="217"/>
      <c r="X195" s="212"/>
      <c r="Y195" s="212"/>
      <c r="Z195" s="366"/>
      <c r="AA195" s="199"/>
      <c r="AB195" s="199"/>
      <c r="AC195" s="217"/>
    </row>
    <row r="196" spans="1:29">
      <c r="A196" s="76">
        <f>'OYONNAX NANTUA'!C132</f>
        <v>0</v>
      </c>
      <c r="B196" s="76">
        <f>'OYONNAX NANTUA'!D132</f>
        <v>0</v>
      </c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212"/>
      <c r="R196" s="216"/>
      <c r="S196" s="212"/>
      <c r="T196" s="217"/>
      <c r="U196" s="212"/>
      <c r="V196" s="212"/>
      <c r="W196" s="217"/>
      <c r="X196" s="212"/>
      <c r="Y196" s="212"/>
      <c r="Z196" s="366"/>
      <c r="AA196" s="199"/>
      <c r="AB196" s="199"/>
      <c r="AC196" s="217"/>
    </row>
    <row r="197" spans="1:29">
      <c r="A197" s="76">
        <f>'OYONNAX NANTUA'!C133</f>
        <v>0</v>
      </c>
      <c r="B197" s="76">
        <f>'OYONNAX NANTUA'!D133</f>
        <v>0</v>
      </c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212"/>
      <c r="R197" s="216"/>
      <c r="S197" s="212"/>
      <c r="T197" s="217"/>
      <c r="U197" s="212"/>
      <c r="V197" s="212"/>
      <c r="W197" s="217"/>
      <c r="X197" s="212"/>
      <c r="Y197" s="212"/>
      <c r="Z197" s="366"/>
      <c r="AA197" s="199"/>
      <c r="AB197" s="199"/>
      <c r="AC197" s="217"/>
    </row>
    <row r="198" spans="1:29">
      <c r="A198" s="76">
        <f>'OYONNAX NANTUA'!C134</f>
        <v>0</v>
      </c>
      <c r="B198" s="76">
        <f>'OYONNAX NANTUA'!D134</f>
        <v>0</v>
      </c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212"/>
      <c r="R198" s="216"/>
      <c r="S198" s="212"/>
      <c r="T198" s="217"/>
      <c r="U198" s="212"/>
      <c r="V198" s="212"/>
      <c r="W198" s="217"/>
      <c r="X198" s="212"/>
      <c r="Y198" s="212"/>
      <c r="Z198" s="366"/>
      <c r="AA198" s="199"/>
      <c r="AB198" s="199"/>
      <c r="AC198" s="217"/>
    </row>
    <row r="199" spans="1:29">
      <c r="A199" s="76">
        <f>'OYONNAX NANTUA'!C135</f>
        <v>0</v>
      </c>
      <c r="B199" s="76">
        <f>'OYONNAX NANTUA'!D135</f>
        <v>0</v>
      </c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212"/>
      <c r="R199" s="216"/>
      <c r="S199" s="212"/>
      <c r="T199" s="217"/>
      <c r="U199" s="212"/>
      <c r="V199" s="212"/>
      <c r="W199" s="217"/>
      <c r="X199" s="212"/>
      <c r="Y199" s="212"/>
      <c r="Z199" s="366"/>
      <c r="AA199" s="199"/>
      <c r="AB199" s="199"/>
      <c r="AC199" s="217"/>
    </row>
    <row r="200" spans="1:29">
      <c r="A200" s="76">
        <f>'OYONNAX NANTUA'!C136</f>
        <v>0</v>
      </c>
      <c r="B200" s="76">
        <f>'OYONNAX NANTUA'!D136</f>
        <v>0</v>
      </c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212"/>
      <c r="R200" s="216"/>
      <c r="S200" s="212"/>
      <c r="T200" s="217"/>
      <c r="U200" s="212"/>
      <c r="V200" s="212"/>
      <c r="W200" s="217"/>
      <c r="X200" s="212"/>
      <c r="Y200" s="212"/>
      <c r="Z200" s="366"/>
      <c r="AA200" s="199"/>
      <c r="AB200" s="199"/>
      <c r="AC200" s="217"/>
    </row>
    <row r="201" spans="1:29">
      <c r="A201" s="76">
        <f>'OYONNAX NANTUA'!C137</f>
        <v>0</v>
      </c>
      <c r="B201" s="76">
        <f>'OYONNAX NANTUA'!D137</f>
        <v>0</v>
      </c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212"/>
      <c r="R201" s="216"/>
      <c r="S201" s="212"/>
      <c r="T201" s="217"/>
      <c r="U201" s="212"/>
      <c r="V201" s="212"/>
      <c r="W201" s="217"/>
      <c r="X201" s="212"/>
      <c r="Y201" s="212"/>
      <c r="Z201" s="366"/>
      <c r="AA201" s="199"/>
      <c r="AB201" s="199"/>
      <c r="AC201" s="217"/>
    </row>
    <row r="202" spans="1:29">
      <c r="A202" s="76">
        <f>'OYONNAX NANTUA'!C138</f>
        <v>0</v>
      </c>
      <c r="B202" s="76">
        <f>'OYONNAX NANTUA'!D138</f>
        <v>0</v>
      </c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212"/>
      <c r="R202" s="216"/>
      <c r="S202" s="212"/>
      <c r="T202" s="217"/>
      <c r="U202" s="212"/>
      <c r="V202" s="212"/>
      <c r="W202" s="217"/>
      <c r="X202" s="212"/>
      <c r="Y202" s="212"/>
      <c r="Z202" s="366"/>
      <c r="AA202" s="199"/>
      <c r="AB202" s="199"/>
      <c r="AC202" s="217"/>
    </row>
    <row r="203" spans="1:29">
      <c r="A203" s="76">
        <f>'OYONNAX NANTUA'!C139</f>
        <v>0</v>
      </c>
      <c r="B203" s="76">
        <f>'OYONNAX NANTUA'!D139</f>
        <v>0</v>
      </c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212"/>
      <c r="R203" s="216"/>
      <c r="S203" s="212"/>
      <c r="T203" s="217"/>
      <c r="U203" s="212"/>
      <c r="V203" s="212"/>
      <c r="W203" s="217"/>
      <c r="X203" s="212"/>
      <c r="Y203" s="212"/>
      <c r="Z203" s="366"/>
      <c r="AA203" s="199"/>
      <c r="AB203" s="199"/>
      <c r="AC203" s="217"/>
    </row>
    <row r="204" spans="1:29">
      <c r="A204" s="76">
        <f>'OYONNAX NANTUA'!C140</f>
        <v>0</v>
      </c>
      <c r="B204" s="76">
        <f>'OYONNAX NANTUA'!D140</f>
        <v>0</v>
      </c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212"/>
      <c r="R204" s="216"/>
      <c r="S204" s="212"/>
      <c r="T204" s="217"/>
      <c r="U204" s="212"/>
      <c r="V204" s="212"/>
      <c r="W204" s="217"/>
      <c r="X204" s="212"/>
      <c r="Y204" s="212"/>
      <c r="Z204" s="366"/>
      <c r="AA204" s="199"/>
      <c r="AB204" s="199"/>
      <c r="AC204" s="217"/>
    </row>
    <row r="205" spans="1:29">
      <c r="Z205" s="371"/>
    </row>
    <row r="206" spans="1:29">
      <c r="Z206" s="371"/>
    </row>
    <row r="207" spans="1:29">
      <c r="Z207" s="371"/>
    </row>
    <row r="208" spans="1:29">
      <c r="Z208" s="371"/>
    </row>
    <row r="209" spans="26:26">
      <c r="Z209" s="371"/>
    </row>
    <row r="210" spans="26:26">
      <c r="Z210" s="371"/>
    </row>
    <row r="211" spans="26:26">
      <c r="Z211" s="371"/>
    </row>
    <row r="212" spans="26:26">
      <c r="Z212" s="371"/>
    </row>
    <row r="213" spans="26:26">
      <c r="Z213" s="371"/>
    </row>
    <row r="214" spans="26:26">
      <c r="Z214" s="371"/>
    </row>
    <row r="215" spans="26:26">
      <c r="Z215" s="371"/>
    </row>
    <row r="216" spans="26:26">
      <c r="Z216" s="371"/>
    </row>
    <row r="217" spans="26:26">
      <c r="Z217" s="371"/>
    </row>
    <row r="218" spans="26:26">
      <c r="Z218" s="371"/>
    </row>
    <row r="219" spans="26:26">
      <c r="Z219" s="371"/>
    </row>
    <row r="220" spans="26:26">
      <c r="Z220" s="371"/>
    </row>
    <row r="221" spans="26:26">
      <c r="Z221" s="371"/>
    </row>
    <row r="222" spans="26:26">
      <c r="Z222" s="371"/>
    </row>
    <row r="223" spans="26:26">
      <c r="Z223" s="371"/>
    </row>
    <row r="224" spans="26:26">
      <c r="Z224" s="371"/>
    </row>
    <row r="225" spans="26:26">
      <c r="Z225" s="371"/>
    </row>
    <row r="226" spans="26:26">
      <c r="Z226" s="371"/>
    </row>
    <row r="227" spans="26:26">
      <c r="Z227" s="371"/>
    </row>
    <row r="228" spans="26:26">
      <c r="Z228" s="371"/>
    </row>
    <row r="229" spans="26:26">
      <c r="Z229" s="371"/>
    </row>
    <row r="230" spans="26:26">
      <c r="Z230" s="371"/>
    </row>
    <row r="231" spans="26:26">
      <c r="Z231" s="371"/>
    </row>
    <row r="232" spans="26:26">
      <c r="Z232" s="371"/>
    </row>
    <row r="233" spans="26:26">
      <c r="Z233" s="371"/>
    </row>
    <row r="234" spans="26:26">
      <c r="Z234" s="371"/>
    </row>
    <row r="235" spans="26:26">
      <c r="Z235" s="371"/>
    </row>
    <row r="236" spans="26:26">
      <c r="Z236" s="371"/>
    </row>
    <row r="237" spans="26:26">
      <c r="Z237" s="371"/>
    </row>
    <row r="238" spans="26:26">
      <c r="Z238" s="371"/>
    </row>
    <row r="239" spans="26:26">
      <c r="Z239" s="371"/>
    </row>
    <row r="240" spans="26:26">
      <c r="Z240" s="371"/>
    </row>
    <row r="241" spans="26:26">
      <c r="Z241" s="371"/>
    </row>
    <row r="242" spans="26:26">
      <c r="Z242" s="371"/>
    </row>
    <row r="243" spans="26:26">
      <c r="Z243" s="371"/>
    </row>
    <row r="244" spans="26:26">
      <c r="Z244" s="371"/>
    </row>
    <row r="245" spans="26:26">
      <c r="Z245" s="371"/>
    </row>
    <row r="246" spans="26:26">
      <c r="Z246" s="371"/>
    </row>
    <row r="247" spans="26:26">
      <c r="Z247" s="371"/>
    </row>
    <row r="248" spans="26:26">
      <c r="Z248" s="371"/>
    </row>
    <row r="249" spans="26:26">
      <c r="Z249" s="371"/>
    </row>
    <row r="250" spans="26:26">
      <c r="Z250" s="371"/>
    </row>
    <row r="251" spans="26:26">
      <c r="Z251" s="371"/>
    </row>
    <row r="252" spans="26:26">
      <c r="Z252" s="371"/>
    </row>
    <row r="253" spans="26:26">
      <c r="Z253" s="371"/>
    </row>
    <row r="254" spans="26:26">
      <c r="Z254" s="371"/>
    </row>
    <row r="255" spans="26:26">
      <c r="Z255" s="371"/>
    </row>
    <row r="256" spans="26:26">
      <c r="Z256" s="371"/>
    </row>
    <row r="257" spans="26:26">
      <c r="Z257" s="371"/>
    </row>
    <row r="258" spans="26:26">
      <c r="Z258" s="371"/>
    </row>
    <row r="259" spans="26:26">
      <c r="Z259" s="371"/>
    </row>
    <row r="260" spans="26:26">
      <c r="Z260" s="371"/>
    </row>
    <row r="261" spans="26:26">
      <c r="Z261" s="371"/>
    </row>
    <row r="262" spans="26:26">
      <c r="Z262" s="371"/>
    </row>
    <row r="263" spans="26:26">
      <c r="Z263" s="371"/>
    </row>
    <row r="264" spans="26:26">
      <c r="Z264" s="371"/>
    </row>
    <row r="265" spans="26:26">
      <c r="Z265" s="371"/>
    </row>
    <row r="266" spans="26:26">
      <c r="Z266" s="371"/>
    </row>
    <row r="267" spans="26:26">
      <c r="Z267" s="371"/>
    </row>
    <row r="268" spans="26:26">
      <c r="Z268" s="371"/>
    </row>
    <row r="269" spans="26:26">
      <c r="Z269" s="371"/>
    </row>
    <row r="270" spans="26:26">
      <c r="Z270" s="371"/>
    </row>
    <row r="271" spans="26:26">
      <c r="Z271" s="371"/>
    </row>
    <row r="272" spans="26:26">
      <c r="Z272" s="371"/>
    </row>
    <row r="273" spans="26:26">
      <c r="Z273" s="371"/>
    </row>
    <row r="274" spans="26:26">
      <c r="Z274" s="371"/>
    </row>
    <row r="275" spans="26:26">
      <c r="Z275" s="371"/>
    </row>
    <row r="276" spans="26:26">
      <c r="Z276" s="371"/>
    </row>
    <row r="277" spans="26:26">
      <c r="Z277" s="371"/>
    </row>
    <row r="278" spans="26:26">
      <c r="Z278" s="371"/>
    </row>
    <row r="279" spans="26:26">
      <c r="Z279" s="371"/>
    </row>
    <row r="280" spans="26:26">
      <c r="Z280" s="371"/>
    </row>
    <row r="281" spans="26:26">
      <c r="Z281" s="371"/>
    </row>
    <row r="282" spans="26:26">
      <c r="Z282" s="371"/>
    </row>
    <row r="283" spans="26:26">
      <c r="Z283" s="371"/>
    </row>
    <row r="284" spans="26:26">
      <c r="Z284" s="371"/>
    </row>
    <row r="285" spans="26:26">
      <c r="Z285" s="371"/>
    </row>
    <row r="286" spans="26:26">
      <c r="Z286" s="371"/>
    </row>
    <row r="287" spans="26:26">
      <c r="Z287" s="371"/>
    </row>
    <row r="288" spans="26:26">
      <c r="Z288" s="371"/>
    </row>
    <row r="289" spans="26:26">
      <c r="Z289" s="371"/>
    </row>
    <row r="290" spans="26:26">
      <c r="Z290" s="371"/>
    </row>
    <row r="291" spans="26:26">
      <c r="Z291" s="371"/>
    </row>
    <row r="292" spans="26:26">
      <c r="Z292" s="371"/>
    </row>
    <row r="293" spans="26:26">
      <c r="Z293" s="371"/>
    </row>
    <row r="294" spans="26:26">
      <c r="Z294" s="371"/>
    </row>
    <row r="295" spans="26:26">
      <c r="Z295" s="371"/>
    </row>
    <row r="296" spans="26:26">
      <c r="Z296" s="371"/>
    </row>
    <row r="297" spans="26:26">
      <c r="Z297" s="371"/>
    </row>
    <row r="298" spans="26:26">
      <c r="Z298" s="371"/>
    </row>
    <row r="299" spans="26:26">
      <c r="Z299" s="371"/>
    </row>
    <row r="300" spans="26:26">
      <c r="Z300" s="371"/>
    </row>
    <row r="301" spans="26:26">
      <c r="Z301" s="371"/>
    </row>
    <row r="302" spans="26:26">
      <c r="Z302" s="371"/>
    </row>
    <row r="303" spans="26:26">
      <c r="Z303" s="371"/>
    </row>
    <row r="304" spans="26:26">
      <c r="Z304" s="371"/>
    </row>
    <row r="305" spans="26:26">
      <c r="Z305" s="371"/>
    </row>
    <row r="306" spans="26:26">
      <c r="Z306" s="371"/>
    </row>
    <row r="307" spans="26:26">
      <c r="Z307" s="371"/>
    </row>
    <row r="308" spans="26:26">
      <c r="Z308" s="371"/>
    </row>
    <row r="309" spans="26:26">
      <c r="Z309" s="371"/>
    </row>
    <row r="310" spans="26:26">
      <c r="Z310" s="371"/>
    </row>
    <row r="311" spans="26:26">
      <c r="Z311" s="371"/>
    </row>
    <row r="312" spans="26:26">
      <c r="Z312" s="371"/>
    </row>
    <row r="313" spans="26:26">
      <c r="Z313" s="371"/>
    </row>
    <row r="314" spans="26:26">
      <c r="Z314" s="371"/>
    </row>
    <row r="315" spans="26:26">
      <c r="Z315" s="371"/>
    </row>
    <row r="316" spans="26:26">
      <c r="Z316" s="371"/>
    </row>
    <row r="317" spans="26:26">
      <c r="Z317" s="371"/>
    </row>
    <row r="318" spans="26:26">
      <c r="Z318" s="371"/>
    </row>
    <row r="319" spans="26:26">
      <c r="Z319" s="371"/>
    </row>
    <row r="320" spans="26:26">
      <c r="Z320" s="371"/>
    </row>
    <row r="321" spans="26:26">
      <c r="Z321" s="371"/>
    </row>
    <row r="322" spans="26:26">
      <c r="Z322" s="371"/>
    </row>
    <row r="323" spans="26:26">
      <c r="Z323" s="371"/>
    </row>
    <row r="324" spans="26:26">
      <c r="Z324" s="371"/>
    </row>
    <row r="325" spans="26:26">
      <c r="Z325" s="371"/>
    </row>
    <row r="326" spans="26:26">
      <c r="Z326" s="371"/>
    </row>
    <row r="327" spans="26:26">
      <c r="Z327" s="371"/>
    </row>
    <row r="328" spans="26:26">
      <c r="Z328" s="371"/>
    </row>
    <row r="329" spans="26:26">
      <c r="Z329" s="371"/>
    </row>
    <row r="330" spans="26:26">
      <c r="Z330" s="371"/>
    </row>
    <row r="331" spans="26:26">
      <c r="Z331" s="371"/>
    </row>
    <row r="332" spans="26:26">
      <c r="Z332" s="371"/>
    </row>
    <row r="333" spans="26:26">
      <c r="Z333" s="371"/>
    </row>
    <row r="334" spans="26:26">
      <c r="Z334" s="371"/>
    </row>
    <row r="335" spans="26:26">
      <c r="Z335" s="371"/>
    </row>
    <row r="336" spans="26:26">
      <c r="Z336" s="371"/>
    </row>
    <row r="337" spans="26:26">
      <c r="Z337" s="371"/>
    </row>
    <row r="338" spans="26:26">
      <c r="Z338" s="371"/>
    </row>
    <row r="339" spans="26:26">
      <c r="Z339" s="371"/>
    </row>
    <row r="340" spans="26:26">
      <c r="Z340" s="371"/>
    </row>
    <row r="341" spans="26:26">
      <c r="Z341" s="371"/>
    </row>
    <row r="342" spans="26:26">
      <c r="Z342" s="371"/>
    </row>
    <row r="343" spans="26:26">
      <c r="Z343" s="371"/>
    </row>
    <row r="344" spans="26:26">
      <c r="Z344" s="371"/>
    </row>
    <row r="345" spans="26:26">
      <c r="Z345" s="371"/>
    </row>
    <row r="346" spans="26:26">
      <c r="Z346" s="371"/>
    </row>
    <row r="347" spans="26:26">
      <c r="Z347" s="371"/>
    </row>
    <row r="348" spans="26:26">
      <c r="Z348" s="371"/>
    </row>
    <row r="349" spans="26:26">
      <c r="Z349" s="371"/>
    </row>
    <row r="350" spans="26:26">
      <c r="Z350" s="371"/>
    </row>
    <row r="351" spans="26:26">
      <c r="Z351" s="371"/>
    </row>
    <row r="352" spans="26:26">
      <c r="Z352" s="371"/>
    </row>
    <row r="353" spans="26:26">
      <c r="Z353" s="371"/>
    </row>
    <row r="354" spans="26:26">
      <c r="Z354" s="371"/>
    </row>
    <row r="355" spans="26:26">
      <c r="Z355" s="371"/>
    </row>
    <row r="356" spans="26:26">
      <c r="Z356" s="371"/>
    </row>
    <row r="357" spans="26:26">
      <c r="Z357" s="371"/>
    </row>
    <row r="358" spans="26:26">
      <c r="Z358" s="371"/>
    </row>
    <row r="359" spans="26:26">
      <c r="Z359" s="371"/>
    </row>
    <row r="360" spans="26:26">
      <c r="Z360" s="371"/>
    </row>
    <row r="361" spans="26:26">
      <c r="Z361" s="371"/>
    </row>
    <row r="362" spans="26:26">
      <c r="Z362" s="371"/>
    </row>
    <row r="363" spans="26:26">
      <c r="Z363" s="371"/>
    </row>
    <row r="364" spans="26:26">
      <c r="Z364" s="371"/>
    </row>
    <row r="365" spans="26:26">
      <c r="Z365" s="371"/>
    </row>
    <row r="366" spans="26:26">
      <c r="Z366" s="371"/>
    </row>
    <row r="367" spans="26:26">
      <c r="Z367" s="371"/>
    </row>
    <row r="368" spans="26:26">
      <c r="Z368" s="371"/>
    </row>
    <row r="369" spans="26:26">
      <c r="Z369" s="371"/>
    </row>
    <row r="370" spans="26:26">
      <c r="Z370" s="371"/>
    </row>
    <row r="371" spans="26:26">
      <c r="Z371" s="371"/>
    </row>
    <row r="372" spans="26:26">
      <c r="Z372" s="371"/>
    </row>
    <row r="373" spans="26:26">
      <c r="Z373" s="371"/>
    </row>
    <row r="374" spans="26:26">
      <c r="Z374" s="371"/>
    </row>
    <row r="375" spans="26:26">
      <c r="Z375" s="371"/>
    </row>
    <row r="376" spans="26:26">
      <c r="Z376" s="371"/>
    </row>
    <row r="377" spans="26:26">
      <c r="Z377" s="371"/>
    </row>
    <row r="378" spans="26:26">
      <c r="Z378" s="371"/>
    </row>
    <row r="379" spans="26:26">
      <c r="Z379" s="371"/>
    </row>
    <row r="380" spans="26:26">
      <c r="Z380" s="371"/>
    </row>
    <row r="381" spans="26:26">
      <c r="Z381" s="371"/>
    </row>
    <row r="382" spans="26:26">
      <c r="Z382" s="371"/>
    </row>
    <row r="383" spans="26:26">
      <c r="Z383" s="371"/>
    </row>
    <row r="384" spans="26:26">
      <c r="Z384" s="371"/>
    </row>
    <row r="385" spans="26:26">
      <c r="Z385" s="371"/>
    </row>
    <row r="386" spans="26:26">
      <c r="Z386" s="371"/>
    </row>
    <row r="387" spans="26:26">
      <c r="Z387" s="371"/>
    </row>
    <row r="388" spans="26:26">
      <c r="Z388" s="371"/>
    </row>
    <row r="389" spans="26:26">
      <c r="Z389" s="371"/>
    </row>
    <row r="390" spans="26:26">
      <c r="Z390" s="371"/>
    </row>
    <row r="391" spans="26:26">
      <c r="Z391" s="371"/>
    </row>
    <row r="392" spans="26:26">
      <c r="Z392" s="371"/>
    </row>
    <row r="393" spans="26:26">
      <c r="Z393" s="371"/>
    </row>
    <row r="394" spans="26:26">
      <c r="Z394" s="371"/>
    </row>
    <row r="395" spans="26:26">
      <c r="Z395" s="371"/>
    </row>
    <row r="396" spans="26:26">
      <c r="Z396" s="371"/>
    </row>
    <row r="397" spans="26:26">
      <c r="Z397" s="371"/>
    </row>
    <row r="398" spans="26:26">
      <c r="Z398" s="371"/>
    </row>
    <row r="399" spans="26:26">
      <c r="Z399" s="371"/>
    </row>
    <row r="400" spans="26:26">
      <c r="Z400" s="371"/>
    </row>
    <row r="401" spans="26:26">
      <c r="Z401" s="371"/>
    </row>
    <row r="402" spans="26:26">
      <c r="Z402" s="371"/>
    </row>
    <row r="403" spans="26:26">
      <c r="Z403" s="371"/>
    </row>
    <row r="404" spans="26:26">
      <c r="Z404" s="371"/>
    </row>
    <row r="405" spans="26:26">
      <c r="Z405" s="371"/>
    </row>
    <row r="406" spans="26:26">
      <c r="Z406" s="371"/>
    </row>
    <row r="407" spans="26:26">
      <c r="Z407" s="371"/>
    </row>
    <row r="408" spans="26:26">
      <c r="Z408" s="371"/>
    </row>
    <row r="409" spans="26:26">
      <c r="Z409" s="371"/>
    </row>
    <row r="410" spans="26:26">
      <c r="Z410" s="371"/>
    </row>
    <row r="411" spans="26:26">
      <c r="Z411" s="371"/>
    </row>
    <row r="412" spans="26:26">
      <c r="Z412" s="371"/>
    </row>
    <row r="413" spans="26:26">
      <c r="Z413" s="371"/>
    </row>
    <row r="414" spans="26:26">
      <c r="Z414" s="371"/>
    </row>
    <row r="415" spans="26:26">
      <c r="Z415" s="371"/>
    </row>
    <row r="416" spans="26:26">
      <c r="Z416" s="371"/>
    </row>
    <row r="417" spans="26:26">
      <c r="Z417" s="371"/>
    </row>
    <row r="418" spans="26:26">
      <c r="Z418" s="371"/>
    </row>
    <row r="419" spans="26:26">
      <c r="Z419" s="371"/>
    </row>
    <row r="420" spans="26:26">
      <c r="Z420" s="371"/>
    </row>
    <row r="421" spans="26:26">
      <c r="Z421" s="371"/>
    </row>
    <row r="422" spans="26:26">
      <c r="Z422" s="371"/>
    </row>
    <row r="423" spans="26:26">
      <c r="Z423" s="371"/>
    </row>
    <row r="424" spans="26:26">
      <c r="Z424" s="371"/>
    </row>
    <row r="425" spans="26:26">
      <c r="Z425" s="371"/>
    </row>
    <row r="426" spans="26:26">
      <c r="Z426" s="371"/>
    </row>
    <row r="427" spans="26:26">
      <c r="Z427" s="371"/>
    </row>
    <row r="428" spans="26:26">
      <c r="Z428" s="371"/>
    </row>
    <row r="429" spans="26:26">
      <c r="Z429" s="371"/>
    </row>
    <row r="430" spans="26:26">
      <c r="Z430" s="371"/>
    </row>
    <row r="431" spans="26:26">
      <c r="Z431" s="371"/>
    </row>
    <row r="432" spans="26:26">
      <c r="Z432" s="371"/>
    </row>
    <row r="433" spans="26:26">
      <c r="Z433" s="371"/>
    </row>
    <row r="434" spans="26:26">
      <c r="Z434" s="371"/>
    </row>
    <row r="435" spans="26:26">
      <c r="Z435" s="371"/>
    </row>
    <row r="436" spans="26:26">
      <c r="Z436" s="371"/>
    </row>
    <row r="437" spans="26:26">
      <c r="Z437" s="371"/>
    </row>
    <row r="438" spans="26:26">
      <c r="Z438" s="371"/>
    </row>
    <row r="439" spans="26:26">
      <c r="Z439" s="371"/>
    </row>
    <row r="440" spans="26:26">
      <c r="Z440" s="371"/>
    </row>
    <row r="441" spans="26:26">
      <c r="Z441" s="371"/>
    </row>
    <row r="442" spans="26:26">
      <c r="Z442" s="371"/>
    </row>
    <row r="443" spans="26:26">
      <c r="Z443" s="371"/>
    </row>
    <row r="444" spans="26:26">
      <c r="Z444" s="371"/>
    </row>
    <row r="445" spans="26:26">
      <c r="Z445" s="371"/>
    </row>
    <row r="446" spans="26:26">
      <c r="Z446" s="371"/>
    </row>
    <row r="447" spans="26:26">
      <c r="Z447" s="371"/>
    </row>
    <row r="448" spans="26:26">
      <c r="Z448" s="371"/>
    </row>
    <row r="449" spans="26:26">
      <c r="Z449" s="371"/>
    </row>
    <row r="450" spans="26:26">
      <c r="Z450" s="371"/>
    </row>
    <row r="451" spans="26:26">
      <c r="Z451" s="371"/>
    </row>
    <row r="452" spans="26:26">
      <c r="Z452" s="371"/>
    </row>
    <row r="453" spans="26:26">
      <c r="Z453" s="371"/>
    </row>
    <row r="454" spans="26:26">
      <c r="Z454" s="371"/>
    </row>
    <row r="455" spans="26:26">
      <c r="Z455" s="371"/>
    </row>
    <row r="456" spans="26:26">
      <c r="Z456" s="371"/>
    </row>
    <row r="457" spans="26:26">
      <c r="Z457" s="371"/>
    </row>
    <row r="458" spans="26:26">
      <c r="Z458" s="371"/>
    </row>
    <row r="459" spans="26:26">
      <c r="Z459" s="371"/>
    </row>
    <row r="460" spans="26:26">
      <c r="Z460" s="371"/>
    </row>
    <row r="461" spans="26:26">
      <c r="Z461" s="371"/>
    </row>
    <row r="462" spans="26:26">
      <c r="Z462" s="371"/>
    </row>
    <row r="463" spans="26:26">
      <c r="Z463" s="371"/>
    </row>
    <row r="464" spans="26:26">
      <c r="Z464" s="371"/>
    </row>
    <row r="465" spans="26:26">
      <c r="Z465" s="371"/>
    </row>
    <row r="466" spans="26:26">
      <c r="Z466" s="371"/>
    </row>
    <row r="467" spans="26:26">
      <c r="Z467" s="371"/>
    </row>
    <row r="468" spans="26:26">
      <c r="Z468" s="371"/>
    </row>
    <row r="469" spans="26:26">
      <c r="Z469" s="371"/>
    </row>
    <row r="470" spans="26:26">
      <c r="Z470" s="371"/>
    </row>
    <row r="471" spans="26:26">
      <c r="Z471" s="371"/>
    </row>
    <row r="472" spans="26:26">
      <c r="Z472" s="371"/>
    </row>
    <row r="473" spans="26:26">
      <c r="Z473" s="371"/>
    </row>
    <row r="474" spans="26:26">
      <c r="Z474" s="371"/>
    </row>
    <row r="475" spans="26:26">
      <c r="Z475" s="371"/>
    </row>
    <row r="476" spans="26:26">
      <c r="Z476" s="371"/>
    </row>
    <row r="477" spans="26:26">
      <c r="Z477" s="371"/>
    </row>
    <row r="478" spans="26:26">
      <c r="Z478" s="371"/>
    </row>
    <row r="479" spans="26:26">
      <c r="Z479" s="371"/>
    </row>
    <row r="480" spans="26:26">
      <c r="Z480" s="371"/>
    </row>
    <row r="481" spans="26:26">
      <c r="Z481" s="371"/>
    </row>
    <row r="482" spans="26:26">
      <c r="Z482" s="371"/>
    </row>
    <row r="483" spans="26:26">
      <c r="Z483" s="371"/>
    </row>
    <row r="484" spans="26:26">
      <c r="Z484" s="371"/>
    </row>
    <row r="485" spans="26:26">
      <c r="Z485" s="371"/>
    </row>
    <row r="486" spans="26:26">
      <c r="Z486" s="371"/>
    </row>
    <row r="487" spans="26:26">
      <c r="Z487" s="371"/>
    </row>
    <row r="488" spans="26:26">
      <c r="Z488" s="371"/>
    </row>
    <row r="489" spans="26:26">
      <c r="Z489" s="371"/>
    </row>
    <row r="490" spans="26:26">
      <c r="Z490" s="371"/>
    </row>
    <row r="491" spans="26:26">
      <c r="Z491" s="371"/>
    </row>
    <row r="492" spans="26:26">
      <c r="Z492" s="371"/>
    </row>
    <row r="493" spans="26:26">
      <c r="Z493" s="371"/>
    </row>
    <row r="494" spans="26:26">
      <c r="Z494" s="371"/>
    </row>
    <row r="495" spans="26:26">
      <c r="Z495" s="371"/>
    </row>
    <row r="496" spans="26:26">
      <c r="Z496" s="371"/>
    </row>
    <row r="497" spans="26:26">
      <c r="Z497" s="371"/>
    </row>
    <row r="498" spans="26:26">
      <c r="Z498" s="371"/>
    </row>
    <row r="499" spans="26:26">
      <c r="Z499" s="371"/>
    </row>
    <row r="500" spans="26:26">
      <c r="Z500" s="371"/>
    </row>
    <row r="501" spans="26:26">
      <c r="Z501" s="371"/>
    </row>
    <row r="502" spans="26:26">
      <c r="Z502" s="371"/>
    </row>
    <row r="503" spans="26:26">
      <c r="Z503" s="371"/>
    </row>
    <row r="504" spans="26:26">
      <c r="Z504" s="371"/>
    </row>
    <row r="505" spans="26:26">
      <c r="Z505" s="371"/>
    </row>
    <row r="506" spans="26:26">
      <c r="Z506" s="371"/>
    </row>
    <row r="507" spans="26:26">
      <c r="Z507" s="371"/>
    </row>
    <row r="508" spans="26:26">
      <c r="Z508" s="371"/>
    </row>
    <row r="509" spans="26:26">
      <c r="Z509" s="371"/>
    </row>
    <row r="510" spans="26:26">
      <c r="Z510" s="371"/>
    </row>
    <row r="511" spans="26:26">
      <c r="Z511" s="371"/>
    </row>
    <row r="512" spans="26:26">
      <c r="Z512" s="371"/>
    </row>
    <row r="513" spans="26:26">
      <c r="Z513" s="371"/>
    </row>
    <row r="514" spans="26:26">
      <c r="Z514" s="371"/>
    </row>
    <row r="515" spans="26:26">
      <c r="Z515" s="371"/>
    </row>
    <row r="516" spans="26:26">
      <c r="Z516" s="371"/>
    </row>
    <row r="517" spans="26:26">
      <c r="Z517" s="371"/>
    </row>
    <row r="518" spans="26:26">
      <c r="Z518" s="371"/>
    </row>
    <row r="519" spans="26:26">
      <c r="Z519" s="371"/>
    </row>
    <row r="520" spans="26:26">
      <c r="Z520" s="371"/>
    </row>
    <row r="521" spans="26:26">
      <c r="Z521" s="371"/>
    </row>
    <row r="522" spans="26:26">
      <c r="Z522" s="371"/>
    </row>
    <row r="523" spans="26:26">
      <c r="Z523" s="371"/>
    </row>
    <row r="524" spans="26:26">
      <c r="Z524" s="371"/>
    </row>
    <row r="525" spans="26:26">
      <c r="Z525" s="371"/>
    </row>
    <row r="526" spans="26:26">
      <c r="Z526" s="371"/>
    </row>
    <row r="527" spans="26:26">
      <c r="Z527" s="371"/>
    </row>
    <row r="528" spans="26:26">
      <c r="Z528" s="371"/>
    </row>
    <row r="529" spans="26:26">
      <c r="Z529" s="371"/>
    </row>
    <row r="530" spans="26:26">
      <c r="Z530" s="371"/>
    </row>
    <row r="531" spans="26:26">
      <c r="Z531" s="371"/>
    </row>
    <row r="532" spans="26:26">
      <c r="Z532" s="371"/>
    </row>
    <row r="533" spans="26:26">
      <c r="Z533" s="371"/>
    </row>
    <row r="534" spans="26:26">
      <c r="Z534" s="371"/>
    </row>
    <row r="535" spans="26:26">
      <c r="Z535" s="371"/>
    </row>
    <row r="536" spans="26:26">
      <c r="Z536" s="371"/>
    </row>
    <row r="537" spans="26:26">
      <c r="Z537" s="371"/>
    </row>
    <row r="538" spans="26:26">
      <c r="Z538" s="371"/>
    </row>
    <row r="539" spans="26:26">
      <c r="Z539" s="371"/>
    </row>
    <row r="540" spans="26:26">
      <c r="Z540" s="371"/>
    </row>
    <row r="541" spans="26:26">
      <c r="Z541" s="371"/>
    </row>
    <row r="542" spans="26:26">
      <c r="Z542" s="371"/>
    </row>
    <row r="543" spans="26:26">
      <c r="Z543" s="371"/>
    </row>
    <row r="544" spans="26:26">
      <c r="Z544" s="371"/>
    </row>
    <row r="545" spans="26:26">
      <c r="Z545" s="371"/>
    </row>
    <row r="546" spans="26:26">
      <c r="Z546" s="371"/>
    </row>
    <row r="547" spans="26:26">
      <c r="Z547" s="371"/>
    </row>
    <row r="548" spans="26:26">
      <c r="Z548" s="371"/>
    </row>
    <row r="549" spans="26:26">
      <c r="Z549" s="371"/>
    </row>
    <row r="550" spans="26:26">
      <c r="Z550" s="371"/>
    </row>
    <row r="551" spans="26:26">
      <c r="Z551" s="371"/>
    </row>
    <row r="552" spans="26:26">
      <c r="Z552" s="371"/>
    </row>
    <row r="553" spans="26:26">
      <c r="Z553" s="371"/>
    </row>
    <row r="554" spans="26:26">
      <c r="Z554" s="371"/>
    </row>
    <row r="555" spans="26:26">
      <c r="Z555" s="371"/>
    </row>
    <row r="556" spans="26:26">
      <c r="Z556" s="371"/>
    </row>
    <row r="557" spans="26:26">
      <c r="Z557" s="371"/>
    </row>
    <row r="558" spans="26:26">
      <c r="Z558" s="371"/>
    </row>
    <row r="559" spans="26:26">
      <c r="Z559" s="371"/>
    </row>
    <row r="560" spans="26:26">
      <c r="Z560" s="371"/>
    </row>
    <row r="561" spans="26:26">
      <c r="Z561" s="371"/>
    </row>
    <row r="562" spans="26:26">
      <c r="Z562" s="371"/>
    </row>
    <row r="563" spans="26:26">
      <c r="Z563" s="371"/>
    </row>
    <row r="564" spans="26:26">
      <c r="Z564" s="371"/>
    </row>
    <row r="565" spans="26:26">
      <c r="Z565" s="371"/>
    </row>
    <row r="566" spans="26:26">
      <c r="Z566" s="371"/>
    </row>
    <row r="567" spans="26:26">
      <c r="Z567" s="371"/>
    </row>
    <row r="568" spans="26:26">
      <c r="Z568" s="371"/>
    </row>
    <row r="569" spans="26:26">
      <c r="Z569" s="371"/>
    </row>
    <row r="570" spans="26:26">
      <c r="Z570" s="371"/>
    </row>
    <row r="571" spans="26:26">
      <c r="Z571" s="371"/>
    </row>
    <row r="572" spans="26:26">
      <c r="Z572" s="371"/>
    </row>
    <row r="573" spans="26:26">
      <c r="Z573" s="371"/>
    </row>
    <row r="574" spans="26:26">
      <c r="Z574" s="371"/>
    </row>
    <row r="575" spans="26:26">
      <c r="Z575" s="371"/>
    </row>
    <row r="576" spans="26:26">
      <c r="Z576" s="371"/>
    </row>
    <row r="577" spans="26:26">
      <c r="Z577" s="371"/>
    </row>
    <row r="578" spans="26:26">
      <c r="Z578" s="371"/>
    </row>
    <row r="579" spans="26:26">
      <c r="Z579" s="371"/>
    </row>
    <row r="580" spans="26:26">
      <c r="Z580" s="371"/>
    </row>
    <row r="581" spans="26:26">
      <c r="Z581" s="371"/>
    </row>
    <row r="582" spans="26:26">
      <c r="Z582" s="371"/>
    </row>
    <row r="583" spans="26:26">
      <c r="Z583" s="371"/>
    </row>
    <row r="584" spans="26:26">
      <c r="Z584" s="371"/>
    </row>
    <row r="585" spans="26:26">
      <c r="Z585" s="371"/>
    </row>
    <row r="586" spans="26:26">
      <c r="Z586" s="371"/>
    </row>
    <row r="587" spans="26:26">
      <c r="Z587" s="371"/>
    </row>
    <row r="588" spans="26:26">
      <c r="Z588" s="371"/>
    </row>
    <row r="589" spans="26:26">
      <c r="Z589" s="371"/>
    </row>
    <row r="590" spans="26:26">
      <c r="Z590" s="371"/>
    </row>
    <row r="591" spans="26:26">
      <c r="Z591" s="371"/>
    </row>
    <row r="592" spans="26:26">
      <c r="Z592" s="371"/>
    </row>
    <row r="593" spans="26:26">
      <c r="Z593" s="371"/>
    </row>
    <row r="594" spans="26:26">
      <c r="Z594" s="371"/>
    </row>
    <row r="595" spans="26:26">
      <c r="Z595" s="371"/>
    </row>
    <row r="596" spans="26:26">
      <c r="Z596" s="371"/>
    </row>
    <row r="597" spans="26:26">
      <c r="Z597" s="371"/>
    </row>
    <row r="598" spans="26:26">
      <c r="Z598" s="371"/>
    </row>
    <row r="599" spans="26:26">
      <c r="Z599" s="371"/>
    </row>
    <row r="600" spans="26:26">
      <c r="Z600" s="371"/>
    </row>
    <row r="601" spans="26:26">
      <c r="Z601" s="371"/>
    </row>
    <row r="602" spans="26:26">
      <c r="Z602" s="371"/>
    </row>
    <row r="603" spans="26:26">
      <c r="Z603" s="371"/>
    </row>
    <row r="604" spans="26:26">
      <c r="Z604" s="371"/>
    </row>
    <row r="605" spans="26:26">
      <c r="Z605" s="371"/>
    </row>
    <row r="606" spans="26:26">
      <c r="Z606" s="371"/>
    </row>
    <row r="607" spans="26:26">
      <c r="Z607" s="371"/>
    </row>
    <row r="608" spans="26:26">
      <c r="Z608" s="371"/>
    </row>
    <row r="609" spans="26:26">
      <c r="Z609" s="371"/>
    </row>
    <row r="610" spans="26:26">
      <c r="Z610" s="371"/>
    </row>
    <row r="611" spans="26:26">
      <c r="Z611" s="371"/>
    </row>
    <row r="612" spans="26:26">
      <c r="Z612" s="371"/>
    </row>
    <row r="613" spans="26:26">
      <c r="Z613" s="371"/>
    </row>
    <row r="614" spans="26:26">
      <c r="Z614" s="371"/>
    </row>
    <row r="615" spans="26:26">
      <c r="Z615" s="371"/>
    </row>
    <row r="616" spans="26:26">
      <c r="Z616" s="371"/>
    </row>
    <row r="617" spans="26:26">
      <c r="Z617" s="371"/>
    </row>
    <row r="618" spans="26:26">
      <c r="Z618" s="371"/>
    </row>
    <row r="619" spans="26:26">
      <c r="Z619" s="371"/>
    </row>
    <row r="620" spans="26:26">
      <c r="Z620" s="371"/>
    </row>
    <row r="621" spans="26:26">
      <c r="Z621" s="371"/>
    </row>
    <row r="622" spans="26:26">
      <c r="Z622" s="371"/>
    </row>
    <row r="623" spans="26:26">
      <c r="Z623" s="371"/>
    </row>
    <row r="624" spans="26:26">
      <c r="Z624" s="371"/>
    </row>
    <row r="625" spans="26:26">
      <c r="Z625" s="371"/>
    </row>
    <row r="626" spans="26:26">
      <c r="Z626" s="371"/>
    </row>
    <row r="627" spans="26:26">
      <c r="Z627" s="371"/>
    </row>
    <row r="628" spans="26:26">
      <c r="Z628" s="371"/>
    </row>
    <row r="629" spans="26:26">
      <c r="Z629" s="371"/>
    </row>
    <row r="630" spans="26:26">
      <c r="Z630" s="371"/>
    </row>
    <row r="631" spans="26:26">
      <c r="Z631" s="371"/>
    </row>
    <row r="632" spans="26:26">
      <c r="Z632" s="371"/>
    </row>
    <row r="633" spans="26:26">
      <c r="Z633" s="371"/>
    </row>
    <row r="634" spans="26:26">
      <c r="Z634" s="371"/>
    </row>
    <row r="635" spans="26:26">
      <c r="Z635" s="371"/>
    </row>
    <row r="636" spans="26:26">
      <c r="Z636" s="371"/>
    </row>
    <row r="637" spans="26:26">
      <c r="Z637" s="371"/>
    </row>
    <row r="638" spans="26:26">
      <c r="Z638" s="371"/>
    </row>
    <row r="639" spans="26:26">
      <c r="Z639" s="371"/>
    </row>
    <row r="640" spans="26:26">
      <c r="Z640" s="371"/>
    </row>
    <row r="641" spans="26:26">
      <c r="Z641" s="371"/>
    </row>
    <row r="642" spans="26:26">
      <c r="Z642" s="371"/>
    </row>
    <row r="643" spans="26:26">
      <c r="Z643" s="371"/>
    </row>
    <row r="644" spans="26:26">
      <c r="Z644" s="371"/>
    </row>
    <row r="645" spans="26:26">
      <c r="Z645" s="371"/>
    </row>
    <row r="646" spans="26:26">
      <c r="Z646" s="371"/>
    </row>
    <row r="647" spans="26:26">
      <c r="Z647" s="371"/>
    </row>
    <row r="648" spans="26:26">
      <c r="Z648" s="371"/>
    </row>
    <row r="649" spans="26:26">
      <c r="Z649" s="371"/>
    </row>
    <row r="650" spans="26:26">
      <c r="Z650" s="371"/>
    </row>
    <row r="651" spans="26:26">
      <c r="Z651" s="371"/>
    </row>
    <row r="652" spans="26:26">
      <c r="Z652" s="371"/>
    </row>
    <row r="653" spans="26:26">
      <c r="Z653" s="371"/>
    </row>
    <row r="654" spans="26:26">
      <c r="Z654" s="371"/>
    </row>
    <row r="655" spans="26:26">
      <c r="Z655" s="371"/>
    </row>
    <row r="656" spans="26:26">
      <c r="Z656" s="371"/>
    </row>
    <row r="657" spans="26:26">
      <c r="Z657" s="371"/>
    </row>
    <row r="658" spans="26:26">
      <c r="Z658" s="371"/>
    </row>
    <row r="659" spans="26:26">
      <c r="Z659" s="371"/>
    </row>
    <row r="660" spans="26:26">
      <c r="Z660" s="371"/>
    </row>
    <row r="661" spans="26:26">
      <c r="Z661" s="371"/>
    </row>
    <row r="662" spans="26:26">
      <c r="Z662" s="371"/>
    </row>
    <row r="663" spans="26:26">
      <c r="Z663" s="371"/>
    </row>
    <row r="664" spans="26:26">
      <c r="Z664" s="371"/>
    </row>
    <row r="665" spans="26:26">
      <c r="Z665" s="371"/>
    </row>
    <row r="666" spans="26:26">
      <c r="Z666" s="371"/>
    </row>
    <row r="667" spans="26:26">
      <c r="Z667" s="371"/>
    </row>
    <row r="668" spans="26:26">
      <c r="Z668" s="371"/>
    </row>
    <row r="669" spans="26:26">
      <c r="Z669" s="371"/>
    </row>
    <row r="670" spans="26:26">
      <c r="Z670" s="371"/>
    </row>
    <row r="671" spans="26:26">
      <c r="Z671" s="371"/>
    </row>
    <row r="672" spans="26:26">
      <c r="Z672" s="371"/>
    </row>
    <row r="673" spans="26:26">
      <c r="Z673" s="371"/>
    </row>
    <row r="674" spans="26:26">
      <c r="Z674" s="371"/>
    </row>
    <row r="675" spans="26:26">
      <c r="Z675" s="371"/>
    </row>
    <row r="676" spans="26:26">
      <c r="Z676" s="371"/>
    </row>
    <row r="677" spans="26:26">
      <c r="Z677" s="371"/>
    </row>
    <row r="678" spans="26:26">
      <c r="Z678" s="371"/>
    </row>
    <row r="679" spans="26:26">
      <c r="Z679" s="371"/>
    </row>
    <row r="680" spans="26:26">
      <c r="Z680" s="371"/>
    </row>
    <row r="681" spans="26:26">
      <c r="Z681" s="371"/>
    </row>
    <row r="682" spans="26:26">
      <c r="Z682" s="371"/>
    </row>
    <row r="683" spans="26:26">
      <c r="Z683" s="371"/>
    </row>
    <row r="684" spans="26:26">
      <c r="Z684" s="371"/>
    </row>
    <row r="685" spans="26:26">
      <c r="Z685" s="371"/>
    </row>
    <row r="686" spans="26:26">
      <c r="Z686" s="371"/>
    </row>
    <row r="687" spans="26:26">
      <c r="Z687" s="371"/>
    </row>
    <row r="688" spans="26:26">
      <c r="Z688" s="371"/>
    </row>
    <row r="689" spans="26:26">
      <c r="Z689" s="371"/>
    </row>
    <row r="690" spans="26:26">
      <c r="Z690" s="371"/>
    </row>
    <row r="691" spans="26:26">
      <c r="Z691" s="371"/>
    </row>
    <row r="692" spans="26:26">
      <c r="Z692" s="371"/>
    </row>
    <row r="693" spans="26:26">
      <c r="Z693" s="371"/>
    </row>
    <row r="694" spans="26:26">
      <c r="Z694" s="371"/>
    </row>
    <row r="695" spans="26:26">
      <c r="Z695" s="371"/>
    </row>
    <row r="696" spans="26:26">
      <c r="Z696" s="371"/>
    </row>
    <row r="697" spans="26:26">
      <c r="Z697" s="371"/>
    </row>
    <row r="698" spans="26:26">
      <c r="Z698" s="371"/>
    </row>
    <row r="699" spans="26:26">
      <c r="Z699" s="371"/>
    </row>
    <row r="700" spans="26:26">
      <c r="Z700" s="371"/>
    </row>
    <row r="701" spans="26:26">
      <c r="Z701" s="371"/>
    </row>
    <row r="702" spans="26:26">
      <c r="Z702" s="371"/>
    </row>
    <row r="703" spans="26:26">
      <c r="Z703" s="371"/>
    </row>
    <row r="704" spans="26:26">
      <c r="Z704" s="371"/>
    </row>
    <row r="705" spans="26:26">
      <c r="Z705" s="371"/>
    </row>
    <row r="706" spans="26:26">
      <c r="Z706" s="371"/>
    </row>
    <row r="707" spans="26:26">
      <c r="Z707" s="371"/>
    </row>
    <row r="708" spans="26:26">
      <c r="Z708" s="371"/>
    </row>
    <row r="709" spans="26:26">
      <c r="Z709" s="371"/>
    </row>
    <row r="710" spans="26:26">
      <c r="Z710" s="371"/>
    </row>
    <row r="711" spans="26:26">
      <c r="Z711" s="371"/>
    </row>
    <row r="712" spans="26:26">
      <c r="Z712" s="371"/>
    </row>
    <row r="713" spans="26:26">
      <c r="Z713" s="371"/>
    </row>
    <row r="714" spans="26:26">
      <c r="Z714" s="371"/>
    </row>
    <row r="715" spans="26:26">
      <c r="Z715" s="371"/>
    </row>
    <row r="716" spans="26:26">
      <c r="Z716" s="371"/>
    </row>
    <row r="717" spans="26:26">
      <c r="Z717" s="371"/>
    </row>
    <row r="718" spans="26:26">
      <c r="Z718" s="371"/>
    </row>
    <row r="719" spans="26:26">
      <c r="Z719" s="371"/>
    </row>
    <row r="720" spans="26:26">
      <c r="Z720" s="371"/>
    </row>
    <row r="721" spans="26:26">
      <c r="Z721" s="371"/>
    </row>
    <row r="722" spans="26:26">
      <c r="Z722" s="371"/>
    </row>
    <row r="723" spans="26:26">
      <c r="Z723" s="371"/>
    </row>
    <row r="724" spans="26:26">
      <c r="Z724" s="371"/>
    </row>
    <row r="725" spans="26:26">
      <c r="Z725" s="371"/>
    </row>
    <row r="726" spans="26:26">
      <c r="Z726" s="371"/>
    </row>
    <row r="727" spans="26:26">
      <c r="Z727" s="371"/>
    </row>
    <row r="728" spans="26:26">
      <c r="Z728" s="371"/>
    </row>
    <row r="729" spans="26:26">
      <c r="Z729" s="371"/>
    </row>
    <row r="730" spans="26:26">
      <c r="Z730" s="371"/>
    </row>
    <row r="731" spans="26:26">
      <c r="Z731" s="371"/>
    </row>
    <row r="732" spans="26:26">
      <c r="Z732" s="371"/>
    </row>
    <row r="733" spans="26:26">
      <c r="Z733" s="371"/>
    </row>
    <row r="734" spans="26:26">
      <c r="Z734" s="371"/>
    </row>
    <row r="735" spans="26:26">
      <c r="Z735" s="371"/>
    </row>
    <row r="736" spans="26:26">
      <c r="Z736" s="371"/>
    </row>
    <row r="737" spans="26:26">
      <c r="Z737" s="371"/>
    </row>
    <row r="738" spans="26:26">
      <c r="Z738" s="371"/>
    </row>
    <row r="739" spans="26:26">
      <c r="Z739" s="371"/>
    </row>
    <row r="740" spans="26:26">
      <c r="Z740" s="371"/>
    </row>
    <row r="741" spans="26:26">
      <c r="Z741" s="371"/>
    </row>
    <row r="742" spans="26:26">
      <c r="Z742" s="371"/>
    </row>
    <row r="743" spans="26:26">
      <c r="Z743" s="371"/>
    </row>
    <row r="744" spans="26:26">
      <c r="Z744" s="371"/>
    </row>
    <row r="745" spans="26:26">
      <c r="Z745" s="371"/>
    </row>
    <row r="746" spans="26:26">
      <c r="Z746" s="371"/>
    </row>
    <row r="747" spans="26:26">
      <c r="Z747" s="371"/>
    </row>
    <row r="748" spans="26:26">
      <c r="Z748" s="371"/>
    </row>
    <row r="749" spans="26:26">
      <c r="Z749" s="371"/>
    </row>
    <row r="750" spans="26:26">
      <c r="Z750" s="371"/>
    </row>
    <row r="751" spans="26:26">
      <c r="Z751" s="371"/>
    </row>
    <row r="752" spans="26:26">
      <c r="Z752" s="371"/>
    </row>
    <row r="753" spans="26:26">
      <c r="Z753" s="371"/>
    </row>
    <row r="754" spans="26:26">
      <c r="Z754" s="371"/>
    </row>
    <row r="755" spans="26:26">
      <c r="Z755" s="371"/>
    </row>
    <row r="756" spans="26:26">
      <c r="Z756" s="371"/>
    </row>
    <row r="757" spans="26:26">
      <c r="Z757" s="371"/>
    </row>
    <row r="758" spans="26:26">
      <c r="Z758" s="371"/>
    </row>
    <row r="759" spans="26:26">
      <c r="Z759" s="371"/>
    </row>
    <row r="760" spans="26:26">
      <c r="Z760" s="371"/>
    </row>
    <row r="761" spans="26:26">
      <c r="Z761" s="371"/>
    </row>
    <row r="762" spans="26:26">
      <c r="Z762" s="371"/>
    </row>
    <row r="763" spans="26:26">
      <c r="Z763" s="371"/>
    </row>
    <row r="764" spans="26:26">
      <c r="Z764" s="371"/>
    </row>
    <row r="765" spans="26:26">
      <c r="Z765" s="371"/>
    </row>
    <row r="766" spans="26:26">
      <c r="Z766" s="371"/>
    </row>
    <row r="767" spans="26:26">
      <c r="Z767" s="371"/>
    </row>
    <row r="768" spans="26:26">
      <c r="Z768" s="371"/>
    </row>
    <row r="769" spans="26:26">
      <c r="Z769" s="371"/>
    </row>
    <row r="770" spans="26:26">
      <c r="Z770" s="371"/>
    </row>
    <row r="771" spans="26:26">
      <c r="Z771" s="371"/>
    </row>
    <row r="772" spans="26:26">
      <c r="Z772" s="371"/>
    </row>
    <row r="773" spans="26:26">
      <c r="Z773" s="371"/>
    </row>
    <row r="774" spans="26:26">
      <c r="Z774" s="371"/>
    </row>
    <row r="775" spans="26:26">
      <c r="Z775" s="371"/>
    </row>
    <row r="776" spans="26:26">
      <c r="Z776" s="371"/>
    </row>
    <row r="777" spans="26:26">
      <c r="Z777" s="371"/>
    </row>
    <row r="778" spans="26:26">
      <c r="Z778" s="371"/>
    </row>
    <row r="779" spans="26:26">
      <c r="Z779" s="371"/>
    </row>
    <row r="780" spans="26:26">
      <c r="Z780" s="371"/>
    </row>
    <row r="781" spans="26:26">
      <c r="Z781" s="371"/>
    </row>
    <row r="782" spans="26:26">
      <c r="Z782" s="371"/>
    </row>
    <row r="783" spans="26:26">
      <c r="Z783" s="371"/>
    </row>
    <row r="784" spans="26:26">
      <c r="Z784" s="371"/>
    </row>
    <row r="785" spans="26:26">
      <c r="Z785" s="371"/>
    </row>
    <row r="786" spans="26:26">
      <c r="Z786" s="371"/>
    </row>
    <row r="787" spans="26:26">
      <c r="Z787" s="371"/>
    </row>
    <row r="788" spans="26:26">
      <c r="Z788" s="371"/>
    </row>
    <row r="789" spans="26:26">
      <c r="Z789" s="371"/>
    </row>
    <row r="790" spans="26:26">
      <c r="Z790" s="371"/>
    </row>
    <row r="791" spans="26:26">
      <c r="Z791" s="371"/>
    </row>
    <row r="792" spans="26:26">
      <c r="Z792" s="371"/>
    </row>
    <row r="793" spans="26:26">
      <c r="Z793" s="371"/>
    </row>
    <row r="794" spans="26:26">
      <c r="Z794" s="371"/>
    </row>
    <row r="795" spans="26:26">
      <c r="Z795" s="371"/>
    </row>
    <row r="796" spans="26:26">
      <c r="Z796" s="371"/>
    </row>
    <row r="797" spans="26:26">
      <c r="Z797" s="371"/>
    </row>
    <row r="798" spans="26:26">
      <c r="Z798" s="371"/>
    </row>
    <row r="799" spans="26:26">
      <c r="Z799" s="371"/>
    </row>
    <row r="800" spans="26:26">
      <c r="Z800" s="371"/>
    </row>
    <row r="801" spans="26:26">
      <c r="Z801" s="371"/>
    </row>
    <row r="802" spans="26:26">
      <c r="Z802" s="371"/>
    </row>
    <row r="803" spans="26:26">
      <c r="Z803" s="371"/>
    </row>
    <row r="804" spans="26:26">
      <c r="Z804" s="371"/>
    </row>
    <row r="805" spans="26:26">
      <c r="Z805" s="371"/>
    </row>
    <row r="806" spans="26:26">
      <c r="Z806" s="371"/>
    </row>
    <row r="807" spans="26:26">
      <c r="Z807" s="371"/>
    </row>
    <row r="808" spans="26:26">
      <c r="Z808" s="371"/>
    </row>
    <row r="809" spans="26:26">
      <c r="Z809" s="371"/>
    </row>
    <row r="810" spans="26:26">
      <c r="Z810" s="371"/>
    </row>
    <row r="811" spans="26:26">
      <c r="Z811" s="371"/>
    </row>
    <row r="812" spans="26:26">
      <c r="Z812" s="371"/>
    </row>
    <row r="813" spans="26:26">
      <c r="Z813" s="371"/>
    </row>
    <row r="814" spans="26:26">
      <c r="Z814" s="371"/>
    </row>
    <row r="815" spans="26:26">
      <c r="Z815" s="371"/>
    </row>
    <row r="816" spans="26:26">
      <c r="Z816" s="371"/>
    </row>
    <row r="817" spans="26:26">
      <c r="Z817" s="371"/>
    </row>
    <row r="818" spans="26:26">
      <c r="Z818" s="371"/>
    </row>
    <row r="819" spans="26:26">
      <c r="Z819" s="371"/>
    </row>
    <row r="820" spans="26:26">
      <c r="Z820" s="371"/>
    </row>
    <row r="821" spans="26:26">
      <c r="Z821" s="371"/>
    </row>
    <row r="822" spans="26:26">
      <c r="Z822" s="371"/>
    </row>
    <row r="823" spans="26:26">
      <c r="Z823" s="371"/>
    </row>
    <row r="824" spans="26:26">
      <c r="Z824" s="371"/>
    </row>
    <row r="825" spans="26:26">
      <c r="Z825" s="371"/>
    </row>
    <row r="826" spans="26:26">
      <c r="Z826" s="371"/>
    </row>
    <row r="827" spans="26:26">
      <c r="Z827" s="371"/>
    </row>
    <row r="828" spans="26:26">
      <c r="Z828" s="371"/>
    </row>
    <row r="829" spans="26:26">
      <c r="Z829" s="371"/>
    </row>
    <row r="830" spans="26:26">
      <c r="Z830" s="371"/>
    </row>
    <row r="831" spans="26:26">
      <c r="Z831" s="371"/>
    </row>
    <row r="832" spans="26:26">
      <c r="Z832" s="371"/>
    </row>
    <row r="833" spans="26:26">
      <c r="Z833" s="371"/>
    </row>
    <row r="834" spans="26:26">
      <c r="Z834" s="371"/>
    </row>
    <row r="835" spans="26:26">
      <c r="Z835" s="371"/>
    </row>
    <row r="836" spans="26:26">
      <c r="Z836" s="371"/>
    </row>
    <row r="837" spans="26:26">
      <c r="Z837" s="371"/>
    </row>
    <row r="838" spans="26:26">
      <c r="Z838" s="371"/>
    </row>
    <row r="839" spans="26:26">
      <c r="Z839" s="371"/>
    </row>
    <row r="840" spans="26:26">
      <c r="Z840" s="371"/>
    </row>
    <row r="841" spans="26:26">
      <c r="Z841" s="371"/>
    </row>
    <row r="842" spans="26:26">
      <c r="Z842" s="371"/>
    </row>
    <row r="843" spans="26:26">
      <c r="Z843" s="371"/>
    </row>
    <row r="844" spans="26:26">
      <c r="Z844" s="371"/>
    </row>
    <row r="845" spans="26:26">
      <c r="Z845" s="371"/>
    </row>
    <row r="846" spans="26:26">
      <c r="Z846" s="371"/>
    </row>
    <row r="847" spans="26:26">
      <c r="Z847" s="371"/>
    </row>
    <row r="848" spans="26:26">
      <c r="Z848" s="371"/>
    </row>
    <row r="849" spans="26:26">
      <c r="Z849" s="371"/>
    </row>
    <row r="850" spans="26:26">
      <c r="Z850" s="371"/>
    </row>
    <row r="851" spans="26:26">
      <c r="Z851" s="371"/>
    </row>
    <row r="852" spans="26:26">
      <c r="Z852" s="371"/>
    </row>
    <row r="853" spans="26:26">
      <c r="Z853" s="371"/>
    </row>
    <row r="854" spans="26:26">
      <c r="Z854" s="371"/>
    </row>
    <row r="855" spans="26:26">
      <c r="Z855" s="371"/>
    </row>
    <row r="856" spans="26:26">
      <c r="Z856" s="371"/>
    </row>
    <row r="857" spans="26:26">
      <c r="Z857" s="371"/>
    </row>
    <row r="858" spans="26:26">
      <c r="Z858" s="371"/>
    </row>
    <row r="859" spans="26:26">
      <c r="Z859" s="371"/>
    </row>
    <row r="860" spans="26:26">
      <c r="Z860" s="371"/>
    </row>
    <row r="861" spans="26:26">
      <c r="Z861" s="371"/>
    </row>
    <row r="862" spans="26:26">
      <c r="Z862" s="371"/>
    </row>
    <row r="863" spans="26:26">
      <c r="Z863" s="371"/>
    </row>
    <row r="864" spans="26:26">
      <c r="Z864" s="371"/>
    </row>
    <row r="865" spans="26:26">
      <c r="Z865" s="371"/>
    </row>
    <row r="866" spans="26:26">
      <c r="Z866" s="371"/>
    </row>
    <row r="867" spans="26:26">
      <c r="Z867" s="371"/>
    </row>
    <row r="868" spans="26:26">
      <c r="Z868" s="371"/>
    </row>
    <row r="869" spans="26:26">
      <c r="Z869" s="371"/>
    </row>
    <row r="870" spans="26:26">
      <c r="Z870" s="371"/>
    </row>
    <row r="871" spans="26:26">
      <c r="Z871" s="371"/>
    </row>
    <row r="872" spans="26:26">
      <c r="Z872" s="371"/>
    </row>
    <row r="873" spans="26:26">
      <c r="Z873" s="371"/>
    </row>
    <row r="874" spans="26:26">
      <c r="Z874" s="371"/>
    </row>
    <row r="875" spans="26:26">
      <c r="Z875" s="371"/>
    </row>
    <row r="876" spans="26:26">
      <c r="Z876" s="371"/>
    </row>
    <row r="877" spans="26:26">
      <c r="Z877" s="371"/>
    </row>
    <row r="878" spans="26:26">
      <c r="Z878" s="371"/>
    </row>
    <row r="879" spans="26:26">
      <c r="Z879" s="371"/>
    </row>
    <row r="880" spans="26:26">
      <c r="Z880" s="371"/>
    </row>
    <row r="881" spans="26:26">
      <c r="Z881" s="371"/>
    </row>
    <row r="882" spans="26:26">
      <c r="Z882" s="371"/>
    </row>
    <row r="883" spans="26:26">
      <c r="Z883" s="371"/>
    </row>
    <row r="884" spans="26:26">
      <c r="Z884" s="371"/>
    </row>
    <row r="885" spans="26:26">
      <c r="Z885" s="371"/>
    </row>
    <row r="886" spans="26:26">
      <c r="Z886" s="371"/>
    </row>
    <row r="887" spans="26:26">
      <c r="Z887" s="371"/>
    </row>
    <row r="888" spans="26:26">
      <c r="Z888" s="371"/>
    </row>
    <row r="889" spans="26:26">
      <c r="Z889" s="371"/>
    </row>
    <row r="890" spans="26:26">
      <c r="Z890" s="371"/>
    </row>
    <row r="891" spans="26:26">
      <c r="Z891" s="371"/>
    </row>
    <row r="892" spans="26:26">
      <c r="Z892" s="371"/>
    </row>
    <row r="893" spans="26:26">
      <c r="Z893" s="371"/>
    </row>
    <row r="894" spans="26:26">
      <c r="Z894" s="371"/>
    </row>
    <row r="895" spans="26:26">
      <c r="Z895" s="371"/>
    </row>
    <row r="896" spans="26:26">
      <c r="Z896" s="371"/>
    </row>
    <row r="897" spans="26:26">
      <c r="Z897" s="371"/>
    </row>
    <row r="898" spans="26:26">
      <c r="Z898" s="371"/>
    </row>
    <row r="899" spans="26:26">
      <c r="Z899" s="371"/>
    </row>
    <row r="900" spans="26:26">
      <c r="Z900" s="371"/>
    </row>
    <row r="901" spans="26:26">
      <c r="Z901" s="371"/>
    </row>
    <row r="902" spans="26:26">
      <c r="Z902" s="371"/>
    </row>
    <row r="903" spans="26:26">
      <c r="Z903" s="371"/>
    </row>
    <row r="904" spans="26:26">
      <c r="Z904" s="371"/>
    </row>
    <row r="905" spans="26:26">
      <c r="Z905" s="371"/>
    </row>
    <row r="906" spans="26:26">
      <c r="Z906" s="371"/>
    </row>
    <row r="907" spans="26:26">
      <c r="Z907" s="371"/>
    </row>
    <row r="908" spans="26:26">
      <c r="Z908" s="371"/>
    </row>
    <row r="909" spans="26:26">
      <c r="Z909" s="371"/>
    </row>
    <row r="910" spans="26:26">
      <c r="Z910" s="371"/>
    </row>
    <row r="911" spans="26:26">
      <c r="Z911" s="371"/>
    </row>
    <row r="912" spans="26:26">
      <c r="Z912" s="371"/>
    </row>
    <row r="913" spans="26:26">
      <c r="Z913" s="371"/>
    </row>
    <row r="914" spans="26:26">
      <c r="Z914" s="371"/>
    </row>
    <row r="915" spans="26:26">
      <c r="Z915" s="371"/>
    </row>
    <row r="916" spans="26:26">
      <c r="Z916" s="371"/>
    </row>
    <row r="917" spans="26:26">
      <c r="Z917" s="371"/>
    </row>
    <row r="918" spans="26:26">
      <c r="Z918" s="371"/>
    </row>
    <row r="919" spans="26:26">
      <c r="Z919" s="371"/>
    </row>
    <row r="920" spans="26:26">
      <c r="Z920" s="371"/>
    </row>
    <row r="921" spans="26:26">
      <c r="Z921" s="371"/>
    </row>
    <row r="922" spans="26:26">
      <c r="Z922" s="371"/>
    </row>
    <row r="923" spans="26:26">
      <c r="Z923" s="371"/>
    </row>
    <row r="924" spans="26:26">
      <c r="Z924" s="371"/>
    </row>
    <row r="925" spans="26:26">
      <c r="Z925" s="371"/>
    </row>
    <row r="926" spans="26:26">
      <c r="Z926" s="371"/>
    </row>
    <row r="927" spans="26:26">
      <c r="Z927" s="371"/>
    </row>
    <row r="928" spans="26:26">
      <c r="Z928" s="371"/>
    </row>
    <row r="929" spans="26:26">
      <c r="Z929" s="371"/>
    </row>
    <row r="930" spans="26:26">
      <c r="Z930" s="371"/>
    </row>
    <row r="931" spans="26:26">
      <c r="Z931" s="371"/>
    </row>
    <row r="932" spans="26:26">
      <c r="Z932" s="371"/>
    </row>
    <row r="933" spans="26:26">
      <c r="Z933" s="371"/>
    </row>
    <row r="934" spans="26:26">
      <c r="Z934" s="371"/>
    </row>
    <row r="935" spans="26:26">
      <c r="Z935" s="371"/>
    </row>
    <row r="936" spans="26:26">
      <c r="Z936" s="371"/>
    </row>
    <row r="937" spans="26:26">
      <c r="Z937" s="371"/>
    </row>
    <row r="938" spans="26:26">
      <c r="Z938" s="371"/>
    </row>
    <row r="939" spans="26:26">
      <c r="Z939" s="371"/>
    </row>
    <row r="940" spans="26:26">
      <c r="Z940" s="371"/>
    </row>
    <row r="941" spans="26:26">
      <c r="Z941" s="371"/>
    </row>
    <row r="942" spans="26:26">
      <c r="Z942" s="371"/>
    </row>
    <row r="943" spans="26:26">
      <c r="Z943" s="371"/>
    </row>
    <row r="944" spans="26:26">
      <c r="Z944" s="371"/>
    </row>
    <row r="945" spans="26:26">
      <c r="Z945" s="371"/>
    </row>
    <row r="946" spans="26:26">
      <c r="Z946" s="371"/>
    </row>
    <row r="947" spans="26:26">
      <c r="Z947" s="371"/>
    </row>
    <row r="948" spans="26:26">
      <c r="Z948" s="371"/>
    </row>
    <row r="949" spans="26:26">
      <c r="Z949" s="371"/>
    </row>
    <row r="950" spans="26:26">
      <c r="Z950" s="371"/>
    </row>
    <row r="951" spans="26:26">
      <c r="Z951" s="371"/>
    </row>
    <row r="952" spans="26:26">
      <c r="Z952" s="371"/>
    </row>
    <row r="953" spans="26:26">
      <c r="Z953" s="371"/>
    </row>
    <row r="954" spans="26:26">
      <c r="Z954" s="371"/>
    </row>
    <row r="955" spans="26:26">
      <c r="Z955" s="371"/>
    </row>
    <row r="956" spans="26:26">
      <c r="Z956" s="371"/>
    </row>
    <row r="957" spans="26:26">
      <c r="Z957" s="371"/>
    </row>
    <row r="958" spans="26:26">
      <c r="Z958" s="371"/>
    </row>
    <row r="959" spans="26:26">
      <c r="Z959" s="371"/>
    </row>
    <row r="960" spans="26:26">
      <c r="Z960" s="371"/>
    </row>
    <row r="961" spans="26:26">
      <c r="Z961" s="371"/>
    </row>
    <row r="962" spans="26:26">
      <c r="Z962" s="371"/>
    </row>
    <row r="963" spans="26:26">
      <c r="Z963" s="371"/>
    </row>
    <row r="964" spans="26:26">
      <c r="Z964" s="371"/>
    </row>
    <row r="965" spans="26:26">
      <c r="Z965" s="371"/>
    </row>
    <row r="966" spans="26:26">
      <c r="Z966" s="371"/>
    </row>
    <row r="967" spans="26:26">
      <c r="Z967" s="371"/>
    </row>
    <row r="968" spans="26:26">
      <c r="Z968" s="371"/>
    </row>
    <row r="969" spans="26:26">
      <c r="Z969" s="371"/>
    </row>
    <row r="970" spans="26:26">
      <c r="Z970" s="371"/>
    </row>
    <row r="971" spans="26:26">
      <c r="Z971" s="371"/>
    </row>
    <row r="972" spans="26:26">
      <c r="Z972" s="371"/>
    </row>
    <row r="973" spans="26:26">
      <c r="Z973" s="371"/>
    </row>
    <row r="974" spans="26:26">
      <c r="Z974" s="371"/>
    </row>
    <row r="975" spans="26:26">
      <c r="Z975" s="371"/>
    </row>
    <row r="976" spans="26:26">
      <c r="Z976" s="371"/>
    </row>
    <row r="977" spans="26:26">
      <c r="Z977" s="371"/>
    </row>
    <row r="978" spans="26:26">
      <c r="Z978" s="371"/>
    </row>
    <row r="979" spans="26:26">
      <c r="Z979" s="371"/>
    </row>
    <row r="980" spans="26:26">
      <c r="Z980" s="371"/>
    </row>
    <row r="981" spans="26:26">
      <c r="Z981" s="371"/>
    </row>
    <row r="982" spans="26:26">
      <c r="Z982" s="371"/>
    </row>
    <row r="983" spans="26:26">
      <c r="Z983" s="371"/>
    </row>
    <row r="984" spans="26:26">
      <c r="Z984" s="371"/>
    </row>
    <row r="985" spans="26:26">
      <c r="Z985" s="371"/>
    </row>
    <row r="986" spans="26:26">
      <c r="Z986" s="371"/>
    </row>
    <row r="987" spans="26:26">
      <c r="Z987" s="371"/>
    </row>
    <row r="988" spans="26:26">
      <c r="Z988" s="371"/>
    </row>
    <row r="989" spans="26:26">
      <c r="Z989" s="371"/>
    </row>
    <row r="990" spans="26:26">
      <c r="Z990" s="371"/>
    </row>
    <row r="991" spans="26:26">
      <c r="Z991" s="371"/>
    </row>
    <row r="992" spans="26:26">
      <c r="Z992" s="371"/>
    </row>
    <row r="993" spans="26:26">
      <c r="Z993" s="371"/>
    </row>
    <row r="994" spans="26:26">
      <c r="Z994" s="371"/>
    </row>
    <row r="995" spans="26:26">
      <c r="Z995" s="371"/>
    </row>
    <row r="996" spans="26:26">
      <c r="Z996" s="371"/>
    </row>
    <row r="997" spans="26:26">
      <c r="Z997" s="371"/>
    </row>
    <row r="998" spans="26:26">
      <c r="Z998" s="371"/>
    </row>
    <row r="999" spans="26:26">
      <c r="Z999" s="371"/>
    </row>
    <row r="1000" spans="26:26">
      <c r="Z1000" s="371"/>
    </row>
    <row r="1001" spans="26:26">
      <c r="Z1001" s="371"/>
    </row>
    <row r="1002" spans="26:26">
      <c r="Z1002" s="371"/>
    </row>
    <row r="1003" spans="26:26">
      <c r="Z1003" s="371"/>
    </row>
    <row r="1004" spans="26:26">
      <c r="Z1004" s="371"/>
    </row>
    <row r="1005" spans="26:26">
      <c r="Z1005" s="371"/>
    </row>
    <row r="1006" spans="26:26">
      <c r="Z1006" s="371"/>
    </row>
    <row r="1007" spans="26:26">
      <c r="Z1007" s="371"/>
    </row>
    <row r="1008" spans="26:26">
      <c r="Z1008" s="371"/>
    </row>
    <row r="1009" spans="26:26">
      <c r="Z1009" s="371"/>
    </row>
    <row r="1010" spans="26:26">
      <c r="Z1010" s="371"/>
    </row>
    <row r="1011" spans="26:26">
      <c r="Z1011" s="371"/>
    </row>
    <row r="1012" spans="26:26">
      <c r="Z1012" s="371"/>
    </row>
    <row r="1013" spans="26:26">
      <c r="Z1013" s="371"/>
    </row>
    <row r="1014" spans="26:26">
      <c r="Z1014" s="371"/>
    </row>
    <row r="1015" spans="26:26">
      <c r="Z1015" s="371"/>
    </row>
    <row r="1016" spans="26:26">
      <c r="Z1016" s="371"/>
    </row>
    <row r="1017" spans="26:26">
      <c r="Z1017" s="371"/>
    </row>
    <row r="1018" spans="26:26">
      <c r="Z1018" s="371"/>
    </row>
    <row r="1019" spans="26:26">
      <c r="Z1019" s="371"/>
    </row>
    <row r="1020" spans="26:26">
      <c r="Z1020" s="371"/>
    </row>
    <row r="1021" spans="26:26">
      <c r="Z1021" s="371"/>
    </row>
    <row r="1022" spans="26:26">
      <c r="Z1022" s="371"/>
    </row>
    <row r="1023" spans="26:26">
      <c r="Z1023" s="371"/>
    </row>
    <row r="1024" spans="26:26">
      <c r="Z1024" s="371"/>
    </row>
    <row r="1025" spans="26:26">
      <c r="Z1025" s="371"/>
    </row>
    <row r="1026" spans="26:26">
      <c r="Z1026" s="371"/>
    </row>
    <row r="1027" spans="26:26">
      <c r="Z1027" s="371"/>
    </row>
    <row r="1028" spans="26:26">
      <c r="Z1028" s="371"/>
    </row>
    <row r="1029" spans="26:26">
      <c r="Z1029" s="371"/>
    </row>
    <row r="1030" spans="26:26">
      <c r="Z1030" s="371"/>
    </row>
    <row r="1031" spans="26:26">
      <c r="Z1031" s="371"/>
    </row>
    <row r="1032" spans="26:26">
      <c r="Z1032" s="371"/>
    </row>
    <row r="1033" spans="26:26">
      <c r="Z1033" s="371"/>
    </row>
    <row r="1034" spans="26:26">
      <c r="Z1034" s="371"/>
    </row>
    <row r="1035" spans="26:26">
      <c r="Z1035" s="371"/>
    </row>
    <row r="1036" spans="26:26">
      <c r="Z1036" s="371"/>
    </row>
    <row r="1037" spans="26:26">
      <c r="Z1037" s="371"/>
    </row>
    <row r="1038" spans="26:26">
      <c r="Z1038" s="371"/>
    </row>
    <row r="1039" spans="26:26">
      <c r="Z1039" s="371"/>
    </row>
    <row r="1040" spans="26:26">
      <c r="Z1040" s="371"/>
    </row>
    <row r="1041" spans="26:26">
      <c r="Z1041" s="371"/>
    </row>
    <row r="1042" spans="26:26">
      <c r="Z1042" s="371"/>
    </row>
    <row r="1043" spans="26:26">
      <c r="Z1043" s="371"/>
    </row>
    <row r="1044" spans="26:26">
      <c r="Z1044" s="371"/>
    </row>
    <row r="1045" spans="26:26">
      <c r="Z1045" s="371"/>
    </row>
    <row r="1046" spans="26:26">
      <c r="Z1046" s="371"/>
    </row>
    <row r="1047" spans="26:26">
      <c r="Z1047" s="371"/>
    </row>
    <row r="1048" spans="26:26">
      <c r="Z1048" s="371"/>
    </row>
    <row r="1049" spans="26:26">
      <c r="Z1049" s="371"/>
    </row>
    <row r="1050" spans="26:26">
      <c r="Z1050" s="371"/>
    </row>
    <row r="1051" spans="26:26">
      <c r="Z1051" s="371"/>
    </row>
    <row r="1052" spans="26:26">
      <c r="Z1052" s="371"/>
    </row>
    <row r="1053" spans="26:26">
      <c r="Z1053" s="371"/>
    </row>
    <row r="1054" spans="26:26">
      <c r="Z1054" s="371"/>
    </row>
    <row r="1055" spans="26:26">
      <c r="Z1055" s="371"/>
    </row>
    <row r="1056" spans="26:26">
      <c r="Z1056" s="371"/>
    </row>
    <row r="1057" spans="26:26">
      <c r="Z1057" s="371"/>
    </row>
    <row r="1058" spans="26:26">
      <c r="Z1058" s="371"/>
    </row>
    <row r="1059" spans="26:26">
      <c r="Z1059" s="371"/>
    </row>
    <row r="1060" spans="26:26">
      <c r="Z1060" s="371"/>
    </row>
    <row r="1061" spans="26:26">
      <c r="Z1061" s="371"/>
    </row>
    <row r="1062" spans="26:26">
      <c r="Z1062" s="371"/>
    </row>
    <row r="1063" spans="26:26">
      <c r="Z1063" s="371"/>
    </row>
    <row r="1064" spans="26:26">
      <c r="Z1064" s="371"/>
    </row>
    <row r="1065" spans="26:26">
      <c r="Z1065" s="371"/>
    </row>
    <row r="1066" spans="26:26">
      <c r="Z1066" s="371"/>
    </row>
    <row r="1067" spans="26:26">
      <c r="Z1067" s="371"/>
    </row>
    <row r="1068" spans="26:26">
      <c r="Z1068" s="371"/>
    </row>
    <row r="1069" spans="26:26">
      <c r="Z1069" s="371"/>
    </row>
    <row r="1070" spans="26:26">
      <c r="Z1070" s="371"/>
    </row>
    <row r="1071" spans="26:26">
      <c r="Z1071" s="371"/>
    </row>
    <row r="1072" spans="26:26">
      <c r="Z1072" s="371"/>
    </row>
    <row r="1073" spans="26:26">
      <c r="Z1073" s="371"/>
    </row>
    <row r="1074" spans="26:26">
      <c r="Z1074" s="371"/>
    </row>
    <row r="1075" spans="26:26">
      <c r="Z1075" s="371"/>
    </row>
    <row r="1076" spans="26:26">
      <c r="Z1076" s="371"/>
    </row>
    <row r="1077" spans="26:26">
      <c r="Z1077" s="371"/>
    </row>
    <row r="1078" spans="26:26">
      <c r="Z1078" s="371"/>
    </row>
    <row r="1079" spans="26:26">
      <c r="Z1079" s="371"/>
    </row>
    <row r="1080" spans="26:26">
      <c r="Z1080" s="371"/>
    </row>
    <row r="1081" spans="26:26">
      <c r="Z1081" s="371"/>
    </row>
    <row r="1082" spans="26:26">
      <c r="Z1082" s="371"/>
    </row>
    <row r="1083" spans="26:26">
      <c r="Z1083" s="371"/>
    </row>
    <row r="1084" spans="26:26">
      <c r="Z1084" s="371"/>
    </row>
    <row r="1085" spans="26:26">
      <c r="Z1085" s="371"/>
    </row>
    <row r="1086" spans="26:26">
      <c r="Z1086" s="371"/>
    </row>
    <row r="1087" spans="26:26">
      <c r="Z1087" s="371"/>
    </row>
    <row r="1088" spans="26:26">
      <c r="Z1088" s="371"/>
    </row>
    <row r="1089" spans="26:26">
      <c r="Z1089" s="371"/>
    </row>
    <row r="1090" spans="26:26">
      <c r="Z1090" s="371"/>
    </row>
    <row r="1091" spans="26:26">
      <c r="Z1091" s="371"/>
    </row>
    <row r="1092" spans="26:26">
      <c r="Z1092" s="371"/>
    </row>
    <row r="1093" spans="26:26">
      <c r="Z1093" s="371"/>
    </row>
    <row r="1094" spans="26:26">
      <c r="Z1094" s="371"/>
    </row>
    <row r="1095" spans="26:26">
      <c r="Z1095" s="371"/>
    </row>
    <row r="1096" spans="26:26">
      <c r="Z1096" s="371"/>
    </row>
    <row r="1097" spans="26:26">
      <c r="Z1097" s="371"/>
    </row>
    <row r="1098" spans="26:26">
      <c r="Z1098" s="371"/>
    </row>
    <row r="1099" spans="26:26">
      <c r="Z1099" s="371"/>
    </row>
    <row r="1100" spans="26:26">
      <c r="Z1100" s="371"/>
    </row>
    <row r="1101" spans="26:26">
      <c r="Z1101" s="371"/>
    </row>
    <row r="1102" spans="26:26">
      <c r="Z1102" s="371"/>
    </row>
    <row r="1103" spans="26:26">
      <c r="Z1103" s="371"/>
    </row>
    <row r="1104" spans="26:26">
      <c r="Z1104" s="371"/>
    </row>
    <row r="1105" spans="26:26">
      <c r="Z1105" s="371"/>
    </row>
    <row r="1106" spans="26:26">
      <c r="Z1106" s="371"/>
    </row>
    <row r="1107" spans="26:26">
      <c r="Z1107" s="371"/>
    </row>
    <row r="1108" spans="26:26">
      <c r="Z1108" s="371"/>
    </row>
    <row r="1109" spans="26:26">
      <c r="Z1109" s="371"/>
    </row>
    <row r="1110" spans="26:26">
      <c r="Z1110" s="371"/>
    </row>
    <row r="1111" spans="26:26">
      <c r="Z1111" s="371"/>
    </row>
    <row r="1112" spans="26:26">
      <c r="Z1112" s="371"/>
    </row>
    <row r="1113" spans="26:26">
      <c r="Z1113" s="371"/>
    </row>
    <row r="1114" spans="26:26">
      <c r="Z1114" s="371"/>
    </row>
    <row r="1115" spans="26:26">
      <c r="Z1115" s="371"/>
    </row>
    <row r="1116" spans="26:26">
      <c r="Z1116" s="371"/>
    </row>
    <row r="1117" spans="26:26">
      <c r="Z1117" s="371"/>
    </row>
    <row r="1118" spans="26:26">
      <c r="Z1118" s="371"/>
    </row>
    <row r="1119" spans="26:26">
      <c r="Z1119" s="371"/>
    </row>
    <row r="1120" spans="26:26">
      <c r="Z1120" s="371"/>
    </row>
    <row r="1121" spans="26:26">
      <c r="Z1121" s="371"/>
    </row>
    <row r="1122" spans="26:26">
      <c r="Z1122" s="371"/>
    </row>
    <row r="1123" spans="26:26">
      <c r="Z1123" s="371"/>
    </row>
    <row r="1124" spans="26:26">
      <c r="Z1124" s="371"/>
    </row>
    <row r="1125" spans="26:26">
      <c r="Z1125" s="371"/>
    </row>
    <row r="1126" spans="26:26">
      <c r="Z1126" s="371"/>
    </row>
    <row r="1127" spans="26:26">
      <c r="Z1127" s="371"/>
    </row>
    <row r="1128" spans="26:26">
      <c r="Z1128" s="371"/>
    </row>
    <row r="1129" spans="26:26">
      <c r="Z1129" s="371"/>
    </row>
    <row r="1130" spans="26:26">
      <c r="Z1130" s="371"/>
    </row>
    <row r="1131" spans="26:26">
      <c r="Z1131" s="371"/>
    </row>
    <row r="1132" spans="26:26">
      <c r="Z1132" s="371"/>
    </row>
    <row r="1133" spans="26:26">
      <c r="Z1133" s="371"/>
    </row>
    <row r="1134" spans="26:26">
      <c r="Z1134" s="371"/>
    </row>
    <row r="1135" spans="26:26">
      <c r="Z1135" s="371"/>
    </row>
    <row r="1136" spans="26:26">
      <c r="Z1136" s="371"/>
    </row>
    <row r="1137" spans="26:26">
      <c r="Z1137" s="371"/>
    </row>
    <row r="1138" spans="26:26">
      <c r="Z1138" s="371"/>
    </row>
    <row r="1139" spans="26:26">
      <c r="Z1139" s="371"/>
    </row>
    <row r="1140" spans="26:26">
      <c r="Z1140" s="371"/>
    </row>
    <row r="1141" spans="26:26">
      <c r="Z1141" s="371"/>
    </row>
    <row r="1142" spans="26:26">
      <c r="Z1142" s="371"/>
    </row>
    <row r="1143" spans="26:26">
      <c r="Z1143" s="371"/>
    </row>
    <row r="1144" spans="26:26">
      <c r="Z1144" s="371"/>
    </row>
    <row r="1145" spans="26:26">
      <c r="Z1145" s="371"/>
    </row>
    <row r="1146" spans="26:26">
      <c r="Z1146" s="371"/>
    </row>
    <row r="1147" spans="26:26">
      <c r="Z1147" s="371"/>
    </row>
    <row r="1148" spans="26:26">
      <c r="Z1148" s="371"/>
    </row>
    <row r="1149" spans="26:26">
      <c r="Z1149" s="371"/>
    </row>
    <row r="1150" spans="26:26">
      <c r="Z1150" s="371"/>
    </row>
    <row r="1151" spans="26:26">
      <c r="Z1151" s="371"/>
    </row>
    <row r="1152" spans="26:26">
      <c r="Z1152" s="371"/>
    </row>
    <row r="1153" spans="26:26">
      <c r="Z1153" s="371"/>
    </row>
    <row r="1154" spans="26:26">
      <c r="Z1154" s="371"/>
    </row>
    <row r="1155" spans="26:26">
      <c r="Z1155" s="371"/>
    </row>
    <row r="1156" spans="26:26">
      <c r="Z1156" s="371"/>
    </row>
    <row r="1157" spans="26:26">
      <c r="Z1157" s="371"/>
    </row>
    <row r="1158" spans="26:26">
      <c r="Z1158" s="371"/>
    </row>
    <row r="1159" spans="26:26">
      <c r="Z1159" s="371"/>
    </row>
    <row r="1160" spans="26:26">
      <c r="Z1160" s="371"/>
    </row>
    <row r="1161" spans="26:26">
      <c r="Z1161" s="371"/>
    </row>
    <row r="1162" spans="26:26">
      <c r="Z1162" s="371"/>
    </row>
    <row r="1163" spans="26:26">
      <c r="Z1163" s="371"/>
    </row>
    <row r="1164" spans="26:26">
      <c r="Z1164" s="371"/>
    </row>
    <row r="1165" spans="26:26">
      <c r="Z1165" s="371"/>
    </row>
    <row r="1166" spans="26:26">
      <c r="Z1166" s="371"/>
    </row>
    <row r="1167" spans="26:26">
      <c r="Z1167" s="371"/>
    </row>
    <row r="1168" spans="26:26">
      <c r="Z1168" s="371"/>
    </row>
    <row r="1169" spans="26:26">
      <c r="Z1169" s="371"/>
    </row>
    <row r="1170" spans="26:26">
      <c r="Z1170" s="371"/>
    </row>
    <row r="1171" spans="26:26">
      <c r="Z1171" s="371"/>
    </row>
    <row r="1172" spans="26:26">
      <c r="Z1172" s="371"/>
    </row>
    <row r="1173" spans="26:26">
      <c r="Z1173" s="371"/>
    </row>
    <row r="1174" spans="26:26">
      <c r="Z1174" s="371"/>
    </row>
    <row r="1175" spans="26:26">
      <c r="Z1175" s="371"/>
    </row>
    <row r="1176" spans="26:26">
      <c r="Z1176" s="371"/>
    </row>
    <row r="1177" spans="26:26">
      <c r="Z1177" s="371"/>
    </row>
    <row r="1178" spans="26:26">
      <c r="Z1178" s="371"/>
    </row>
    <row r="1179" spans="26:26">
      <c r="Z1179" s="371"/>
    </row>
    <row r="1180" spans="26:26">
      <c r="Z1180" s="371"/>
    </row>
    <row r="1181" spans="26:26">
      <c r="Z1181" s="371"/>
    </row>
    <row r="1182" spans="26:26">
      <c r="Z1182" s="371"/>
    </row>
    <row r="1183" spans="26:26">
      <c r="Z1183" s="371"/>
    </row>
    <row r="1184" spans="26:26">
      <c r="Z1184" s="371"/>
    </row>
    <row r="1185" spans="26:26">
      <c r="Z1185" s="371"/>
    </row>
    <row r="1186" spans="26:26">
      <c r="Z1186" s="371"/>
    </row>
    <row r="1187" spans="26:26">
      <c r="Z1187" s="371"/>
    </row>
    <row r="1188" spans="26:26">
      <c r="Z1188" s="371"/>
    </row>
    <row r="1189" spans="26:26">
      <c r="Z1189" s="371"/>
    </row>
    <row r="1190" spans="26:26">
      <c r="Z1190" s="371"/>
    </row>
    <row r="1191" spans="26:26">
      <c r="Z1191" s="371"/>
    </row>
    <row r="1192" spans="26:26">
      <c r="Z1192" s="371"/>
    </row>
    <row r="1193" spans="26:26">
      <c r="Z1193" s="371"/>
    </row>
    <row r="1194" spans="26:26">
      <c r="Z1194" s="371"/>
    </row>
    <row r="1195" spans="26:26">
      <c r="Z1195" s="371"/>
    </row>
    <row r="1196" spans="26:26">
      <c r="Z1196" s="371"/>
    </row>
    <row r="1197" spans="26:26">
      <c r="Z1197" s="371"/>
    </row>
    <row r="1198" spans="26:26">
      <c r="Z1198" s="371"/>
    </row>
    <row r="1199" spans="26:26">
      <c r="Z1199" s="371"/>
    </row>
    <row r="1200" spans="26:26">
      <c r="Z1200" s="371"/>
    </row>
    <row r="1201" spans="26:26">
      <c r="Z1201" s="371"/>
    </row>
    <row r="1202" spans="26:26">
      <c r="Z1202" s="371"/>
    </row>
    <row r="1203" spans="26:26">
      <c r="Z1203" s="371"/>
    </row>
    <row r="1204" spans="26:26">
      <c r="Z1204" s="371"/>
    </row>
    <row r="1205" spans="26:26">
      <c r="Z1205" s="371"/>
    </row>
    <row r="1206" spans="26:26">
      <c r="Z1206" s="371"/>
    </row>
    <row r="1207" spans="26:26">
      <c r="Z1207" s="371"/>
    </row>
    <row r="1208" spans="26:26">
      <c r="Z1208" s="371"/>
    </row>
    <row r="1209" spans="26:26">
      <c r="Z1209" s="371"/>
    </row>
    <row r="1210" spans="26:26">
      <c r="Z1210" s="371"/>
    </row>
    <row r="1211" spans="26:26">
      <c r="Z1211" s="371"/>
    </row>
    <row r="1212" spans="26:26">
      <c r="Z1212" s="371"/>
    </row>
    <row r="1213" spans="26:26">
      <c r="Z1213" s="371"/>
    </row>
    <row r="1214" spans="26:26">
      <c r="Z1214" s="371"/>
    </row>
    <row r="1215" spans="26:26">
      <c r="Z1215" s="371"/>
    </row>
    <row r="1216" spans="26:26">
      <c r="Z1216" s="371"/>
    </row>
    <row r="1217" spans="26:26">
      <c r="Z1217" s="371"/>
    </row>
    <row r="1218" spans="26:26">
      <c r="Z1218" s="371"/>
    </row>
    <row r="1219" spans="26:26">
      <c r="Z1219" s="371"/>
    </row>
    <row r="1220" spans="26:26">
      <c r="Z1220" s="371"/>
    </row>
    <row r="1221" spans="26:26">
      <c r="Z1221" s="371"/>
    </row>
    <row r="1222" spans="26:26">
      <c r="Z1222" s="371"/>
    </row>
    <row r="1223" spans="26:26">
      <c r="Z1223" s="371"/>
    </row>
    <row r="1224" spans="26:26">
      <c r="Z1224" s="371"/>
    </row>
    <row r="1225" spans="26:26">
      <c r="Z1225" s="371"/>
    </row>
    <row r="1226" spans="26:26">
      <c r="Z1226" s="371"/>
    </row>
    <row r="1227" spans="26:26">
      <c r="Z1227" s="371"/>
    </row>
    <row r="1228" spans="26:26">
      <c r="Z1228" s="371"/>
    </row>
    <row r="1229" spans="26:26">
      <c r="Z1229" s="371"/>
    </row>
    <row r="1230" spans="26:26">
      <c r="Z1230" s="371"/>
    </row>
    <row r="1231" spans="26:26">
      <c r="Z1231" s="371"/>
    </row>
    <row r="1232" spans="26:26">
      <c r="Z1232" s="371"/>
    </row>
    <row r="1233" spans="26:26">
      <c r="Z1233" s="371"/>
    </row>
    <row r="1234" spans="26:26">
      <c r="Z1234" s="371"/>
    </row>
    <row r="1235" spans="26:26">
      <c r="Z1235" s="371"/>
    </row>
    <row r="1236" spans="26:26">
      <c r="Z1236" s="371"/>
    </row>
    <row r="1237" spans="26:26">
      <c r="Z1237" s="371"/>
    </row>
    <row r="1238" spans="26:26">
      <c r="Z1238" s="371"/>
    </row>
    <row r="1239" spans="26:26">
      <c r="Z1239" s="371"/>
    </row>
    <row r="1240" spans="26:26">
      <c r="Z1240" s="371"/>
    </row>
    <row r="1241" spans="26:26">
      <c r="Z1241" s="371"/>
    </row>
    <row r="1242" spans="26:26">
      <c r="Z1242" s="371"/>
    </row>
    <row r="1243" spans="26:26">
      <c r="Z1243" s="371"/>
    </row>
    <row r="1244" spans="26:26">
      <c r="Z1244" s="371"/>
    </row>
    <row r="1245" spans="26:26">
      <c r="Z1245" s="371"/>
    </row>
    <row r="1246" spans="26:26">
      <c r="Z1246" s="371"/>
    </row>
    <row r="1247" spans="26:26">
      <c r="Z1247" s="371"/>
    </row>
    <row r="1248" spans="26:26">
      <c r="Z1248" s="371"/>
    </row>
    <row r="1249" spans="26:26">
      <c r="Z1249" s="371"/>
    </row>
    <row r="1250" spans="26:26">
      <c r="Z1250" s="371"/>
    </row>
    <row r="1251" spans="26:26">
      <c r="Z1251" s="371"/>
    </row>
    <row r="1252" spans="26:26">
      <c r="Z1252" s="371"/>
    </row>
    <row r="1253" spans="26:26">
      <c r="Z1253" s="371"/>
    </row>
    <row r="1254" spans="26:26">
      <c r="Z1254" s="371"/>
    </row>
    <row r="1255" spans="26:26">
      <c r="Z1255" s="371"/>
    </row>
    <row r="1256" spans="26:26">
      <c r="Z1256" s="371"/>
    </row>
    <row r="1257" spans="26:26">
      <c r="Z1257" s="371"/>
    </row>
    <row r="1258" spans="26:26">
      <c r="Z1258" s="371"/>
    </row>
    <row r="1259" spans="26:26">
      <c r="Z1259" s="371"/>
    </row>
    <row r="1260" spans="26:26">
      <c r="Z1260" s="371"/>
    </row>
    <row r="1261" spans="26:26">
      <c r="Z1261" s="371"/>
    </row>
    <row r="1262" spans="26:26">
      <c r="Z1262" s="371"/>
    </row>
    <row r="1263" spans="26:26">
      <c r="Z1263" s="371"/>
    </row>
    <row r="1264" spans="26:26">
      <c r="Z1264" s="371"/>
    </row>
    <row r="1265" spans="26:26">
      <c r="Z1265" s="371"/>
    </row>
    <row r="1266" spans="26:26">
      <c r="Z1266" s="371"/>
    </row>
    <row r="1267" spans="26:26">
      <c r="Z1267" s="371"/>
    </row>
    <row r="1268" spans="26:26">
      <c r="Z1268" s="371"/>
    </row>
    <row r="1269" spans="26:26">
      <c r="Z1269" s="371"/>
    </row>
    <row r="1270" spans="26:26">
      <c r="Z1270" s="371"/>
    </row>
    <row r="1271" spans="26:26">
      <c r="Z1271" s="371"/>
    </row>
    <row r="1272" spans="26:26">
      <c r="Z1272" s="371"/>
    </row>
    <row r="1273" spans="26:26">
      <c r="Z1273" s="371"/>
    </row>
    <row r="1274" spans="26:26">
      <c r="Z1274" s="371"/>
    </row>
    <row r="1275" spans="26:26">
      <c r="Z1275" s="371"/>
    </row>
    <row r="1276" spans="26:26">
      <c r="Z1276" s="371"/>
    </row>
    <row r="1277" spans="26:26">
      <c r="Z1277" s="371"/>
    </row>
    <row r="1278" spans="26:26">
      <c r="Z1278" s="371"/>
    </row>
    <row r="1279" spans="26:26">
      <c r="Z1279" s="371"/>
    </row>
    <row r="1280" spans="26:26">
      <c r="Z1280" s="371"/>
    </row>
    <row r="1281" spans="26:26">
      <c r="Z1281" s="371"/>
    </row>
    <row r="1282" spans="26:26">
      <c r="Z1282" s="371"/>
    </row>
    <row r="1283" spans="26:26">
      <c r="Z1283" s="371"/>
    </row>
    <row r="1284" spans="26:26">
      <c r="Z1284" s="371"/>
    </row>
    <row r="1285" spans="26:26">
      <c r="Z1285" s="371"/>
    </row>
    <row r="1286" spans="26:26">
      <c r="Z1286" s="371"/>
    </row>
    <row r="1287" spans="26:26">
      <c r="Z1287" s="371"/>
    </row>
    <row r="1288" spans="26:26">
      <c r="Z1288" s="371"/>
    </row>
    <row r="1289" spans="26:26">
      <c r="Z1289" s="371"/>
    </row>
    <row r="1290" spans="26:26">
      <c r="Z1290" s="371"/>
    </row>
    <row r="1291" spans="26:26">
      <c r="Z1291" s="371"/>
    </row>
    <row r="1292" spans="26:26">
      <c r="Z1292" s="371"/>
    </row>
    <row r="1293" spans="26:26">
      <c r="Z1293" s="371"/>
    </row>
    <row r="1294" spans="26:26">
      <c r="Z1294" s="371"/>
    </row>
    <row r="1295" spans="26:26">
      <c r="Z1295" s="371"/>
    </row>
    <row r="1296" spans="26:26">
      <c r="Z1296" s="371"/>
    </row>
    <row r="1297" spans="26:26">
      <c r="Z1297" s="371"/>
    </row>
    <row r="1298" spans="26:26">
      <c r="Z1298" s="371"/>
    </row>
    <row r="1299" spans="26:26">
      <c r="Z1299" s="371"/>
    </row>
    <row r="1300" spans="26:26">
      <c r="Z1300" s="371"/>
    </row>
    <row r="1301" spans="26:26">
      <c r="Z1301" s="371"/>
    </row>
    <row r="1302" spans="26:26">
      <c r="Z1302" s="371"/>
    </row>
    <row r="1303" spans="26:26">
      <c r="Z1303" s="371"/>
    </row>
    <row r="1304" spans="26:26">
      <c r="Z1304" s="371"/>
    </row>
    <row r="1305" spans="26:26">
      <c r="Z1305" s="371"/>
    </row>
    <row r="1306" spans="26:26">
      <c r="Z1306" s="371"/>
    </row>
    <row r="1307" spans="26:26">
      <c r="Z1307" s="371"/>
    </row>
    <row r="1308" spans="26:26">
      <c r="Z1308" s="371"/>
    </row>
    <row r="1309" spans="26:26">
      <c r="Z1309" s="371"/>
    </row>
    <row r="1310" spans="26:26">
      <c r="Z1310" s="371"/>
    </row>
    <row r="1311" spans="26:26">
      <c r="Z1311" s="371"/>
    </row>
    <row r="1312" spans="26:26">
      <c r="Z1312" s="371"/>
    </row>
    <row r="1313" spans="26:26">
      <c r="Z1313" s="371"/>
    </row>
    <row r="1314" spans="26:26">
      <c r="Z1314" s="371"/>
    </row>
    <row r="1315" spans="26:26">
      <c r="Z1315" s="371"/>
    </row>
    <row r="1316" spans="26:26">
      <c r="Z1316" s="371"/>
    </row>
    <row r="1317" spans="26:26">
      <c r="Z1317" s="371"/>
    </row>
    <row r="1318" spans="26:26">
      <c r="Z1318" s="371"/>
    </row>
    <row r="1319" spans="26:26">
      <c r="Z1319" s="371"/>
    </row>
    <row r="1320" spans="26:26">
      <c r="Z1320" s="371"/>
    </row>
    <row r="1321" spans="26:26">
      <c r="Z1321" s="371"/>
    </row>
    <row r="1322" spans="26:26">
      <c r="Z1322" s="371"/>
    </row>
    <row r="1323" spans="26:26">
      <c r="Z1323" s="371"/>
    </row>
    <row r="1324" spans="26:26">
      <c r="Z1324" s="371"/>
    </row>
    <row r="1325" spans="26:26">
      <c r="Z1325" s="371"/>
    </row>
    <row r="1326" spans="26:26">
      <c r="Z1326" s="371"/>
    </row>
    <row r="1327" spans="26:26">
      <c r="Z1327" s="371"/>
    </row>
    <row r="1328" spans="26:26">
      <c r="Z1328" s="371"/>
    </row>
    <row r="1329" spans="26:26">
      <c r="Z1329" s="371"/>
    </row>
    <row r="1330" spans="26:26">
      <c r="Z1330" s="371"/>
    </row>
    <row r="1331" spans="26:26">
      <c r="Z1331" s="371"/>
    </row>
    <row r="1332" spans="26:26">
      <c r="Z1332" s="371"/>
    </row>
    <row r="1333" spans="26:26">
      <c r="Z1333" s="371"/>
    </row>
    <row r="1334" spans="26:26">
      <c r="Z1334" s="371"/>
    </row>
    <row r="1335" spans="26:26">
      <c r="Z1335" s="371"/>
    </row>
    <row r="1336" spans="26:26">
      <c r="Z1336" s="371"/>
    </row>
    <row r="1337" spans="26:26">
      <c r="Z1337" s="371"/>
    </row>
    <row r="1338" spans="26:26">
      <c r="Z1338" s="371"/>
    </row>
    <row r="1339" spans="26:26">
      <c r="Z1339" s="371"/>
    </row>
    <row r="1340" spans="26:26">
      <c r="Z1340" s="371"/>
    </row>
    <row r="1341" spans="26:26">
      <c r="Z1341" s="371"/>
    </row>
    <row r="1342" spans="26:26">
      <c r="Z1342" s="371"/>
    </row>
    <row r="1343" spans="26:26">
      <c r="Z1343" s="371"/>
    </row>
    <row r="1344" spans="26:26">
      <c r="Z1344" s="371"/>
    </row>
    <row r="1345" spans="26:26">
      <c r="Z1345" s="371"/>
    </row>
    <row r="1346" spans="26:26">
      <c r="Z1346" s="371"/>
    </row>
    <row r="1347" spans="26:26">
      <c r="Z1347" s="371"/>
    </row>
    <row r="1348" spans="26:26">
      <c r="Z1348" s="371"/>
    </row>
    <row r="1349" spans="26:26">
      <c r="Z1349" s="371"/>
    </row>
    <row r="1350" spans="26:26">
      <c r="Z1350" s="371"/>
    </row>
    <row r="1351" spans="26:26">
      <c r="Z1351" s="371"/>
    </row>
    <row r="1352" spans="26:26">
      <c r="Z1352" s="371"/>
    </row>
    <row r="1353" spans="26:26">
      <c r="Z1353" s="371"/>
    </row>
    <row r="1354" spans="26:26">
      <c r="Z1354" s="371"/>
    </row>
    <row r="1355" spans="26:26">
      <c r="Z1355" s="371"/>
    </row>
    <row r="1356" spans="26:26">
      <c r="Z1356" s="371"/>
    </row>
    <row r="1357" spans="26:26">
      <c r="Z1357" s="371"/>
    </row>
    <row r="1358" spans="26:26">
      <c r="Z1358" s="371"/>
    </row>
    <row r="1359" spans="26:26">
      <c r="Z1359" s="371"/>
    </row>
    <row r="1360" spans="26:26">
      <c r="Z1360" s="371"/>
    </row>
    <row r="1361" spans="26:26">
      <c r="Z1361" s="371"/>
    </row>
    <row r="1362" spans="26:26">
      <c r="Z1362" s="371"/>
    </row>
    <row r="1363" spans="26:26">
      <c r="Z1363" s="371"/>
    </row>
    <row r="1364" spans="26:26">
      <c r="Z1364" s="371"/>
    </row>
    <row r="1365" spans="26:26">
      <c r="Z1365" s="371"/>
    </row>
    <row r="1366" spans="26:26">
      <c r="Z1366" s="371"/>
    </row>
    <row r="1367" spans="26:26">
      <c r="Z1367" s="371"/>
    </row>
    <row r="1368" spans="26:26">
      <c r="Z1368" s="371"/>
    </row>
    <row r="1369" spans="26:26">
      <c r="Z1369" s="371"/>
    </row>
    <row r="1370" spans="26:26">
      <c r="Z1370" s="371"/>
    </row>
    <row r="1371" spans="26:26">
      <c r="Z1371" s="371"/>
    </row>
    <row r="1372" spans="26:26">
      <c r="Z1372" s="371"/>
    </row>
    <row r="1373" spans="26:26">
      <c r="Z1373" s="371"/>
    </row>
    <row r="1374" spans="26:26">
      <c r="Z1374" s="371"/>
    </row>
    <row r="1375" spans="26:26">
      <c r="Z1375" s="371"/>
    </row>
    <row r="1376" spans="26:26">
      <c r="Z1376" s="371"/>
    </row>
    <row r="1377" spans="26:26">
      <c r="Z1377" s="371"/>
    </row>
    <row r="1378" spans="26:26">
      <c r="Z1378" s="371"/>
    </row>
    <row r="1379" spans="26:26">
      <c r="Z1379" s="371"/>
    </row>
    <row r="1380" spans="26:26">
      <c r="Z1380" s="371"/>
    </row>
    <row r="1381" spans="26:26">
      <c r="Z1381" s="371"/>
    </row>
    <row r="1382" spans="26:26">
      <c r="Z1382" s="371"/>
    </row>
    <row r="1383" spans="26:26">
      <c r="Z1383" s="371"/>
    </row>
    <row r="1384" spans="26:26">
      <c r="Z1384" s="371"/>
    </row>
    <row r="1385" spans="26:26">
      <c r="Z1385" s="371"/>
    </row>
    <row r="1386" spans="26:26">
      <c r="Z1386" s="371"/>
    </row>
    <row r="1387" spans="26:26">
      <c r="Z1387" s="371"/>
    </row>
    <row r="1388" spans="26:26">
      <c r="Z1388" s="371"/>
    </row>
    <row r="1389" spans="26:26">
      <c r="Z1389" s="371"/>
    </row>
    <row r="1390" spans="26:26">
      <c r="Z1390" s="371"/>
    </row>
    <row r="1391" spans="26:26">
      <c r="Z1391" s="371"/>
    </row>
    <row r="1392" spans="26:26">
      <c r="Z1392" s="371"/>
    </row>
    <row r="1393" spans="26:26">
      <c r="Z1393" s="371"/>
    </row>
    <row r="1394" spans="26:26">
      <c r="Z1394" s="371"/>
    </row>
    <row r="1395" spans="26:26">
      <c r="Z1395" s="371"/>
    </row>
    <row r="1396" spans="26:26">
      <c r="Z1396" s="371"/>
    </row>
    <row r="1397" spans="26:26">
      <c r="Z1397" s="371"/>
    </row>
    <row r="1398" spans="26:26">
      <c r="Z1398" s="371"/>
    </row>
    <row r="1399" spans="26:26">
      <c r="Z1399" s="371"/>
    </row>
    <row r="1400" spans="26:26">
      <c r="Z1400" s="371"/>
    </row>
    <row r="1401" spans="26:26">
      <c r="Z1401" s="371"/>
    </row>
    <row r="1402" spans="26:26">
      <c r="Z1402" s="371"/>
    </row>
    <row r="1403" spans="26:26">
      <c r="Z1403" s="371"/>
    </row>
    <row r="1404" spans="26:26">
      <c r="Z1404" s="371"/>
    </row>
    <row r="1405" spans="26:26">
      <c r="Z1405" s="371"/>
    </row>
    <row r="1406" spans="26:26">
      <c r="Z1406" s="371"/>
    </row>
    <row r="1407" spans="26:26">
      <c r="Z1407" s="371"/>
    </row>
    <row r="1408" spans="26:26">
      <c r="Z1408" s="371"/>
    </row>
    <row r="1409" spans="26:26">
      <c r="Z1409" s="371"/>
    </row>
    <row r="1410" spans="26:26">
      <c r="Z1410" s="371"/>
    </row>
    <row r="1411" spans="26:26">
      <c r="Z1411" s="371"/>
    </row>
    <row r="1412" spans="26:26">
      <c r="Z1412" s="371"/>
    </row>
    <row r="1413" spans="26:26">
      <c r="Z1413" s="371"/>
    </row>
    <row r="1414" spans="26:26">
      <c r="Z1414" s="371"/>
    </row>
    <row r="1415" spans="26:26">
      <c r="Z1415" s="371"/>
    </row>
    <row r="1416" spans="26:26">
      <c r="Z1416" s="371"/>
    </row>
    <row r="1417" spans="26:26">
      <c r="Z1417" s="371"/>
    </row>
    <row r="1418" spans="26:26">
      <c r="Z1418" s="371"/>
    </row>
    <row r="1419" spans="26:26">
      <c r="Z1419" s="371"/>
    </row>
    <row r="1420" spans="26:26">
      <c r="Z1420" s="371"/>
    </row>
    <row r="1421" spans="26:26">
      <c r="Z1421" s="371"/>
    </row>
    <row r="1422" spans="26:26">
      <c r="Z1422" s="371"/>
    </row>
    <row r="1423" spans="26:26">
      <c r="Z1423" s="371"/>
    </row>
    <row r="1424" spans="26:26">
      <c r="Z1424" s="371"/>
    </row>
    <row r="1425" spans="26:26">
      <c r="Z1425" s="371"/>
    </row>
    <row r="1426" spans="26:26">
      <c r="Z1426" s="371"/>
    </row>
    <row r="1427" spans="26:26">
      <c r="Z1427" s="371"/>
    </row>
    <row r="1428" spans="26:26">
      <c r="Z1428" s="371"/>
    </row>
    <row r="1429" spans="26:26">
      <c r="Z1429" s="371"/>
    </row>
    <row r="1430" spans="26:26">
      <c r="Z1430" s="371"/>
    </row>
    <row r="1431" spans="26:26">
      <c r="Z1431" s="371"/>
    </row>
    <row r="1432" spans="26:26">
      <c r="Z1432" s="371"/>
    </row>
    <row r="1433" spans="26:26">
      <c r="Z1433" s="371"/>
    </row>
    <row r="1434" spans="26:26">
      <c r="Z1434" s="371"/>
    </row>
    <row r="1435" spans="26:26">
      <c r="Z1435" s="371"/>
    </row>
    <row r="1436" spans="26:26">
      <c r="Z1436" s="371"/>
    </row>
    <row r="1437" spans="26:26">
      <c r="Z1437" s="371"/>
    </row>
    <row r="1438" spans="26:26">
      <c r="Z1438" s="371"/>
    </row>
    <row r="1439" spans="26:26">
      <c r="Z1439" s="371"/>
    </row>
    <row r="1440" spans="26:26">
      <c r="Z1440" s="371"/>
    </row>
    <row r="1441" spans="26:26">
      <c r="Z1441" s="371"/>
    </row>
    <row r="1442" spans="26:26">
      <c r="Z1442" s="371"/>
    </row>
    <row r="1443" spans="26:26">
      <c r="Z1443" s="371"/>
    </row>
    <row r="1444" spans="26:26">
      <c r="Z1444" s="371"/>
    </row>
    <row r="1445" spans="26:26">
      <c r="Z1445" s="371"/>
    </row>
    <row r="1446" spans="26:26">
      <c r="Z1446" s="371"/>
    </row>
    <row r="1447" spans="26:26">
      <c r="Z1447" s="371"/>
    </row>
    <row r="1448" spans="26:26">
      <c r="Z1448" s="371"/>
    </row>
    <row r="1449" spans="26:26">
      <c r="Z1449" s="371"/>
    </row>
    <row r="1450" spans="26:26">
      <c r="Z1450" s="371"/>
    </row>
    <row r="1451" spans="26:26">
      <c r="Z1451" s="371"/>
    </row>
    <row r="1452" spans="26:26">
      <c r="Z1452" s="371"/>
    </row>
    <row r="1453" spans="26:26">
      <c r="Z1453" s="371"/>
    </row>
    <row r="1454" spans="26:26">
      <c r="Z1454" s="371"/>
    </row>
    <row r="1455" spans="26:26">
      <c r="Z1455" s="371"/>
    </row>
    <row r="1456" spans="26:26">
      <c r="Z1456" s="371"/>
    </row>
    <row r="1457" spans="26:26">
      <c r="Z1457" s="371"/>
    </row>
    <row r="1458" spans="26:26">
      <c r="Z1458" s="371"/>
    </row>
    <row r="1459" spans="26:26">
      <c r="Z1459" s="371"/>
    </row>
    <row r="1460" spans="26:26">
      <c r="Z1460" s="371"/>
    </row>
    <row r="1461" spans="26:26">
      <c r="Z1461" s="371"/>
    </row>
    <row r="1462" spans="26:26">
      <c r="Z1462" s="371"/>
    </row>
    <row r="1463" spans="26:26">
      <c r="Z1463" s="371"/>
    </row>
    <row r="1464" spans="26:26">
      <c r="Z1464" s="371"/>
    </row>
    <row r="1465" spans="26:26">
      <c r="Z1465" s="371"/>
    </row>
    <row r="1466" spans="26:26">
      <c r="Z1466" s="371"/>
    </row>
    <row r="1467" spans="26:26">
      <c r="Z1467" s="371"/>
    </row>
    <row r="1468" spans="26:26">
      <c r="Z1468" s="371"/>
    </row>
    <row r="1469" spans="26:26">
      <c r="Z1469" s="371"/>
    </row>
    <row r="1470" spans="26:26">
      <c r="Z1470" s="371"/>
    </row>
    <row r="1471" spans="26:26">
      <c r="Z1471" s="371"/>
    </row>
    <row r="1472" spans="26:26">
      <c r="Z1472" s="371"/>
    </row>
    <row r="1473" spans="26:26">
      <c r="Z1473" s="371"/>
    </row>
    <row r="1474" spans="26:26">
      <c r="Z1474" s="371"/>
    </row>
    <row r="1475" spans="26:26">
      <c r="Z1475" s="371"/>
    </row>
    <row r="1476" spans="26:26">
      <c r="Z1476" s="371"/>
    </row>
    <row r="1477" spans="26:26">
      <c r="Z1477" s="371"/>
    </row>
    <row r="1478" spans="26:26">
      <c r="Z1478" s="371"/>
    </row>
    <row r="1479" spans="26:26">
      <c r="Z1479" s="371"/>
    </row>
    <row r="1480" spans="26:26">
      <c r="Z1480" s="371"/>
    </row>
    <row r="1481" spans="26:26">
      <c r="Z1481" s="371"/>
    </row>
    <row r="1482" spans="26:26">
      <c r="Z1482" s="371"/>
    </row>
    <row r="1483" spans="26:26">
      <c r="Z1483" s="371"/>
    </row>
    <row r="1484" spans="26:26">
      <c r="Z1484" s="371"/>
    </row>
    <row r="1485" spans="26:26">
      <c r="Z1485" s="371"/>
    </row>
    <row r="1486" spans="26:26">
      <c r="Z1486" s="371"/>
    </row>
    <row r="1487" spans="26:26">
      <c r="Z1487" s="371"/>
    </row>
    <row r="1488" spans="26:26">
      <c r="Z1488" s="371"/>
    </row>
    <row r="1489" spans="26:26">
      <c r="Z1489" s="371"/>
    </row>
    <row r="1490" spans="26:26">
      <c r="Z1490" s="371"/>
    </row>
    <row r="1491" spans="26:26">
      <c r="Z1491" s="371"/>
    </row>
    <row r="1492" spans="26:26">
      <c r="Z1492" s="371"/>
    </row>
    <row r="1493" spans="26:26">
      <c r="Z1493" s="371"/>
    </row>
    <row r="1494" spans="26:26">
      <c r="Z1494" s="371"/>
    </row>
    <row r="1495" spans="26:26">
      <c r="Z1495" s="371"/>
    </row>
    <row r="1496" spans="26:26">
      <c r="Z1496" s="371"/>
    </row>
    <row r="1497" spans="26:26">
      <c r="Z1497" s="371"/>
    </row>
    <row r="1498" spans="26:26">
      <c r="Z1498" s="371"/>
    </row>
    <row r="1499" spans="26:26">
      <c r="Z1499" s="371"/>
    </row>
    <row r="1500" spans="26:26">
      <c r="Z1500" s="371"/>
    </row>
    <row r="1501" spans="26:26">
      <c r="Z1501" s="371"/>
    </row>
    <row r="1502" spans="26:26">
      <c r="Z1502" s="371"/>
    </row>
    <row r="1503" spans="26:26">
      <c r="Z1503" s="371"/>
    </row>
    <row r="1504" spans="26:26">
      <c r="Z1504" s="371"/>
    </row>
    <row r="1505" spans="26:26">
      <c r="Z1505" s="371"/>
    </row>
    <row r="1506" spans="26:26">
      <c r="Z1506" s="371"/>
    </row>
    <row r="1507" spans="26:26">
      <c r="Z1507" s="371"/>
    </row>
    <row r="1508" spans="26:26">
      <c r="Z1508" s="371"/>
    </row>
    <row r="1509" spans="26:26">
      <c r="Z1509" s="371"/>
    </row>
    <row r="1510" spans="26:26">
      <c r="Z1510" s="371"/>
    </row>
    <row r="1511" spans="26:26">
      <c r="Z1511" s="371"/>
    </row>
    <row r="1512" spans="26:26">
      <c r="Z1512" s="371"/>
    </row>
    <row r="1513" spans="26:26">
      <c r="Z1513" s="371"/>
    </row>
    <row r="1514" spans="26:26">
      <c r="Z1514" s="371"/>
    </row>
    <row r="1515" spans="26:26">
      <c r="Z1515" s="371"/>
    </row>
    <row r="1516" spans="26:26">
      <c r="Z1516" s="371"/>
    </row>
    <row r="1517" spans="26:26">
      <c r="Z1517" s="371"/>
    </row>
    <row r="1518" spans="26:26">
      <c r="Z1518" s="371"/>
    </row>
    <row r="1519" spans="26:26">
      <c r="Z1519" s="371"/>
    </row>
    <row r="1520" spans="26:26">
      <c r="Z1520" s="371"/>
    </row>
    <row r="1521" spans="26:26">
      <c r="Z1521" s="371"/>
    </row>
    <row r="1522" spans="26:26">
      <c r="Z1522" s="371"/>
    </row>
    <row r="1523" spans="26:26">
      <c r="Z1523" s="371"/>
    </row>
    <row r="1524" spans="26:26">
      <c r="Z1524" s="371"/>
    </row>
    <row r="1525" spans="26:26">
      <c r="Z1525" s="371"/>
    </row>
    <row r="1526" spans="26:26">
      <c r="Z1526" s="371"/>
    </row>
    <row r="1527" spans="26:26">
      <c r="Z1527" s="371"/>
    </row>
    <row r="1528" spans="26:26">
      <c r="Z1528" s="371"/>
    </row>
    <row r="1529" spans="26:26">
      <c r="Z1529" s="371"/>
    </row>
    <row r="1530" spans="26:26">
      <c r="Z1530" s="371"/>
    </row>
    <row r="1531" spans="26:26">
      <c r="Z1531" s="371"/>
    </row>
    <row r="1532" spans="26:26">
      <c r="Z1532" s="371"/>
    </row>
    <row r="1533" spans="26:26">
      <c r="Z1533" s="371"/>
    </row>
    <row r="1534" spans="26:26">
      <c r="Z1534" s="371"/>
    </row>
    <row r="1535" spans="26:26">
      <c r="Z1535" s="371"/>
    </row>
    <row r="1536" spans="26:26">
      <c r="Z1536" s="371"/>
    </row>
    <row r="1537" spans="26:26">
      <c r="Z1537" s="371"/>
    </row>
    <row r="1538" spans="26:26">
      <c r="Z1538" s="371"/>
    </row>
    <row r="1539" spans="26:26">
      <c r="Z1539" s="371"/>
    </row>
    <row r="1540" spans="26:26">
      <c r="Z1540" s="371"/>
    </row>
    <row r="1541" spans="26:26">
      <c r="Z1541" s="371"/>
    </row>
    <row r="1542" spans="26:26">
      <c r="Z1542" s="371"/>
    </row>
    <row r="1543" spans="26:26">
      <c r="Z1543" s="371"/>
    </row>
    <row r="1544" spans="26:26">
      <c r="Z1544" s="371"/>
    </row>
    <row r="1545" spans="26:26">
      <c r="Z1545" s="371"/>
    </row>
    <row r="1546" spans="26:26">
      <c r="Z1546" s="371"/>
    </row>
    <row r="1547" spans="26:26">
      <c r="Z1547" s="371"/>
    </row>
    <row r="1548" spans="26:26">
      <c r="Z1548" s="371"/>
    </row>
    <row r="1549" spans="26:26">
      <c r="Z1549" s="371"/>
    </row>
    <row r="1550" spans="26:26">
      <c r="Z1550" s="371"/>
    </row>
    <row r="1551" spans="26:26">
      <c r="Z1551" s="371"/>
    </row>
    <row r="1552" spans="26:26">
      <c r="Z1552" s="371"/>
    </row>
    <row r="1553" spans="26:26">
      <c r="Z1553" s="371"/>
    </row>
    <row r="1554" spans="26:26">
      <c r="Z1554" s="371"/>
    </row>
    <row r="1555" spans="26:26">
      <c r="Z1555" s="371"/>
    </row>
    <row r="1556" spans="26:26">
      <c r="Z1556" s="371"/>
    </row>
    <row r="1557" spans="26:26">
      <c r="Z1557" s="371"/>
    </row>
    <row r="1558" spans="26:26">
      <c r="Z1558" s="371"/>
    </row>
    <row r="1559" spans="26:26">
      <c r="Z1559" s="371"/>
    </row>
    <row r="1560" spans="26:26">
      <c r="Z1560" s="371"/>
    </row>
    <row r="1561" spans="26:26">
      <c r="Z1561" s="371"/>
    </row>
    <row r="1562" spans="26:26">
      <c r="Z1562" s="371"/>
    </row>
    <row r="1563" spans="26:26">
      <c r="Z1563" s="371"/>
    </row>
    <row r="1564" spans="26:26">
      <c r="Z1564" s="371"/>
    </row>
    <row r="1565" spans="26:26">
      <c r="Z1565" s="371"/>
    </row>
    <row r="1566" spans="26:26">
      <c r="Z1566" s="371"/>
    </row>
    <row r="1567" spans="26:26">
      <c r="Z1567" s="371"/>
    </row>
    <row r="1568" spans="26:26">
      <c r="Z1568" s="371"/>
    </row>
    <row r="1569" spans="26:26">
      <c r="Z1569" s="371"/>
    </row>
    <row r="1570" spans="26:26">
      <c r="Z1570" s="371"/>
    </row>
    <row r="1571" spans="26:26">
      <c r="Z1571" s="371"/>
    </row>
    <row r="1572" spans="26:26">
      <c r="Z1572" s="371"/>
    </row>
    <row r="1573" spans="26:26">
      <c r="Z1573" s="371"/>
    </row>
    <row r="1574" spans="26:26">
      <c r="Z1574" s="371"/>
    </row>
    <row r="1575" spans="26:26">
      <c r="Z1575" s="371"/>
    </row>
    <row r="1576" spans="26:26">
      <c r="Z1576" s="371"/>
    </row>
    <row r="1577" spans="26:26">
      <c r="Z1577" s="371"/>
    </row>
    <row r="1578" spans="26:26">
      <c r="Z1578" s="371"/>
    </row>
    <row r="1579" spans="26:26">
      <c r="Z1579" s="371"/>
    </row>
    <row r="1580" spans="26:26">
      <c r="Z1580" s="371"/>
    </row>
    <row r="1581" spans="26:26">
      <c r="Z1581" s="371"/>
    </row>
    <row r="1582" spans="26:26">
      <c r="Z1582" s="371"/>
    </row>
    <row r="1583" spans="26:26">
      <c r="Z1583" s="371"/>
    </row>
    <row r="1584" spans="26:26">
      <c r="Z1584" s="371"/>
    </row>
    <row r="1585" spans="26:26">
      <c r="Z1585" s="371"/>
    </row>
    <row r="1586" spans="26:26">
      <c r="Z1586" s="371"/>
    </row>
    <row r="1587" spans="26:26">
      <c r="Z1587" s="371"/>
    </row>
    <row r="1588" spans="26:26">
      <c r="Z1588" s="371"/>
    </row>
    <row r="1589" spans="26:26">
      <c r="Z1589" s="371"/>
    </row>
    <row r="1590" spans="26:26">
      <c r="Z1590" s="371"/>
    </row>
    <row r="1591" spans="26:26">
      <c r="Z1591" s="371"/>
    </row>
    <row r="1592" spans="26:26">
      <c r="Z1592" s="371"/>
    </row>
    <row r="1593" spans="26:26">
      <c r="Z1593" s="371"/>
    </row>
    <row r="1594" spans="26:26">
      <c r="Z1594" s="371"/>
    </row>
    <row r="1595" spans="26:26">
      <c r="Z1595" s="371"/>
    </row>
    <row r="1596" spans="26:26">
      <c r="Z1596" s="371"/>
    </row>
    <row r="1597" spans="26:26">
      <c r="Z1597" s="371"/>
    </row>
    <row r="1598" spans="26:26">
      <c r="Z1598" s="371"/>
    </row>
    <row r="1599" spans="26:26">
      <c r="Z1599" s="371"/>
    </row>
    <row r="1600" spans="26:26">
      <c r="Z1600" s="371"/>
    </row>
    <row r="1601" spans="26:26">
      <c r="Z1601" s="371"/>
    </row>
    <row r="1602" spans="26:26">
      <c r="Z1602" s="371"/>
    </row>
    <row r="1603" spans="26:26">
      <c r="Z1603" s="371"/>
    </row>
    <row r="1604" spans="26:26">
      <c r="Z1604" s="371"/>
    </row>
    <row r="1605" spans="26:26">
      <c r="Z1605" s="371"/>
    </row>
    <row r="1606" spans="26:26">
      <c r="Z1606" s="371"/>
    </row>
    <row r="1607" spans="26:26">
      <c r="Z1607" s="371"/>
    </row>
    <row r="1608" spans="26:26">
      <c r="Z1608" s="371"/>
    </row>
    <row r="1609" spans="26:26">
      <c r="Z1609" s="371"/>
    </row>
    <row r="1610" spans="26:26">
      <c r="Z1610" s="371"/>
    </row>
    <row r="1611" spans="26:26">
      <c r="Z1611" s="371"/>
    </row>
    <row r="1612" spans="26:26">
      <c r="Z1612" s="371"/>
    </row>
    <row r="1613" spans="26:26">
      <c r="Z1613" s="371"/>
    </row>
    <row r="1614" spans="26:26">
      <c r="Z1614" s="371"/>
    </row>
    <row r="1615" spans="26:26">
      <c r="Z1615" s="371"/>
    </row>
    <row r="1616" spans="26:26">
      <c r="Z1616" s="371"/>
    </row>
    <row r="1617" spans="26:26">
      <c r="Z1617" s="371"/>
    </row>
    <row r="1618" spans="26:26">
      <c r="Z1618" s="371"/>
    </row>
    <row r="1619" spans="26:26">
      <c r="Z1619" s="371"/>
    </row>
    <row r="1620" spans="26:26">
      <c r="Z1620" s="371"/>
    </row>
    <row r="1621" spans="26:26">
      <c r="Z1621" s="371"/>
    </row>
    <row r="1622" spans="26:26">
      <c r="Z1622" s="371"/>
    </row>
    <row r="1623" spans="26:26">
      <c r="Z1623" s="371"/>
    </row>
    <row r="1624" spans="26:26">
      <c r="Z1624" s="371"/>
    </row>
    <row r="1625" spans="26:26">
      <c r="Z1625" s="371"/>
    </row>
    <row r="1626" spans="26:26">
      <c r="Z1626" s="371"/>
    </row>
    <row r="1627" spans="26:26">
      <c r="Z1627" s="371"/>
    </row>
    <row r="1628" spans="26:26">
      <c r="Z1628" s="371"/>
    </row>
    <row r="1629" spans="26:26">
      <c r="Z1629" s="371"/>
    </row>
    <row r="1630" spans="26:26">
      <c r="Z1630" s="371"/>
    </row>
    <row r="1631" spans="26:26">
      <c r="Z1631" s="371"/>
    </row>
    <row r="1632" spans="26:26">
      <c r="Z1632" s="371"/>
    </row>
    <row r="1633" spans="26:26">
      <c r="Z1633" s="371"/>
    </row>
    <row r="1634" spans="26:26">
      <c r="Z1634" s="371"/>
    </row>
    <row r="1635" spans="26:26">
      <c r="Z1635" s="371"/>
    </row>
    <row r="1636" spans="26:26">
      <c r="Z1636" s="371"/>
    </row>
    <row r="1637" spans="26:26">
      <c r="Z1637" s="371"/>
    </row>
    <row r="1638" spans="26:26">
      <c r="Z1638" s="371"/>
    </row>
    <row r="1639" spans="26:26">
      <c r="Z1639" s="371"/>
    </row>
    <row r="1640" spans="26:26">
      <c r="Z1640" s="371"/>
    </row>
    <row r="1641" spans="26:26">
      <c r="Z1641" s="371"/>
    </row>
    <row r="1642" spans="26:26">
      <c r="Z1642" s="371"/>
    </row>
    <row r="1643" spans="26:26">
      <c r="Z1643" s="371"/>
    </row>
    <row r="1644" spans="26:26">
      <c r="Z1644" s="371"/>
    </row>
    <row r="1645" spans="26:26">
      <c r="Z1645" s="371"/>
    </row>
    <row r="1646" spans="26:26">
      <c r="Z1646" s="371"/>
    </row>
    <row r="1647" spans="26:26">
      <c r="Z1647" s="371"/>
    </row>
    <row r="1648" spans="26:26">
      <c r="Z1648" s="371"/>
    </row>
    <row r="1649" spans="26:26">
      <c r="Z1649" s="371"/>
    </row>
    <row r="1650" spans="26:26">
      <c r="Z1650" s="371"/>
    </row>
    <row r="1651" spans="26:26">
      <c r="Z1651" s="371"/>
    </row>
    <row r="1652" spans="26:26">
      <c r="Z1652" s="371"/>
    </row>
    <row r="1653" spans="26:26">
      <c r="Z1653" s="371"/>
    </row>
    <row r="1654" spans="26:26">
      <c r="Z1654" s="371"/>
    </row>
    <row r="1655" spans="26:26">
      <c r="Z1655" s="371"/>
    </row>
    <row r="1656" spans="26:26">
      <c r="Z1656" s="371"/>
    </row>
    <row r="1657" spans="26:26">
      <c r="Z1657" s="371"/>
    </row>
    <row r="1658" spans="26:26">
      <c r="Z1658" s="371"/>
    </row>
    <row r="1659" spans="26:26">
      <c r="Z1659" s="371"/>
    </row>
    <row r="1660" spans="26:26">
      <c r="Z1660" s="371"/>
    </row>
    <row r="1661" spans="26:26">
      <c r="Z1661" s="371"/>
    </row>
    <row r="1662" spans="26:26">
      <c r="Z1662" s="371"/>
    </row>
    <row r="1663" spans="26:26">
      <c r="Z1663" s="371"/>
    </row>
    <row r="1664" spans="26:26">
      <c r="Z1664" s="371"/>
    </row>
    <row r="1665" spans="26:26">
      <c r="Z1665" s="371"/>
    </row>
    <row r="1666" spans="26:26">
      <c r="Z1666" s="371"/>
    </row>
    <row r="1667" spans="26:26">
      <c r="Z1667" s="371"/>
    </row>
    <row r="1668" spans="26:26">
      <c r="Z1668" s="371"/>
    </row>
    <row r="1669" spans="26:26">
      <c r="Z1669" s="371"/>
    </row>
    <row r="1670" spans="26:26">
      <c r="Z1670" s="371"/>
    </row>
    <row r="1671" spans="26:26">
      <c r="Z1671" s="371"/>
    </row>
    <row r="1672" spans="26:26">
      <c r="Z1672" s="371"/>
    </row>
    <row r="1673" spans="26:26">
      <c r="Z1673" s="371"/>
    </row>
    <row r="1674" spans="26:26">
      <c r="Z1674" s="371"/>
    </row>
    <row r="1675" spans="26:26">
      <c r="Z1675" s="371"/>
    </row>
    <row r="1676" spans="26:26">
      <c r="Z1676" s="371"/>
    </row>
    <row r="1677" spans="26:26">
      <c r="Z1677" s="371"/>
    </row>
    <row r="1678" spans="26:26">
      <c r="Z1678" s="371"/>
    </row>
    <row r="1679" spans="26:26">
      <c r="Z1679" s="371"/>
    </row>
    <row r="1680" spans="26:26">
      <c r="Z1680" s="371"/>
    </row>
    <row r="1681" spans="26:26">
      <c r="Z1681" s="371"/>
    </row>
    <row r="1682" spans="26:26">
      <c r="Z1682" s="371"/>
    </row>
    <row r="1683" spans="26:26">
      <c r="Z1683" s="371"/>
    </row>
    <row r="1684" spans="26:26">
      <c r="Z1684" s="371"/>
    </row>
    <row r="1685" spans="26:26">
      <c r="Z1685" s="371"/>
    </row>
    <row r="1686" spans="26:26">
      <c r="Z1686" s="371"/>
    </row>
    <row r="1687" spans="26:26">
      <c r="Z1687" s="371"/>
    </row>
    <row r="1688" spans="26:26">
      <c r="Z1688" s="371"/>
    </row>
    <row r="1689" spans="26:26">
      <c r="Z1689" s="371"/>
    </row>
    <row r="1690" spans="26:26">
      <c r="Z1690" s="371"/>
    </row>
    <row r="1691" spans="26:26">
      <c r="Z1691" s="371"/>
    </row>
    <row r="1692" spans="26:26">
      <c r="Z1692" s="371"/>
    </row>
    <row r="1693" spans="26:26">
      <c r="Z1693" s="371"/>
    </row>
    <row r="1694" spans="26:26">
      <c r="Z1694" s="371"/>
    </row>
    <row r="1695" spans="26:26">
      <c r="Z1695" s="371"/>
    </row>
    <row r="1696" spans="26:26">
      <c r="Z1696" s="371"/>
    </row>
    <row r="1697" spans="26:26">
      <c r="Z1697" s="371"/>
    </row>
    <row r="1698" spans="26:26">
      <c r="Z1698" s="371"/>
    </row>
    <row r="1699" spans="26:26">
      <c r="Z1699" s="371"/>
    </row>
    <row r="1700" spans="26:26">
      <c r="Z1700" s="371"/>
    </row>
    <row r="1701" spans="26:26">
      <c r="Z1701" s="371"/>
    </row>
    <row r="1702" spans="26:26">
      <c r="Z1702" s="371"/>
    </row>
    <row r="1703" spans="26:26">
      <c r="Z1703" s="371"/>
    </row>
    <row r="1704" spans="26:26">
      <c r="Z1704" s="371"/>
    </row>
    <row r="1705" spans="26:26">
      <c r="Z1705" s="371"/>
    </row>
    <row r="1706" spans="26:26">
      <c r="Z1706" s="371"/>
    </row>
    <row r="1707" spans="26:26">
      <c r="Z1707" s="371"/>
    </row>
    <row r="1708" spans="26:26">
      <c r="Z1708" s="371"/>
    </row>
    <row r="1709" spans="26:26">
      <c r="Z1709" s="371"/>
    </row>
    <row r="1710" spans="26:26">
      <c r="Z1710" s="371"/>
    </row>
    <row r="1711" spans="26:26">
      <c r="Z1711" s="371"/>
    </row>
    <row r="1712" spans="26:26">
      <c r="Z1712" s="371"/>
    </row>
    <row r="1713" spans="26:26">
      <c r="Z1713" s="371"/>
    </row>
    <row r="1714" spans="26:26">
      <c r="Z1714" s="371"/>
    </row>
    <row r="1715" spans="26:26">
      <c r="Z1715" s="371"/>
    </row>
    <row r="1716" spans="26:26">
      <c r="Z1716" s="371"/>
    </row>
    <row r="1717" spans="26:26">
      <c r="Z1717" s="371"/>
    </row>
    <row r="1718" spans="26:26">
      <c r="Z1718" s="371"/>
    </row>
    <row r="1719" spans="26:26">
      <c r="Z1719" s="371"/>
    </row>
    <row r="1720" spans="26:26">
      <c r="Z1720" s="371"/>
    </row>
    <row r="1721" spans="26:26">
      <c r="Z1721" s="371"/>
    </row>
    <row r="1722" spans="26:26">
      <c r="Z1722" s="371"/>
    </row>
    <row r="1723" spans="26:26">
      <c r="Z1723" s="371"/>
    </row>
    <row r="1724" spans="26:26">
      <c r="Z1724" s="371"/>
    </row>
    <row r="1725" spans="26:26">
      <c r="Z1725" s="371"/>
    </row>
    <row r="1726" spans="26:26">
      <c r="Z1726" s="371"/>
    </row>
    <row r="1727" spans="26:26">
      <c r="Z1727" s="371"/>
    </row>
    <row r="1728" spans="26:26">
      <c r="Z1728" s="371"/>
    </row>
    <row r="1729" spans="26:26">
      <c r="Z1729" s="371"/>
    </row>
    <row r="1730" spans="26:26">
      <c r="Z1730" s="371"/>
    </row>
    <row r="1731" spans="26:26">
      <c r="Z1731" s="371"/>
    </row>
    <row r="1732" spans="26:26">
      <c r="Z1732" s="371"/>
    </row>
    <row r="1733" spans="26:26">
      <c r="Z1733" s="371"/>
    </row>
    <row r="1734" spans="26:26">
      <c r="Z1734" s="371"/>
    </row>
    <row r="1735" spans="26:26">
      <c r="Z1735" s="371"/>
    </row>
    <row r="1736" spans="26:26">
      <c r="Z1736" s="371"/>
    </row>
    <row r="1737" spans="26:26">
      <c r="Z1737" s="371"/>
    </row>
    <row r="1738" spans="26:26">
      <c r="Z1738" s="371"/>
    </row>
    <row r="1739" spans="26:26">
      <c r="Z1739" s="371"/>
    </row>
    <row r="1740" spans="26:26">
      <c r="Z1740" s="371"/>
    </row>
    <row r="1741" spans="26:26">
      <c r="Z1741" s="371"/>
    </row>
    <row r="1742" spans="26:26">
      <c r="Z1742" s="371"/>
    </row>
    <row r="1743" spans="26:26">
      <c r="Z1743" s="371"/>
    </row>
    <row r="1744" spans="26:26">
      <c r="Z1744" s="371"/>
    </row>
    <row r="1745" spans="26:26">
      <c r="Z1745" s="371"/>
    </row>
    <row r="1746" spans="26:26">
      <c r="Z1746" s="371"/>
    </row>
    <row r="1747" spans="26:26">
      <c r="Z1747" s="371"/>
    </row>
    <row r="1748" spans="26:26">
      <c r="Z1748" s="371"/>
    </row>
    <row r="1749" spans="26:26">
      <c r="Z1749" s="371"/>
    </row>
    <row r="1750" spans="26:26">
      <c r="Z1750" s="371"/>
    </row>
    <row r="1751" spans="26:26">
      <c r="Z1751" s="371"/>
    </row>
    <row r="1752" spans="26:26">
      <c r="Z1752" s="371"/>
    </row>
    <row r="1753" spans="26:26">
      <c r="Z1753" s="371"/>
    </row>
    <row r="1754" spans="26:26">
      <c r="Z1754" s="371"/>
    </row>
    <row r="1755" spans="26:26">
      <c r="Z1755" s="371"/>
    </row>
    <row r="1756" spans="26:26">
      <c r="Z1756" s="371"/>
    </row>
    <row r="1757" spans="26:26">
      <c r="Z1757" s="371"/>
    </row>
    <row r="1758" spans="26:26">
      <c r="Z1758" s="371"/>
    </row>
    <row r="1759" spans="26:26">
      <c r="Z1759" s="371"/>
    </row>
    <row r="1760" spans="26:26">
      <c r="Z1760" s="371"/>
    </row>
    <row r="1761" spans="26:26">
      <c r="Z1761" s="371"/>
    </row>
    <row r="1762" spans="26:26">
      <c r="Z1762" s="371"/>
    </row>
    <row r="1763" spans="26:26">
      <c r="Z1763" s="371"/>
    </row>
    <row r="1764" spans="26:26">
      <c r="Z1764" s="371"/>
    </row>
    <row r="1765" spans="26:26">
      <c r="Z1765" s="371"/>
    </row>
    <row r="1766" spans="26:26">
      <c r="Z1766" s="371"/>
    </row>
    <row r="1767" spans="26:26">
      <c r="Z1767" s="371"/>
    </row>
    <row r="1768" spans="26:26">
      <c r="Z1768" s="371"/>
    </row>
    <row r="1769" spans="26:26">
      <c r="Z1769" s="371"/>
    </row>
    <row r="1770" spans="26:26">
      <c r="Z1770" s="371"/>
    </row>
    <row r="1771" spans="26:26">
      <c r="Z1771" s="371"/>
    </row>
    <row r="1772" spans="26:26">
      <c r="Z1772" s="371"/>
    </row>
    <row r="1773" spans="26:26">
      <c r="Z1773" s="371"/>
    </row>
    <row r="1774" spans="26:26">
      <c r="Z1774" s="371"/>
    </row>
    <row r="1775" spans="26:26">
      <c r="Z1775" s="371"/>
    </row>
    <row r="1776" spans="26:26">
      <c r="Z1776" s="371"/>
    </row>
    <row r="1777" spans="26:26">
      <c r="Z1777" s="371"/>
    </row>
    <row r="1778" spans="26:26">
      <c r="Z1778" s="371"/>
    </row>
    <row r="1779" spans="26:26">
      <c r="Z1779" s="371"/>
    </row>
    <row r="1780" spans="26:26">
      <c r="Z1780" s="371"/>
    </row>
    <row r="1781" spans="26:26">
      <c r="Z1781" s="371"/>
    </row>
    <row r="1782" spans="26:26">
      <c r="Z1782" s="371"/>
    </row>
    <row r="1783" spans="26:26">
      <c r="Z1783" s="371"/>
    </row>
    <row r="1784" spans="26:26">
      <c r="Z1784" s="371"/>
    </row>
    <row r="1785" spans="26:26">
      <c r="Z1785" s="371"/>
    </row>
    <row r="1786" spans="26:26">
      <c r="Z1786" s="371"/>
    </row>
    <row r="1787" spans="26:26">
      <c r="Z1787" s="371"/>
    </row>
    <row r="1788" spans="26:26">
      <c r="Z1788" s="371"/>
    </row>
    <row r="1789" spans="26:26">
      <c r="Z1789" s="371"/>
    </row>
    <row r="1790" spans="26:26">
      <c r="Z1790" s="371"/>
    </row>
    <row r="1791" spans="26:26">
      <c r="Z1791" s="371"/>
    </row>
    <row r="1792" spans="26:26">
      <c r="Z1792" s="371"/>
    </row>
    <row r="1793" spans="26:26">
      <c r="Z1793" s="371"/>
    </row>
    <row r="1794" spans="26:26">
      <c r="Z1794" s="371"/>
    </row>
    <row r="1795" spans="26:26">
      <c r="Z1795" s="371"/>
    </row>
    <row r="1796" spans="26:26">
      <c r="Z1796" s="371"/>
    </row>
    <row r="1797" spans="26:26">
      <c r="Z1797" s="371"/>
    </row>
    <row r="1798" spans="26:26">
      <c r="Z1798" s="371"/>
    </row>
    <row r="1799" spans="26:26">
      <c r="Z1799" s="371"/>
    </row>
    <row r="1800" spans="26:26">
      <c r="Z1800" s="371"/>
    </row>
    <row r="1801" spans="26:26">
      <c r="Z1801" s="371"/>
    </row>
    <row r="1802" spans="26:26">
      <c r="Z1802" s="371"/>
    </row>
    <row r="1803" spans="26:26">
      <c r="Z1803" s="371"/>
    </row>
    <row r="1804" spans="26:26">
      <c r="Z1804" s="371"/>
    </row>
    <row r="1805" spans="26:26">
      <c r="Z1805" s="371"/>
    </row>
    <row r="1806" spans="26:26">
      <c r="Z1806" s="371"/>
    </row>
    <row r="1807" spans="26:26">
      <c r="Z1807" s="371"/>
    </row>
    <row r="1808" spans="26:26">
      <c r="Z1808" s="371"/>
    </row>
    <row r="1809" spans="26:26">
      <c r="Z1809" s="371"/>
    </row>
    <row r="1810" spans="26:26">
      <c r="Z1810" s="371"/>
    </row>
    <row r="1811" spans="26:26">
      <c r="Z1811" s="371"/>
    </row>
    <row r="1812" spans="26:26">
      <c r="Z1812" s="371"/>
    </row>
    <row r="1813" spans="26:26">
      <c r="Z1813" s="371"/>
    </row>
    <row r="1814" spans="26:26">
      <c r="Z1814" s="371"/>
    </row>
    <row r="1815" spans="26:26">
      <c r="Z1815" s="371"/>
    </row>
    <row r="1816" spans="26:26">
      <c r="Z1816" s="371"/>
    </row>
    <row r="1817" spans="26:26">
      <c r="Z1817" s="371"/>
    </row>
    <row r="1818" spans="26:26">
      <c r="Z1818" s="371"/>
    </row>
    <row r="1819" spans="26:26">
      <c r="Z1819" s="371"/>
    </row>
    <row r="1820" spans="26:26">
      <c r="Z1820" s="371"/>
    </row>
    <row r="1821" spans="26:26">
      <c r="Z1821" s="371"/>
    </row>
    <row r="1822" spans="26:26">
      <c r="Z1822" s="371"/>
    </row>
    <row r="1823" spans="26:26">
      <c r="Z1823" s="371"/>
    </row>
    <row r="1824" spans="26:26">
      <c r="Z1824" s="371"/>
    </row>
    <row r="1825" spans="26:26">
      <c r="Z1825" s="371"/>
    </row>
    <row r="1826" spans="26:26">
      <c r="Z1826" s="371"/>
    </row>
    <row r="1827" spans="26:26">
      <c r="Z1827" s="371"/>
    </row>
    <row r="1828" spans="26:26">
      <c r="Z1828" s="371"/>
    </row>
    <row r="1829" spans="26:26">
      <c r="Z1829" s="371"/>
    </row>
    <row r="1830" spans="26:26">
      <c r="Z1830" s="371"/>
    </row>
    <row r="1831" spans="26:26">
      <c r="Z1831" s="371"/>
    </row>
    <row r="1832" spans="26:26">
      <c r="Z1832" s="371"/>
    </row>
    <row r="1833" spans="26:26">
      <c r="Z1833" s="371"/>
    </row>
    <row r="1834" spans="26:26">
      <c r="Z1834" s="371"/>
    </row>
    <row r="1835" spans="26:26">
      <c r="Z1835" s="371"/>
    </row>
    <row r="1836" spans="26:26">
      <c r="Z1836" s="371"/>
    </row>
    <row r="1837" spans="26:26">
      <c r="Z1837" s="371"/>
    </row>
    <row r="1838" spans="26:26">
      <c r="Z1838" s="371"/>
    </row>
    <row r="1839" spans="26:26">
      <c r="Z1839" s="371"/>
    </row>
    <row r="1840" spans="26:26">
      <c r="Z1840" s="371"/>
    </row>
    <row r="1841" spans="26:26">
      <c r="Z1841" s="371"/>
    </row>
    <row r="1842" spans="26:26">
      <c r="Z1842" s="371"/>
    </row>
    <row r="1843" spans="26:26">
      <c r="Z1843" s="371"/>
    </row>
    <row r="1844" spans="26:26">
      <c r="Z1844" s="371"/>
    </row>
    <row r="1845" spans="26:26">
      <c r="Z1845" s="371"/>
    </row>
    <row r="1846" spans="26:26">
      <c r="Z1846" s="371"/>
    </row>
    <row r="1847" spans="26:26">
      <c r="Z1847" s="371"/>
    </row>
    <row r="1848" spans="26:26">
      <c r="Z1848" s="371"/>
    </row>
    <row r="1849" spans="26:26">
      <c r="Z1849" s="371"/>
    </row>
    <row r="1850" spans="26:26">
      <c r="Z1850" s="371"/>
    </row>
    <row r="1851" spans="26:26">
      <c r="Z1851" s="371"/>
    </row>
    <row r="1852" spans="26:26">
      <c r="Z1852" s="371"/>
    </row>
    <row r="1853" spans="26:26">
      <c r="Z1853" s="371"/>
    </row>
    <row r="1854" spans="26:26">
      <c r="Z1854" s="371"/>
    </row>
    <row r="1855" spans="26:26">
      <c r="Z1855" s="371"/>
    </row>
    <row r="1856" spans="26:26">
      <c r="Z1856" s="371"/>
    </row>
    <row r="1857" spans="26:26">
      <c r="Z1857" s="371"/>
    </row>
    <row r="1858" spans="26:26">
      <c r="Z1858" s="371"/>
    </row>
    <row r="1859" spans="26:26">
      <c r="Z1859" s="371"/>
    </row>
    <row r="1860" spans="26:26">
      <c r="Z1860" s="371"/>
    </row>
    <row r="1861" spans="26:26">
      <c r="Z1861" s="371"/>
    </row>
    <row r="1862" spans="26:26">
      <c r="Z1862" s="371"/>
    </row>
    <row r="1863" spans="26:26">
      <c r="Z1863" s="371"/>
    </row>
    <row r="1864" spans="26:26">
      <c r="Z1864" s="371"/>
    </row>
    <row r="1865" spans="26:26">
      <c r="Z1865" s="371"/>
    </row>
    <row r="1866" spans="26:26">
      <c r="Z1866" s="371"/>
    </row>
    <row r="1867" spans="26:26">
      <c r="Z1867" s="371"/>
    </row>
    <row r="1868" spans="26:26">
      <c r="Z1868" s="371"/>
    </row>
    <row r="1869" spans="26:26">
      <c r="Z1869" s="371"/>
    </row>
    <row r="1870" spans="26:26">
      <c r="Z1870" s="371"/>
    </row>
    <row r="1871" spans="26:26">
      <c r="Z1871" s="371"/>
    </row>
    <row r="1872" spans="26:26">
      <c r="Z1872" s="371"/>
    </row>
    <row r="1873" spans="26:26">
      <c r="Z1873" s="371"/>
    </row>
    <row r="1874" spans="26:26">
      <c r="Z1874" s="371"/>
    </row>
    <row r="1875" spans="26:26">
      <c r="Z1875" s="371"/>
    </row>
    <row r="1876" spans="26:26">
      <c r="Z1876" s="371"/>
    </row>
    <row r="1877" spans="26:26">
      <c r="Z1877" s="371"/>
    </row>
    <row r="1878" spans="26:26">
      <c r="Z1878" s="371"/>
    </row>
    <row r="1879" spans="26:26">
      <c r="Z1879" s="371"/>
    </row>
    <row r="1880" spans="26:26">
      <c r="Z1880" s="371"/>
    </row>
    <row r="1881" spans="26:26">
      <c r="Z1881" s="371"/>
    </row>
    <row r="1882" spans="26:26">
      <c r="Z1882" s="371"/>
    </row>
    <row r="1883" spans="26:26">
      <c r="Z1883" s="371"/>
    </row>
    <row r="1884" spans="26:26">
      <c r="Z1884" s="371"/>
    </row>
    <row r="1885" spans="26:26">
      <c r="Z1885" s="371"/>
    </row>
    <row r="1886" spans="26:26">
      <c r="Z1886" s="371"/>
    </row>
    <row r="1887" spans="26:26">
      <c r="Z1887" s="371"/>
    </row>
    <row r="1888" spans="26:26">
      <c r="Z1888" s="371"/>
    </row>
    <row r="1889" spans="26:26">
      <c r="Z1889" s="371"/>
    </row>
    <row r="1890" spans="26:26">
      <c r="Z1890" s="371"/>
    </row>
    <row r="1891" spans="26:26">
      <c r="Z1891" s="371"/>
    </row>
    <row r="1892" spans="26:26">
      <c r="Z1892" s="371"/>
    </row>
    <row r="1893" spans="26:26">
      <c r="Z1893" s="371"/>
    </row>
    <row r="1894" spans="26:26">
      <c r="Z1894" s="371"/>
    </row>
    <row r="1895" spans="26:26">
      <c r="Z1895" s="371"/>
    </row>
    <row r="1896" spans="26:26">
      <c r="Z1896" s="371"/>
    </row>
    <row r="1897" spans="26:26">
      <c r="Z1897" s="371"/>
    </row>
    <row r="1898" spans="26:26">
      <c r="Z1898" s="371"/>
    </row>
    <row r="1899" spans="26:26">
      <c r="Z1899" s="371"/>
    </row>
    <row r="1900" spans="26:26">
      <c r="Z1900" s="371"/>
    </row>
    <row r="1901" spans="26:26">
      <c r="Z1901" s="371"/>
    </row>
    <row r="1902" spans="26:26">
      <c r="Z1902" s="371"/>
    </row>
    <row r="1903" spans="26:26">
      <c r="Z1903" s="371"/>
    </row>
    <row r="1904" spans="26:26">
      <c r="Z1904" s="371"/>
    </row>
    <row r="1905" spans="26:26">
      <c r="Z1905" s="371"/>
    </row>
    <row r="1906" spans="26:26">
      <c r="Z1906" s="371"/>
    </row>
    <row r="1907" spans="26:26">
      <c r="Z1907" s="371"/>
    </row>
    <row r="1908" spans="26:26">
      <c r="Z1908" s="371"/>
    </row>
    <row r="1909" spans="26:26">
      <c r="Z1909" s="371"/>
    </row>
    <row r="1910" spans="26:26">
      <c r="Z1910" s="371"/>
    </row>
    <row r="1911" spans="26:26">
      <c r="Z1911" s="371"/>
    </row>
    <row r="1912" spans="26:26">
      <c r="Z1912" s="371"/>
    </row>
    <row r="1913" spans="26:26">
      <c r="Z1913" s="371"/>
    </row>
    <row r="1914" spans="26:26">
      <c r="Z1914" s="371"/>
    </row>
    <row r="1915" spans="26:26">
      <c r="Z1915" s="371"/>
    </row>
    <row r="1916" spans="26:26">
      <c r="Z1916" s="371"/>
    </row>
    <row r="1917" spans="26:26">
      <c r="Z1917" s="371"/>
    </row>
    <row r="1918" spans="26:26">
      <c r="Z1918" s="371"/>
    </row>
    <row r="1919" spans="26:26">
      <c r="Z1919" s="371"/>
    </row>
    <row r="1920" spans="26:26">
      <c r="Z1920" s="371"/>
    </row>
    <row r="1921" spans="26:26">
      <c r="Z1921" s="371"/>
    </row>
    <row r="1922" spans="26:26">
      <c r="Z1922" s="371"/>
    </row>
    <row r="1923" spans="26:26">
      <c r="Z1923" s="371"/>
    </row>
    <row r="1924" spans="26:26">
      <c r="Z1924" s="371"/>
    </row>
    <row r="1925" spans="26:26">
      <c r="Z1925" s="371"/>
    </row>
    <row r="1926" spans="26:26">
      <c r="Z1926" s="371"/>
    </row>
    <row r="1927" spans="26:26">
      <c r="Z1927" s="371"/>
    </row>
    <row r="1928" spans="26:26">
      <c r="Z1928" s="371"/>
    </row>
    <row r="1929" spans="26:26">
      <c r="Z1929" s="371"/>
    </row>
    <row r="1930" spans="26:26">
      <c r="Z1930" s="371"/>
    </row>
    <row r="1931" spans="26:26">
      <c r="Z1931" s="371"/>
    </row>
    <row r="1932" spans="26:26">
      <c r="Z1932" s="371"/>
    </row>
    <row r="1933" spans="26:26">
      <c r="Z1933" s="371"/>
    </row>
    <row r="1934" spans="26:26">
      <c r="Z1934" s="371"/>
    </row>
    <row r="1935" spans="26:26">
      <c r="Z1935" s="371"/>
    </row>
    <row r="1936" spans="26:26">
      <c r="Z1936" s="371"/>
    </row>
    <row r="1937" spans="26:26">
      <c r="Z1937" s="371"/>
    </row>
    <row r="1938" spans="26:26">
      <c r="Z1938" s="371"/>
    </row>
    <row r="1939" spans="26:26">
      <c r="Z1939" s="371"/>
    </row>
    <row r="1940" spans="26:26">
      <c r="Z1940" s="371"/>
    </row>
    <row r="1941" spans="26:26">
      <c r="Z1941" s="371"/>
    </row>
    <row r="1942" spans="26:26">
      <c r="Z1942" s="371"/>
    </row>
    <row r="1943" spans="26:26">
      <c r="Z1943" s="371"/>
    </row>
    <row r="1944" spans="26:26">
      <c r="Z1944" s="371"/>
    </row>
    <row r="1945" spans="26:26">
      <c r="Z1945" s="371"/>
    </row>
    <row r="1946" spans="26:26">
      <c r="Z1946" s="371"/>
    </row>
    <row r="1947" spans="26:26">
      <c r="Z1947" s="371"/>
    </row>
    <row r="1948" spans="26:26">
      <c r="Z1948" s="371"/>
    </row>
    <row r="1949" spans="26:26">
      <c r="Z1949" s="371"/>
    </row>
    <row r="1950" spans="26:26">
      <c r="Z1950" s="371"/>
    </row>
    <row r="1951" spans="26:26">
      <c r="Z1951" s="371"/>
    </row>
    <row r="1952" spans="26:26">
      <c r="Z1952" s="371"/>
    </row>
    <row r="1953" spans="26:26">
      <c r="Z1953" s="371"/>
    </row>
    <row r="1954" spans="26:26">
      <c r="Z1954" s="371"/>
    </row>
    <row r="1955" spans="26:26">
      <c r="Z1955" s="371"/>
    </row>
    <row r="1956" spans="26:26">
      <c r="Z1956" s="371"/>
    </row>
    <row r="1957" spans="26:26">
      <c r="Z1957" s="371"/>
    </row>
    <row r="1958" spans="26:26">
      <c r="Z1958" s="371"/>
    </row>
    <row r="1959" spans="26:26">
      <c r="Z1959" s="371"/>
    </row>
    <row r="1960" spans="26:26">
      <c r="Z1960" s="371"/>
    </row>
    <row r="1961" spans="26:26">
      <c r="Z1961" s="371"/>
    </row>
    <row r="1962" spans="26:26">
      <c r="Z1962" s="371"/>
    </row>
    <row r="1963" spans="26:26">
      <c r="Z1963" s="371"/>
    </row>
    <row r="1964" spans="26:26">
      <c r="Z1964" s="371"/>
    </row>
    <row r="1965" spans="26:26">
      <c r="Z1965" s="371"/>
    </row>
    <row r="1966" spans="26:26">
      <c r="Z1966" s="371"/>
    </row>
    <row r="1967" spans="26:26">
      <c r="Z1967" s="371"/>
    </row>
    <row r="1968" spans="26:26">
      <c r="Z1968" s="371"/>
    </row>
    <row r="1969" spans="26:26">
      <c r="Z1969" s="371"/>
    </row>
    <row r="1970" spans="26:26">
      <c r="Z1970" s="371"/>
    </row>
    <row r="1971" spans="26:26">
      <c r="Z1971" s="371"/>
    </row>
    <row r="1972" spans="26:26">
      <c r="Z1972" s="371"/>
    </row>
    <row r="1973" spans="26:26">
      <c r="Z1973" s="371"/>
    </row>
    <row r="1974" spans="26:26">
      <c r="Z1974" s="371"/>
    </row>
    <row r="1975" spans="26:26">
      <c r="Z1975" s="371"/>
    </row>
    <row r="1976" spans="26:26">
      <c r="Z1976" s="371"/>
    </row>
    <row r="1977" spans="26:26">
      <c r="Z1977" s="371"/>
    </row>
    <row r="1978" spans="26:26">
      <c r="Z1978" s="371"/>
    </row>
    <row r="1979" spans="26:26">
      <c r="Z1979" s="371"/>
    </row>
    <row r="1980" spans="26:26">
      <c r="Z1980" s="371"/>
    </row>
    <row r="1981" spans="26:26">
      <c r="Z1981" s="371"/>
    </row>
    <row r="1982" spans="26:26">
      <c r="Z1982" s="371"/>
    </row>
    <row r="1983" spans="26:26">
      <c r="Z1983" s="371"/>
    </row>
    <row r="1984" spans="26:26">
      <c r="Z1984" s="371"/>
    </row>
    <row r="1985" spans="26:26">
      <c r="Z1985" s="371"/>
    </row>
    <row r="1986" spans="26:26">
      <c r="Z1986" s="371"/>
    </row>
    <row r="1987" spans="26:26">
      <c r="Z1987" s="371"/>
    </row>
    <row r="1988" spans="26:26">
      <c r="Z1988" s="371"/>
    </row>
    <row r="1989" spans="26:26">
      <c r="Z1989" s="371"/>
    </row>
    <row r="1990" spans="26:26">
      <c r="Z1990" s="371"/>
    </row>
    <row r="1991" spans="26:26">
      <c r="Z1991" s="371"/>
    </row>
    <row r="1992" spans="26:26">
      <c r="Z1992" s="371"/>
    </row>
    <row r="1993" spans="26:26">
      <c r="Z1993" s="371"/>
    </row>
    <row r="1994" spans="26:26">
      <c r="Z1994" s="371"/>
    </row>
    <row r="1995" spans="26:26">
      <c r="Z1995" s="371"/>
    </row>
    <row r="1996" spans="26:26">
      <c r="Z1996" s="371"/>
    </row>
    <row r="1997" spans="26:26">
      <c r="Z1997" s="371"/>
    </row>
    <row r="1998" spans="26:26">
      <c r="Z1998" s="371"/>
    </row>
    <row r="1999" spans="26:26">
      <c r="Z1999" s="371"/>
    </row>
    <row r="2000" spans="26:26">
      <c r="Z2000" s="371"/>
    </row>
    <row r="2001" spans="26:26">
      <c r="Z2001" s="371"/>
    </row>
    <row r="2002" spans="26:26">
      <c r="Z2002" s="371"/>
    </row>
    <row r="2003" spans="26:26">
      <c r="Z2003" s="371"/>
    </row>
    <row r="2004" spans="26:26">
      <c r="Z2004" s="371"/>
    </row>
    <row r="2005" spans="26:26">
      <c r="Z2005" s="371"/>
    </row>
    <row r="2006" spans="26:26">
      <c r="Z2006" s="371"/>
    </row>
    <row r="2007" spans="26:26">
      <c r="Z2007" s="371"/>
    </row>
    <row r="2008" spans="26:26">
      <c r="Z2008" s="371"/>
    </row>
    <row r="2009" spans="26:26">
      <c r="Z2009" s="371"/>
    </row>
    <row r="2010" spans="26:26">
      <c r="Z2010" s="371"/>
    </row>
    <row r="2011" spans="26:26">
      <c r="Z2011" s="371"/>
    </row>
    <row r="2012" spans="26:26">
      <c r="Z2012" s="371"/>
    </row>
    <row r="2013" spans="26:26">
      <c r="Z2013" s="371"/>
    </row>
    <row r="2014" spans="26:26">
      <c r="Z2014" s="371"/>
    </row>
    <row r="2015" spans="26:26">
      <c r="Z2015" s="371"/>
    </row>
    <row r="2016" spans="26:26">
      <c r="Z2016" s="371"/>
    </row>
    <row r="2017" spans="26:26">
      <c r="Z2017" s="371"/>
    </row>
    <row r="2018" spans="26:26">
      <c r="Z2018" s="371"/>
    </row>
    <row r="2019" spans="26:26">
      <c r="Z2019" s="371"/>
    </row>
    <row r="2020" spans="26:26">
      <c r="Z2020" s="371"/>
    </row>
    <row r="2021" spans="26:26">
      <c r="Z2021" s="371"/>
    </row>
    <row r="2022" spans="26:26">
      <c r="Z2022" s="371"/>
    </row>
    <row r="2023" spans="26:26">
      <c r="Z2023" s="371"/>
    </row>
    <row r="2024" spans="26:26">
      <c r="Z2024" s="371"/>
    </row>
    <row r="2025" spans="26:26">
      <c r="Z2025" s="371"/>
    </row>
    <row r="2026" spans="26:26">
      <c r="Z2026" s="371"/>
    </row>
    <row r="2027" spans="26:26">
      <c r="Z2027" s="371"/>
    </row>
    <row r="2028" spans="26:26">
      <c r="Z2028" s="371"/>
    </row>
    <row r="2029" spans="26:26">
      <c r="Z2029" s="371"/>
    </row>
    <row r="2030" spans="26:26">
      <c r="Z2030" s="371"/>
    </row>
    <row r="2031" spans="26:26">
      <c r="Z2031" s="371"/>
    </row>
    <row r="2032" spans="26:26">
      <c r="Z2032" s="371"/>
    </row>
    <row r="2033" spans="26:26">
      <c r="Z2033" s="371"/>
    </row>
    <row r="2034" spans="26:26">
      <c r="Z2034" s="371"/>
    </row>
    <row r="2035" spans="26:26">
      <c r="Z2035" s="371"/>
    </row>
    <row r="2036" spans="26:26">
      <c r="Z2036" s="371"/>
    </row>
    <row r="2037" spans="26:26">
      <c r="Z2037" s="371"/>
    </row>
    <row r="2038" spans="26:26">
      <c r="Z2038" s="371"/>
    </row>
    <row r="2039" spans="26:26">
      <c r="Z2039" s="371"/>
    </row>
    <row r="2040" spans="26:26">
      <c r="Z2040" s="371"/>
    </row>
    <row r="2041" spans="26:26">
      <c r="Z2041" s="371"/>
    </row>
    <row r="2042" spans="26:26">
      <c r="Z2042" s="371"/>
    </row>
    <row r="2043" spans="26:26">
      <c r="Z2043" s="371"/>
    </row>
    <row r="2044" spans="26:26">
      <c r="Z2044" s="371"/>
    </row>
    <row r="2045" spans="26:26">
      <c r="Z2045" s="371"/>
    </row>
    <row r="2046" spans="26:26">
      <c r="Z2046" s="371"/>
    </row>
    <row r="2047" spans="26:26">
      <c r="Z2047" s="371"/>
    </row>
    <row r="2048" spans="26:26">
      <c r="Z2048" s="371"/>
    </row>
    <row r="2049" spans="26:26">
      <c r="Z2049" s="371"/>
    </row>
    <row r="2050" spans="26:26">
      <c r="Z2050" s="371"/>
    </row>
    <row r="2051" spans="26:26">
      <c r="Z2051" s="371"/>
    </row>
    <row r="2052" spans="26:26">
      <c r="Z2052" s="371"/>
    </row>
    <row r="2053" spans="26:26">
      <c r="Z2053" s="371"/>
    </row>
    <row r="2054" spans="26:26">
      <c r="Z2054" s="371"/>
    </row>
    <row r="2055" spans="26:26">
      <c r="Z2055" s="371"/>
    </row>
    <row r="2056" spans="26:26">
      <c r="Z2056" s="371"/>
    </row>
    <row r="2057" spans="26:26">
      <c r="Z2057" s="371"/>
    </row>
    <row r="2058" spans="26:26">
      <c r="Z2058" s="371"/>
    </row>
    <row r="2059" spans="26:26">
      <c r="Z2059" s="371"/>
    </row>
    <row r="2060" spans="26:26">
      <c r="Z2060" s="371"/>
    </row>
    <row r="2061" spans="26:26">
      <c r="Z2061" s="371"/>
    </row>
    <row r="2062" spans="26:26">
      <c r="Z2062" s="371"/>
    </row>
    <row r="2063" spans="26:26">
      <c r="Z2063" s="371"/>
    </row>
    <row r="2064" spans="26:26">
      <c r="Z2064" s="371"/>
    </row>
    <row r="2065" spans="26:26">
      <c r="Z2065" s="371"/>
    </row>
    <row r="2066" spans="26:26">
      <c r="Z2066" s="371"/>
    </row>
    <row r="2067" spans="26:26">
      <c r="Z2067" s="371"/>
    </row>
    <row r="2068" spans="26:26">
      <c r="Z2068" s="371"/>
    </row>
    <row r="2069" spans="26:26">
      <c r="Z2069" s="371"/>
    </row>
    <row r="2070" spans="26:26">
      <c r="Z2070" s="371"/>
    </row>
    <row r="2071" spans="26:26">
      <c r="Z2071" s="371"/>
    </row>
    <row r="2072" spans="26:26">
      <c r="Z2072" s="371"/>
    </row>
    <row r="2073" spans="26:26">
      <c r="Z2073" s="371"/>
    </row>
    <row r="2074" spans="26:26">
      <c r="Z2074" s="371"/>
    </row>
    <row r="2075" spans="26:26">
      <c r="Z2075" s="371"/>
    </row>
    <row r="2076" spans="26:26">
      <c r="Z2076" s="371"/>
    </row>
    <row r="2077" spans="26:26">
      <c r="Z2077" s="371"/>
    </row>
    <row r="2078" spans="26:26">
      <c r="Z2078" s="371"/>
    </row>
    <row r="2079" spans="26:26">
      <c r="Z2079" s="371"/>
    </row>
    <row r="2080" spans="26:26">
      <c r="Z2080" s="371"/>
    </row>
    <row r="2081" spans="26:26">
      <c r="Z2081" s="371"/>
    </row>
    <row r="2082" spans="26:26">
      <c r="Z2082" s="371"/>
    </row>
    <row r="2083" spans="26:26">
      <c r="Z2083" s="371"/>
    </row>
    <row r="2084" spans="26:26">
      <c r="Z2084" s="371"/>
    </row>
    <row r="2085" spans="26:26">
      <c r="Z2085" s="371"/>
    </row>
    <row r="2086" spans="26:26">
      <c r="Z2086" s="371"/>
    </row>
    <row r="2087" spans="26:26">
      <c r="Z2087" s="371"/>
    </row>
    <row r="2088" spans="26:26">
      <c r="Z2088" s="371"/>
    </row>
    <row r="2089" spans="26:26">
      <c r="Z2089" s="371"/>
    </row>
    <row r="2090" spans="26:26">
      <c r="Z2090" s="371"/>
    </row>
    <row r="2091" spans="26:26">
      <c r="Z2091" s="371"/>
    </row>
    <row r="2092" spans="26:26">
      <c r="Z2092" s="371"/>
    </row>
    <row r="2093" spans="26:26">
      <c r="Z2093" s="371"/>
    </row>
    <row r="2094" spans="26:26">
      <c r="Z2094" s="371"/>
    </row>
    <row r="2095" spans="26:26">
      <c r="Z2095" s="371"/>
    </row>
    <row r="2096" spans="26:26">
      <c r="Z2096" s="371"/>
    </row>
    <row r="2097" spans="26:26">
      <c r="Z2097" s="371"/>
    </row>
    <row r="2098" spans="26:26">
      <c r="Z2098" s="371"/>
    </row>
    <row r="2099" spans="26:26">
      <c r="Z2099" s="371"/>
    </row>
    <row r="2100" spans="26:26">
      <c r="Z2100" s="371"/>
    </row>
    <row r="2101" spans="26:26">
      <c r="Z2101" s="371"/>
    </row>
    <row r="2102" spans="26:26">
      <c r="Z2102" s="371"/>
    </row>
    <row r="2103" spans="26:26">
      <c r="Z2103" s="371"/>
    </row>
    <row r="2104" spans="26:26">
      <c r="Z2104" s="371"/>
    </row>
    <row r="2105" spans="26:26">
      <c r="Z2105" s="371"/>
    </row>
    <row r="2106" spans="26:26">
      <c r="Z2106" s="371"/>
    </row>
    <row r="2107" spans="26:26">
      <c r="Z2107" s="371"/>
    </row>
    <row r="2108" spans="26:26">
      <c r="Z2108" s="371"/>
    </row>
    <row r="2109" spans="26:26">
      <c r="Z2109" s="371"/>
    </row>
    <row r="2110" spans="26:26">
      <c r="Z2110" s="371"/>
    </row>
    <row r="2111" spans="26:26">
      <c r="Z2111" s="371"/>
    </row>
    <row r="2112" spans="26:26">
      <c r="Z2112" s="371"/>
    </row>
    <row r="2113" spans="26:26">
      <c r="Z2113" s="371"/>
    </row>
    <row r="2114" spans="26:26">
      <c r="Z2114" s="371"/>
    </row>
    <row r="2115" spans="26:26">
      <c r="Z2115" s="371"/>
    </row>
    <row r="2116" spans="26:26">
      <c r="Z2116" s="371"/>
    </row>
    <row r="2117" spans="26:26">
      <c r="Z2117" s="371"/>
    </row>
    <row r="2118" spans="26:26">
      <c r="Z2118" s="371"/>
    </row>
    <row r="2119" spans="26:26">
      <c r="Z2119" s="371"/>
    </row>
    <row r="2120" spans="26:26">
      <c r="Z2120" s="371"/>
    </row>
    <row r="2121" spans="26:26">
      <c r="Z2121" s="371"/>
    </row>
    <row r="2122" spans="26:26">
      <c r="Z2122" s="371"/>
    </row>
    <row r="2123" spans="26:26">
      <c r="Z2123" s="371"/>
    </row>
    <row r="2124" spans="26:26">
      <c r="Z2124" s="371"/>
    </row>
    <row r="2125" spans="26:26">
      <c r="Z2125" s="371"/>
    </row>
    <row r="2126" spans="26:26">
      <c r="Z2126" s="371"/>
    </row>
    <row r="2127" spans="26:26">
      <c r="Z2127" s="371"/>
    </row>
    <row r="2128" spans="26:26">
      <c r="Z2128" s="371"/>
    </row>
    <row r="2129" spans="26:26">
      <c r="Z2129" s="371"/>
    </row>
    <row r="2130" spans="26:26">
      <c r="Z2130" s="371"/>
    </row>
    <row r="2131" spans="26:26">
      <c r="Z2131" s="371"/>
    </row>
    <row r="2132" spans="26:26">
      <c r="Z2132" s="371"/>
    </row>
    <row r="2133" spans="26:26">
      <c r="Z2133" s="371"/>
    </row>
    <row r="2134" spans="26:26">
      <c r="Z2134" s="371"/>
    </row>
    <row r="2135" spans="26:26">
      <c r="Z2135" s="371"/>
    </row>
    <row r="2136" spans="26:26">
      <c r="Z2136" s="371"/>
    </row>
    <row r="2137" spans="26:26">
      <c r="Z2137" s="371"/>
    </row>
    <row r="2138" spans="26:26">
      <c r="Z2138" s="371"/>
    </row>
    <row r="2139" spans="26:26">
      <c r="Z2139" s="371"/>
    </row>
    <row r="2140" spans="26:26">
      <c r="Z2140" s="371"/>
    </row>
    <row r="2141" spans="26:26">
      <c r="Z2141" s="371"/>
    </row>
    <row r="2142" spans="26:26">
      <c r="Z2142" s="371"/>
    </row>
    <row r="2143" spans="26:26">
      <c r="Z2143" s="371"/>
    </row>
    <row r="2144" spans="26:26">
      <c r="Z2144" s="371"/>
    </row>
    <row r="2145" spans="26:26">
      <c r="Z2145" s="371"/>
    </row>
    <row r="2146" spans="26:26">
      <c r="Z2146" s="371"/>
    </row>
    <row r="2147" spans="26:26">
      <c r="Z2147" s="371"/>
    </row>
    <row r="2148" spans="26:26">
      <c r="Z2148" s="371"/>
    </row>
    <row r="2149" spans="26:26">
      <c r="Z2149" s="371"/>
    </row>
    <row r="2150" spans="26:26">
      <c r="Z2150" s="371"/>
    </row>
    <row r="2151" spans="26:26">
      <c r="Z2151" s="371"/>
    </row>
    <row r="2152" spans="26:26">
      <c r="Z2152" s="371"/>
    </row>
    <row r="2153" spans="26:26">
      <c r="Z2153" s="371"/>
    </row>
    <row r="2154" spans="26:26">
      <c r="Z2154" s="371"/>
    </row>
    <row r="2155" spans="26:26">
      <c r="Z2155" s="371"/>
    </row>
    <row r="2156" spans="26:26">
      <c r="Z2156" s="371"/>
    </row>
    <row r="2157" spans="26:26">
      <c r="Z2157" s="371"/>
    </row>
    <row r="2158" spans="26:26">
      <c r="Z2158" s="371"/>
    </row>
    <row r="2159" spans="26:26">
      <c r="Z2159" s="371"/>
    </row>
    <row r="2160" spans="26:26">
      <c r="Z2160" s="371"/>
    </row>
    <row r="2161" spans="26:26">
      <c r="Z2161" s="371"/>
    </row>
    <row r="2162" spans="26:26">
      <c r="Z2162" s="371"/>
    </row>
    <row r="2163" spans="26:26">
      <c r="Z2163" s="371"/>
    </row>
    <row r="2164" spans="26:26">
      <c r="Z2164" s="371"/>
    </row>
    <row r="2165" spans="26:26">
      <c r="Z2165" s="371"/>
    </row>
    <row r="2166" spans="26:26">
      <c r="Z2166" s="371"/>
    </row>
    <row r="2167" spans="26:26">
      <c r="Z2167" s="371"/>
    </row>
    <row r="2168" spans="26:26">
      <c r="Z2168" s="371"/>
    </row>
    <row r="2169" spans="26:26">
      <c r="Z2169" s="371"/>
    </row>
    <row r="2170" spans="26:26">
      <c r="Z2170" s="371"/>
    </row>
    <row r="2171" spans="26:26">
      <c r="Z2171" s="371"/>
    </row>
    <row r="2172" spans="26:26">
      <c r="Z2172" s="371"/>
    </row>
    <row r="2173" spans="26:26">
      <c r="Z2173" s="371"/>
    </row>
    <row r="2174" spans="26:26">
      <c r="Z2174" s="371"/>
    </row>
    <row r="2175" spans="26:26">
      <c r="Z2175" s="371"/>
    </row>
    <row r="2176" spans="26:26">
      <c r="Z2176" s="371"/>
    </row>
    <row r="2177" spans="26:26">
      <c r="Z2177" s="371"/>
    </row>
    <row r="2178" spans="26:26">
      <c r="Z2178" s="371"/>
    </row>
    <row r="2179" spans="26:26">
      <c r="Z2179" s="371"/>
    </row>
    <row r="2180" spans="26:26">
      <c r="Z2180" s="371"/>
    </row>
    <row r="2181" spans="26:26">
      <c r="Z2181" s="371"/>
    </row>
    <row r="2182" spans="26:26">
      <c r="Z2182" s="371"/>
    </row>
    <row r="2183" spans="26:26">
      <c r="Z2183" s="371"/>
    </row>
    <row r="2184" spans="26:26">
      <c r="Z2184" s="371"/>
    </row>
    <row r="2185" spans="26:26">
      <c r="Z2185" s="371"/>
    </row>
    <row r="2186" spans="26:26">
      <c r="Z2186" s="371"/>
    </row>
    <row r="2187" spans="26:26">
      <c r="Z2187" s="371"/>
    </row>
    <row r="2188" spans="26:26">
      <c r="Z2188" s="371"/>
    </row>
    <row r="2189" spans="26:26">
      <c r="Z2189" s="371"/>
    </row>
    <row r="2190" spans="26:26">
      <c r="Z2190" s="371"/>
    </row>
    <row r="2191" spans="26:26">
      <c r="Z2191" s="371"/>
    </row>
    <row r="2192" spans="26:26">
      <c r="Z2192" s="371"/>
    </row>
    <row r="2193" spans="26:26">
      <c r="Z2193" s="371"/>
    </row>
    <row r="2194" spans="26:26">
      <c r="Z2194" s="371"/>
    </row>
    <row r="2195" spans="26:26">
      <c r="Z2195" s="371"/>
    </row>
    <row r="2196" spans="26:26">
      <c r="Z2196" s="371"/>
    </row>
    <row r="2197" spans="26:26">
      <c r="Z2197" s="371"/>
    </row>
    <row r="2198" spans="26:26">
      <c r="Z2198" s="371"/>
    </row>
    <row r="2199" spans="26:26">
      <c r="Z2199" s="371"/>
    </row>
    <row r="2200" spans="26:26">
      <c r="Z2200" s="371"/>
    </row>
    <row r="2201" spans="26:26">
      <c r="Z2201" s="371"/>
    </row>
    <row r="2202" spans="26:26">
      <c r="Z2202" s="371"/>
    </row>
    <row r="2203" spans="26:26">
      <c r="Z2203" s="371"/>
    </row>
    <row r="2204" spans="26:26">
      <c r="Z2204" s="371"/>
    </row>
    <row r="2205" spans="26:26">
      <c r="Z2205" s="371"/>
    </row>
    <row r="2206" spans="26:26">
      <c r="Z2206" s="371"/>
    </row>
    <row r="2207" spans="26:26">
      <c r="Z2207" s="371"/>
    </row>
    <row r="2208" spans="26:26">
      <c r="Z2208" s="371"/>
    </row>
    <row r="2209" spans="26:26">
      <c r="Z2209" s="371"/>
    </row>
    <row r="2210" spans="26:26">
      <c r="Z2210" s="371"/>
    </row>
    <row r="2211" spans="26:26">
      <c r="Z2211" s="371"/>
    </row>
    <row r="2212" spans="26:26">
      <c r="Z2212" s="371"/>
    </row>
    <row r="2213" spans="26:26">
      <c r="Z2213" s="371"/>
    </row>
    <row r="2214" spans="26:26">
      <c r="Z2214" s="371"/>
    </row>
    <row r="2215" spans="26:26">
      <c r="Z2215" s="371"/>
    </row>
    <row r="2216" spans="26:26">
      <c r="Z2216" s="371"/>
    </row>
    <row r="2217" spans="26:26">
      <c r="Z2217" s="371"/>
    </row>
    <row r="2218" spans="26:26">
      <c r="Z2218" s="371"/>
    </row>
    <row r="2219" spans="26:26">
      <c r="Z2219" s="371"/>
    </row>
    <row r="2220" spans="26:26">
      <c r="Z2220" s="371"/>
    </row>
    <row r="2221" spans="26:26">
      <c r="Z2221" s="371"/>
    </row>
    <row r="2222" spans="26:26">
      <c r="Z2222" s="371"/>
    </row>
    <row r="2223" spans="26:26">
      <c r="Z2223" s="371"/>
    </row>
    <row r="2224" spans="26:26">
      <c r="Z2224" s="371"/>
    </row>
    <row r="2225" spans="26:26">
      <c r="Z2225" s="371"/>
    </row>
    <row r="2226" spans="26:26">
      <c r="Z2226" s="371"/>
    </row>
    <row r="2227" spans="26:26">
      <c r="Z2227" s="371"/>
    </row>
    <row r="2228" spans="26:26">
      <c r="Z2228" s="371"/>
    </row>
    <row r="2229" spans="26:26">
      <c r="Z2229" s="371"/>
    </row>
    <row r="2230" spans="26:26">
      <c r="Z2230" s="371"/>
    </row>
    <row r="2231" spans="26:26">
      <c r="Z2231" s="371"/>
    </row>
    <row r="2232" spans="26:26">
      <c r="Z2232" s="371"/>
    </row>
    <row r="2233" spans="26:26">
      <c r="Z2233" s="371"/>
    </row>
    <row r="2234" spans="26:26">
      <c r="Z2234" s="371"/>
    </row>
    <row r="2235" spans="26:26">
      <c r="Z2235" s="371"/>
    </row>
    <row r="2236" spans="26:26">
      <c r="Z2236" s="371"/>
    </row>
    <row r="2237" spans="26:26">
      <c r="Z2237" s="371"/>
    </row>
    <row r="2238" spans="26:26">
      <c r="Z2238" s="371"/>
    </row>
    <row r="2239" spans="26:26">
      <c r="Z2239" s="371"/>
    </row>
    <row r="2240" spans="26:26">
      <c r="Z2240" s="371"/>
    </row>
    <row r="2241" spans="26:26">
      <c r="Z2241" s="371"/>
    </row>
    <row r="2242" spans="26:26">
      <c r="Z2242" s="371"/>
    </row>
    <row r="2243" spans="26:26">
      <c r="Z2243" s="371"/>
    </row>
    <row r="2244" spans="26:26">
      <c r="Z2244" s="371"/>
    </row>
    <row r="2245" spans="26:26">
      <c r="Z2245" s="371"/>
    </row>
    <row r="2246" spans="26:26">
      <c r="Z2246" s="371"/>
    </row>
    <row r="2247" spans="26:26">
      <c r="Z2247" s="371"/>
    </row>
    <row r="2248" spans="26:26">
      <c r="Z2248" s="371"/>
    </row>
    <row r="2249" spans="26:26">
      <c r="Z2249" s="371"/>
    </row>
    <row r="2250" spans="26:26">
      <c r="Z2250" s="371"/>
    </row>
    <row r="2251" spans="26:26">
      <c r="Z2251" s="371"/>
    </row>
    <row r="2252" spans="26:26">
      <c r="Z2252" s="371"/>
    </row>
    <row r="2253" spans="26:26">
      <c r="Z2253" s="371"/>
    </row>
    <row r="2254" spans="26:26">
      <c r="Z2254" s="371"/>
    </row>
    <row r="2255" spans="26:26">
      <c r="Z2255" s="371"/>
    </row>
    <row r="2256" spans="26:26">
      <c r="Z2256" s="371"/>
    </row>
    <row r="2257" spans="26:26">
      <c r="Z2257" s="371"/>
    </row>
    <row r="2258" spans="26:26">
      <c r="Z2258" s="371"/>
    </row>
    <row r="2259" spans="26:26">
      <c r="Z2259" s="371"/>
    </row>
    <row r="2260" spans="26:26">
      <c r="Z2260" s="371"/>
    </row>
    <row r="2261" spans="26:26">
      <c r="Z2261" s="371"/>
    </row>
    <row r="2262" spans="26:26">
      <c r="Z2262" s="371"/>
    </row>
    <row r="2263" spans="26:26">
      <c r="Z2263" s="371"/>
    </row>
    <row r="2264" spans="26:26">
      <c r="Z2264" s="371"/>
    </row>
    <row r="2265" spans="26:26">
      <c r="Z2265" s="371"/>
    </row>
    <row r="2266" spans="26:26">
      <c r="Z2266" s="371"/>
    </row>
    <row r="2267" spans="26:26">
      <c r="Z2267" s="371"/>
    </row>
    <row r="2268" spans="26:26">
      <c r="Z2268" s="371"/>
    </row>
    <row r="2269" spans="26:26">
      <c r="Z2269" s="371"/>
    </row>
    <row r="2270" spans="26:26">
      <c r="Z2270" s="371"/>
    </row>
    <row r="2271" spans="26:26">
      <c r="Z2271" s="371"/>
    </row>
    <row r="2272" spans="26:26">
      <c r="Z2272" s="371"/>
    </row>
    <row r="2273" spans="26:26">
      <c r="Z2273" s="371"/>
    </row>
    <row r="2274" spans="26:26">
      <c r="Z2274" s="371"/>
    </row>
    <row r="2275" spans="26:26">
      <c r="Z2275" s="371"/>
    </row>
    <row r="2276" spans="26:26">
      <c r="Z2276" s="371"/>
    </row>
    <row r="2277" spans="26:26">
      <c r="Z2277" s="371"/>
    </row>
    <row r="2278" spans="26:26">
      <c r="Z2278" s="371"/>
    </row>
    <row r="2279" spans="26:26">
      <c r="Z2279" s="371"/>
    </row>
    <row r="2280" spans="26:26">
      <c r="Z2280" s="371"/>
    </row>
    <row r="2281" spans="26:26">
      <c r="Z2281" s="371"/>
    </row>
    <row r="2282" spans="26:26">
      <c r="Z2282" s="371"/>
    </row>
    <row r="2283" spans="26:26">
      <c r="Z2283" s="371"/>
    </row>
    <row r="2284" spans="26:26">
      <c r="Z2284" s="371"/>
    </row>
    <row r="2285" spans="26:26">
      <c r="Z2285" s="371"/>
    </row>
    <row r="2286" spans="26:26">
      <c r="Z2286" s="371"/>
    </row>
    <row r="2287" spans="26:26">
      <c r="Z2287" s="371"/>
    </row>
    <row r="2288" spans="26:26">
      <c r="Z2288" s="371"/>
    </row>
    <row r="2289" spans="26:26">
      <c r="Z2289" s="371"/>
    </row>
    <row r="2290" spans="26:26">
      <c r="Z2290" s="371"/>
    </row>
    <row r="2291" spans="26:26">
      <c r="Z2291" s="371"/>
    </row>
    <row r="2292" spans="26:26">
      <c r="Z2292" s="371"/>
    </row>
    <row r="2293" spans="26:26">
      <c r="Z2293" s="371"/>
    </row>
    <row r="2294" spans="26:26">
      <c r="Z2294" s="371"/>
    </row>
    <row r="2295" spans="26:26">
      <c r="Z2295" s="371"/>
    </row>
    <row r="2296" spans="26:26">
      <c r="Z2296" s="371"/>
    </row>
    <row r="2297" spans="26:26">
      <c r="Z2297" s="371"/>
    </row>
    <row r="2298" spans="26:26">
      <c r="Z2298" s="371"/>
    </row>
    <row r="2299" spans="26:26">
      <c r="Z2299" s="371"/>
    </row>
    <row r="2300" spans="26:26">
      <c r="Z2300" s="371"/>
    </row>
    <row r="2301" spans="26:26">
      <c r="Z2301" s="371"/>
    </row>
    <row r="2302" spans="26:26">
      <c r="Z2302" s="371"/>
    </row>
    <row r="2303" spans="26:26">
      <c r="Z2303" s="371"/>
    </row>
    <row r="2304" spans="26:26">
      <c r="Z2304" s="371"/>
    </row>
    <row r="2305" spans="26:26">
      <c r="Z2305" s="371"/>
    </row>
    <row r="2306" spans="26:26">
      <c r="Z2306" s="371"/>
    </row>
    <row r="2307" spans="26:26">
      <c r="Z2307" s="371"/>
    </row>
    <row r="2308" spans="26:26">
      <c r="Z2308" s="371"/>
    </row>
    <row r="2309" spans="26:26">
      <c r="Z2309" s="371"/>
    </row>
    <row r="2310" spans="26:26">
      <c r="Z2310" s="371"/>
    </row>
    <row r="2311" spans="26:26">
      <c r="Z2311" s="371"/>
    </row>
    <row r="2312" spans="26:26">
      <c r="Z2312" s="371"/>
    </row>
    <row r="2313" spans="26:26">
      <c r="Z2313" s="371"/>
    </row>
    <row r="2314" spans="26:26">
      <c r="Z2314" s="371"/>
    </row>
    <row r="2315" spans="26:26">
      <c r="Z2315" s="371"/>
    </row>
    <row r="2316" spans="26:26">
      <c r="Z2316" s="371"/>
    </row>
    <row r="2317" spans="26:26">
      <c r="Z2317" s="371"/>
    </row>
    <row r="2318" spans="26:26">
      <c r="Z2318" s="371"/>
    </row>
    <row r="2319" spans="26:26">
      <c r="Z2319" s="371"/>
    </row>
    <row r="2320" spans="26:26">
      <c r="Z2320" s="371"/>
    </row>
    <row r="2321" spans="26:26">
      <c r="Z2321" s="371"/>
    </row>
    <row r="2322" spans="26:26">
      <c r="Z2322" s="371"/>
    </row>
    <row r="2323" spans="26:26">
      <c r="Z2323" s="371"/>
    </row>
    <row r="2324" spans="26:26">
      <c r="Z2324" s="371"/>
    </row>
    <row r="2325" spans="26:26">
      <c r="Z2325" s="371"/>
    </row>
    <row r="2326" spans="26:26">
      <c r="Z2326" s="371"/>
    </row>
    <row r="2327" spans="26:26">
      <c r="Z2327" s="371"/>
    </row>
    <row r="2328" spans="26:26">
      <c r="Z2328" s="371"/>
    </row>
    <row r="2329" spans="26:26">
      <c r="Z2329" s="371"/>
    </row>
    <row r="2330" spans="26:26">
      <c r="Z2330" s="371"/>
    </row>
    <row r="2331" spans="26:26">
      <c r="Z2331" s="371"/>
    </row>
    <row r="2332" spans="26:26">
      <c r="Z2332" s="371"/>
    </row>
    <row r="2333" spans="26:26">
      <c r="Z2333" s="371"/>
    </row>
    <row r="2334" spans="26:26">
      <c r="Z2334" s="371"/>
    </row>
    <row r="2335" spans="26:26">
      <c r="Z2335" s="371"/>
    </row>
    <row r="2336" spans="26:26">
      <c r="Z2336" s="371"/>
    </row>
    <row r="2337" spans="26:26">
      <c r="Z2337" s="371"/>
    </row>
    <row r="2338" spans="26:26">
      <c r="Z2338" s="371"/>
    </row>
    <row r="2339" spans="26:26">
      <c r="Z2339" s="371"/>
    </row>
    <row r="2340" spans="26:26">
      <c r="Z2340" s="371"/>
    </row>
    <row r="2341" spans="26:26">
      <c r="Z2341" s="371"/>
    </row>
    <row r="2342" spans="26:26">
      <c r="Z2342" s="371"/>
    </row>
    <row r="2343" spans="26:26">
      <c r="Z2343" s="371"/>
    </row>
    <row r="2344" spans="26:26">
      <c r="Z2344" s="371"/>
    </row>
    <row r="2345" spans="26:26">
      <c r="Z2345" s="371"/>
    </row>
    <row r="2346" spans="26:26">
      <c r="Z2346" s="371"/>
    </row>
    <row r="2347" spans="26:26">
      <c r="Z2347" s="371"/>
    </row>
    <row r="2348" spans="26:26">
      <c r="Z2348" s="371"/>
    </row>
    <row r="2349" spans="26:26">
      <c r="Z2349" s="371"/>
    </row>
    <row r="2350" spans="26:26">
      <c r="Z2350" s="371"/>
    </row>
    <row r="2351" spans="26:26">
      <c r="Z2351" s="371"/>
    </row>
    <row r="2352" spans="26:26">
      <c r="Z2352" s="371"/>
    </row>
    <row r="2353" spans="26:26">
      <c r="Z2353" s="371"/>
    </row>
    <row r="2354" spans="26:26">
      <c r="Z2354" s="371"/>
    </row>
    <row r="2355" spans="26:26">
      <c r="Z2355" s="371"/>
    </row>
    <row r="2356" spans="26:26">
      <c r="Z2356" s="371"/>
    </row>
    <row r="2357" spans="26:26">
      <c r="Z2357" s="371"/>
    </row>
    <row r="2358" spans="26:26">
      <c r="Z2358" s="371"/>
    </row>
    <row r="2359" spans="26:26">
      <c r="Z2359" s="371"/>
    </row>
    <row r="2360" spans="26:26">
      <c r="Z2360" s="371"/>
    </row>
    <row r="2361" spans="26:26">
      <c r="Z2361" s="371"/>
    </row>
    <row r="2362" spans="26:26">
      <c r="Z2362" s="371"/>
    </row>
    <row r="2363" spans="26:26">
      <c r="Z2363" s="371"/>
    </row>
    <row r="2364" spans="26:26">
      <c r="Z2364" s="371"/>
    </row>
    <row r="2365" spans="26:26">
      <c r="Z2365" s="371"/>
    </row>
    <row r="2366" spans="26:26">
      <c r="Z2366" s="371"/>
    </row>
    <row r="2367" spans="26:26">
      <c r="Z2367" s="371"/>
    </row>
    <row r="2368" spans="26:26">
      <c r="Z2368" s="371"/>
    </row>
    <row r="2369" spans="26:26">
      <c r="Z2369" s="371"/>
    </row>
    <row r="2370" spans="26:26">
      <c r="Z2370" s="371"/>
    </row>
    <row r="2371" spans="26:26">
      <c r="Z2371" s="371"/>
    </row>
    <row r="2372" spans="26:26">
      <c r="Z2372" s="371"/>
    </row>
    <row r="2373" spans="26:26">
      <c r="Z2373" s="371"/>
    </row>
    <row r="2374" spans="26:26">
      <c r="Z2374" s="371"/>
    </row>
    <row r="2375" spans="26:26">
      <c r="Z2375" s="371"/>
    </row>
    <row r="2376" spans="26:26">
      <c r="Z2376" s="371"/>
    </row>
    <row r="2377" spans="26:26">
      <c r="Z2377" s="371"/>
    </row>
    <row r="2378" spans="26:26">
      <c r="Z2378" s="371"/>
    </row>
    <row r="2379" spans="26:26">
      <c r="Z2379" s="371"/>
    </row>
    <row r="2380" spans="26:26">
      <c r="Z2380" s="371"/>
    </row>
    <row r="2381" spans="26:26">
      <c r="Z2381" s="371"/>
    </row>
    <row r="2382" spans="26:26">
      <c r="Z2382" s="371"/>
    </row>
    <row r="2383" spans="26:26">
      <c r="Z2383" s="371"/>
    </row>
    <row r="2384" spans="26:26">
      <c r="Z2384" s="371"/>
    </row>
    <row r="2385" spans="26:26">
      <c r="Z2385" s="371"/>
    </row>
    <row r="2386" spans="26:26">
      <c r="Z2386" s="371"/>
    </row>
    <row r="2387" spans="26:26">
      <c r="Z2387" s="371"/>
    </row>
    <row r="2388" spans="26:26">
      <c r="Z2388" s="371"/>
    </row>
    <row r="2389" spans="26:26">
      <c r="Z2389" s="371"/>
    </row>
    <row r="2390" spans="26:26">
      <c r="Z2390" s="371"/>
    </row>
    <row r="2391" spans="26:26">
      <c r="Z2391" s="371"/>
    </row>
    <row r="2392" spans="26:26">
      <c r="Z2392" s="371"/>
    </row>
    <row r="2393" spans="26:26">
      <c r="Z2393" s="371"/>
    </row>
    <row r="2394" spans="26:26">
      <c r="Z2394" s="371"/>
    </row>
    <row r="2395" spans="26:26">
      <c r="Z2395" s="371"/>
    </row>
    <row r="2396" spans="26:26">
      <c r="Z2396" s="371"/>
    </row>
    <row r="2397" spans="26:26">
      <c r="Z2397" s="371"/>
    </row>
    <row r="2398" spans="26:26">
      <c r="Z2398" s="371"/>
    </row>
    <row r="2399" spans="26:26">
      <c r="Z2399" s="371"/>
    </row>
    <row r="2400" spans="26:26">
      <c r="Z2400" s="371"/>
    </row>
    <row r="2401" spans="26:26">
      <c r="Z2401" s="371"/>
    </row>
    <row r="2402" spans="26:26">
      <c r="Z2402" s="371"/>
    </row>
    <row r="2403" spans="26:26">
      <c r="Z2403" s="371"/>
    </row>
    <row r="2404" spans="26:26">
      <c r="Z2404" s="371"/>
    </row>
    <row r="2405" spans="26:26">
      <c r="Z2405" s="371"/>
    </row>
    <row r="2406" spans="26:26">
      <c r="Z2406" s="371"/>
    </row>
    <row r="2407" spans="26:26">
      <c r="Z2407" s="371"/>
    </row>
    <row r="2408" spans="26:26">
      <c r="Z2408" s="371"/>
    </row>
    <row r="2409" spans="26:26">
      <c r="Z2409" s="371"/>
    </row>
    <row r="2410" spans="26:26">
      <c r="Z2410" s="371"/>
    </row>
    <row r="2411" spans="26:26">
      <c r="Z2411" s="371"/>
    </row>
    <row r="2412" spans="26:26">
      <c r="Z2412" s="371"/>
    </row>
    <row r="2413" spans="26:26">
      <c r="Z2413" s="371"/>
    </row>
    <row r="2414" spans="26:26">
      <c r="Z2414" s="371"/>
    </row>
    <row r="2415" spans="26:26">
      <c r="Z2415" s="371"/>
    </row>
    <row r="2416" spans="26:26">
      <c r="Z2416" s="371"/>
    </row>
    <row r="2417" spans="26:26">
      <c r="Z2417" s="371"/>
    </row>
    <row r="2418" spans="26:26">
      <c r="Z2418" s="371"/>
    </row>
    <row r="2419" spans="26:26">
      <c r="Z2419" s="371"/>
    </row>
    <row r="2420" spans="26:26">
      <c r="Z2420" s="371"/>
    </row>
    <row r="2421" spans="26:26">
      <c r="Z2421" s="371"/>
    </row>
    <row r="2422" spans="26:26">
      <c r="Z2422" s="371"/>
    </row>
    <row r="2423" spans="26:26">
      <c r="Z2423" s="371"/>
    </row>
    <row r="2424" spans="26:26">
      <c r="Z2424" s="371"/>
    </row>
    <row r="2425" spans="26:26">
      <c r="Z2425" s="371"/>
    </row>
    <row r="2426" spans="26:26">
      <c r="Z2426" s="371"/>
    </row>
    <row r="2427" spans="26:26">
      <c r="Z2427" s="371"/>
    </row>
    <row r="2428" spans="26:26">
      <c r="Z2428" s="371"/>
    </row>
    <row r="2429" spans="26:26">
      <c r="Z2429" s="371"/>
    </row>
    <row r="2430" spans="26:26">
      <c r="Z2430" s="371"/>
    </row>
    <row r="2431" spans="26:26">
      <c r="Z2431" s="371"/>
    </row>
    <row r="2432" spans="26:26">
      <c r="Z2432" s="371"/>
    </row>
    <row r="2433" spans="26:26">
      <c r="Z2433" s="371"/>
    </row>
    <row r="2434" spans="26:26">
      <c r="Z2434" s="371"/>
    </row>
    <row r="2435" spans="26:26">
      <c r="Z2435" s="371"/>
    </row>
    <row r="2436" spans="26:26">
      <c r="Z2436" s="371"/>
    </row>
    <row r="2437" spans="26:26">
      <c r="Z2437" s="371"/>
    </row>
    <row r="2438" spans="26:26">
      <c r="Z2438" s="371"/>
    </row>
    <row r="2439" spans="26:26">
      <c r="Z2439" s="371"/>
    </row>
    <row r="2440" spans="26:26">
      <c r="Z2440" s="371"/>
    </row>
    <row r="2441" spans="26:26">
      <c r="Z2441" s="371"/>
    </row>
    <row r="2442" spans="26:26">
      <c r="Z2442" s="371"/>
    </row>
    <row r="2443" spans="26:26">
      <c r="Z2443" s="371"/>
    </row>
    <row r="2444" spans="26:26">
      <c r="Z2444" s="371"/>
    </row>
    <row r="2445" spans="26:26">
      <c r="Z2445" s="371"/>
    </row>
    <row r="2446" spans="26:26">
      <c r="Z2446" s="371"/>
    </row>
    <row r="2447" spans="26:26">
      <c r="Z2447" s="371"/>
    </row>
    <row r="2448" spans="26:26">
      <c r="Z2448" s="371"/>
    </row>
    <row r="2449" spans="26:26">
      <c r="Z2449" s="371"/>
    </row>
    <row r="2450" spans="26:26">
      <c r="Z2450" s="371"/>
    </row>
    <row r="2451" spans="26:26">
      <c r="Z2451" s="371"/>
    </row>
    <row r="2452" spans="26:26">
      <c r="Z2452" s="371"/>
    </row>
    <row r="2453" spans="26:26">
      <c r="Z2453" s="371"/>
    </row>
    <row r="2454" spans="26:26">
      <c r="Z2454" s="371"/>
    </row>
    <row r="2455" spans="26:26">
      <c r="Z2455" s="371"/>
    </row>
    <row r="2456" spans="26:26">
      <c r="Z2456" s="371"/>
    </row>
    <row r="2457" spans="26:26">
      <c r="Z2457" s="371"/>
    </row>
    <row r="2458" spans="26:26">
      <c r="Z2458" s="371"/>
    </row>
    <row r="2459" spans="26:26">
      <c r="Z2459" s="371"/>
    </row>
    <row r="2460" spans="26:26">
      <c r="Z2460" s="371"/>
    </row>
    <row r="2461" spans="26:26">
      <c r="Z2461" s="371"/>
    </row>
    <row r="2462" spans="26:26">
      <c r="Z2462" s="371"/>
    </row>
    <row r="2463" spans="26:26">
      <c r="Z2463" s="371"/>
    </row>
    <row r="2464" spans="26:26">
      <c r="Z2464" s="371"/>
    </row>
    <row r="2465" spans="26:26">
      <c r="Z2465" s="371"/>
    </row>
    <row r="2466" spans="26:26">
      <c r="Z2466" s="371"/>
    </row>
    <row r="2467" spans="26:26">
      <c r="Z2467" s="371"/>
    </row>
    <row r="2468" spans="26:26">
      <c r="Z2468" s="371"/>
    </row>
    <row r="2469" spans="26:26">
      <c r="Z2469" s="371"/>
    </row>
    <row r="2470" spans="26:26">
      <c r="Z2470" s="371"/>
    </row>
    <row r="2471" spans="26:26">
      <c r="Z2471" s="371"/>
    </row>
    <row r="2472" spans="26:26">
      <c r="Z2472" s="371"/>
    </row>
    <row r="2473" spans="26:26">
      <c r="Z2473" s="371"/>
    </row>
    <row r="2474" spans="26:26">
      <c r="Z2474" s="371"/>
    </row>
    <row r="2475" spans="26:26">
      <c r="Z2475" s="371"/>
    </row>
    <row r="2476" spans="26:26">
      <c r="Z2476" s="371"/>
    </row>
    <row r="2477" spans="26:26">
      <c r="Z2477" s="371"/>
    </row>
    <row r="2478" spans="26:26">
      <c r="Z2478" s="371"/>
    </row>
    <row r="2479" spans="26:26">
      <c r="Z2479" s="371"/>
    </row>
    <row r="2480" spans="26:26">
      <c r="Z2480" s="371"/>
    </row>
    <row r="2481" spans="26:26">
      <c r="Z2481" s="371"/>
    </row>
    <row r="2482" spans="26:26">
      <c r="Z2482" s="371"/>
    </row>
    <row r="2483" spans="26:26">
      <c r="Z2483" s="371"/>
    </row>
    <row r="2484" spans="26:26">
      <c r="Z2484" s="371"/>
    </row>
    <row r="2485" spans="26:26">
      <c r="Z2485" s="371"/>
    </row>
    <row r="2486" spans="26:26">
      <c r="Z2486" s="371"/>
    </row>
    <row r="2487" spans="26:26">
      <c r="Z2487" s="371"/>
    </row>
    <row r="2488" spans="26:26">
      <c r="Z2488" s="371"/>
    </row>
    <row r="2489" spans="26:26">
      <c r="Z2489" s="371"/>
    </row>
    <row r="2490" spans="26:26">
      <c r="Z2490" s="371"/>
    </row>
    <row r="2491" spans="26:26">
      <c r="Z2491" s="371"/>
    </row>
    <row r="2492" spans="26:26">
      <c r="Z2492" s="371"/>
    </row>
    <row r="2493" spans="26:26">
      <c r="Z2493" s="371"/>
    </row>
    <row r="2494" spans="26:26">
      <c r="Z2494" s="371"/>
    </row>
    <row r="2495" spans="26:26">
      <c r="Z2495" s="371"/>
    </row>
    <row r="2496" spans="26:26">
      <c r="Z2496" s="371"/>
    </row>
    <row r="2497" spans="26:26">
      <c r="Z2497" s="371"/>
    </row>
    <row r="2498" spans="26:26">
      <c r="Z2498" s="371"/>
    </row>
    <row r="2499" spans="26:26">
      <c r="Z2499" s="371"/>
    </row>
    <row r="2500" spans="26:26">
      <c r="Z2500" s="371"/>
    </row>
    <row r="2501" spans="26:26">
      <c r="Z2501" s="371"/>
    </row>
    <row r="2502" spans="26:26">
      <c r="Z2502" s="371"/>
    </row>
    <row r="2503" spans="26:26">
      <c r="Z2503" s="371"/>
    </row>
    <row r="2504" spans="26:26">
      <c r="Z2504" s="371"/>
    </row>
    <row r="2505" spans="26:26">
      <c r="Z2505" s="371"/>
    </row>
    <row r="2506" spans="26:26">
      <c r="Z2506" s="371"/>
    </row>
    <row r="2507" spans="26:26">
      <c r="Z2507" s="371"/>
    </row>
    <row r="2508" spans="26:26">
      <c r="Z2508" s="371"/>
    </row>
    <row r="2509" spans="26:26">
      <c r="Z2509" s="371"/>
    </row>
    <row r="2510" spans="26:26">
      <c r="Z2510" s="371"/>
    </row>
    <row r="2511" spans="26:26">
      <c r="Z2511" s="371"/>
    </row>
    <row r="2512" spans="26:26">
      <c r="Z2512" s="371"/>
    </row>
    <row r="2513" spans="26:26">
      <c r="Z2513" s="371"/>
    </row>
    <row r="2514" spans="26:26">
      <c r="Z2514" s="371"/>
    </row>
    <row r="2515" spans="26:26">
      <c r="Z2515" s="371"/>
    </row>
    <row r="2516" spans="26:26">
      <c r="Z2516" s="371"/>
    </row>
    <row r="2517" spans="26:26">
      <c r="Z2517" s="371"/>
    </row>
    <row r="2518" spans="26:26">
      <c r="Z2518" s="371"/>
    </row>
    <row r="2519" spans="26:26">
      <c r="Z2519" s="371"/>
    </row>
    <row r="2520" spans="26:26">
      <c r="Z2520" s="371"/>
    </row>
    <row r="2521" spans="26:26">
      <c r="Z2521" s="371"/>
    </row>
    <row r="2522" spans="26:26">
      <c r="Z2522" s="371"/>
    </row>
    <row r="2523" spans="26:26">
      <c r="Z2523" s="371"/>
    </row>
    <row r="2524" spans="26:26">
      <c r="Z2524" s="371"/>
    </row>
    <row r="2525" spans="26:26">
      <c r="Z2525" s="371"/>
    </row>
    <row r="2526" spans="26:26">
      <c r="Z2526" s="371"/>
    </row>
    <row r="2527" spans="26:26">
      <c r="Z2527" s="371"/>
    </row>
    <row r="2528" spans="26:26">
      <c r="Z2528" s="371"/>
    </row>
    <row r="2529" spans="26:26">
      <c r="Z2529" s="371"/>
    </row>
    <row r="2530" spans="26:26">
      <c r="Z2530" s="371"/>
    </row>
    <row r="2531" spans="26:26">
      <c r="Z2531" s="371"/>
    </row>
    <row r="2532" spans="26:26">
      <c r="Z2532" s="371"/>
    </row>
    <row r="2533" spans="26:26">
      <c r="Z2533" s="371"/>
    </row>
    <row r="2534" spans="26:26">
      <c r="Z2534" s="371"/>
    </row>
    <row r="2535" spans="26:26">
      <c r="Z2535" s="371"/>
    </row>
    <row r="2536" spans="26:26">
      <c r="Z2536" s="371"/>
    </row>
    <row r="2537" spans="26:26">
      <c r="Z2537" s="371"/>
    </row>
    <row r="2538" spans="26:26">
      <c r="Z2538" s="371"/>
    </row>
    <row r="2539" spans="26:26">
      <c r="Z2539" s="371"/>
    </row>
    <row r="2540" spans="26:26">
      <c r="Z2540" s="371"/>
    </row>
    <row r="2541" spans="26:26">
      <c r="Z2541" s="371"/>
    </row>
    <row r="2542" spans="26:26">
      <c r="Z2542" s="371"/>
    </row>
    <row r="2543" spans="26:26">
      <c r="Z2543" s="371"/>
    </row>
    <row r="2544" spans="26:26">
      <c r="Z2544" s="371"/>
    </row>
    <row r="2545" spans="26:26">
      <c r="Z2545" s="371"/>
    </row>
    <row r="2546" spans="26:26">
      <c r="Z2546" s="371"/>
    </row>
    <row r="2547" spans="26:26">
      <c r="Z2547" s="371"/>
    </row>
    <row r="2548" spans="26:26">
      <c r="Z2548" s="371"/>
    </row>
    <row r="2549" spans="26:26">
      <c r="Z2549" s="371"/>
    </row>
    <row r="2550" spans="26:26">
      <c r="Z2550" s="371"/>
    </row>
    <row r="2551" spans="26:26">
      <c r="Z2551" s="371"/>
    </row>
    <row r="2552" spans="26:26">
      <c r="Z2552" s="371"/>
    </row>
    <row r="2553" spans="26:26">
      <c r="Z2553" s="371"/>
    </row>
    <row r="2554" spans="26:26">
      <c r="Z2554" s="371"/>
    </row>
    <row r="2555" spans="26:26">
      <c r="Z2555" s="371"/>
    </row>
    <row r="2556" spans="26:26">
      <c r="Z2556" s="371"/>
    </row>
    <row r="2557" spans="26:26">
      <c r="Z2557" s="371"/>
    </row>
    <row r="2558" spans="26:26">
      <c r="Z2558" s="371"/>
    </row>
    <row r="2559" spans="26:26">
      <c r="Z2559" s="371"/>
    </row>
    <row r="2560" spans="26:26">
      <c r="Z2560" s="371"/>
    </row>
    <row r="2561" spans="26:26">
      <c r="Z2561" s="371"/>
    </row>
    <row r="2562" spans="26:26">
      <c r="Z2562" s="371"/>
    </row>
    <row r="2563" spans="26:26">
      <c r="Z2563" s="371"/>
    </row>
    <row r="2564" spans="26:26">
      <c r="Z2564" s="371"/>
    </row>
    <row r="2565" spans="26:26">
      <c r="Z2565" s="371"/>
    </row>
    <row r="2566" spans="26:26">
      <c r="Z2566" s="371"/>
    </row>
    <row r="2567" spans="26:26">
      <c r="Z2567" s="371"/>
    </row>
    <row r="2568" spans="26:26">
      <c r="Z2568" s="371"/>
    </row>
    <row r="2569" spans="26:26">
      <c r="Z2569" s="371"/>
    </row>
    <row r="2570" spans="26:26">
      <c r="Z2570" s="371"/>
    </row>
    <row r="2571" spans="26:26">
      <c r="Z2571" s="371"/>
    </row>
    <row r="2572" spans="26:26">
      <c r="Z2572" s="371"/>
    </row>
    <row r="2573" spans="26:26">
      <c r="Z2573" s="371"/>
    </row>
    <row r="2574" spans="26:26">
      <c r="Z2574" s="371"/>
    </row>
    <row r="2575" spans="26:26">
      <c r="Z2575" s="371"/>
    </row>
    <row r="2576" spans="26:26">
      <c r="Z2576" s="371"/>
    </row>
    <row r="2577" spans="26:26">
      <c r="Z2577" s="371"/>
    </row>
    <row r="2578" spans="26:26">
      <c r="Z2578" s="371"/>
    </row>
    <row r="2579" spans="26:26">
      <c r="Z2579" s="371"/>
    </row>
    <row r="2580" spans="26:26">
      <c r="Z2580" s="371"/>
    </row>
    <row r="2581" spans="26:26">
      <c r="Z2581" s="371"/>
    </row>
    <row r="2582" spans="26:26">
      <c r="Z2582" s="371"/>
    </row>
    <row r="2583" spans="26:26">
      <c r="Z2583" s="371"/>
    </row>
    <row r="2584" spans="26:26">
      <c r="Z2584" s="371"/>
    </row>
    <row r="2585" spans="26:26">
      <c r="Z2585" s="371"/>
    </row>
    <row r="2586" spans="26:26">
      <c r="Z2586" s="371"/>
    </row>
    <row r="2587" spans="26:26">
      <c r="Z2587" s="371"/>
    </row>
    <row r="2588" spans="26:26">
      <c r="Z2588" s="371"/>
    </row>
    <row r="2589" spans="26:26">
      <c r="Z2589" s="371"/>
    </row>
    <row r="2590" spans="26:26">
      <c r="Z2590" s="371"/>
    </row>
    <row r="2591" spans="26:26">
      <c r="Z2591" s="371"/>
    </row>
    <row r="2592" spans="26:26">
      <c r="Z2592" s="371"/>
    </row>
    <row r="2593" spans="26:26">
      <c r="Z2593" s="371"/>
    </row>
    <row r="2594" spans="26:26">
      <c r="Z2594" s="371"/>
    </row>
    <row r="2595" spans="26:26">
      <c r="Z2595" s="371"/>
    </row>
    <row r="2596" spans="26:26">
      <c r="Z2596" s="371"/>
    </row>
    <row r="2597" spans="26:26">
      <c r="Z2597" s="371"/>
    </row>
    <row r="2598" spans="26:26">
      <c r="Z2598" s="371"/>
    </row>
    <row r="2599" spans="26:26">
      <c r="Z2599" s="371"/>
    </row>
    <row r="2600" spans="26:26">
      <c r="Z2600" s="371"/>
    </row>
    <row r="2601" spans="26:26">
      <c r="Z2601" s="371"/>
    </row>
    <row r="2602" spans="26:26">
      <c r="Z2602" s="371"/>
    </row>
    <row r="2603" spans="26:26">
      <c r="Z2603" s="371"/>
    </row>
    <row r="2604" spans="26:26">
      <c r="Z2604" s="371"/>
    </row>
    <row r="2605" spans="26:26">
      <c r="Z2605" s="371"/>
    </row>
    <row r="2606" spans="26:26">
      <c r="Z2606" s="371"/>
    </row>
    <row r="2607" spans="26:26">
      <c r="Z2607" s="371"/>
    </row>
    <row r="2608" spans="26:26">
      <c r="Z2608" s="371"/>
    </row>
    <row r="2609" spans="26:26">
      <c r="Z2609" s="371"/>
    </row>
    <row r="2610" spans="26:26">
      <c r="Z2610" s="371"/>
    </row>
    <row r="2611" spans="26:26">
      <c r="Z2611" s="371"/>
    </row>
    <row r="2612" spans="26:26">
      <c r="Z2612" s="371"/>
    </row>
    <row r="2613" spans="26:26">
      <c r="Z2613" s="371"/>
    </row>
    <row r="2614" spans="26:26">
      <c r="Z2614" s="371"/>
    </row>
    <row r="2615" spans="26:26">
      <c r="Z2615" s="371"/>
    </row>
    <row r="2616" spans="26:26">
      <c r="Z2616" s="371"/>
    </row>
    <row r="2617" spans="26:26">
      <c r="Z2617" s="371"/>
    </row>
    <row r="2618" spans="26:26">
      <c r="Z2618" s="371"/>
    </row>
    <row r="2619" spans="26:26">
      <c r="Z2619" s="371"/>
    </row>
    <row r="2620" spans="26:26">
      <c r="Z2620" s="371"/>
    </row>
    <row r="2621" spans="26:26">
      <c r="Z2621" s="371"/>
    </row>
    <row r="2622" spans="26:26">
      <c r="Z2622" s="371"/>
    </row>
    <row r="2623" spans="26:26">
      <c r="Z2623" s="371"/>
    </row>
    <row r="2624" spans="26:26">
      <c r="Z2624" s="371"/>
    </row>
    <row r="2625" spans="26:26">
      <c r="Z2625" s="371"/>
    </row>
    <row r="2626" spans="26:26">
      <c r="Z2626" s="371"/>
    </row>
    <row r="2627" spans="26:26">
      <c r="Z2627" s="371"/>
    </row>
    <row r="2628" spans="26:26">
      <c r="Z2628" s="371"/>
    </row>
    <row r="2629" spans="26:26">
      <c r="Z2629" s="371"/>
    </row>
    <row r="2630" spans="26:26">
      <c r="Z2630" s="371"/>
    </row>
    <row r="2631" spans="26:26">
      <c r="Z2631" s="371"/>
    </row>
    <row r="2632" spans="26:26">
      <c r="Z2632" s="371"/>
    </row>
    <row r="2633" spans="26:26">
      <c r="Z2633" s="371"/>
    </row>
    <row r="2634" spans="26:26">
      <c r="Z2634" s="371"/>
    </row>
    <row r="2635" spans="26:26">
      <c r="Z2635" s="371"/>
    </row>
    <row r="2636" spans="26:26">
      <c r="Z2636" s="371"/>
    </row>
    <row r="2637" spans="26:26">
      <c r="Z2637" s="371"/>
    </row>
    <row r="2638" spans="26:26">
      <c r="Z2638" s="371"/>
    </row>
    <row r="2639" spans="26:26">
      <c r="Z2639" s="371"/>
    </row>
    <row r="2640" spans="26:26">
      <c r="Z2640" s="371"/>
    </row>
    <row r="2641" spans="26:26">
      <c r="Z2641" s="371"/>
    </row>
    <row r="2642" spans="26:26">
      <c r="Z2642" s="371"/>
    </row>
    <row r="2643" spans="26:26">
      <c r="Z2643" s="371"/>
    </row>
    <row r="2644" spans="26:26">
      <c r="Z2644" s="371"/>
    </row>
    <row r="2645" spans="26:26">
      <c r="Z2645" s="371"/>
    </row>
    <row r="2646" spans="26:26">
      <c r="Z2646" s="371"/>
    </row>
    <row r="2647" spans="26:26">
      <c r="Z2647" s="371"/>
    </row>
    <row r="2648" spans="26:26">
      <c r="Z2648" s="371"/>
    </row>
    <row r="2649" spans="26:26">
      <c r="Z2649" s="371"/>
    </row>
    <row r="2650" spans="26:26">
      <c r="Z2650" s="371"/>
    </row>
    <row r="2651" spans="26:26">
      <c r="Z2651" s="371"/>
    </row>
    <row r="2652" spans="26:26">
      <c r="Z2652" s="371"/>
    </row>
    <row r="2653" spans="26:26">
      <c r="Z2653" s="371"/>
    </row>
    <row r="2654" spans="26:26">
      <c r="Z2654" s="371"/>
    </row>
    <row r="2655" spans="26:26">
      <c r="Z2655" s="371"/>
    </row>
    <row r="2656" spans="26:26">
      <c r="Z2656" s="371"/>
    </row>
    <row r="2657" spans="26:26">
      <c r="Z2657" s="371"/>
    </row>
    <row r="2658" spans="26:26">
      <c r="Z2658" s="371"/>
    </row>
    <row r="2659" spans="26:26">
      <c r="Z2659" s="371"/>
    </row>
    <row r="2660" spans="26:26">
      <c r="Z2660" s="371"/>
    </row>
    <row r="2661" spans="26:26">
      <c r="Z2661" s="371"/>
    </row>
    <row r="2662" spans="26:26">
      <c r="Z2662" s="371"/>
    </row>
    <row r="2663" spans="26:26">
      <c r="Z2663" s="371"/>
    </row>
    <row r="2664" spans="26:26">
      <c r="Z2664" s="371"/>
    </row>
    <row r="2665" spans="26:26">
      <c r="Z2665" s="371"/>
    </row>
    <row r="2666" spans="26:26">
      <c r="Z2666" s="371"/>
    </row>
    <row r="2667" spans="26:26">
      <c r="Z2667" s="371"/>
    </row>
    <row r="2668" spans="26:26">
      <c r="Z2668" s="371"/>
    </row>
    <row r="2669" spans="26:26">
      <c r="Z2669" s="371"/>
    </row>
    <row r="2670" spans="26:26">
      <c r="Z2670" s="371"/>
    </row>
    <row r="2671" spans="26:26">
      <c r="Z2671" s="371"/>
    </row>
    <row r="2672" spans="26:26">
      <c r="Z2672" s="371"/>
    </row>
    <row r="2673" spans="26:26">
      <c r="Z2673" s="371"/>
    </row>
    <row r="2674" spans="26:26">
      <c r="Z2674" s="371"/>
    </row>
    <row r="2675" spans="26:26">
      <c r="Z2675" s="371"/>
    </row>
    <row r="2676" spans="26:26">
      <c r="Z2676" s="371"/>
    </row>
    <row r="2677" spans="26:26">
      <c r="Z2677" s="371"/>
    </row>
    <row r="2678" spans="26:26">
      <c r="Z2678" s="371"/>
    </row>
    <row r="2679" spans="26:26">
      <c r="Z2679" s="371"/>
    </row>
    <row r="2680" spans="26:26">
      <c r="Z2680" s="371"/>
    </row>
    <row r="2681" spans="26:26">
      <c r="Z2681" s="371"/>
    </row>
    <row r="2682" spans="26:26">
      <c r="Z2682" s="371"/>
    </row>
    <row r="2683" spans="26:26">
      <c r="Z2683" s="371"/>
    </row>
    <row r="2684" spans="26:26">
      <c r="Z2684" s="371"/>
    </row>
    <row r="2685" spans="26:26">
      <c r="Z2685" s="371"/>
    </row>
    <row r="2686" spans="26:26">
      <c r="Z2686" s="371"/>
    </row>
    <row r="2687" spans="26:26">
      <c r="Z2687" s="371"/>
    </row>
    <row r="2688" spans="26:26">
      <c r="Z2688" s="371"/>
    </row>
    <row r="2689" spans="26:26">
      <c r="Z2689" s="371"/>
    </row>
    <row r="2690" spans="26:26">
      <c r="Z2690" s="371"/>
    </row>
    <row r="2691" spans="26:26">
      <c r="Z2691" s="371"/>
    </row>
    <row r="2692" spans="26:26">
      <c r="Z2692" s="371"/>
    </row>
    <row r="2693" spans="26:26">
      <c r="Z2693" s="371"/>
    </row>
    <row r="2694" spans="26:26">
      <c r="Z2694" s="371"/>
    </row>
    <row r="2695" spans="26:26">
      <c r="Z2695" s="371"/>
    </row>
    <row r="2696" spans="26:26">
      <c r="Z2696" s="371"/>
    </row>
    <row r="2697" spans="26:26">
      <c r="Z2697" s="371"/>
    </row>
    <row r="2698" spans="26:26">
      <c r="Z2698" s="371"/>
    </row>
    <row r="2699" spans="26:26">
      <c r="Z2699" s="371"/>
    </row>
    <row r="2700" spans="26:26">
      <c r="Z2700" s="371"/>
    </row>
    <row r="2701" spans="26:26">
      <c r="Z2701" s="371"/>
    </row>
    <row r="2702" spans="26:26">
      <c r="Z2702" s="371"/>
    </row>
    <row r="2703" spans="26:26">
      <c r="Z2703" s="371"/>
    </row>
    <row r="2704" spans="26:26">
      <c r="Z2704" s="371"/>
    </row>
    <row r="2705" spans="26:26">
      <c r="Z2705" s="371"/>
    </row>
    <row r="2706" spans="26:26">
      <c r="Z2706" s="371"/>
    </row>
    <row r="2707" spans="26:26">
      <c r="Z2707" s="371"/>
    </row>
    <row r="2708" spans="26:26">
      <c r="Z2708" s="371"/>
    </row>
    <row r="2709" spans="26:26">
      <c r="Z2709" s="371"/>
    </row>
    <row r="2710" spans="26:26">
      <c r="Z2710" s="371"/>
    </row>
    <row r="2711" spans="26:26">
      <c r="Z2711" s="371"/>
    </row>
    <row r="2712" spans="26:26">
      <c r="Z2712" s="371"/>
    </row>
    <row r="2713" spans="26:26">
      <c r="Z2713" s="371"/>
    </row>
    <row r="2714" spans="26:26">
      <c r="Z2714" s="371"/>
    </row>
    <row r="2715" spans="26:26">
      <c r="Z2715" s="371"/>
    </row>
    <row r="2716" spans="26:26">
      <c r="Z2716" s="371"/>
    </row>
    <row r="2717" spans="26:26">
      <c r="Z2717" s="371"/>
    </row>
    <row r="2718" spans="26:26">
      <c r="Z2718" s="371"/>
    </row>
    <row r="2719" spans="26:26">
      <c r="Z2719" s="371"/>
    </row>
    <row r="2720" spans="26:26">
      <c r="Z2720" s="371"/>
    </row>
    <row r="2721" spans="26:26">
      <c r="Z2721" s="371"/>
    </row>
    <row r="2722" spans="26:26">
      <c r="Z2722" s="371"/>
    </row>
    <row r="2723" spans="26:26">
      <c r="Z2723" s="371"/>
    </row>
    <row r="2724" spans="26:26">
      <c r="Z2724" s="371"/>
    </row>
    <row r="2725" spans="26:26">
      <c r="Z2725" s="371"/>
    </row>
    <row r="2726" spans="26:26">
      <c r="Z2726" s="371"/>
    </row>
    <row r="2727" spans="26:26">
      <c r="Z2727" s="371"/>
    </row>
    <row r="2728" spans="26:26">
      <c r="Z2728" s="371"/>
    </row>
    <row r="2729" spans="26:26">
      <c r="Z2729" s="371"/>
    </row>
    <row r="2730" spans="26:26">
      <c r="Z2730" s="371"/>
    </row>
    <row r="2731" spans="26:26">
      <c r="Z2731" s="371"/>
    </row>
    <row r="2732" spans="26:26">
      <c r="Z2732" s="371"/>
    </row>
    <row r="2733" spans="26:26">
      <c r="Z2733" s="371"/>
    </row>
    <row r="2734" spans="26:26">
      <c r="Z2734" s="371"/>
    </row>
    <row r="2735" spans="26:26">
      <c r="Z2735" s="371"/>
    </row>
    <row r="2736" spans="26:26">
      <c r="Z2736" s="371"/>
    </row>
    <row r="2737" spans="26:26">
      <c r="Z2737" s="371"/>
    </row>
    <row r="2738" spans="26:26">
      <c r="Z2738" s="371"/>
    </row>
    <row r="2739" spans="26:26">
      <c r="Z2739" s="371"/>
    </row>
    <row r="2740" spans="26:26">
      <c r="Z2740" s="371"/>
    </row>
    <row r="2741" spans="26:26">
      <c r="Z2741" s="371"/>
    </row>
    <row r="2742" spans="26:26">
      <c r="Z2742" s="371"/>
    </row>
    <row r="2743" spans="26:26">
      <c r="Z2743" s="371"/>
    </row>
    <row r="2744" spans="26:26">
      <c r="Z2744" s="371"/>
    </row>
    <row r="2745" spans="26:26">
      <c r="Z2745" s="371"/>
    </row>
    <row r="2746" spans="26:26">
      <c r="Z2746" s="371"/>
    </row>
    <row r="2747" spans="26:26">
      <c r="Z2747" s="371"/>
    </row>
    <row r="2748" spans="26:26">
      <c r="Z2748" s="371"/>
    </row>
    <row r="2749" spans="26:26">
      <c r="Z2749" s="371"/>
    </row>
    <row r="2750" spans="26:26">
      <c r="Z2750" s="371"/>
    </row>
    <row r="2751" spans="26:26">
      <c r="Z2751" s="371"/>
    </row>
    <row r="2752" spans="26:26">
      <c r="Z2752" s="371"/>
    </row>
    <row r="2753" spans="26:26">
      <c r="Z2753" s="371"/>
    </row>
    <row r="2754" spans="26:26">
      <c r="Z2754" s="371"/>
    </row>
    <row r="2755" spans="26:26">
      <c r="Z2755" s="371"/>
    </row>
    <row r="2756" spans="26:26">
      <c r="Z2756" s="371"/>
    </row>
    <row r="2757" spans="26:26">
      <c r="Z2757" s="371"/>
    </row>
    <row r="2758" spans="26:26">
      <c r="Z2758" s="371"/>
    </row>
    <row r="2759" spans="26:26">
      <c r="Z2759" s="371"/>
    </row>
    <row r="2760" spans="26:26">
      <c r="Z2760" s="371"/>
    </row>
    <row r="2761" spans="26:26">
      <c r="Z2761" s="371"/>
    </row>
    <row r="2762" spans="26:26">
      <c r="Z2762" s="371"/>
    </row>
    <row r="2763" spans="26:26">
      <c r="Z2763" s="371"/>
    </row>
    <row r="2764" spans="26:26">
      <c r="Z2764" s="371"/>
    </row>
    <row r="2765" spans="26:26">
      <c r="Z2765" s="371"/>
    </row>
    <row r="2766" spans="26:26">
      <c r="Z2766" s="371"/>
    </row>
    <row r="2767" spans="26:26">
      <c r="Z2767" s="371"/>
    </row>
    <row r="2768" spans="26:26">
      <c r="Z2768" s="371"/>
    </row>
    <row r="2769" spans="26:26">
      <c r="Z2769" s="371"/>
    </row>
    <row r="2770" spans="26:26">
      <c r="Z2770" s="371"/>
    </row>
    <row r="2771" spans="26:26">
      <c r="Z2771" s="371"/>
    </row>
    <row r="2772" spans="26:26">
      <c r="Z2772" s="371"/>
    </row>
    <row r="2773" spans="26:26">
      <c r="Z2773" s="371"/>
    </row>
    <row r="2774" spans="26:26">
      <c r="Z2774" s="371"/>
    </row>
    <row r="2775" spans="26:26">
      <c r="Z2775" s="371"/>
    </row>
    <row r="2776" spans="26:26">
      <c r="Z2776" s="371"/>
    </row>
    <row r="2777" spans="26:26">
      <c r="Z2777" s="371"/>
    </row>
    <row r="2778" spans="26:26">
      <c r="Z2778" s="371"/>
    </row>
    <row r="2779" spans="26:26">
      <c r="Z2779" s="371"/>
    </row>
    <row r="2780" spans="26:26">
      <c r="Z2780" s="371"/>
    </row>
    <row r="2781" spans="26:26">
      <c r="Z2781" s="371"/>
    </row>
    <row r="2782" spans="26:26">
      <c r="Z2782" s="371"/>
    </row>
    <row r="2783" spans="26:26">
      <c r="Z2783" s="371"/>
    </row>
    <row r="2784" spans="26:26">
      <c r="Z2784" s="371"/>
    </row>
    <row r="2785" spans="26:26">
      <c r="Z2785" s="371"/>
    </row>
    <row r="2786" spans="26:26">
      <c r="Z2786" s="371"/>
    </row>
    <row r="2787" spans="26:26">
      <c r="Z2787" s="371"/>
    </row>
    <row r="2788" spans="26:26">
      <c r="Z2788" s="371"/>
    </row>
    <row r="2789" spans="26:26">
      <c r="Z2789" s="371"/>
    </row>
    <row r="2790" spans="26:26">
      <c r="Z2790" s="371"/>
    </row>
    <row r="2791" spans="26:26">
      <c r="Z2791" s="371"/>
    </row>
    <row r="2792" spans="26:26">
      <c r="Z2792" s="371"/>
    </row>
    <row r="2793" spans="26:26">
      <c r="Z2793" s="371"/>
    </row>
    <row r="2794" spans="26:26">
      <c r="Z2794" s="371"/>
    </row>
    <row r="2795" spans="26:26">
      <c r="Z2795" s="371"/>
    </row>
    <row r="2796" spans="26:26">
      <c r="Z2796" s="371"/>
    </row>
    <row r="2797" spans="26:26">
      <c r="Z2797" s="371"/>
    </row>
    <row r="2798" spans="26:26">
      <c r="Z2798" s="371"/>
    </row>
    <row r="2799" spans="26:26">
      <c r="Z2799" s="371"/>
    </row>
    <row r="2800" spans="26:26">
      <c r="Z2800" s="371"/>
    </row>
    <row r="2801" spans="26:26">
      <c r="Z2801" s="371"/>
    </row>
    <row r="2802" spans="26:26">
      <c r="Z2802" s="371"/>
    </row>
    <row r="2803" spans="26:26">
      <c r="Z2803" s="371"/>
    </row>
    <row r="2804" spans="26:26">
      <c r="Z2804" s="371"/>
    </row>
    <row r="2805" spans="26:26">
      <c r="Z2805" s="371"/>
    </row>
    <row r="2806" spans="26:26">
      <c r="Z2806" s="371"/>
    </row>
    <row r="2807" spans="26:26">
      <c r="Z2807" s="371"/>
    </row>
    <row r="2808" spans="26:26">
      <c r="Z2808" s="371"/>
    </row>
    <row r="2809" spans="26:26">
      <c r="Z2809" s="371"/>
    </row>
    <row r="2810" spans="26:26">
      <c r="Z2810" s="371"/>
    </row>
    <row r="2811" spans="26:26">
      <c r="Z2811" s="371"/>
    </row>
    <row r="2812" spans="26:26">
      <c r="Z2812" s="371"/>
    </row>
    <row r="2813" spans="26:26">
      <c r="Z2813" s="371"/>
    </row>
    <row r="2814" spans="26:26">
      <c r="Z2814" s="371"/>
    </row>
    <row r="2815" spans="26:26">
      <c r="Z2815" s="371"/>
    </row>
    <row r="2816" spans="26:26">
      <c r="Z2816" s="371"/>
    </row>
    <row r="2817" spans="26:26">
      <c r="Z2817" s="371"/>
    </row>
    <row r="2818" spans="26:26">
      <c r="Z2818" s="371"/>
    </row>
    <row r="2819" spans="26:26">
      <c r="Z2819" s="371"/>
    </row>
    <row r="2820" spans="26:26">
      <c r="Z2820" s="371"/>
    </row>
    <row r="2821" spans="26:26">
      <c r="Z2821" s="371"/>
    </row>
    <row r="2822" spans="26:26">
      <c r="Z2822" s="371"/>
    </row>
    <row r="2823" spans="26:26">
      <c r="Z2823" s="371"/>
    </row>
    <row r="2824" spans="26:26">
      <c r="Z2824" s="371"/>
    </row>
    <row r="2825" spans="26:26">
      <c r="Z2825" s="371"/>
    </row>
    <row r="2826" spans="26:26">
      <c r="Z2826" s="371"/>
    </row>
    <row r="2827" spans="26:26">
      <c r="Z2827" s="371"/>
    </row>
    <row r="2828" spans="26:26">
      <c r="Z2828" s="371"/>
    </row>
    <row r="2829" spans="26:26">
      <c r="Z2829" s="371"/>
    </row>
    <row r="2830" spans="26:26">
      <c r="Z2830" s="371"/>
    </row>
    <row r="2831" spans="26:26">
      <c r="Z2831" s="371"/>
    </row>
    <row r="2832" spans="26:26">
      <c r="Z2832" s="371"/>
    </row>
    <row r="2833" spans="26:26">
      <c r="Z2833" s="371"/>
    </row>
    <row r="2834" spans="26:26">
      <c r="Z2834" s="371"/>
    </row>
    <row r="2835" spans="26:26">
      <c r="Z2835" s="371"/>
    </row>
    <row r="2836" spans="26:26">
      <c r="Z2836" s="371"/>
    </row>
    <row r="2837" spans="26:26">
      <c r="Z2837" s="371"/>
    </row>
    <row r="2838" spans="26:26">
      <c r="Z2838" s="371"/>
    </row>
    <row r="2839" spans="26:26">
      <c r="Z2839" s="371"/>
    </row>
    <row r="2840" spans="26:26">
      <c r="Z2840" s="371"/>
    </row>
    <row r="2841" spans="26:26">
      <c r="Z2841" s="371"/>
    </row>
    <row r="2842" spans="26:26">
      <c r="Z2842" s="371"/>
    </row>
    <row r="2843" spans="26:26">
      <c r="Z2843" s="371"/>
    </row>
    <row r="2844" spans="26:26">
      <c r="Z2844" s="371"/>
    </row>
    <row r="2845" spans="26:26">
      <c r="Z2845" s="371"/>
    </row>
    <row r="2846" spans="26:26">
      <c r="Z2846" s="371"/>
    </row>
    <row r="2847" spans="26:26">
      <c r="Z2847" s="371"/>
    </row>
    <row r="2848" spans="26:26">
      <c r="Z2848" s="371"/>
    </row>
    <row r="2849" spans="26:26">
      <c r="Z2849" s="371"/>
    </row>
    <row r="2850" spans="26:26">
      <c r="Z2850" s="371"/>
    </row>
    <row r="2851" spans="26:26">
      <c r="Z2851" s="371"/>
    </row>
    <row r="2852" spans="26:26">
      <c r="Z2852" s="371"/>
    </row>
    <row r="2853" spans="26:26">
      <c r="Z2853" s="371"/>
    </row>
    <row r="2854" spans="26:26">
      <c r="Z2854" s="371"/>
    </row>
    <row r="2855" spans="26:26">
      <c r="Z2855" s="371"/>
    </row>
    <row r="2856" spans="26:26">
      <c r="Z2856" s="371"/>
    </row>
    <row r="2857" spans="26:26">
      <c r="Z2857" s="371"/>
    </row>
    <row r="2858" spans="26:26">
      <c r="Z2858" s="371"/>
    </row>
    <row r="2859" spans="26:26">
      <c r="Z2859" s="371"/>
    </row>
    <row r="2860" spans="26:26">
      <c r="Z2860" s="371"/>
    </row>
    <row r="2861" spans="26:26">
      <c r="Z2861" s="371"/>
    </row>
    <row r="2862" spans="26:26">
      <c r="Z2862" s="371"/>
    </row>
    <row r="2863" spans="26:26">
      <c r="Z2863" s="371"/>
    </row>
    <row r="2864" spans="26:26">
      <c r="Z2864" s="371"/>
    </row>
    <row r="2865" spans="26:26">
      <c r="Z2865" s="371"/>
    </row>
    <row r="2866" spans="26:26">
      <c r="Z2866" s="371"/>
    </row>
    <row r="2867" spans="26:26">
      <c r="Z2867" s="371"/>
    </row>
    <row r="2868" spans="26:26">
      <c r="Z2868" s="371"/>
    </row>
    <row r="2869" spans="26:26">
      <c r="Z2869" s="371"/>
    </row>
    <row r="2870" spans="26:26">
      <c r="Z2870" s="371"/>
    </row>
    <row r="2871" spans="26:26">
      <c r="Z2871" s="371"/>
    </row>
    <row r="2872" spans="26:26">
      <c r="Z2872" s="371"/>
    </row>
    <row r="2873" spans="26:26">
      <c r="Z2873" s="371"/>
    </row>
    <row r="2874" spans="26:26">
      <c r="Z2874" s="371"/>
    </row>
    <row r="2875" spans="26:26">
      <c r="Z2875" s="371"/>
    </row>
    <row r="2876" spans="26:26">
      <c r="Z2876" s="371"/>
    </row>
    <row r="2877" spans="26:26">
      <c r="Z2877" s="371"/>
    </row>
    <row r="2878" spans="26:26">
      <c r="Z2878" s="371"/>
    </row>
    <row r="2879" spans="26:26">
      <c r="Z2879" s="371"/>
    </row>
    <row r="2880" spans="26:26">
      <c r="Z2880" s="371"/>
    </row>
    <row r="2881" spans="26:26">
      <c r="Z2881" s="371"/>
    </row>
    <row r="2882" spans="26:26">
      <c r="Z2882" s="371"/>
    </row>
    <row r="2883" spans="26:26">
      <c r="Z2883" s="371"/>
    </row>
    <row r="2884" spans="26:26">
      <c r="Z2884" s="371"/>
    </row>
    <row r="2885" spans="26:26">
      <c r="Z2885" s="371"/>
    </row>
    <row r="2886" spans="26:26">
      <c r="Z2886" s="371"/>
    </row>
    <row r="2887" spans="26:26">
      <c r="Z2887" s="371"/>
    </row>
    <row r="2888" spans="26:26">
      <c r="Z2888" s="371"/>
    </row>
    <row r="2889" spans="26:26">
      <c r="Z2889" s="371"/>
    </row>
    <row r="2890" spans="26:26">
      <c r="Z2890" s="371"/>
    </row>
    <row r="2891" spans="26:26">
      <c r="Z2891" s="371"/>
    </row>
    <row r="2892" spans="26:26">
      <c r="Z2892" s="371"/>
    </row>
    <row r="2893" spans="26:26">
      <c r="Z2893" s="371"/>
    </row>
    <row r="2894" spans="26:26">
      <c r="Z2894" s="371"/>
    </row>
    <row r="2895" spans="26:26">
      <c r="Z2895" s="371"/>
    </row>
    <row r="2896" spans="26:26">
      <c r="Z2896" s="371"/>
    </row>
    <row r="2897" spans="26:26">
      <c r="Z2897" s="371"/>
    </row>
    <row r="2898" spans="26:26">
      <c r="Z2898" s="371"/>
    </row>
    <row r="2899" spans="26:26">
      <c r="Z2899" s="371"/>
    </row>
    <row r="2900" spans="26:26">
      <c r="Z2900" s="371"/>
    </row>
    <row r="2901" spans="26:26">
      <c r="Z2901" s="371"/>
    </row>
    <row r="2902" spans="26:26">
      <c r="Z2902" s="371"/>
    </row>
    <row r="2903" spans="26:26">
      <c r="Z2903" s="371"/>
    </row>
    <row r="2904" spans="26:26">
      <c r="Z2904" s="371"/>
    </row>
    <row r="2905" spans="26:26">
      <c r="Z2905" s="371"/>
    </row>
    <row r="2906" spans="26:26">
      <c r="Z2906" s="371"/>
    </row>
    <row r="2907" spans="26:26">
      <c r="Z2907" s="371"/>
    </row>
    <row r="2908" spans="26:26">
      <c r="Z2908" s="371"/>
    </row>
    <row r="2909" spans="26:26">
      <c r="Z2909" s="371"/>
    </row>
    <row r="2910" spans="26:26">
      <c r="Z2910" s="371"/>
    </row>
    <row r="2911" spans="26:26">
      <c r="Z2911" s="371"/>
    </row>
    <row r="2912" spans="26:26">
      <c r="Z2912" s="371"/>
    </row>
    <row r="2913" spans="26:26">
      <c r="Z2913" s="371"/>
    </row>
    <row r="2914" spans="26:26">
      <c r="Z2914" s="371"/>
    </row>
    <row r="2915" spans="26:26">
      <c r="Z2915" s="371"/>
    </row>
    <row r="2916" spans="26:26">
      <c r="Z2916" s="371"/>
    </row>
    <row r="2917" spans="26:26">
      <c r="Z2917" s="371"/>
    </row>
    <row r="2918" spans="26:26">
      <c r="Z2918" s="371"/>
    </row>
    <row r="2919" spans="26:26">
      <c r="Z2919" s="371"/>
    </row>
    <row r="2920" spans="26:26">
      <c r="Z2920" s="371"/>
    </row>
    <row r="2921" spans="26:26">
      <c r="Z2921" s="371"/>
    </row>
    <row r="2922" spans="26:26">
      <c r="Z2922" s="371"/>
    </row>
    <row r="2923" spans="26:26">
      <c r="Z2923" s="371"/>
    </row>
    <row r="2924" spans="26:26">
      <c r="Z2924" s="371"/>
    </row>
    <row r="2925" spans="26:26">
      <c r="Z2925" s="371"/>
    </row>
    <row r="2926" spans="26:26">
      <c r="Z2926" s="371"/>
    </row>
    <row r="2927" spans="26:26">
      <c r="Z2927" s="371"/>
    </row>
    <row r="2928" spans="26:26">
      <c r="Z2928" s="371"/>
    </row>
    <row r="2929" spans="26:26">
      <c r="Z2929" s="371"/>
    </row>
    <row r="2930" spans="26:26">
      <c r="Z2930" s="371"/>
    </row>
    <row r="2931" spans="26:26">
      <c r="Z2931" s="371"/>
    </row>
    <row r="2932" spans="26:26">
      <c r="Z2932" s="371"/>
    </row>
    <row r="2933" spans="26:26">
      <c r="Z2933" s="371"/>
    </row>
    <row r="2934" spans="26:26">
      <c r="Z2934" s="371"/>
    </row>
    <row r="2935" spans="26:26">
      <c r="Z2935" s="371"/>
    </row>
    <row r="2936" spans="26:26">
      <c r="Z2936" s="371"/>
    </row>
    <row r="2937" spans="26:26">
      <c r="Z2937" s="371"/>
    </row>
    <row r="2938" spans="26:26">
      <c r="Z2938" s="371"/>
    </row>
    <row r="2939" spans="26:26">
      <c r="Z2939" s="371"/>
    </row>
    <row r="2940" spans="26:26">
      <c r="Z2940" s="371"/>
    </row>
    <row r="2941" spans="26:26">
      <c r="Z2941" s="371"/>
    </row>
    <row r="2942" spans="26:26">
      <c r="Z2942" s="371"/>
    </row>
    <row r="2943" spans="26:26">
      <c r="Z2943" s="371"/>
    </row>
    <row r="2944" spans="26:26">
      <c r="Z2944" s="371"/>
    </row>
    <row r="2945" spans="26:26">
      <c r="Z2945" s="371"/>
    </row>
    <row r="2946" spans="26:26">
      <c r="Z2946" s="371"/>
    </row>
    <row r="2947" spans="26:26">
      <c r="Z2947" s="371"/>
    </row>
    <row r="2948" spans="26:26">
      <c r="Z2948" s="371"/>
    </row>
    <row r="2949" spans="26:26">
      <c r="Z2949" s="371"/>
    </row>
    <row r="2950" spans="26:26">
      <c r="Z2950" s="371"/>
    </row>
    <row r="2951" spans="26:26">
      <c r="Z2951" s="371"/>
    </row>
    <row r="2952" spans="26:26">
      <c r="Z2952" s="371"/>
    </row>
    <row r="2953" spans="26:26">
      <c r="Z2953" s="371"/>
    </row>
    <row r="2954" spans="26:26">
      <c r="Z2954" s="371"/>
    </row>
    <row r="2955" spans="26:26">
      <c r="Z2955" s="371"/>
    </row>
    <row r="2956" spans="26:26">
      <c r="Z2956" s="371"/>
    </row>
    <row r="2957" spans="26:26">
      <c r="Z2957" s="371"/>
    </row>
    <row r="2958" spans="26:26">
      <c r="Z2958" s="371"/>
    </row>
    <row r="2959" spans="26:26">
      <c r="Z2959" s="371"/>
    </row>
    <row r="2960" spans="26:26">
      <c r="Z2960" s="371"/>
    </row>
    <row r="2961" spans="26:26">
      <c r="Z2961" s="371"/>
    </row>
    <row r="2962" spans="26:26">
      <c r="Z2962" s="371"/>
    </row>
    <row r="2963" spans="26:26">
      <c r="Z2963" s="371"/>
    </row>
    <row r="2964" spans="26:26">
      <c r="Z2964" s="371"/>
    </row>
    <row r="2965" spans="26:26">
      <c r="Z2965" s="371"/>
    </row>
    <row r="2966" spans="26:26">
      <c r="Z2966" s="371"/>
    </row>
    <row r="2967" spans="26:26">
      <c r="Z2967" s="371"/>
    </row>
    <row r="2968" spans="26:26">
      <c r="Z2968" s="371"/>
    </row>
    <row r="2969" spans="26:26">
      <c r="Z2969" s="371"/>
    </row>
    <row r="2970" spans="26:26">
      <c r="Z2970" s="371"/>
    </row>
    <row r="2971" spans="26:26">
      <c r="Z2971" s="371"/>
    </row>
    <row r="2972" spans="26:26">
      <c r="Z2972" s="371"/>
    </row>
    <row r="2973" spans="26:26">
      <c r="Z2973" s="371"/>
    </row>
    <row r="2974" spans="26:26">
      <c r="Z2974" s="371"/>
    </row>
    <row r="2975" spans="26:26">
      <c r="Z2975" s="371"/>
    </row>
    <row r="2976" spans="26:26">
      <c r="Z2976" s="371"/>
    </row>
    <row r="2977" spans="26:26">
      <c r="Z2977" s="371"/>
    </row>
    <row r="2978" spans="26:26">
      <c r="Z2978" s="371"/>
    </row>
    <row r="2979" spans="26:26">
      <c r="Z2979" s="371"/>
    </row>
    <row r="2980" spans="26:26">
      <c r="Z2980" s="371"/>
    </row>
    <row r="2981" spans="26:26">
      <c r="Z2981" s="371"/>
    </row>
    <row r="2982" spans="26:26">
      <c r="Z2982" s="371"/>
    </row>
    <row r="2983" spans="26:26">
      <c r="Z2983" s="371"/>
    </row>
    <row r="2984" spans="26:26">
      <c r="Z2984" s="371"/>
    </row>
    <row r="2985" spans="26:26">
      <c r="Z2985" s="371"/>
    </row>
    <row r="2986" spans="26:26">
      <c r="Z2986" s="371"/>
    </row>
    <row r="2987" spans="26:26">
      <c r="Z2987" s="371"/>
    </row>
    <row r="2988" spans="26:26">
      <c r="Z2988" s="371"/>
    </row>
    <row r="2989" spans="26:26">
      <c r="Z2989" s="371"/>
    </row>
    <row r="2990" spans="26:26">
      <c r="Z2990" s="371"/>
    </row>
    <row r="2991" spans="26:26">
      <c r="Z2991" s="371"/>
    </row>
    <row r="2992" spans="26:26">
      <c r="Z2992" s="371"/>
    </row>
    <row r="2993" spans="26:26">
      <c r="Z2993" s="371"/>
    </row>
    <row r="2994" spans="26:26">
      <c r="Z2994" s="371"/>
    </row>
    <row r="2995" spans="26:26">
      <c r="Z2995" s="371"/>
    </row>
    <row r="2996" spans="26:26">
      <c r="Z2996" s="371"/>
    </row>
    <row r="2997" spans="26:26">
      <c r="Z2997" s="371"/>
    </row>
    <row r="2998" spans="26:26">
      <c r="Z2998" s="371"/>
    </row>
    <row r="2999" spans="26:26">
      <c r="Z2999" s="371"/>
    </row>
    <row r="3000" spans="26:26">
      <c r="Z3000" s="371"/>
    </row>
    <row r="3001" spans="26:26">
      <c r="Z3001" s="371"/>
    </row>
    <row r="3002" spans="26:26">
      <c r="Z3002" s="371"/>
    </row>
    <row r="3003" spans="26:26">
      <c r="Z3003" s="371"/>
    </row>
    <row r="3004" spans="26:26">
      <c r="Z3004" s="371"/>
    </row>
    <row r="3005" spans="26:26">
      <c r="Z3005" s="371"/>
    </row>
    <row r="3006" spans="26:26">
      <c r="Z3006" s="371"/>
    </row>
    <row r="3007" spans="26:26">
      <c r="Z3007" s="371"/>
    </row>
    <row r="3008" spans="26:26">
      <c r="Z3008" s="371"/>
    </row>
    <row r="3009" spans="26:26">
      <c r="Z3009" s="371"/>
    </row>
    <row r="3010" spans="26:26">
      <c r="Z3010" s="371"/>
    </row>
    <row r="3011" spans="26:26">
      <c r="Z3011" s="371"/>
    </row>
    <row r="3012" spans="26:26">
      <c r="Z3012" s="371"/>
    </row>
    <row r="3013" spans="26:26">
      <c r="Z3013" s="371"/>
    </row>
    <row r="3014" spans="26:26">
      <c r="Z3014" s="371"/>
    </row>
    <row r="3015" spans="26:26">
      <c r="Z3015" s="371"/>
    </row>
    <row r="3016" spans="26:26">
      <c r="Z3016" s="371"/>
    </row>
    <row r="3017" spans="26:26">
      <c r="Z3017" s="371"/>
    </row>
    <row r="3018" spans="26:26">
      <c r="Z3018" s="371"/>
    </row>
    <row r="3019" spans="26:26">
      <c r="Z3019" s="371"/>
    </row>
    <row r="3020" spans="26:26">
      <c r="Z3020" s="371"/>
    </row>
    <row r="3021" spans="26:26">
      <c r="Z3021" s="371"/>
    </row>
    <row r="3022" spans="26:26">
      <c r="Z3022" s="371"/>
    </row>
    <row r="3023" spans="26:26">
      <c r="Z3023" s="371"/>
    </row>
    <row r="3024" spans="26:26">
      <c r="Z3024" s="371"/>
    </row>
    <row r="3025" spans="26:26">
      <c r="Z3025" s="371"/>
    </row>
    <row r="3026" spans="26:26">
      <c r="Z3026" s="371"/>
    </row>
    <row r="3027" spans="26:26">
      <c r="Z3027" s="371"/>
    </row>
    <row r="3028" spans="26:26">
      <c r="Z3028" s="371"/>
    </row>
    <row r="3029" spans="26:26">
      <c r="Z3029" s="371"/>
    </row>
    <row r="3030" spans="26:26">
      <c r="Z3030" s="371"/>
    </row>
    <row r="3031" spans="26:26">
      <c r="Z3031" s="371"/>
    </row>
    <row r="3032" spans="26:26">
      <c r="Z3032" s="371"/>
    </row>
    <row r="3033" spans="26:26">
      <c r="Z3033" s="371"/>
    </row>
    <row r="3034" spans="26:26">
      <c r="Z3034" s="371"/>
    </row>
    <row r="3035" spans="26:26">
      <c r="Z3035" s="371"/>
    </row>
    <row r="3036" spans="26:26">
      <c r="Z3036" s="371"/>
    </row>
    <row r="3037" spans="26:26">
      <c r="Z3037" s="371"/>
    </row>
    <row r="3038" spans="26:26">
      <c r="Z3038" s="371"/>
    </row>
    <row r="3039" spans="26:26">
      <c r="Z3039" s="371"/>
    </row>
    <row r="3040" spans="26:26">
      <c r="Z3040" s="371"/>
    </row>
    <row r="3041" spans="26:26">
      <c r="Z3041" s="371"/>
    </row>
    <row r="3042" spans="26:26">
      <c r="Z3042" s="371"/>
    </row>
    <row r="3043" spans="26:26">
      <c r="Z3043" s="371"/>
    </row>
    <row r="3044" spans="26:26">
      <c r="Z3044" s="371"/>
    </row>
    <row r="3045" spans="26:26">
      <c r="Z3045" s="371"/>
    </row>
    <row r="3046" spans="26:26">
      <c r="Z3046" s="371"/>
    </row>
    <row r="3047" spans="26:26">
      <c r="Z3047" s="371"/>
    </row>
    <row r="3048" spans="26:26">
      <c r="Z3048" s="371"/>
    </row>
    <row r="3049" spans="26:26">
      <c r="Z3049" s="371"/>
    </row>
    <row r="3050" spans="26:26">
      <c r="Z3050" s="371"/>
    </row>
    <row r="3051" spans="26:26">
      <c r="Z3051" s="371"/>
    </row>
    <row r="3052" spans="26:26">
      <c r="Z3052" s="371"/>
    </row>
    <row r="3053" spans="26:26">
      <c r="Z3053" s="371"/>
    </row>
    <row r="3054" spans="26:26">
      <c r="Z3054" s="371"/>
    </row>
    <row r="3055" spans="26:26">
      <c r="Z3055" s="371"/>
    </row>
    <row r="3056" spans="26:26">
      <c r="Z3056" s="371"/>
    </row>
    <row r="3057" spans="26:26">
      <c r="Z3057" s="371"/>
    </row>
    <row r="3058" spans="26:26">
      <c r="Z3058" s="371"/>
    </row>
    <row r="3059" spans="26:26">
      <c r="Z3059" s="371"/>
    </row>
    <row r="3060" spans="26:26">
      <c r="Z3060" s="371"/>
    </row>
    <row r="3061" spans="26:26">
      <c r="Z3061" s="371"/>
    </row>
    <row r="3062" spans="26:26">
      <c r="Z3062" s="371"/>
    </row>
    <row r="3063" spans="26:26">
      <c r="Z3063" s="371"/>
    </row>
    <row r="3064" spans="26:26">
      <c r="Z3064" s="371"/>
    </row>
    <row r="3065" spans="26:26">
      <c r="Z3065" s="371"/>
    </row>
    <row r="3066" spans="26:26">
      <c r="Z3066" s="371"/>
    </row>
    <row r="3067" spans="26:26">
      <c r="Z3067" s="371"/>
    </row>
    <row r="3068" spans="26:26">
      <c r="Z3068" s="371"/>
    </row>
    <row r="3069" spans="26:26">
      <c r="Z3069" s="371"/>
    </row>
    <row r="3070" spans="26:26">
      <c r="Z3070" s="371"/>
    </row>
    <row r="3071" spans="26:26">
      <c r="Z3071" s="371"/>
    </row>
    <row r="3072" spans="26:26">
      <c r="Z3072" s="371"/>
    </row>
    <row r="3073" spans="26:26">
      <c r="Z3073" s="371"/>
    </row>
    <row r="3074" spans="26:26">
      <c r="Z3074" s="371"/>
    </row>
    <row r="3075" spans="26:26">
      <c r="Z3075" s="371"/>
    </row>
    <row r="3076" spans="26:26">
      <c r="Z3076" s="371"/>
    </row>
    <row r="3077" spans="26:26">
      <c r="Z3077" s="371"/>
    </row>
    <row r="3078" spans="26:26">
      <c r="Z3078" s="371"/>
    </row>
    <row r="3079" spans="26:26">
      <c r="Z3079" s="371"/>
    </row>
    <row r="3080" spans="26:26">
      <c r="Z3080" s="371"/>
    </row>
    <row r="3081" spans="26:26">
      <c r="Z3081" s="371"/>
    </row>
    <row r="3082" spans="26:26">
      <c r="Z3082" s="371"/>
    </row>
    <row r="3083" spans="26:26">
      <c r="Z3083" s="371"/>
    </row>
    <row r="3084" spans="26:26">
      <c r="Z3084" s="371"/>
    </row>
    <row r="3085" spans="26:26">
      <c r="Z3085" s="371"/>
    </row>
    <row r="3086" spans="26:26">
      <c r="Z3086" s="371"/>
    </row>
    <row r="3087" spans="26:26">
      <c r="Z3087" s="371"/>
    </row>
    <row r="3088" spans="26:26">
      <c r="Z3088" s="371"/>
    </row>
    <row r="3089" spans="26:26">
      <c r="Z3089" s="371"/>
    </row>
    <row r="3090" spans="26:26">
      <c r="Z3090" s="371"/>
    </row>
    <row r="3091" spans="26:26">
      <c r="Z3091" s="371"/>
    </row>
    <row r="3092" spans="26:26">
      <c r="Z3092" s="371"/>
    </row>
    <row r="3093" spans="26:26">
      <c r="Z3093" s="371"/>
    </row>
    <row r="3094" spans="26:26">
      <c r="Z3094" s="371"/>
    </row>
    <row r="3095" spans="26:26">
      <c r="Z3095" s="371"/>
    </row>
    <row r="3096" spans="26:26">
      <c r="Z3096" s="371"/>
    </row>
    <row r="3097" spans="26:26">
      <c r="Z3097" s="371"/>
    </row>
    <row r="3098" spans="26:26">
      <c r="Z3098" s="371"/>
    </row>
    <row r="3099" spans="26:26">
      <c r="Z3099" s="371"/>
    </row>
    <row r="3100" spans="26:26">
      <c r="Z3100" s="371"/>
    </row>
    <row r="3101" spans="26:26">
      <c r="Z3101" s="371"/>
    </row>
    <row r="3102" spans="26:26">
      <c r="Z3102" s="371"/>
    </row>
    <row r="3103" spans="26:26">
      <c r="Z3103" s="371"/>
    </row>
    <row r="3104" spans="26:26">
      <c r="Z3104" s="371"/>
    </row>
    <row r="3105" spans="26:26">
      <c r="Z3105" s="371"/>
    </row>
    <row r="3106" spans="26:26">
      <c r="Z3106" s="371"/>
    </row>
    <row r="3107" spans="26:26">
      <c r="Z3107" s="371"/>
    </row>
    <row r="3108" spans="26:26">
      <c r="Z3108" s="371"/>
    </row>
    <row r="3109" spans="26:26">
      <c r="Z3109" s="371"/>
    </row>
    <row r="3110" spans="26:26">
      <c r="Z3110" s="371"/>
    </row>
    <row r="3111" spans="26:26">
      <c r="Z3111" s="371"/>
    </row>
    <row r="3112" spans="26:26">
      <c r="Z3112" s="371"/>
    </row>
    <row r="3113" spans="26:26">
      <c r="Z3113" s="371"/>
    </row>
    <row r="3114" spans="26:26">
      <c r="Z3114" s="371"/>
    </row>
    <row r="3115" spans="26:26">
      <c r="Z3115" s="371"/>
    </row>
    <row r="3116" spans="26:26">
      <c r="Z3116" s="371"/>
    </row>
    <row r="3117" spans="26:26">
      <c r="Z3117" s="371"/>
    </row>
    <row r="3118" spans="26:26">
      <c r="Z3118" s="371"/>
    </row>
    <row r="3119" spans="26:26">
      <c r="Z3119" s="371"/>
    </row>
    <row r="3120" spans="26:26">
      <c r="Z3120" s="371"/>
    </row>
    <row r="3121" spans="26:26">
      <c r="Z3121" s="371"/>
    </row>
    <row r="3122" spans="26:26">
      <c r="Z3122" s="371"/>
    </row>
    <row r="3123" spans="26:26">
      <c r="Z3123" s="371"/>
    </row>
    <row r="3124" spans="26:26">
      <c r="Z3124" s="371"/>
    </row>
    <row r="3125" spans="26:26">
      <c r="Z3125" s="371"/>
    </row>
    <row r="3126" spans="26:26">
      <c r="Z3126" s="371"/>
    </row>
    <row r="3127" spans="26:26">
      <c r="Z3127" s="371"/>
    </row>
    <row r="3128" spans="26:26">
      <c r="Z3128" s="371"/>
    </row>
    <row r="3129" spans="26:26">
      <c r="Z3129" s="371"/>
    </row>
    <row r="3130" spans="26:26">
      <c r="Z3130" s="371"/>
    </row>
    <row r="3131" spans="26:26">
      <c r="Z3131" s="371"/>
    </row>
    <row r="3132" spans="26:26">
      <c r="Z3132" s="371"/>
    </row>
    <row r="3133" spans="26:26">
      <c r="Z3133" s="371"/>
    </row>
    <row r="3134" spans="26:26">
      <c r="Z3134" s="371"/>
    </row>
    <row r="3135" spans="26:26">
      <c r="Z3135" s="371"/>
    </row>
    <row r="3136" spans="26:26">
      <c r="Z3136" s="371"/>
    </row>
    <row r="3137" spans="26:26">
      <c r="Z3137" s="371"/>
    </row>
    <row r="3138" spans="26:26">
      <c r="Z3138" s="371"/>
    </row>
    <row r="3139" spans="26:26">
      <c r="Z3139" s="371"/>
    </row>
    <row r="3140" spans="26:26">
      <c r="Z3140" s="371"/>
    </row>
    <row r="3141" spans="26:26">
      <c r="Z3141" s="371"/>
    </row>
    <row r="3142" spans="26:26">
      <c r="Z3142" s="371"/>
    </row>
    <row r="3143" spans="26:26">
      <c r="Z3143" s="371"/>
    </row>
    <row r="3144" spans="26:26">
      <c r="Z3144" s="371"/>
    </row>
    <row r="3145" spans="26:26">
      <c r="Z3145" s="371"/>
    </row>
    <row r="3146" spans="26:26">
      <c r="Z3146" s="371"/>
    </row>
    <row r="3147" spans="26:26">
      <c r="Z3147" s="371"/>
    </row>
    <row r="3148" spans="26:26">
      <c r="Z3148" s="371"/>
    </row>
    <row r="3149" spans="26:26">
      <c r="Z3149" s="371"/>
    </row>
    <row r="3150" spans="26:26">
      <c r="Z3150" s="371"/>
    </row>
    <row r="3151" spans="26:26">
      <c r="Z3151" s="371"/>
    </row>
    <row r="3152" spans="26:26">
      <c r="Z3152" s="371"/>
    </row>
    <row r="3153" spans="26:26">
      <c r="Z3153" s="371"/>
    </row>
    <row r="3154" spans="26:26">
      <c r="Z3154" s="371"/>
    </row>
    <row r="3155" spans="26:26">
      <c r="Z3155" s="371"/>
    </row>
    <row r="3156" spans="26:26">
      <c r="Z3156" s="371"/>
    </row>
    <row r="3157" spans="26:26">
      <c r="Z3157" s="371"/>
    </row>
    <row r="3158" spans="26:26">
      <c r="Z3158" s="371"/>
    </row>
    <row r="3159" spans="26:26">
      <c r="Z3159" s="371"/>
    </row>
    <row r="3160" spans="26:26">
      <c r="Z3160" s="371"/>
    </row>
    <row r="3161" spans="26:26">
      <c r="Z3161" s="371"/>
    </row>
    <row r="3162" spans="26:26">
      <c r="Z3162" s="371"/>
    </row>
    <row r="3163" spans="26:26">
      <c r="Z3163" s="371"/>
    </row>
    <row r="3164" spans="26:26">
      <c r="Z3164" s="371"/>
    </row>
    <row r="3165" spans="26:26">
      <c r="Z3165" s="371"/>
    </row>
    <row r="3166" spans="26:26">
      <c r="Z3166" s="371"/>
    </row>
    <row r="3167" spans="26:26">
      <c r="Z3167" s="371"/>
    </row>
    <row r="3168" spans="26:26">
      <c r="Z3168" s="371"/>
    </row>
    <row r="3169" spans="26:26">
      <c r="Z3169" s="371"/>
    </row>
    <row r="3170" spans="26:26">
      <c r="Z3170" s="371"/>
    </row>
    <row r="3171" spans="26:26">
      <c r="Z3171" s="371"/>
    </row>
    <row r="3172" spans="26:26">
      <c r="Z3172" s="371"/>
    </row>
    <row r="3173" spans="26:26">
      <c r="Z3173" s="371"/>
    </row>
    <row r="3174" spans="26:26">
      <c r="Z3174" s="371"/>
    </row>
    <row r="3175" spans="26:26">
      <c r="Z3175" s="371"/>
    </row>
    <row r="3176" spans="26:26">
      <c r="Z3176" s="371"/>
    </row>
    <row r="3177" spans="26:26">
      <c r="Z3177" s="371"/>
    </row>
    <row r="3178" spans="26:26">
      <c r="Z3178" s="371"/>
    </row>
    <row r="3179" spans="26:26">
      <c r="Z3179" s="371"/>
    </row>
    <row r="3180" spans="26:26">
      <c r="Z3180" s="371"/>
    </row>
    <row r="3181" spans="26:26">
      <c r="Z3181" s="371"/>
    </row>
    <row r="3182" spans="26:26">
      <c r="Z3182" s="371"/>
    </row>
    <row r="3183" spans="26:26">
      <c r="Z3183" s="371"/>
    </row>
    <row r="3184" spans="26:26">
      <c r="Z3184" s="371"/>
    </row>
    <row r="3185" spans="26:26">
      <c r="Z3185" s="371"/>
    </row>
    <row r="3186" spans="26:26">
      <c r="Z3186" s="371"/>
    </row>
    <row r="3187" spans="26:26">
      <c r="Z3187" s="371"/>
    </row>
    <row r="3188" spans="26:26">
      <c r="Z3188" s="371"/>
    </row>
    <row r="3189" spans="26:26">
      <c r="Z3189" s="371"/>
    </row>
    <row r="3190" spans="26:26">
      <c r="Z3190" s="371"/>
    </row>
    <row r="3191" spans="26:26">
      <c r="Z3191" s="371"/>
    </row>
    <row r="3192" spans="26:26">
      <c r="Z3192" s="371"/>
    </row>
    <row r="3193" spans="26:26">
      <c r="Z3193" s="371"/>
    </row>
    <row r="3194" spans="26:26">
      <c r="Z3194" s="371"/>
    </row>
    <row r="3195" spans="26:26">
      <c r="Z3195" s="371"/>
    </row>
    <row r="3196" spans="26:26">
      <c r="Z3196" s="371"/>
    </row>
    <row r="3197" spans="26:26">
      <c r="Z3197" s="371"/>
    </row>
    <row r="3198" spans="26:26">
      <c r="Z3198" s="371"/>
    </row>
    <row r="3199" spans="26:26">
      <c r="Z3199" s="371"/>
    </row>
    <row r="3200" spans="26:26">
      <c r="Z3200" s="371"/>
    </row>
    <row r="3201" spans="26:26">
      <c r="Z3201" s="371"/>
    </row>
    <row r="3202" spans="26:26">
      <c r="Z3202" s="371"/>
    </row>
    <row r="3203" spans="26:26">
      <c r="Z3203" s="371"/>
    </row>
    <row r="3204" spans="26:26">
      <c r="Z3204" s="371"/>
    </row>
    <row r="3205" spans="26:26">
      <c r="Z3205" s="371"/>
    </row>
    <row r="3206" spans="26:26">
      <c r="Z3206" s="371"/>
    </row>
    <row r="3207" spans="26:26">
      <c r="Z3207" s="371"/>
    </row>
    <row r="3208" spans="26:26">
      <c r="Z3208" s="371"/>
    </row>
    <row r="3209" spans="26:26">
      <c r="Z3209" s="371"/>
    </row>
    <row r="3210" spans="26:26">
      <c r="Z3210" s="371"/>
    </row>
    <row r="3211" spans="26:26">
      <c r="Z3211" s="371"/>
    </row>
    <row r="3212" spans="26:26">
      <c r="Z3212" s="371"/>
    </row>
    <row r="3213" spans="26:26">
      <c r="Z3213" s="371"/>
    </row>
    <row r="3214" spans="26:26">
      <c r="Z3214" s="371"/>
    </row>
    <row r="3215" spans="26:26">
      <c r="Z3215" s="371"/>
    </row>
    <row r="3216" spans="26:26">
      <c r="Z3216" s="371"/>
    </row>
    <row r="3217" spans="26:26">
      <c r="Z3217" s="371"/>
    </row>
    <row r="3218" spans="26:26">
      <c r="Z3218" s="371"/>
    </row>
    <row r="3219" spans="26:26">
      <c r="Z3219" s="371"/>
    </row>
    <row r="3220" spans="26:26">
      <c r="Z3220" s="371"/>
    </row>
    <row r="3221" spans="26:26">
      <c r="Z3221" s="371"/>
    </row>
    <row r="3222" spans="26:26">
      <c r="Z3222" s="371"/>
    </row>
    <row r="3223" spans="26:26">
      <c r="Z3223" s="371"/>
    </row>
    <row r="3224" spans="26:26">
      <c r="Z3224" s="371"/>
    </row>
    <row r="3225" spans="26:26">
      <c r="Z3225" s="371"/>
    </row>
    <row r="3226" spans="26:26">
      <c r="Z3226" s="371"/>
    </row>
    <row r="3227" spans="26:26">
      <c r="Z3227" s="371"/>
    </row>
    <row r="3228" spans="26:26">
      <c r="Z3228" s="371"/>
    </row>
    <row r="3229" spans="26:26">
      <c r="Z3229" s="371"/>
    </row>
    <row r="3230" spans="26:26">
      <c r="Z3230" s="371"/>
    </row>
    <row r="3231" spans="26:26">
      <c r="Z3231" s="371"/>
    </row>
    <row r="3232" spans="26:26">
      <c r="Z3232" s="371"/>
    </row>
    <row r="3233" spans="26:26">
      <c r="Z3233" s="371"/>
    </row>
    <row r="3234" spans="26:26">
      <c r="Z3234" s="371"/>
    </row>
    <row r="3235" spans="26:26">
      <c r="Z3235" s="371"/>
    </row>
    <row r="3236" spans="26:26">
      <c r="Z3236" s="371"/>
    </row>
    <row r="3237" spans="26:26">
      <c r="Z3237" s="371"/>
    </row>
    <row r="3238" spans="26:26">
      <c r="Z3238" s="371"/>
    </row>
    <row r="3239" spans="26:26">
      <c r="Z3239" s="371"/>
    </row>
    <row r="3240" spans="26:26">
      <c r="Z3240" s="371"/>
    </row>
    <row r="3241" spans="26:26">
      <c r="Z3241" s="371"/>
    </row>
    <row r="3242" spans="26:26">
      <c r="Z3242" s="371"/>
    </row>
    <row r="3243" spans="26:26">
      <c r="Z3243" s="371"/>
    </row>
    <row r="3244" spans="26:26">
      <c r="Z3244" s="371"/>
    </row>
    <row r="3245" spans="26:26">
      <c r="Z3245" s="371"/>
    </row>
    <row r="3246" spans="26:26">
      <c r="Z3246" s="371"/>
    </row>
    <row r="3247" spans="26:26">
      <c r="Z3247" s="371"/>
    </row>
    <row r="3248" spans="26:26">
      <c r="Z3248" s="371"/>
    </row>
    <row r="3249" spans="26:26">
      <c r="Z3249" s="371"/>
    </row>
    <row r="3250" spans="26:26">
      <c r="Z3250" s="371"/>
    </row>
    <row r="3251" spans="26:26">
      <c r="Z3251" s="371"/>
    </row>
    <row r="3252" spans="26:26">
      <c r="Z3252" s="371"/>
    </row>
    <row r="3253" spans="26:26">
      <c r="Z3253" s="371"/>
    </row>
    <row r="3254" spans="26:26">
      <c r="Z3254" s="371"/>
    </row>
    <row r="3255" spans="26:26">
      <c r="Z3255" s="371"/>
    </row>
    <row r="3256" spans="26:26">
      <c r="Z3256" s="371"/>
    </row>
    <row r="3257" spans="26:26">
      <c r="Z3257" s="371"/>
    </row>
    <row r="3258" spans="26:26">
      <c r="Z3258" s="371"/>
    </row>
    <row r="3259" spans="26:26">
      <c r="Z3259" s="371"/>
    </row>
    <row r="3260" spans="26:26">
      <c r="Z3260" s="371"/>
    </row>
    <row r="3261" spans="26:26">
      <c r="Z3261" s="371"/>
    </row>
    <row r="3262" spans="26:26">
      <c r="Z3262" s="371"/>
    </row>
    <row r="3263" spans="26:26">
      <c r="Z3263" s="371"/>
    </row>
    <row r="3264" spans="26:26">
      <c r="Z3264" s="371"/>
    </row>
    <row r="3265" spans="26:26">
      <c r="Z3265" s="371"/>
    </row>
    <row r="3266" spans="26:26">
      <c r="Z3266" s="371"/>
    </row>
    <row r="3267" spans="26:26">
      <c r="Z3267" s="371"/>
    </row>
    <row r="3268" spans="26:26">
      <c r="Z3268" s="371"/>
    </row>
    <row r="3269" spans="26:26">
      <c r="Z3269" s="371"/>
    </row>
    <row r="3270" spans="26:26">
      <c r="Z3270" s="371"/>
    </row>
    <row r="3271" spans="26:26">
      <c r="Z3271" s="371"/>
    </row>
    <row r="3272" spans="26:26">
      <c r="Z3272" s="371"/>
    </row>
    <row r="3273" spans="26:26">
      <c r="Z3273" s="371"/>
    </row>
    <row r="3274" spans="26:26">
      <c r="Z3274" s="371"/>
    </row>
    <row r="3275" spans="26:26">
      <c r="Z3275" s="371"/>
    </row>
    <row r="3276" spans="26:26">
      <c r="Z3276" s="371"/>
    </row>
    <row r="3277" spans="26:26">
      <c r="Z3277" s="371"/>
    </row>
    <row r="3278" spans="26:26">
      <c r="Z3278" s="371"/>
    </row>
    <row r="3279" spans="26:26">
      <c r="Z3279" s="371"/>
    </row>
    <row r="3280" spans="26:26">
      <c r="Z3280" s="371"/>
    </row>
    <row r="3281" spans="26:26">
      <c r="Z3281" s="371"/>
    </row>
    <row r="3282" spans="26:26">
      <c r="Z3282" s="371"/>
    </row>
    <row r="3283" spans="26:26">
      <c r="Z3283" s="371"/>
    </row>
    <row r="3284" spans="26:26">
      <c r="Z3284" s="371"/>
    </row>
    <row r="3285" spans="26:26">
      <c r="Z3285" s="371"/>
    </row>
    <row r="3286" spans="26:26">
      <c r="Z3286" s="371"/>
    </row>
    <row r="3287" spans="26:26">
      <c r="Z3287" s="371"/>
    </row>
    <row r="3288" spans="26:26">
      <c r="Z3288" s="371"/>
    </row>
    <row r="3289" spans="26:26">
      <c r="Z3289" s="371"/>
    </row>
    <row r="3290" spans="26:26">
      <c r="Z3290" s="371"/>
    </row>
    <row r="3291" spans="26:26">
      <c r="Z3291" s="371"/>
    </row>
    <row r="3292" spans="26:26">
      <c r="Z3292" s="371"/>
    </row>
    <row r="3293" spans="26:26">
      <c r="Z3293" s="371"/>
    </row>
    <row r="3294" spans="26:26">
      <c r="Z3294" s="371"/>
    </row>
    <row r="3295" spans="26:26">
      <c r="Z3295" s="371"/>
    </row>
    <row r="3296" spans="26:26">
      <c r="Z3296" s="371"/>
    </row>
    <row r="3297" spans="26:26">
      <c r="Z3297" s="371"/>
    </row>
    <row r="3298" spans="26:26">
      <c r="Z3298" s="371"/>
    </row>
    <row r="3299" spans="26:26">
      <c r="Z3299" s="371"/>
    </row>
    <row r="3300" spans="26:26">
      <c r="Z3300" s="371"/>
    </row>
    <row r="3301" spans="26:26">
      <c r="Z3301" s="371"/>
    </row>
    <row r="3302" spans="26:26">
      <c r="Z3302" s="371"/>
    </row>
    <row r="3303" spans="26:26">
      <c r="Z3303" s="371"/>
    </row>
    <row r="3304" spans="26:26">
      <c r="Z3304" s="371"/>
    </row>
    <row r="3305" spans="26:26">
      <c r="Z3305" s="371"/>
    </row>
    <row r="3306" spans="26:26">
      <c r="Z3306" s="371"/>
    </row>
    <row r="3307" spans="26:26">
      <c r="Z3307" s="371"/>
    </row>
    <row r="3308" spans="26:26">
      <c r="Z3308" s="371"/>
    </row>
    <row r="3309" spans="26:26">
      <c r="Z3309" s="371"/>
    </row>
    <row r="3310" spans="26:26">
      <c r="Z3310" s="371"/>
    </row>
    <row r="3311" spans="26:26">
      <c r="Z3311" s="371"/>
    </row>
    <row r="3312" spans="26:26">
      <c r="Z3312" s="371"/>
    </row>
    <row r="3313" spans="26:26">
      <c r="Z3313" s="371"/>
    </row>
    <row r="3314" spans="26:26">
      <c r="Z3314" s="371"/>
    </row>
    <row r="3315" spans="26:26">
      <c r="Z3315" s="371"/>
    </row>
    <row r="3316" spans="26:26">
      <c r="Z3316" s="371"/>
    </row>
    <row r="3317" spans="26:26">
      <c r="Z3317" s="371"/>
    </row>
    <row r="3318" spans="26:26">
      <c r="Z3318" s="371"/>
    </row>
    <row r="3319" spans="26:26">
      <c r="Z3319" s="371"/>
    </row>
    <row r="3320" spans="26:26">
      <c r="Z3320" s="371"/>
    </row>
    <row r="3321" spans="26:26">
      <c r="Z3321" s="371"/>
    </row>
    <row r="3322" spans="26:26">
      <c r="Z3322" s="371"/>
    </row>
    <row r="3323" spans="26:26">
      <c r="Z3323" s="371"/>
    </row>
    <row r="3324" spans="26:26">
      <c r="Z3324" s="371"/>
    </row>
    <row r="3325" spans="26:26">
      <c r="Z3325" s="371"/>
    </row>
    <row r="3326" spans="26:26">
      <c r="Z3326" s="371"/>
    </row>
    <row r="3327" spans="26:26">
      <c r="Z3327" s="371"/>
    </row>
    <row r="3328" spans="26:26">
      <c r="Z3328" s="371"/>
    </row>
    <row r="3329" spans="26:26">
      <c r="Z3329" s="371"/>
    </row>
    <row r="3330" spans="26:26">
      <c r="Z3330" s="371"/>
    </row>
    <row r="3331" spans="26:26">
      <c r="Z3331" s="371"/>
    </row>
    <row r="3332" spans="26:26">
      <c r="Z3332" s="371"/>
    </row>
    <row r="3333" spans="26:26">
      <c r="Z3333" s="371"/>
    </row>
    <row r="3334" spans="26:26">
      <c r="Z3334" s="371"/>
    </row>
    <row r="3335" spans="26:26">
      <c r="Z3335" s="371"/>
    </row>
    <row r="3336" spans="26:26">
      <c r="Z3336" s="371"/>
    </row>
    <row r="3337" spans="26:26">
      <c r="Z3337" s="371"/>
    </row>
    <row r="3338" spans="26:26">
      <c r="Z3338" s="371"/>
    </row>
    <row r="3339" spans="26:26">
      <c r="Z3339" s="371"/>
    </row>
    <row r="3340" spans="26:26">
      <c r="Z3340" s="371"/>
    </row>
    <row r="3341" spans="26:26">
      <c r="Z3341" s="371"/>
    </row>
    <row r="3342" spans="26:26">
      <c r="Z3342" s="371"/>
    </row>
    <row r="3343" spans="26:26">
      <c r="Z3343" s="371"/>
    </row>
    <row r="3344" spans="26:26">
      <c r="Z3344" s="371"/>
    </row>
    <row r="3345" spans="26:26">
      <c r="Z3345" s="371"/>
    </row>
    <row r="3346" spans="26:26">
      <c r="Z3346" s="371"/>
    </row>
    <row r="3347" spans="26:26">
      <c r="Z3347" s="371"/>
    </row>
    <row r="3348" spans="26:26">
      <c r="Z3348" s="371"/>
    </row>
    <row r="3349" spans="26:26">
      <c r="Z3349" s="371"/>
    </row>
    <row r="3350" spans="26:26">
      <c r="Z3350" s="371"/>
    </row>
    <row r="3351" spans="26:26">
      <c r="Z3351" s="371"/>
    </row>
    <row r="3352" spans="26:26">
      <c r="Z3352" s="371"/>
    </row>
    <row r="3353" spans="26:26">
      <c r="Z3353" s="371"/>
    </row>
    <row r="3354" spans="26:26">
      <c r="Z3354" s="371"/>
    </row>
    <row r="3355" spans="26:26">
      <c r="Z3355" s="371"/>
    </row>
    <row r="3356" spans="26:26">
      <c r="Z3356" s="371"/>
    </row>
    <row r="3357" spans="26:26">
      <c r="Z3357" s="371"/>
    </row>
    <row r="3358" spans="26:26">
      <c r="Z3358" s="371"/>
    </row>
    <row r="3359" spans="26:26">
      <c r="Z3359" s="371"/>
    </row>
    <row r="3360" spans="26:26">
      <c r="Z3360" s="371"/>
    </row>
    <row r="3361" spans="26:26">
      <c r="Z3361" s="371"/>
    </row>
    <row r="3362" spans="26:26">
      <c r="Z3362" s="371"/>
    </row>
    <row r="3363" spans="26:26">
      <c r="Z3363" s="371"/>
    </row>
    <row r="3364" spans="26:26">
      <c r="Z3364" s="371"/>
    </row>
    <row r="3365" spans="26:26">
      <c r="Z3365" s="371"/>
    </row>
    <row r="3366" spans="26:26">
      <c r="Z3366" s="371"/>
    </row>
    <row r="3367" spans="26:26">
      <c r="Z3367" s="371"/>
    </row>
    <row r="3368" spans="26:26">
      <c r="Z3368" s="371"/>
    </row>
    <row r="3369" spans="26:26">
      <c r="Z3369" s="371"/>
    </row>
    <row r="3370" spans="26:26">
      <c r="Z3370" s="371"/>
    </row>
    <row r="3371" spans="26:26">
      <c r="Z3371" s="371"/>
    </row>
    <row r="3372" spans="26:26">
      <c r="Z3372" s="371"/>
    </row>
    <row r="3373" spans="26:26">
      <c r="Z3373" s="371"/>
    </row>
    <row r="3374" spans="26:26">
      <c r="Z3374" s="371"/>
    </row>
    <row r="3375" spans="26:26">
      <c r="Z3375" s="371"/>
    </row>
    <row r="3376" spans="26:26">
      <c r="Z3376" s="371"/>
    </row>
    <row r="3377" spans="26:26">
      <c r="Z3377" s="371"/>
    </row>
    <row r="3378" spans="26:26">
      <c r="Z3378" s="371"/>
    </row>
    <row r="3379" spans="26:26">
      <c r="Z3379" s="371"/>
    </row>
    <row r="3380" spans="26:26">
      <c r="Z3380" s="371"/>
    </row>
    <row r="3381" spans="26:26">
      <c r="Z3381" s="371"/>
    </row>
    <row r="3382" spans="26:26">
      <c r="Z3382" s="371"/>
    </row>
    <row r="3383" spans="26:26">
      <c r="Z3383" s="371"/>
    </row>
    <row r="3384" spans="26:26">
      <c r="Z3384" s="371"/>
    </row>
    <row r="3385" spans="26:26">
      <c r="Z3385" s="371"/>
    </row>
    <row r="3386" spans="26:26">
      <c r="Z3386" s="371"/>
    </row>
    <row r="3387" spans="26:26">
      <c r="Z3387" s="371"/>
    </row>
    <row r="3388" spans="26:26">
      <c r="Z3388" s="371"/>
    </row>
    <row r="3389" spans="26:26">
      <c r="Z3389" s="371"/>
    </row>
    <row r="3390" spans="26:26">
      <c r="Z3390" s="371"/>
    </row>
    <row r="3391" spans="26:26">
      <c r="Z3391" s="371"/>
    </row>
    <row r="3392" spans="26:26">
      <c r="Z3392" s="371"/>
    </row>
    <row r="3393" spans="26:26">
      <c r="Z3393" s="371"/>
    </row>
    <row r="3394" spans="26:26">
      <c r="Z3394" s="371"/>
    </row>
    <row r="3395" spans="26:26">
      <c r="Z3395" s="371"/>
    </row>
    <row r="3396" spans="26:26">
      <c r="Z3396" s="371"/>
    </row>
    <row r="3397" spans="26:26">
      <c r="Z3397" s="371"/>
    </row>
    <row r="3398" spans="26:26">
      <c r="Z3398" s="371"/>
    </row>
    <row r="3399" spans="26:26">
      <c r="Z3399" s="371"/>
    </row>
    <row r="3400" spans="26:26">
      <c r="Z3400" s="371"/>
    </row>
    <row r="3401" spans="26:26">
      <c r="Z3401" s="371"/>
    </row>
    <row r="3402" spans="26:26">
      <c r="Z3402" s="371"/>
    </row>
    <row r="3403" spans="26:26">
      <c r="Z3403" s="371"/>
    </row>
    <row r="3404" spans="26:26">
      <c r="Z3404" s="371"/>
    </row>
    <row r="3405" spans="26:26">
      <c r="Z3405" s="371"/>
    </row>
    <row r="3406" spans="26:26">
      <c r="Z3406" s="371"/>
    </row>
    <row r="3407" spans="26:26">
      <c r="Z3407" s="371"/>
    </row>
    <row r="3408" spans="26:26">
      <c r="Z3408" s="371"/>
    </row>
    <row r="3409" spans="26:26">
      <c r="Z3409" s="371"/>
    </row>
    <row r="3410" spans="26:26">
      <c r="Z3410" s="371"/>
    </row>
    <row r="3411" spans="26:26">
      <c r="Z3411" s="371"/>
    </row>
    <row r="3412" spans="26:26">
      <c r="Z3412" s="371"/>
    </row>
    <row r="3413" spans="26:26">
      <c r="Z3413" s="371"/>
    </row>
    <row r="3414" spans="26:26">
      <c r="Z3414" s="371"/>
    </row>
    <row r="3415" spans="26:26">
      <c r="Z3415" s="371"/>
    </row>
    <row r="3416" spans="26:26">
      <c r="Z3416" s="371"/>
    </row>
    <row r="3417" spans="26:26">
      <c r="Z3417" s="371"/>
    </row>
    <row r="3418" spans="26:26">
      <c r="Z3418" s="371"/>
    </row>
    <row r="3419" spans="26:26">
      <c r="Z3419" s="371"/>
    </row>
    <row r="3420" spans="26:26">
      <c r="Z3420" s="371"/>
    </row>
    <row r="3421" spans="26:26">
      <c r="Z3421" s="371"/>
    </row>
    <row r="3422" spans="26:26">
      <c r="Z3422" s="371"/>
    </row>
    <row r="3423" spans="26:26">
      <c r="Z3423" s="371"/>
    </row>
    <row r="3424" spans="26:26">
      <c r="Z3424" s="371"/>
    </row>
    <row r="3425" spans="26:26">
      <c r="Z3425" s="371"/>
    </row>
    <row r="3426" spans="26:26">
      <c r="Z3426" s="371"/>
    </row>
    <row r="3427" spans="26:26">
      <c r="Z3427" s="371"/>
    </row>
    <row r="3428" spans="26:26">
      <c r="Z3428" s="371"/>
    </row>
    <row r="3429" spans="26:26">
      <c r="Z3429" s="371"/>
    </row>
    <row r="3430" spans="26:26">
      <c r="Z3430" s="371"/>
    </row>
    <row r="3431" spans="26:26">
      <c r="Z3431" s="371"/>
    </row>
    <row r="3432" spans="26:26">
      <c r="Z3432" s="371"/>
    </row>
    <row r="3433" spans="26:26">
      <c r="Z3433" s="371"/>
    </row>
    <row r="3434" spans="26:26">
      <c r="Z3434" s="371"/>
    </row>
    <row r="3435" spans="26:26">
      <c r="Z3435" s="371"/>
    </row>
    <row r="3436" spans="26:26">
      <c r="Z3436" s="371"/>
    </row>
    <row r="3437" spans="26:26">
      <c r="Z3437" s="371"/>
    </row>
    <row r="3438" spans="26:26">
      <c r="Z3438" s="371"/>
    </row>
    <row r="3439" spans="26:26">
      <c r="Z3439" s="371"/>
    </row>
    <row r="3440" spans="26:26">
      <c r="Z3440" s="371"/>
    </row>
    <row r="3441" spans="26:26">
      <c r="Z3441" s="371"/>
    </row>
    <row r="3442" spans="26:26">
      <c r="Z3442" s="371"/>
    </row>
    <row r="3443" spans="26:26">
      <c r="Z3443" s="371"/>
    </row>
    <row r="3444" spans="26:26">
      <c r="Z3444" s="371"/>
    </row>
    <row r="3445" spans="26:26">
      <c r="Z3445" s="371"/>
    </row>
    <row r="3446" spans="26:26">
      <c r="Z3446" s="371"/>
    </row>
    <row r="3447" spans="26:26">
      <c r="Z3447" s="371"/>
    </row>
    <row r="3448" spans="26:26">
      <c r="Z3448" s="371"/>
    </row>
    <row r="3449" spans="26:26">
      <c r="Z3449" s="371"/>
    </row>
    <row r="3450" spans="26:26">
      <c r="Z3450" s="371"/>
    </row>
    <row r="3451" spans="26:26">
      <c r="Z3451" s="371"/>
    </row>
    <row r="3452" spans="26:26">
      <c r="Z3452" s="371"/>
    </row>
    <row r="3453" spans="26:26">
      <c r="Z3453" s="371"/>
    </row>
    <row r="3454" spans="26:26">
      <c r="Z3454" s="371"/>
    </row>
    <row r="3455" spans="26:26">
      <c r="Z3455" s="371"/>
    </row>
    <row r="3456" spans="26:26">
      <c r="Z3456" s="371"/>
    </row>
    <row r="3457" spans="26:26">
      <c r="Z3457" s="371"/>
    </row>
    <row r="3458" spans="26:26">
      <c r="Z3458" s="371"/>
    </row>
    <row r="3459" spans="26:26">
      <c r="Z3459" s="371"/>
    </row>
    <row r="3460" spans="26:26">
      <c r="Z3460" s="371"/>
    </row>
    <row r="3461" spans="26:26">
      <c r="Z3461" s="371"/>
    </row>
    <row r="3462" spans="26:26">
      <c r="Z3462" s="371"/>
    </row>
    <row r="3463" spans="26:26">
      <c r="Z3463" s="371"/>
    </row>
    <row r="3464" spans="26:26">
      <c r="Z3464" s="371"/>
    </row>
    <row r="3465" spans="26:26">
      <c r="Z3465" s="371"/>
    </row>
    <row r="3466" spans="26:26">
      <c r="Z3466" s="371"/>
    </row>
    <row r="3467" spans="26:26">
      <c r="Z3467" s="371"/>
    </row>
    <row r="3468" spans="26:26">
      <c r="Z3468" s="371"/>
    </row>
    <row r="3469" spans="26:26">
      <c r="Z3469" s="371"/>
    </row>
    <row r="3470" spans="26:26">
      <c r="Z3470" s="371"/>
    </row>
    <row r="3471" spans="26:26">
      <c r="Z3471" s="371"/>
    </row>
    <row r="3472" spans="26:26">
      <c r="Z3472" s="371"/>
    </row>
    <row r="3473" spans="26:26">
      <c r="Z3473" s="371"/>
    </row>
    <row r="3474" spans="26:26">
      <c r="Z3474" s="371"/>
    </row>
    <row r="3475" spans="26:26">
      <c r="Z3475" s="371"/>
    </row>
    <row r="3476" spans="26:26">
      <c r="Z3476" s="371"/>
    </row>
    <row r="3477" spans="26:26">
      <c r="Z3477" s="371"/>
    </row>
    <row r="3478" spans="26:26">
      <c r="Z3478" s="371"/>
    </row>
    <row r="3479" spans="26:26">
      <c r="Z3479" s="371"/>
    </row>
    <row r="3480" spans="26:26">
      <c r="Z3480" s="371"/>
    </row>
    <row r="3481" spans="26:26">
      <c r="Z3481" s="371"/>
    </row>
    <row r="3482" spans="26:26">
      <c r="Z3482" s="371"/>
    </row>
    <row r="3483" spans="26:26">
      <c r="Z3483" s="371"/>
    </row>
    <row r="3484" spans="26:26">
      <c r="Z3484" s="371"/>
    </row>
    <row r="3485" spans="26:26">
      <c r="Z3485" s="371"/>
    </row>
    <row r="3486" spans="26:26">
      <c r="Z3486" s="371"/>
    </row>
    <row r="3487" spans="26:26">
      <c r="Z3487" s="371"/>
    </row>
    <row r="3488" spans="26:26">
      <c r="Z3488" s="371"/>
    </row>
    <row r="3489" spans="26:26">
      <c r="Z3489" s="371"/>
    </row>
    <row r="3490" spans="26:26">
      <c r="Z3490" s="371"/>
    </row>
    <row r="3491" spans="26:26">
      <c r="Z3491" s="371"/>
    </row>
    <row r="3492" spans="26:26">
      <c r="Z3492" s="371"/>
    </row>
    <row r="3493" spans="26:26">
      <c r="Z3493" s="371"/>
    </row>
    <row r="3494" spans="26:26">
      <c r="Z3494" s="371"/>
    </row>
    <row r="3495" spans="26:26">
      <c r="Z3495" s="371"/>
    </row>
    <row r="3496" spans="26:26">
      <c r="Z3496" s="371"/>
    </row>
    <row r="3497" spans="26:26">
      <c r="Z3497" s="371"/>
    </row>
    <row r="3498" spans="26:26">
      <c r="Z3498" s="371"/>
    </row>
    <row r="3499" spans="26:26">
      <c r="Z3499" s="371"/>
    </row>
    <row r="3500" spans="26:26">
      <c r="Z3500" s="371"/>
    </row>
    <row r="3501" spans="26:26">
      <c r="Z3501" s="371"/>
    </row>
    <row r="3502" spans="26:26">
      <c r="Z3502" s="371"/>
    </row>
    <row r="3503" spans="26:26">
      <c r="Z3503" s="371"/>
    </row>
    <row r="3504" spans="26:26">
      <c r="Z3504" s="371"/>
    </row>
    <row r="3505" spans="26:26">
      <c r="Z3505" s="371"/>
    </row>
    <row r="3506" spans="26:26">
      <c r="Z3506" s="371"/>
    </row>
    <row r="3507" spans="26:26">
      <c r="Z3507" s="371"/>
    </row>
    <row r="3508" spans="26:26">
      <c r="Z3508" s="371"/>
    </row>
    <row r="3509" spans="26:26">
      <c r="Z3509" s="371"/>
    </row>
    <row r="3510" spans="26:26">
      <c r="Z3510" s="371"/>
    </row>
    <row r="3511" spans="26:26">
      <c r="Z3511" s="371"/>
    </row>
    <row r="3512" spans="26:26">
      <c r="Z3512" s="371"/>
    </row>
    <row r="3513" spans="26:26">
      <c r="Z3513" s="371"/>
    </row>
    <row r="3514" spans="26:26">
      <c r="Z3514" s="371"/>
    </row>
    <row r="3515" spans="26:26">
      <c r="Z3515" s="371"/>
    </row>
    <row r="3516" spans="26:26">
      <c r="Z3516" s="371"/>
    </row>
    <row r="3517" spans="26:26">
      <c r="Z3517" s="371"/>
    </row>
    <row r="3518" spans="26:26">
      <c r="Z3518" s="371"/>
    </row>
    <row r="3519" spans="26:26">
      <c r="Z3519" s="371"/>
    </row>
    <row r="3520" spans="26:26">
      <c r="Z3520" s="371"/>
    </row>
    <row r="3521" spans="26:26">
      <c r="Z3521" s="371"/>
    </row>
    <row r="3522" spans="26:26">
      <c r="Z3522" s="371"/>
    </row>
    <row r="3523" spans="26:26">
      <c r="Z3523" s="371"/>
    </row>
    <row r="3524" spans="26:26">
      <c r="Z3524" s="371"/>
    </row>
    <row r="3525" spans="26:26">
      <c r="Z3525" s="371"/>
    </row>
    <row r="3526" spans="26:26">
      <c r="Z3526" s="371"/>
    </row>
    <row r="3527" spans="26:26">
      <c r="Z3527" s="371"/>
    </row>
    <row r="3528" spans="26:26">
      <c r="Z3528" s="371"/>
    </row>
    <row r="3529" spans="26:26">
      <c r="Z3529" s="371"/>
    </row>
    <row r="3530" spans="26:26">
      <c r="Z3530" s="371"/>
    </row>
    <row r="3531" spans="26:26">
      <c r="Z3531" s="371"/>
    </row>
    <row r="3532" spans="26:26">
      <c r="Z3532" s="371"/>
    </row>
    <row r="3533" spans="26:26">
      <c r="Z3533" s="371"/>
    </row>
    <row r="3534" spans="26:26">
      <c r="Z3534" s="371"/>
    </row>
    <row r="3535" spans="26:26">
      <c r="Z3535" s="371"/>
    </row>
    <row r="3536" spans="26:26">
      <c r="Z3536" s="371"/>
    </row>
    <row r="3537" spans="26:26">
      <c r="Z3537" s="371"/>
    </row>
    <row r="3538" spans="26:26">
      <c r="Z3538" s="371"/>
    </row>
    <row r="3539" spans="26:26">
      <c r="Z3539" s="371"/>
    </row>
    <row r="3540" spans="26:26">
      <c r="Z3540" s="371"/>
    </row>
    <row r="3541" spans="26:26">
      <c r="Z3541" s="371"/>
    </row>
    <row r="3542" spans="26:26">
      <c r="Z3542" s="371"/>
    </row>
    <row r="3543" spans="26:26">
      <c r="Z3543" s="371"/>
    </row>
    <row r="3544" spans="26:26">
      <c r="Z3544" s="371"/>
    </row>
    <row r="3545" spans="26:26">
      <c r="Z3545" s="371"/>
    </row>
    <row r="3546" spans="26:26">
      <c r="Z3546" s="371"/>
    </row>
    <row r="3547" spans="26:26">
      <c r="Z3547" s="371"/>
    </row>
    <row r="3548" spans="26:26">
      <c r="Z3548" s="371"/>
    </row>
    <row r="3549" spans="26:26">
      <c r="Z3549" s="371"/>
    </row>
    <row r="3550" spans="26:26">
      <c r="Z3550" s="371"/>
    </row>
    <row r="3551" spans="26:26">
      <c r="Z3551" s="371"/>
    </row>
    <row r="3552" spans="26:26">
      <c r="Z3552" s="371"/>
    </row>
    <row r="3553" spans="26:26">
      <c r="Z3553" s="371"/>
    </row>
    <row r="3554" spans="26:26">
      <c r="Z3554" s="371"/>
    </row>
    <row r="3555" spans="26:26">
      <c r="Z3555" s="371"/>
    </row>
    <row r="3556" spans="26:26">
      <c r="Z3556" s="371"/>
    </row>
    <row r="3557" spans="26:26">
      <c r="Z3557" s="371"/>
    </row>
    <row r="3558" spans="26:26">
      <c r="Z3558" s="371"/>
    </row>
    <row r="3559" spans="26:26">
      <c r="Z3559" s="371"/>
    </row>
    <row r="3560" spans="26:26">
      <c r="Z3560" s="371"/>
    </row>
    <row r="3561" spans="26:26">
      <c r="Z3561" s="371"/>
    </row>
    <row r="3562" spans="26:26">
      <c r="Z3562" s="371"/>
    </row>
    <row r="3563" spans="26:26">
      <c r="Z3563" s="371"/>
    </row>
    <row r="3564" spans="26:26">
      <c r="Z3564" s="371"/>
    </row>
    <row r="3565" spans="26:26">
      <c r="Z3565" s="371"/>
    </row>
    <row r="3566" spans="26:26">
      <c r="Z3566" s="371"/>
    </row>
    <row r="3567" spans="26:26">
      <c r="Z3567" s="371"/>
    </row>
    <row r="3568" spans="26:26">
      <c r="Z3568" s="371"/>
    </row>
    <row r="3569" spans="26:26">
      <c r="Z3569" s="371"/>
    </row>
    <row r="3570" spans="26:26">
      <c r="Z3570" s="371"/>
    </row>
    <row r="3571" spans="26:26">
      <c r="Z3571" s="371"/>
    </row>
    <row r="3572" spans="26:26">
      <c r="Z3572" s="371"/>
    </row>
    <row r="3573" spans="26:26">
      <c r="Z3573" s="371"/>
    </row>
    <row r="3574" spans="26:26">
      <c r="Z3574" s="371"/>
    </row>
    <row r="3575" spans="26:26">
      <c r="Z3575" s="371"/>
    </row>
    <row r="3576" spans="26:26">
      <c r="Z3576" s="371"/>
    </row>
    <row r="3577" spans="26:26">
      <c r="Z3577" s="371"/>
    </row>
    <row r="3578" spans="26:26">
      <c r="Z3578" s="371"/>
    </row>
    <row r="3579" spans="26:26">
      <c r="Z3579" s="371"/>
    </row>
    <row r="3580" spans="26:26">
      <c r="Z3580" s="371"/>
    </row>
    <row r="3581" spans="26:26">
      <c r="Z3581" s="371"/>
    </row>
    <row r="3582" spans="26:26">
      <c r="Z3582" s="371"/>
    </row>
    <row r="3583" spans="26:26">
      <c r="Z3583" s="371"/>
    </row>
    <row r="3584" spans="26:26">
      <c r="Z3584" s="371"/>
    </row>
    <row r="3585" spans="26:26">
      <c r="Z3585" s="371"/>
    </row>
    <row r="3586" spans="26:26">
      <c r="Z3586" s="371"/>
    </row>
    <row r="3587" spans="26:26">
      <c r="Z3587" s="371"/>
    </row>
    <row r="3588" spans="26:26">
      <c r="Z3588" s="371"/>
    </row>
    <row r="3589" spans="26:26">
      <c r="Z3589" s="371"/>
    </row>
    <row r="3590" spans="26:26">
      <c r="Z3590" s="371"/>
    </row>
    <row r="3591" spans="26:26">
      <c r="Z3591" s="371"/>
    </row>
    <row r="3592" spans="26:26">
      <c r="Z3592" s="371"/>
    </row>
    <row r="3593" spans="26:26">
      <c r="Z3593" s="371"/>
    </row>
    <row r="3594" spans="26:26">
      <c r="Z3594" s="371"/>
    </row>
    <row r="3595" spans="26:26">
      <c r="Z3595" s="371"/>
    </row>
    <row r="3596" spans="26:26">
      <c r="Z3596" s="371"/>
    </row>
    <row r="3597" spans="26:26">
      <c r="Z3597" s="371"/>
    </row>
    <row r="3598" spans="26:26">
      <c r="Z3598" s="371"/>
    </row>
    <row r="3599" spans="26:26">
      <c r="Z3599" s="371"/>
    </row>
    <row r="3600" spans="26:26">
      <c r="Z3600" s="371"/>
    </row>
    <row r="3601" spans="26:26">
      <c r="Z3601" s="371"/>
    </row>
    <row r="3602" spans="26:26">
      <c r="Z3602" s="371"/>
    </row>
    <row r="3603" spans="26:26">
      <c r="Z3603" s="371"/>
    </row>
    <row r="3604" spans="26:26">
      <c r="Z3604" s="371"/>
    </row>
    <row r="3605" spans="26:26">
      <c r="Z3605" s="371"/>
    </row>
    <row r="3606" spans="26:26">
      <c r="Z3606" s="371"/>
    </row>
    <row r="3607" spans="26:26">
      <c r="Z3607" s="371"/>
    </row>
    <row r="3608" spans="26:26">
      <c r="Z3608" s="371"/>
    </row>
    <row r="3609" spans="26:26">
      <c r="Z3609" s="371"/>
    </row>
    <row r="3610" spans="26:26">
      <c r="Z3610" s="371"/>
    </row>
    <row r="3611" spans="26:26">
      <c r="Z3611" s="371"/>
    </row>
    <row r="3612" spans="26:26">
      <c r="Z3612" s="371"/>
    </row>
    <row r="3613" spans="26:26">
      <c r="Z3613" s="371"/>
    </row>
    <row r="3614" spans="26:26">
      <c r="Z3614" s="371"/>
    </row>
    <row r="3615" spans="26:26">
      <c r="Z3615" s="371"/>
    </row>
    <row r="3616" spans="26:26">
      <c r="Z3616" s="371"/>
    </row>
    <row r="3617" spans="26:26">
      <c r="Z3617" s="371"/>
    </row>
    <row r="3618" spans="26:26">
      <c r="Z3618" s="371"/>
    </row>
    <row r="3619" spans="26:26">
      <c r="Z3619" s="371"/>
    </row>
    <row r="3620" spans="26:26">
      <c r="Z3620" s="371"/>
    </row>
    <row r="3621" spans="26:26">
      <c r="Z3621" s="371"/>
    </row>
    <row r="3622" spans="26:26">
      <c r="Z3622" s="371"/>
    </row>
    <row r="3623" spans="26:26">
      <c r="Z3623" s="371"/>
    </row>
    <row r="3624" spans="26:26">
      <c r="Z3624" s="371"/>
    </row>
    <row r="3625" spans="26:26">
      <c r="Z3625" s="371"/>
    </row>
    <row r="3626" spans="26:26">
      <c r="Z3626" s="371"/>
    </row>
    <row r="3627" spans="26:26">
      <c r="Z3627" s="371"/>
    </row>
    <row r="3628" spans="26:26">
      <c r="Z3628" s="371"/>
    </row>
    <row r="3629" spans="26:26">
      <c r="Z3629" s="371"/>
    </row>
    <row r="3630" spans="26:26">
      <c r="Z3630" s="371"/>
    </row>
    <row r="3631" spans="26:26">
      <c r="Z3631" s="371"/>
    </row>
    <row r="3632" spans="26:26">
      <c r="Z3632" s="371"/>
    </row>
    <row r="3633" spans="26:26">
      <c r="Z3633" s="371"/>
    </row>
    <row r="3634" spans="26:26">
      <c r="Z3634" s="371"/>
    </row>
    <row r="3635" spans="26:26">
      <c r="Z3635" s="371"/>
    </row>
    <row r="3636" spans="26:26">
      <c r="Z3636" s="371"/>
    </row>
    <row r="3637" spans="26:26">
      <c r="Z3637" s="371"/>
    </row>
    <row r="3638" spans="26:26">
      <c r="Z3638" s="371"/>
    </row>
    <row r="3639" spans="26:26">
      <c r="Z3639" s="371"/>
    </row>
    <row r="3640" spans="26:26">
      <c r="Z3640" s="371"/>
    </row>
    <row r="3641" spans="26:26">
      <c r="Z3641" s="371"/>
    </row>
    <row r="3642" spans="26:26">
      <c r="Z3642" s="371"/>
    </row>
    <row r="3643" spans="26:26">
      <c r="Z3643" s="371"/>
    </row>
    <row r="3644" spans="26:26">
      <c r="Z3644" s="371"/>
    </row>
    <row r="3645" spans="26:26">
      <c r="Z3645" s="371"/>
    </row>
    <row r="3646" spans="26:26">
      <c r="Z3646" s="371"/>
    </row>
    <row r="3647" spans="26:26">
      <c r="Z3647" s="371"/>
    </row>
    <row r="3648" spans="26:26">
      <c r="Z3648" s="371"/>
    </row>
    <row r="3649" spans="26:26">
      <c r="Z3649" s="371"/>
    </row>
    <row r="3650" spans="26:26">
      <c r="Z3650" s="371"/>
    </row>
    <row r="3651" spans="26:26">
      <c r="Z3651" s="371"/>
    </row>
    <row r="3652" spans="26:26">
      <c r="Z3652" s="371"/>
    </row>
    <row r="3653" spans="26:26">
      <c r="Z3653" s="371"/>
    </row>
    <row r="3654" spans="26:26">
      <c r="Z3654" s="371"/>
    </row>
    <row r="3655" spans="26:26">
      <c r="Z3655" s="371"/>
    </row>
    <row r="3656" spans="26:26">
      <c r="Z3656" s="371"/>
    </row>
    <row r="3657" spans="26:26">
      <c r="Z3657" s="371"/>
    </row>
    <row r="3658" spans="26:26">
      <c r="Z3658" s="371"/>
    </row>
    <row r="3659" spans="26:26">
      <c r="Z3659" s="371"/>
    </row>
    <row r="3660" spans="26:26">
      <c r="Z3660" s="371"/>
    </row>
    <row r="3661" spans="26:26">
      <c r="Z3661" s="371"/>
    </row>
    <row r="3662" spans="26:26">
      <c r="Z3662" s="371"/>
    </row>
    <row r="3663" spans="26:26">
      <c r="Z3663" s="371"/>
    </row>
    <row r="3664" spans="26:26">
      <c r="Z3664" s="371"/>
    </row>
    <row r="3665" spans="26:26">
      <c r="Z3665" s="371"/>
    </row>
    <row r="3666" spans="26:26">
      <c r="Z3666" s="371"/>
    </row>
    <row r="3667" spans="26:26">
      <c r="Z3667" s="371"/>
    </row>
    <row r="3668" spans="26:26">
      <c r="Z3668" s="371"/>
    </row>
    <row r="3669" spans="26:26">
      <c r="Z3669" s="371"/>
    </row>
    <row r="3670" spans="26:26">
      <c r="Z3670" s="371"/>
    </row>
    <row r="3671" spans="26:26">
      <c r="Z3671" s="371"/>
    </row>
    <row r="3672" spans="26:26">
      <c r="Z3672" s="371"/>
    </row>
    <row r="3673" spans="26:26">
      <c r="Z3673" s="371"/>
    </row>
    <row r="3674" spans="26:26">
      <c r="Z3674" s="371"/>
    </row>
    <row r="3675" spans="26:26">
      <c r="Z3675" s="371"/>
    </row>
    <row r="3676" spans="26:26">
      <c r="Z3676" s="371"/>
    </row>
    <row r="3677" spans="26:26">
      <c r="Z3677" s="371"/>
    </row>
    <row r="3678" spans="26:26">
      <c r="Z3678" s="371"/>
    </row>
    <row r="3679" spans="26:26">
      <c r="Z3679" s="371"/>
    </row>
    <row r="3680" spans="26:26">
      <c r="Z3680" s="371"/>
    </row>
    <row r="3681" spans="26:26">
      <c r="Z3681" s="371"/>
    </row>
    <row r="3682" spans="26:26">
      <c r="Z3682" s="371"/>
    </row>
    <row r="3683" spans="26:26">
      <c r="Z3683" s="371"/>
    </row>
    <row r="3684" spans="26:26">
      <c r="Z3684" s="371"/>
    </row>
    <row r="3685" spans="26:26">
      <c r="Z3685" s="371"/>
    </row>
    <row r="3686" spans="26:26">
      <c r="Z3686" s="371"/>
    </row>
    <row r="3687" spans="26:26">
      <c r="Z3687" s="371"/>
    </row>
    <row r="3688" spans="26:26">
      <c r="Z3688" s="371"/>
    </row>
    <row r="3689" spans="26:26">
      <c r="Z3689" s="371"/>
    </row>
    <row r="3690" spans="26:26">
      <c r="Z3690" s="371"/>
    </row>
    <row r="3691" spans="26:26">
      <c r="Z3691" s="371"/>
    </row>
    <row r="3692" spans="26:26">
      <c r="Z3692" s="371"/>
    </row>
    <row r="3693" spans="26:26">
      <c r="Z3693" s="371"/>
    </row>
    <row r="3694" spans="26:26">
      <c r="Z3694" s="371"/>
    </row>
    <row r="3695" spans="26:26">
      <c r="Z3695" s="371"/>
    </row>
    <row r="3696" spans="26:26">
      <c r="Z3696" s="371"/>
    </row>
    <row r="3697" spans="26:26">
      <c r="Z3697" s="371"/>
    </row>
    <row r="3698" spans="26:26">
      <c r="Z3698" s="371"/>
    </row>
    <row r="3699" spans="26:26">
      <c r="Z3699" s="371"/>
    </row>
    <row r="3700" spans="26:26">
      <c r="Z3700" s="371"/>
    </row>
    <row r="3701" spans="26:26">
      <c r="Z3701" s="371"/>
    </row>
    <row r="3702" spans="26:26">
      <c r="Z3702" s="371"/>
    </row>
    <row r="3703" spans="26:26">
      <c r="Z3703" s="371"/>
    </row>
    <row r="3704" spans="26:26">
      <c r="Z3704" s="371"/>
    </row>
    <row r="3705" spans="26:26">
      <c r="Z3705" s="371"/>
    </row>
    <row r="3706" spans="26:26">
      <c r="Z3706" s="371"/>
    </row>
    <row r="3707" spans="26:26">
      <c r="Z3707" s="371"/>
    </row>
    <row r="3708" spans="26:26">
      <c r="Z3708" s="371"/>
    </row>
    <row r="3709" spans="26:26">
      <c r="Z3709" s="371"/>
    </row>
    <row r="3710" spans="26:26">
      <c r="Z3710" s="371"/>
    </row>
    <row r="3711" spans="26:26">
      <c r="Z3711" s="371"/>
    </row>
    <row r="3712" spans="26:26">
      <c r="Z3712" s="371"/>
    </row>
    <row r="3713" spans="26:26">
      <c r="Z3713" s="371"/>
    </row>
    <row r="3714" spans="26:26">
      <c r="Z3714" s="371"/>
    </row>
    <row r="3715" spans="26:26">
      <c r="Z3715" s="371"/>
    </row>
    <row r="3716" spans="26:26">
      <c r="Z3716" s="371"/>
    </row>
    <row r="3717" spans="26:26">
      <c r="Z3717" s="371"/>
    </row>
    <row r="3718" spans="26:26">
      <c r="Z3718" s="371"/>
    </row>
    <row r="3719" spans="26:26">
      <c r="Z3719" s="371"/>
    </row>
    <row r="3720" spans="26:26">
      <c r="Z3720" s="371"/>
    </row>
    <row r="3721" spans="26:26">
      <c r="Z3721" s="371"/>
    </row>
    <row r="3722" spans="26:26">
      <c r="Z3722" s="371"/>
    </row>
    <row r="3723" spans="26:26">
      <c r="Z3723" s="371"/>
    </row>
    <row r="3724" spans="26:26">
      <c r="Z3724" s="371"/>
    </row>
    <row r="3725" spans="26:26">
      <c r="Z3725" s="371"/>
    </row>
    <row r="3726" spans="26:26">
      <c r="Z3726" s="371"/>
    </row>
    <row r="3727" spans="26:26">
      <c r="Z3727" s="371"/>
    </row>
    <row r="3728" spans="26:26">
      <c r="Z3728" s="371"/>
    </row>
    <row r="3729" spans="26:26">
      <c r="Z3729" s="371"/>
    </row>
    <row r="3730" spans="26:26">
      <c r="Z3730" s="371"/>
    </row>
    <row r="3731" spans="26:26">
      <c r="Z3731" s="371"/>
    </row>
    <row r="3732" spans="26:26">
      <c r="Z3732" s="371"/>
    </row>
    <row r="3733" spans="26:26">
      <c r="Z3733" s="371"/>
    </row>
    <row r="3734" spans="26:26">
      <c r="Z3734" s="371"/>
    </row>
    <row r="3735" spans="26:26">
      <c r="Z3735" s="371"/>
    </row>
    <row r="3736" spans="26:26">
      <c r="Z3736" s="371"/>
    </row>
    <row r="3737" spans="26:26">
      <c r="Z3737" s="371"/>
    </row>
    <row r="3738" spans="26:26">
      <c r="Z3738" s="371"/>
    </row>
    <row r="3739" spans="26:26">
      <c r="Z3739" s="371"/>
    </row>
    <row r="3740" spans="26:26">
      <c r="Z3740" s="371"/>
    </row>
    <row r="3741" spans="26:26">
      <c r="Z3741" s="371"/>
    </row>
    <row r="3742" spans="26:26">
      <c r="Z3742" s="371"/>
    </row>
    <row r="3743" spans="26:26">
      <c r="Z3743" s="371"/>
    </row>
    <row r="3744" spans="26:26">
      <c r="Z3744" s="371"/>
    </row>
    <row r="3745" spans="26:26">
      <c r="Z3745" s="371"/>
    </row>
    <row r="3746" spans="26:26">
      <c r="Z3746" s="371"/>
    </row>
    <row r="3747" spans="26:26">
      <c r="Z3747" s="371"/>
    </row>
    <row r="3748" spans="26:26">
      <c r="Z3748" s="371"/>
    </row>
    <row r="3749" spans="26:26">
      <c r="Z3749" s="371"/>
    </row>
    <row r="3750" spans="26:26">
      <c r="Z3750" s="371"/>
    </row>
    <row r="3751" spans="26:26">
      <c r="Z3751" s="371"/>
    </row>
    <row r="3752" spans="26:26">
      <c r="Z3752" s="371"/>
    </row>
    <row r="3753" spans="26:26">
      <c r="Z3753" s="371"/>
    </row>
    <row r="3754" spans="26:26">
      <c r="Z3754" s="371"/>
    </row>
    <row r="3755" spans="26:26">
      <c r="Z3755" s="371"/>
    </row>
    <row r="3756" spans="26:26">
      <c r="Z3756" s="371"/>
    </row>
    <row r="3757" spans="26:26">
      <c r="Z3757" s="371"/>
    </row>
    <row r="3758" spans="26:26">
      <c r="Z3758" s="371"/>
    </row>
    <row r="3759" spans="26:26">
      <c r="Z3759" s="371"/>
    </row>
    <row r="3760" spans="26:26">
      <c r="Z3760" s="371"/>
    </row>
    <row r="3761" spans="26:26">
      <c r="Z3761" s="371"/>
    </row>
    <row r="3762" spans="26:26">
      <c r="Z3762" s="371"/>
    </row>
    <row r="3763" spans="26:26">
      <c r="Z3763" s="371"/>
    </row>
    <row r="3764" spans="26:26">
      <c r="Z3764" s="371"/>
    </row>
    <row r="3765" spans="26:26">
      <c r="Z3765" s="371"/>
    </row>
    <row r="3766" spans="26:26">
      <c r="Z3766" s="371"/>
    </row>
    <row r="3767" spans="26:26">
      <c r="Z3767" s="371"/>
    </row>
    <row r="3768" spans="26:26">
      <c r="Z3768" s="371"/>
    </row>
    <row r="3769" spans="26:26">
      <c r="Z3769" s="371"/>
    </row>
    <row r="3770" spans="26:26">
      <c r="Z3770" s="371"/>
    </row>
    <row r="3771" spans="26:26">
      <c r="Z3771" s="371"/>
    </row>
    <row r="3772" spans="26:26">
      <c r="Z3772" s="371"/>
    </row>
    <row r="3773" spans="26:26">
      <c r="Z3773" s="371"/>
    </row>
    <row r="3774" spans="26:26">
      <c r="Z3774" s="371"/>
    </row>
    <row r="3775" spans="26:26">
      <c r="Z3775" s="371"/>
    </row>
    <row r="3776" spans="26:26">
      <c r="Z3776" s="371"/>
    </row>
    <row r="3777" spans="26:26">
      <c r="Z3777" s="371"/>
    </row>
    <row r="3778" spans="26:26">
      <c r="Z3778" s="371"/>
    </row>
    <row r="3779" spans="26:26">
      <c r="Z3779" s="371"/>
    </row>
    <row r="3780" spans="26:26">
      <c r="Z3780" s="371"/>
    </row>
    <row r="3781" spans="26:26">
      <c r="Z3781" s="371"/>
    </row>
    <row r="3782" spans="26:26">
      <c r="Z3782" s="371"/>
    </row>
    <row r="3783" spans="26:26">
      <c r="Z3783" s="371"/>
    </row>
    <row r="3784" spans="26:26">
      <c r="Z3784" s="371"/>
    </row>
    <row r="3785" spans="26:26">
      <c r="Z3785" s="371"/>
    </row>
    <row r="3786" spans="26:26">
      <c r="Z3786" s="371"/>
    </row>
    <row r="3787" spans="26:26">
      <c r="Z3787" s="371"/>
    </row>
    <row r="3788" spans="26:26">
      <c r="Z3788" s="371"/>
    </row>
    <row r="3789" spans="26:26">
      <c r="Z3789" s="371"/>
    </row>
    <row r="3790" spans="26:26">
      <c r="Z3790" s="371"/>
    </row>
    <row r="3791" spans="26:26">
      <c r="Z3791" s="371"/>
    </row>
    <row r="3792" spans="26:26">
      <c r="Z3792" s="371"/>
    </row>
    <row r="3793" spans="26:26">
      <c r="Z3793" s="371"/>
    </row>
    <row r="3794" spans="26:26">
      <c r="Z3794" s="371"/>
    </row>
    <row r="3795" spans="26:26">
      <c r="Z3795" s="371"/>
    </row>
    <row r="3796" spans="26:26">
      <c r="Z3796" s="371"/>
    </row>
    <row r="3797" spans="26:26">
      <c r="Z3797" s="371"/>
    </row>
    <row r="3798" spans="26:26">
      <c r="Z3798" s="371"/>
    </row>
    <row r="3799" spans="26:26">
      <c r="Z3799" s="371"/>
    </row>
    <row r="3800" spans="26:26">
      <c r="Z3800" s="371"/>
    </row>
    <row r="3801" spans="26:26">
      <c r="Z3801" s="371"/>
    </row>
    <row r="3802" spans="26:26">
      <c r="Z3802" s="371"/>
    </row>
    <row r="3803" spans="26:26">
      <c r="Z3803" s="371"/>
    </row>
    <row r="3804" spans="26:26">
      <c r="Z3804" s="371"/>
    </row>
    <row r="3805" spans="26:26">
      <c r="Z3805" s="371"/>
    </row>
    <row r="3806" spans="26:26">
      <c r="Z3806" s="371"/>
    </row>
    <row r="3807" spans="26:26">
      <c r="Z3807" s="371"/>
    </row>
    <row r="3808" spans="26:26">
      <c r="Z3808" s="371"/>
    </row>
    <row r="3809" spans="26:26">
      <c r="Z3809" s="371"/>
    </row>
    <row r="3810" spans="26:26">
      <c r="Z3810" s="371"/>
    </row>
    <row r="3811" spans="26:26">
      <c r="Z3811" s="371"/>
    </row>
    <row r="3812" spans="26:26">
      <c r="Z3812" s="371"/>
    </row>
    <row r="3813" spans="26:26">
      <c r="Z3813" s="371"/>
    </row>
    <row r="3814" spans="26:26">
      <c r="Z3814" s="371"/>
    </row>
    <row r="3815" spans="26:26">
      <c r="Z3815" s="371"/>
    </row>
    <row r="3816" spans="26:26">
      <c r="Z3816" s="371"/>
    </row>
    <row r="3817" spans="26:26">
      <c r="Z3817" s="371"/>
    </row>
    <row r="3818" spans="26:26">
      <c r="Z3818" s="371"/>
    </row>
    <row r="3819" spans="26:26">
      <c r="Z3819" s="371"/>
    </row>
    <row r="3820" spans="26:26">
      <c r="Z3820" s="371"/>
    </row>
    <row r="3821" spans="26:26">
      <c r="Z3821" s="371"/>
    </row>
    <row r="3822" spans="26:26">
      <c r="Z3822" s="371"/>
    </row>
    <row r="3823" spans="26:26">
      <c r="Z3823" s="371"/>
    </row>
    <row r="3824" spans="26:26">
      <c r="Z3824" s="371"/>
    </row>
    <row r="3825" spans="26:26">
      <c r="Z3825" s="371"/>
    </row>
    <row r="3826" spans="26:26">
      <c r="Z3826" s="371"/>
    </row>
    <row r="3827" spans="26:26">
      <c r="Z3827" s="371"/>
    </row>
    <row r="3828" spans="26:26">
      <c r="Z3828" s="371"/>
    </row>
    <row r="3829" spans="26:26">
      <c r="Z3829" s="371"/>
    </row>
    <row r="3830" spans="26:26">
      <c r="Z3830" s="371"/>
    </row>
    <row r="3831" spans="26:26">
      <c r="Z3831" s="371"/>
    </row>
    <row r="3832" spans="26:26">
      <c r="Z3832" s="371"/>
    </row>
    <row r="3833" spans="26:26">
      <c r="Z3833" s="371"/>
    </row>
    <row r="3834" spans="26:26">
      <c r="Z3834" s="371"/>
    </row>
    <row r="3835" spans="26:26">
      <c r="Z3835" s="371"/>
    </row>
    <row r="3836" spans="26:26">
      <c r="Z3836" s="371"/>
    </row>
    <row r="3837" spans="26:26">
      <c r="Z3837" s="371"/>
    </row>
    <row r="3838" spans="26:26">
      <c r="Z3838" s="371"/>
    </row>
    <row r="3839" spans="26:26">
      <c r="Z3839" s="371"/>
    </row>
    <row r="3840" spans="26:26">
      <c r="Z3840" s="371"/>
    </row>
    <row r="3841" spans="26:26">
      <c r="Z3841" s="371"/>
    </row>
    <row r="3842" spans="26:26">
      <c r="Z3842" s="371"/>
    </row>
    <row r="3843" spans="26:26">
      <c r="Z3843" s="371"/>
    </row>
    <row r="3844" spans="26:26">
      <c r="Z3844" s="371"/>
    </row>
    <row r="3845" spans="26:26">
      <c r="Z3845" s="371"/>
    </row>
    <row r="3846" spans="26:26">
      <c r="Z3846" s="371"/>
    </row>
    <row r="3847" spans="26:26">
      <c r="Z3847" s="371"/>
    </row>
    <row r="3848" spans="26:26">
      <c r="Z3848" s="371"/>
    </row>
    <row r="3849" spans="26:26">
      <c r="Z3849" s="371"/>
    </row>
    <row r="3850" spans="26:26">
      <c r="Z3850" s="371"/>
    </row>
    <row r="3851" spans="26:26">
      <c r="Z3851" s="371"/>
    </row>
    <row r="3852" spans="26:26">
      <c r="Z3852" s="371"/>
    </row>
    <row r="3853" spans="26:26">
      <c r="Z3853" s="371"/>
    </row>
    <row r="3854" spans="26:26">
      <c r="Z3854" s="371"/>
    </row>
    <row r="3855" spans="26:26">
      <c r="Z3855" s="371"/>
    </row>
    <row r="3856" spans="26:26">
      <c r="Z3856" s="371"/>
    </row>
    <row r="3857" spans="26:26">
      <c r="Z3857" s="371"/>
    </row>
    <row r="3858" spans="26:26">
      <c r="Z3858" s="371"/>
    </row>
    <row r="3859" spans="26:26">
      <c r="Z3859" s="371"/>
    </row>
    <row r="3860" spans="26:26">
      <c r="Z3860" s="371"/>
    </row>
    <row r="3861" spans="26:26">
      <c r="Z3861" s="371"/>
    </row>
    <row r="3862" spans="26:26">
      <c r="Z3862" s="371"/>
    </row>
    <row r="3863" spans="26:26">
      <c r="Z3863" s="371"/>
    </row>
    <row r="3864" spans="26:26">
      <c r="Z3864" s="371"/>
    </row>
    <row r="3865" spans="26:26">
      <c r="Z3865" s="371"/>
    </row>
    <row r="3866" spans="26:26">
      <c r="Z3866" s="371"/>
    </row>
    <row r="3867" spans="26:26">
      <c r="Z3867" s="371"/>
    </row>
    <row r="3868" spans="26:26">
      <c r="Z3868" s="371"/>
    </row>
    <row r="3869" spans="26:26">
      <c r="Z3869" s="371"/>
    </row>
    <row r="3870" spans="26:26">
      <c r="Z3870" s="371"/>
    </row>
    <row r="3871" spans="26:26">
      <c r="Z3871" s="371"/>
    </row>
    <row r="3872" spans="26:26">
      <c r="Z3872" s="371"/>
    </row>
    <row r="3873" spans="26:26">
      <c r="Z3873" s="371"/>
    </row>
    <row r="3874" spans="26:26">
      <c r="Z3874" s="371"/>
    </row>
    <row r="3875" spans="26:26">
      <c r="Z3875" s="371"/>
    </row>
    <row r="3876" spans="26:26">
      <c r="Z3876" s="371"/>
    </row>
    <row r="3877" spans="26:26">
      <c r="Z3877" s="371"/>
    </row>
    <row r="3878" spans="26:26">
      <c r="Z3878" s="371"/>
    </row>
    <row r="3879" spans="26:26">
      <c r="Z3879" s="371"/>
    </row>
    <row r="3880" spans="26:26">
      <c r="Z3880" s="371"/>
    </row>
    <row r="3881" spans="26:26">
      <c r="Z3881" s="371"/>
    </row>
    <row r="3882" spans="26:26">
      <c r="Z3882" s="371"/>
    </row>
    <row r="3883" spans="26:26">
      <c r="Z3883" s="371"/>
    </row>
    <row r="3884" spans="26:26">
      <c r="Z3884" s="371"/>
    </row>
    <row r="3885" spans="26:26">
      <c r="Z3885" s="371"/>
    </row>
    <row r="3886" spans="26:26">
      <c r="Z3886" s="371"/>
    </row>
    <row r="3887" spans="26:26">
      <c r="Z3887" s="371"/>
    </row>
    <row r="3888" spans="26:26">
      <c r="Z3888" s="371"/>
    </row>
    <row r="3889" spans="26:26">
      <c r="Z3889" s="371"/>
    </row>
    <row r="3890" spans="26:26">
      <c r="Z3890" s="371"/>
    </row>
    <row r="3891" spans="26:26">
      <c r="Z3891" s="371"/>
    </row>
    <row r="3892" spans="26:26">
      <c r="Z3892" s="371"/>
    </row>
    <row r="3893" spans="26:26">
      <c r="Z3893" s="371"/>
    </row>
    <row r="3894" spans="26:26">
      <c r="Z3894" s="371"/>
    </row>
    <row r="3895" spans="26:26">
      <c r="Z3895" s="371"/>
    </row>
    <row r="3896" spans="26:26">
      <c r="Z3896" s="371"/>
    </row>
    <row r="3897" spans="26:26">
      <c r="Z3897" s="371"/>
    </row>
    <row r="3898" spans="26:26">
      <c r="Z3898" s="371"/>
    </row>
    <row r="3899" spans="26:26">
      <c r="Z3899" s="371"/>
    </row>
    <row r="3900" spans="26:26">
      <c r="Z3900" s="371"/>
    </row>
    <row r="3901" spans="26:26">
      <c r="Z3901" s="371"/>
    </row>
    <row r="3902" spans="26:26">
      <c r="Z3902" s="371"/>
    </row>
    <row r="3903" spans="26:26">
      <c r="Z3903" s="371"/>
    </row>
    <row r="3904" spans="26:26">
      <c r="Z3904" s="371"/>
    </row>
    <row r="3905" spans="26:26">
      <c r="Z3905" s="371"/>
    </row>
    <row r="3906" spans="26:26">
      <c r="Z3906" s="371"/>
    </row>
    <row r="3907" spans="26:26">
      <c r="Z3907" s="371"/>
    </row>
    <row r="3908" spans="26:26">
      <c r="Z3908" s="371"/>
    </row>
    <row r="3909" spans="26:26">
      <c r="Z3909" s="371"/>
    </row>
    <row r="3910" spans="26:26">
      <c r="Z3910" s="371"/>
    </row>
    <row r="3911" spans="26:26">
      <c r="Z3911" s="371"/>
    </row>
    <row r="3912" spans="26:26">
      <c r="Z3912" s="371"/>
    </row>
    <row r="3913" spans="26:26">
      <c r="Z3913" s="371"/>
    </row>
    <row r="3914" spans="26:26">
      <c r="Z3914" s="371"/>
    </row>
    <row r="3915" spans="26:26">
      <c r="Z3915" s="371"/>
    </row>
    <row r="3916" spans="26:26">
      <c r="Z3916" s="371"/>
    </row>
    <row r="3917" spans="26:26">
      <c r="Z3917" s="371"/>
    </row>
    <row r="3918" spans="26:26">
      <c r="Z3918" s="371"/>
    </row>
    <row r="3919" spans="26:26">
      <c r="Z3919" s="371"/>
    </row>
    <row r="3920" spans="26:26">
      <c r="Z3920" s="371"/>
    </row>
    <row r="3921" spans="26:26">
      <c r="Z3921" s="371"/>
    </row>
    <row r="3922" spans="26:26">
      <c r="Z3922" s="371"/>
    </row>
    <row r="3923" spans="26:26">
      <c r="Z3923" s="371"/>
    </row>
    <row r="3924" spans="26:26">
      <c r="Z3924" s="371"/>
    </row>
    <row r="3925" spans="26:26">
      <c r="Z3925" s="371"/>
    </row>
    <row r="3926" spans="26:26">
      <c r="Z3926" s="371"/>
    </row>
    <row r="3927" spans="26:26">
      <c r="Z3927" s="371"/>
    </row>
    <row r="3928" spans="26:26">
      <c r="Z3928" s="371"/>
    </row>
    <row r="3929" spans="26:26">
      <c r="Z3929" s="371"/>
    </row>
    <row r="3930" spans="26:26">
      <c r="Z3930" s="371"/>
    </row>
    <row r="3931" spans="26:26">
      <c r="Z3931" s="371"/>
    </row>
    <row r="3932" spans="26:26">
      <c r="Z3932" s="371"/>
    </row>
    <row r="3933" spans="26:26">
      <c r="Z3933" s="371"/>
    </row>
    <row r="3934" spans="26:26">
      <c r="Z3934" s="371"/>
    </row>
    <row r="3935" spans="26:26">
      <c r="Z3935" s="371"/>
    </row>
    <row r="3936" spans="26:26">
      <c r="Z3936" s="371"/>
    </row>
    <row r="3937" spans="26:26">
      <c r="Z3937" s="371"/>
    </row>
    <row r="3938" spans="26:26">
      <c r="Z3938" s="371"/>
    </row>
    <row r="3939" spans="26:26">
      <c r="Z3939" s="371"/>
    </row>
    <row r="3940" spans="26:26">
      <c r="Z3940" s="371"/>
    </row>
    <row r="3941" spans="26:26">
      <c r="Z3941" s="371"/>
    </row>
    <row r="3942" spans="26:26">
      <c r="Z3942" s="371"/>
    </row>
    <row r="3943" spans="26:26">
      <c r="Z3943" s="371"/>
    </row>
    <row r="3944" spans="26:26">
      <c r="Z3944" s="371"/>
    </row>
    <row r="3945" spans="26:26">
      <c r="Z3945" s="371"/>
    </row>
    <row r="3946" spans="26:26">
      <c r="Z3946" s="371"/>
    </row>
    <row r="3947" spans="26:26">
      <c r="Z3947" s="371"/>
    </row>
    <row r="3948" spans="26:26">
      <c r="Z3948" s="371"/>
    </row>
    <row r="3949" spans="26:26">
      <c r="Z3949" s="371"/>
    </row>
    <row r="3950" spans="26:26">
      <c r="Z3950" s="371"/>
    </row>
    <row r="3951" spans="26:26">
      <c r="Z3951" s="371"/>
    </row>
    <row r="3952" spans="26:26">
      <c r="Z3952" s="371"/>
    </row>
    <row r="3953" spans="26:26">
      <c r="Z3953" s="371"/>
    </row>
    <row r="3954" spans="26:26">
      <c r="Z3954" s="371"/>
    </row>
    <row r="3955" spans="26:26">
      <c r="Z3955" s="371"/>
    </row>
    <row r="3956" spans="26:26">
      <c r="Z3956" s="371"/>
    </row>
    <row r="3957" spans="26:26">
      <c r="Z3957" s="371"/>
    </row>
    <row r="3958" spans="26:26">
      <c r="Z3958" s="371"/>
    </row>
    <row r="3959" spans="26:26">
      <c r="Z3959" s="371"/>
    </row>
    <row r="3960" spans="26:26">
      <c r="Z3960" s="371"/>
    </row>
    <row r="3961" spans="26:26">
      <c r="Z3961" s="371"/>
    </row>
    <row r="3962" spans="26:26">
      <c r="Z3962" s="371"/>
    </row>
    <row r="3963" spans="26:26">
      <c r="Z3963" s="371"/>
    </row>
    <row r="3964" spans="26:26">
      <c r="Z3964" s="371"/>
    </row>
    <row r="3965" spans="26:26">
      <c r="Z3965" s="371"/>
    </row>
    <row r="3966" spans="26:26">
      <c r="Z3966" s="371"/>
    </row>
    <row r="3967" spans="26:26">
      <c r="Z3967" s="371"/>
    </row>
    <row r="3968" spans="26:26">
      <c r="Z3968" s="371"/>
    </row>
    <row r="3969" spans="26:26">
      <c r="Z3969" s="371"/>
    </row>
    <row r="3970" spans="26:26">
      <c r="Z3970" s="371"/>
    </row>
    <row r="3971" spans="26:26">
      <c r="Z3971" s="371"/>
    </row>
    <row r="3972" spans="26:26">
      <c r="Z3972" s="371"/>
    </row>
    <row r="3973" spans="26:26">
      <c r="Z3973" s="371"/>
    </row>
    <row r="3974" spans="26:26">
      <c r="Z3974" s="371"/>
    </row>
    <row r="3975" spans="26:26">
      <c r="Z3975" s="371"/>
    </row>
    <row r="3976" spans="26:26">
      <c r="Z3976" s="371"/>
    </row>
    <row r="3977" spans="26:26">
      <c r="Z3977" s="371"/>
    </row>
    <row r="3978" spans="26:26">
      <c r="Z3978" s="371"/>
    </row>
    <row r="3979" spans="26:26">
      <c r="Z3979" s="371"/>
    </row>
    <row r="3980" spans="26:26">
      <c r="Z3980" s="371"/>
    </row>
    <row r="3981" spans="26:26">
      <c r="Z3981" s="371"/>
    </row>
    <row r="3982" spans="26:26">
      <c r="Z3982" s="371"/>
    </row>
    <row r="3983" spans="26:26">
      <c r="Z3983" s="371"/>
    </row>
    <row r="3984" spans="26:26">
      <c r="Z3984" s="371"/>
    </row>
    <row r="3985" spans="26:26">
      <c r="Z3985" s="371"/>
    </row>
    <row r="3986" spans="26:26">
      <c r="Z3986" s="371"/>
    </row>
    <row r="3987" spans="26:26">
      <c r="Z3987" s="371"/>
    </row>
    <row r="3988" spans="26:26">
      <c r="Z3988" s="371"/>
    </row>
    <row r="3989" spans="26:26">
      <c r="Z3989" s="371"/>
    </row>
    <row r="3990" spans="26:26">
      <c r="Z3990" s="371"/>
    </row>
    <row r="3991" spans="26:26">
      <c r="Z3991" s="371"/>
    </row>
    <row r="3992" spans="26:26">
      <c r="Z3992" s="371"/>
    </row>
    <row r="3993" spans="26:26">
      <c r="Z3993" s="371"/>
    </row>
    <row r="3994" spans="26:26">
      <c r="Z3994" s="371"/>
    </row>
    <row r="3995" spans="26:26">
      <c r="Z3995" s="371"/>
    </row>
    <row r="3996" spans="26:26">
      <c r="Z3996" s="371"/>
    </row>
    <row r="3997" spans="26:26">
      <c r="Z3997" s="371"/>
    </row>
    <row r="3998" spans="26:26">
      <c r="Z3998" s="371"/>
    </row>
    <row r="3999" spans="26:26">
      <c r="Z3999" s="371"/>
    </row>
    <row r="4000" spans="26:26">
      <c r="Z4000" s="371"/>
    </row>
    <row r="4001" spans="26:26">
      <c r="Z4001" s="371"/>
    </row>
    <row r="4002" spans="26:26">
      <c r="Z4002" s="371"/>
    </row>
    <row r="4003" spans="26:26">
      <c r="Z4003" s="371"/>
    </row>
    <row r="4004" spans="26:26">
      <c r="Z4004" s="371"/>
    </row>
    <row r="4005" spans="26:26">
      <c r="Z4005" s="371"/>
    </row>
    <row r="4006" spans="26:26">
      <c r="Z4006" s="371"/>
    </row>
    <row r="4007" spans="26:26">
      <c r="Z4007" s="371"/>
    </row>
    <row r="4008" spans="26:26">
      <c r="Z4008" s="371"/>
    </row>
    <row r="4009" spans="26:26">
      <c r="Z4009" s="371"/>
    </row>
    <row r="4010" spans="26:26">
      <c r="Z4010" s="371"/>
    </row>
    <row r="4011" spans="26:26">
      <c r="Z4011" s="371"/>
    </row>
    <row r="4012" spans="26:26">
      <c r="Z4012" s="371"/>
    </row>
    <row r="4013" spans="26:26">
      <c r="Z4013" s="371"/>
    </row>
    <row r="4014" spans="26:26">
      <c r="Z4014" s="371"/>
    </row>
    <row r="4015" spans="26:26">
      <c r="Z4015" s="371"/>
    </row>
    <row r="4016" spans="26:26">
      <c r="Z4016" s="371"/>
    </row>
    <row r="4017" spans="26:26">
      <c r="Z4017" s="371"/>
    </row>
    <row r="4018" spans="26:26">
      <c r="Z4018" s="371"/>
    </row>
    <row r="4019" spans="26:26">
      <c r="Z4019" s="371"/>
    </row>
    <row r="4020" spans="26:26">
      <c r="Z4020" s="371"/>
    </row>
    <row r="4021" spans="26:26">
      <c r="Z4021" s="371"/>
    </row>
    <row r="4022" spans="26:26">
      <c r="Z4022" s="371"/>
    </row>
    <row r="4023" spans="26:26">
      <c r="Z4023" s="371"/>
    </row>
    <row r="4024" spans="26:26">
      <c r="Z4024" s="371"/>
    </row>
    <row r="4025" spans="26:26">
      <c r="Z4025" s="371"/>
    </row>
    <row r="4026" spans="26:26">
      <c r="Z4026" s="371"/>
    </row>
    <row r="4027" spans="26:26">
      <c r="Z4027" s="371"/>
    </row>
    <row r="4028" spans="26:26">
      <c r="Z4028" s="371"/>
    </row>
    <row r="4029" spans="26:26">
      <c r="Z4029" s="371"/>
    </row>
    <row r="4030" spans="26:26">
      <c r="Z4030" s="371"/>
    </row>
    <row r="4031" spans="26:26">
      <c r="Z4031" s="371"/>
    </row>
    <row r="4032" spans="26:26">
      <c r="Z4032" s="371"/>
    </row>
    <row r="4033" spans="26:26">
      <c r="Z4033" s="371"/>
    </row>
    <row r="4034" spans="26:26">
      <c r="Z4034" s="371"/>
    </row>
    <row r="4035" spans="26:26">
      <c r="Z4035" s="371"/>
    </row>
    <row r="4036" spans="26:26">
      <c r="Z4036" s="371"/>
    </row>
    <row r="4037" spans="26:26">
      <c r="Z4037" s="371"/>
    </row>
    <row r="4038" spans="26:26">
      <c r="Z4038" s="371"/>
    </row>
    <row r="4039" spans="26:26">
      <c r="Z4039" s="371"/>
    </row>
    <row r="4040" spans="26:26">
      <c r="Z4040" s="371"/>
    </row>
    <row r="4041" spans="26:26">
      <c r="Z4041" s="371"/>
    </row>
    <row r="4042" spans="26:26">
      <c r="Z4042" s="371"/>
    </row>
    <row r="4043" spans="26:26">
      <c r="Z4043" s="371"/>
    </row>
    <row r="4044" spans="26:26">
      <c r="Z4044" s="371"/>
    </row>
    <row r="4045" spans="26:26">
      <c r="Z4045" s="371"/>
    </row>
    <row r="4046" spans="26:26">
      <c r="Z4046" s="371"/>
    </row>
    <row r="4047" spans="26:26">
      <c r="Z4047" s="371"/>
    </row>
    <row r="4048" spans="26:26">
      <c r="Z4048" s="371"/>
    </row>
    <row r="4049" spans="26:26">
      <c r="Z4049" s="371"/>
    </row>
    <row r="4050" spans="26:26">
      <c r="Z4050" s="371"/>
    </row>
    <row r="4051" spans="26:26">
      <c r="Z4051" s="371"/>
    </row>
    <row r="4052" spans="26:26">
      <c r="Z4052" s="371"/>
    </row>
    <row r="4053" spans="26:26">
      <c r="Z4053" s="371"/>
    </row>
    <row r="4054" spans="26:26">
      <c r="Z4054" s="371"/>
    </row>
    <row r="4055" spans="26:26">
      <c r="Z4055" s="371"/>
    </row>
    <row r="4056" spans="26:26">
      <c r="Z4056" s="371"/>
    </row>
    <row r="4057" spans="26:26">
      <c r="Z4057" s="371"/>
    </row>
    <row r="4058" spans="26:26">
      <c r="Z4058" s="371"/>
    </row>
    <row r="4059" spans="26:26">
      <c r="Z4059" s="371"/>
    </row>
    <row r="4060" spans="26:26">
      <c r="Z4060" s="371"/>
    </row>
    <row r="4061" spans="26:26">
      <c r="Z4061" s="371"/>
    </row>
    <row r="4062" spans="26:26">
      <c r="Z4062" s="371"/>
    </row>
    <row r="4063" spans="26:26">
      <c r="Z4063" s="371"/>
    </row>
    <row r="4064" spans="26:26">
      <c r="Z4064" s="371"/>
    </row>
    <row r="4065" spans="26:26">
      <c r="Z4065" s="371"/>
    </row>
    <row r="4066" spans="26:26">
      <c r="Z4066" s="371"/>
    </row>
    <row r="4067" spans="26:26">
      <c r="Z4067" s="371"/>
    </row>
    <row r="4068" spans="26:26">
      <c r="Z4068" s="371"/>
    </row>
    <row r="4069" spans="26:26">
      <c r="Z4069" s="371"/>
    </row>
    <row r="4070" spans="26:26">
      <c r="Z4070" s="371"/>
    </row>
    <row r="4071" spans="26:26">
      <c r="Z4071" s="371"/>
    </row>
    <row r="4072" spans="26:26">
      <c r="Z4072" s="371"/>
    </row>
    <row r="4073" spans="26:26">
      <c r="Z4073" s="371"/>
    </row>
    <row r="4074" spans="26:26">
      <c r="Z4074" s="371"/>
    </row>
    <row r="4075" spans="26:26">
      <c r="Z4075" s="371"/>
    </row>
    <row r="4076" spans="26:26">
      <c r="Z4076" s="371"/>
    </row>
    <row r="4077" spans="26:26">
      <c r="Z4077" s="371"/>
    </row>
    <row r="4078" spans="26:26">
      <c r="Z4078" s="371"/>
    </row>
    <row r="4079" spans="26:26">
      <c r="Z4079" s="371"/>
    </row>
    <row r="4080" spans="26:26">
      <c r="Z4080" s="371"/>
    </row>
    <row r="4081" spans="26:26">
      <c r="Z4081" s="371"/>
    </row>
    <row r="4082" spans="26:26">
      <c r="Z4082" s="371"/>
    </row>
    <row r="4083" spans="26:26">
      <c r="Z4083" s="371"/>
    </row>
    <row r="4084" spans="26:26">
      <c r="Z4084" s="371"/>
    </row>
    <row r="4085" spans="26:26">
      <c r="Z4085" s="371"/>
    </row>
    <row r="4086" spans="26:26">
      <c r="Z4086" s="371"/>
    </row>
    <row r="4087" spans="26:26">
      <c r="Z4087" s="371"/>
    </row>
    <row r="4088" spans="26:26">
      <c r="Z4088" s="371"/>
    </row>
    <row r="4089" spans="26:26">
      <c r="Z4089" s="371"/>
    </row>
    <row r="4090" spans="26:26">
      <c r="Z4090" s="371"/>
    </row>
    <row r="4091" spans="26:26">
      <c r="Z4091" s="371"/>
    </row>
    <row r="4092" spans="26:26">
      <c r="Z4092" s="371"/>
    </row>
    <row r="4093" spans="26:26">
      <c r="Z4093" s="371"/>
    </row>
    <row r="4094" spans="26:26">
      <c r="Z4094" s="371"/>
    </row>
    <row r="4095" spans="26:26">
      <c r="Z4095" s="371"/>
    </row>
    <row r="4096" spans="26:26">
      <c r="Z4096" s="371"/>
    </row>
    <row r="4097" spans="26:26">
      <c r="Z4097" s="371"/>
    </row>
    <row r="4098" spans="26:26">
      <c r="Z4098" s="371"/>
    </row>
    <row r="4099" spans="26:26">
      <c r="Z4099" s="371"/>
    </row>
    <row r="4100" spans="26:26">
      <c r="Z4100" s="371"/>
    </row>
    <row r="4101" spans="26:26">
      <c r="Z4101" s="371"/>
    </row>
    <row r="4102" spans="26:26">
      <c r="Z4102" s="371"/>
    </row>
    <row r="4103" spans="26:26">
      <c r="Z4103" s="371"/>
    </row>
    <row r="4104" spans="26:26">
      <c r="Z4104" s="371"/>
    </row>
    <row r="4105" spans="26:26">
      <c r="Z4105" s="371"/>
    </row>
    <row r="4106" spans="26:26">
      <c r="Z4106" s="371"/>
    </row>
    <row r="4107" spans="26:26">
      <c r="Z4107" s="371"/>
    </row>
    <row r="4108" spans="26:26">
      <c r="Z4108" s="371"/>
    </row>
    <row r="4109" spans="26:26">
      <c r="Z4109" s="371"/>
    </row>
    <row r="4110" spans="26:26">
      <c r="Z4110" s="371"/>
    </row>
    <row r="4111" spans="26:26">
      <c r="Z4111" s="371"/>
    </row>
    <row r="4112" spans="26:26">
      <c r="Z4112" s="371"/>
    </row>
    <row r="4113" spans="26:26">
      <c r="Z4113" s="371"/>
    </row>
    <row r="4114" spans="26:26">
      <c r="Z4114" s="371"/>
    </row>
    <row r="4115" spans="26:26">
      <c r="Z4115" s="371"/>
    </row>
    <row r="4116" spans="26:26">
      <c r="Z4116" s="371"/>
    </row>
    <row r="4117" spans="26:26">
      <c r="Z4117" s="371"/>
    </row>
    <row r="4118" spans="26:26">
      <c r="Z4118" s="371"/>
    </row>
    <row r="4119" spans="26:26">
      <c r="Z4119" s="371"/>
    </row>
    <row r="4120" spans="26:26">
      <c r="Z4120" s="371"/>
    </row>
    <row r="4121" spans="26:26">
      <c r="Z4121" s="371"/>
    </row>
    <row r="4122" spans="26:26">
      <c r="Z4122" s="371"/>
    </row>
    <row r="4123" spans="26:26">
      <c r="Z4123" s="371"/>
    </row>
    <row r="4124" spans="26:26">
      <c r="Z4124" s="371"/>
    </row>
    <row r="4125" spans="26:26">
      <c r="Z4125" s="371"/>
    </row>
    <row r="4126" spans="26:26">
      <c r="Z4126" s="371"/>
    </row>
    <row r="4127" spans="26:26">
      <c r="Z4127" s="371"/>
    </row>
    <row r="4128" spans="26:26">
      <c r="Z4128" s="371"/>
    </row>
    <row r="4129" spans="26:26">
      <c r="Z4129" s="371"/>
    </row>
    <row r="4130" spans="26:26">
      <c r="Z4130" s="371"/>
    </row>
    <row r="4131" spans="26:26">
      <c r="Z4131" s="371"/>
    </row>
    <row r="4132" spans="26:26">
      <c r="Z4132" s="371"/>
    </row>
    <row r="4133" spans="26:26">
      <c r="Z4133" s="371"/>
    </row>
    <row r="4134" spans="26:26">
      <c r="Z4134" s="371"/>
    </row>
    <row r="4135" spans="26:26">
      <c r="Z4135" s="371"/>
    </row>
    <row r="4136" spans="26:26">
      <c r="Z4136" s="371"/>
    </row>
    <row r="4137" spans="26:26">
      <c r="Z4137" s="371"/>
    </row>
    <row r="4138" spans="26:26">
      <c r="Z4138" s="371"/>
    </row>
    <row r="4139" spans="26:26">
      <c r="Z4139" s="371"/>
    </row>
    <row r="4140" spans="26:26">
      <c r="Z4140" s="371"/>
    </row>
    <row r="4141" spans="26:26">
      <c r="Z4141" s="371"/>
    </row>
    <row r="4142" spans="26:26">
      <c r="Z4142" s="371"/>
    </row>
    <row r="4143" spans="26:26">
      <c r="Z4143" s="371"/>
    </row>
    <row r="4144" spans="26:26">
      <c r="Z4144" s="371"/>
    </row>
    <row r="4145" spans="26:26">
      <c r="Z4145" s="371"/>
    </row>
    <row r="4146" spans="26:26">
      <c r="Z4146" s="371"/>
    </row>
    <row r="4147" spans="26:26">
      <c r="Z4147" s="371"/>
    </row>
    <row r="4148" spans="26:26">
      <c r="Z4148" s="371"/>
    </row>
    <row r="4149" spans="26:26">
      <c r="Z4149" s="371"/>
    </row>
    <row r="4150" spans="26:26">
      <c r="Z4150" s="371"/>
    </row>
    <row r="4151" spans="26:26">
      <c r="Z4151" s="371"/>
    </row>
    <row r="4152" spans="26:26">
      <c r="Z4152" s="371"/>
    </row>
    <row r="4153" spans="26:26">
      <c r="Z4153" s="371"/>
    </row>
    <row r="4154" spans="26:26">
      <c r="Z4154" s="371"/>
    </row>
    <row r="4155" spans="26:26">
      <c r="Z4155" s="371"/>
    </row>
    <row r="4156" spans="26:26">
      <c r="Z4156" s="371"/>
    </row>
    <row r="4157" spans="26:26">
      <c r="Z4157" s="371"/>
    </row>
    <row r="4158" spans="26:26">
      <c r="Z4158" s="371"/>
    </row>
    <row r="4159" spans="26:26">
      <c r="Z4159" s="371"/>
    </row>
    <row r="4160" spans="26:26">
      <c r="Z4160" s="371"/>
    </row>
    <row r="4161" spans="26:26">
      <c r="Z4161" s="371"/>
    </row>
    <row r="4162" spans="26:26">
      <c r="Z4162" s="371"/>
    </row>
    <row r="4163" spans="26:26">
      <c r="Z4163" s="371"/>
    </row>
    <row r="4164" spans="26:26">
      <c r="Z4164" s="371"/>
    </row>
    <row r="4165" spans="26:26">
      <c r="Z4165" s="371"/>
    </row>
    <row r="4166" spans="26:26">
      <c r="Z4166" s="371"/>
    </row>
    <row r="4167" spans="26:26">
      <c r="Z4167" s="371"/>
    </row>
    <row r="4168" spans="26:26">
      <c r="Z4168" s="371"/>
    </row>
    <row r="4169" spans="26:26">
      <c r="Z4169" s="371"/>
    </row>
    <row r="4170" spans="26:26">
      <c r="Z4170" s="371"/>
    </row>
    <row r="4171" spans="26:26">
      <c r="Z4171" s="371"/>
    </row>
    <row r="4172" spans="26:26">
      <c r="Z4172" s="371"/>
    </row>
    <row r="4173" spans="26:26">
      <c r="Z4173" s="371"/>
    </row>
    <row r="4174" spans="26:26">
      <c r="Z4174" s="371"/>
    </row>
    <row r="4175" spans="26:26">
      <c r="Z4175" s="371"/>
    </row>
    <row r="4176" spans="26:26">
      <c r="Z4176" s="371"/>
    </row>
    <row r="4177" spans="26:26">
      <c r="Z4177" s="371"/>
    </row>
    <row r="4178" spans="26:26">
      <c r="Z4178" s="371"/>
    </row>
    <row r="4179" spans="26:26">
      <c r="Z4179" s="371"/>
    </row>
    <row r="4180" spans="26:26">
      <c r="Z4180" s="371"/>
    </row>
    <row r="4181" spans="26:26">
      <c r="Z4181" s="371"/>
    </row>
    <row r="4182" spans="26:26">
      <c r="Z4182" s="371"/>
    </row>
    <row r="4183" spans="26:26">
      <c r="Z4183" s="371"/>
    </row>
    <row r="4184" spans="26:26">
      <c r="Z4184" s="371"/>
    </row>
    <row r="4185" spans="26:26">
      <c r="Z4185" s="371"/>
    </row>
    <row r="4186" spans="26:26">
      <c r="Z4186" s="371"/>
    </row>
    <row r="4187" spans="26:26">
      <c r="Z4187" s="371"/>
    </row>
    <row r="4188" spans="26:26">
      <c r="Z4188" s="371"/>
    </row>
    <row r="4189" spans="26:26">
      <c r="Z4189" s="371"/>
    </row>
    <row r="4190" spans="26:26">
      <c r="Z4190" s="371"/>
    </row>
    <row r="4191" spans="26:26">
      <c r="Z4191" s="371"/>
    </row>
    <row r="4192" spans="26:26">
      <c r="Z4192" s="371"/>
    </row>
    <row r="4193" spans="26:26">
      <c r="Z4193" s="371"/>
    </row>
    <row r="4194" spans="26:26">
      <c r="Z4194" s="371"/>
    </row>
    <row r="4195" spans="26:26">
      <c r="Z4195" s="371"/>
    </row>
    <row r="4196" spans="26:26">
      <c r="Z4196" s="371"/>
    </row>
    <row r="4197" spans="26:26">
      <c r="Z4197" s="371"/>
    </row>
    <row r="4198" spans="26:26">
      <c r="Z4198" s="371"/>
    </row>
    <row r="4199" spans="26:26">
      <c r="Z4199" s="371"/>
    </row>
    <row r="4200" spans="26:26">
      <c r="Z4200" s="371"/>
    </row>
    <row r="4201" spans="26:26">
      <c r="Z4201" s="371"/>
    </row>
    <row r="4202" spans="26:26">
      <c r="Z4202" s="371"/>
    </row>
    <row r="4203" spans="26:26">
      <c r="Z4203" s="371"/>
    </row>
    <row r="4204" spans="26:26">
      <c r="Z4204" s="371"/>
    </row>
    <row r="4205" spans="26:26">
      <c r="Z4205" s="371"/>
    </row>
    <row r="4206" spans="26:26">
      <c r="Z4206" s="371"/>
    </row>
    <row r="4207" spans="26:26">
      <c r="Z4207" s="371"/>
    </row>
    <row r="4208" spans="26:26">
      <c r="Z4208" s="371"/>
    </row>
    <row r="4209" spans="26:26">
      <c r="Z4209" s="371"/>
    </row>
    <row r="4210" spans="26:26">
      <c r="Z4210" s="371"/>
    </row>
    <row r="4211" spans="26:26">
      <c r="Z4211" s="371"/>
    </row>
    <row r="4212" spans="26:26">
      <c r="Z4212" s="371"/>
    </row>
    <row r="4213" spans="26:26">
      <c r="Z4213" s="371"/>
    </row>
    <row r="4214" spans="26:26">
      <c r="Z4214" s="371"/>
    </row>
    <row r="4215" spans="26:26">
      <c r="Z4215" s="371"/>
    </row>
    <row r="4216" spans="26:26">
      <c r="Z4216" s="371"/>
    </row>
    <row r="4217" spans="26:26">
      <c r="Z4217" s="371"/>
    </row>
    <row r="4218" spans="26:26">
      <c r="Z4218" s="371"/>
    </row>
    <row r="4219" spans="26:26">
      <c r="Z4219" s="371"/>
    </row>
    <row r="4220" spans="26:26">
      <c r="Z4220" s="371"/>
    </row>
    <row r="4221" spans="26:26">
      <c r="Z4221" s="371"/>
    </row>
    <row r="4222" spans="26:26">
      <c r="Z4222" s="371"/>
    </row>
    <row r="4223" spans="26:26">
      <c r="Z4223" s="371"/>
    </row>
    <row r="4224" spans="26:26">
      <c r="Z4224" s="371"/>
    </row>
    <row r="4225" spans="26:26">
      <c r="Z4225" s="371"/>
    </row>
    <row r="4226" spans="26:26">
      <c r="Z4226" s="371"/>
    </row>
    <row r="4227" spans="26:26">
      <c r="Z4227" s="371"/>
    </row>
    <row r="4228" spans="26:26">
      <c r="Z4228" s="371"/>
    </row>
    <row r="4229" spans="26:26">
      <c r="Z4229" s="371"/>
    </row>
    <row r="4230" spans="26:26">
      <c r="Z4230" s="371"/>
    </row>
    <row r="4231" spans="26:26">
      <c r="Z4231" s="371"/>
    </row>
    <row r="4232" spans="26:26">
      <c r="Z4232" s="371"/>
    </row>
    <row r="4233" spans="26:26">
      <c r="Z4233" s="371"/>
    </row>
    <row r="4234" spans="26:26">
      <c r="Z4234" s="371"/>
    </row>
    <row r="4235" spans="26:26">
      <c r="Z4235" s="371"/>
    </row>
    <row r="4236" spans="26:26">
      <c r="Z4236" s="371"/>
    </row>
    <row r="4237" spans="26:26">
      <c r="Z4237" s="371"/>
    </row>
    <row r="4238" spans="26:26">
      <c r="Z4238" s="371"/>
    </row>
    <row r="4239" spans="26:26">
      <c r="Z4239" s="371"/>
    </row>
    <row r="4240" spans="26:26">
      <c r="Z4240" s="371"/>
    </row>
    <row r="4241" spans="26:26">
      <c r="Z4241" s="371"/>
    </row>
    <row r="4242" spans="26:26">
      <c r="Z4242" s="371"/>
    </row>
    <row r="4243" spans="26:26">
      <c r="Z4243" s="371"/>
    </row>
    <row r="4244" spans="26:26">
      <c r="Z4244" s="371"/>
    </row>
    <row r="4245" spans="26:26">
      <c r="Z4245" s="371"/>
    </row>
    <row r="4246" spans="26:26">
      <c r="Z4246" s="371"/>
    </row>
    <row r="4247" spans="26:26">
      <c r="Z4247" s="371"/>
    </row>
    <row r="4248" spans="26:26">
      <c r="Z4248" s="371"/>
    </row>
    <row r="4249" spans="26:26">
      <c r="Z4249" s="371"/>
    </row>
    <row r="4250" spans="26:26">
      <c r="Z4250" s="371"/>
    </row>
    <row r="4251" spans="26:26">
      <c r="Z4251" s="371"/>
    </row>
    <row r="4252" spans="26:26">
      <c r="Z4252" s="371"/>
    </row>
    <row r="4253" spans="26:26">
      <c r="Z4253" s="371"/>
    </row>
    <row r="4254" spans="26:26">
      <c r="Z4254" s="371"/>
    </row>
    <row r="4255" spans="26:26">
      <c r="Z4255" s="371"/>
    </row>
    <row r="4256" spans="26:26">
      <c r="Z4256" s="371"/>
    </row>
    <row r="4257" spans="26:26">
      <c r="Z4257" s="371"/>
    </row>
    <row r="4258" spans="26:26">
      <c r="Z4258" s="371"/>
    </row>
    <row r="4259" spans="26:26">
      <c r="Z4259" s="371"/>
    </row>
    <row r="4260" spans="26:26">
      <c r="Z4260" s="371"/>
    </row>
    <row r="4261" spans="26:26">
      <c r="Z4261" s="371"/>
    </row>
    <row r="4262" spans="26:26">
      <c r="Z4262" s="371"/>
    </row>
    <row r="4263" spans="26:26">
      <c r="Z4263" s="371"/>
    </row>
    <row r="4264" spans="26:26">
      <c r="Z4264" s="371"/>
    </row>
    <row r="4265" spans="26:26">
      <c r="Z4265" s="371"/>
    </row>
    <row r="4266" spans="26:26">
      <c r="Z4266" s="371"/>
    </row>
    <row r="4267" spans="26:26">
      <c r="Z4267" s="371"/>
    </row>
    <row r="4268" spans="26:26">
      <c r="Z4268" s="371"/>
    </row>
    <row r="4269" spans="26:26">
      <c r="Z4269" s="371"/>
    </row>
    <row r="4270" spans="26:26">
      <c r="Z4270" s="371"/>
    </row>
    <row r="4271" spans="26:26">
      <c r="Z4271" s="371"/>
    </row>
    <row r="4272" spans="26:26">
      <c r="Z4272" s="371"/>
    </row>
    <row r="4273" spans="26:26">
      <c r="Z4273" s="371"/>
    </row>
    <row r="4274" spans="26:26">
      <c r="Z4274" s="371"/>
    </row>
    <row r="4275" spans="26:26">
      <c r="Z4275" s="371"/>
    </row>
    <row r="4276" spans="26:26">
      <c r="Z4276" s="371"/>
    </row>
    <row r="4277" spans="26:26">
      <c r="Z4277" s="371"/>
    </row>
    <row r="4278" spans="26:26">
      <c r="Z4278" s="371"/>
    </row>
    <row r="4279" spans="26:26">
      <c r="Z4279" s="371"/>
    </row>
    <row r="4280" spans="26:26">
      <c r="Z4280" s="371"/>
    </row>
    <row r="4281" spans="26:26">
      <c r="Z4281" s="371"/>
    </row>
    <row r="4282" spans="26:26">
      <c r="Z4282" s="371"/>
    </row>
    <row r="4283" spans="26:26">
      <c r="Z4283" s="371"/>
    </row>
    <row r="4284" spans="26:26">
      <c r="Z4284" s="371"/>
    </row>
    <row r="4285" spans="26:26">
      <c r="Z4285" s="371"/>
    </row>
    <row r="4286" spans="26:26">
      <c r="Z4286" s="371"/>
    </row>
    <row r="4287" spans="26:26">
      <c r="Z4287" s="371"/>
    </row>
    <row r="4288" spans="26:26">
      <c r="Z4288" s="371"/>
    </row>
    <row r="4289" spans="26:26">
      <c r="Z4289" s="371"/>
    </row>
    <row r="4290" spans="26:26">
      <c r="Z4290" s="371"/>
    </row>
    <row r="4291" spans="26:26">
      <c r="Z4291" s="371"/>
    </row>
    <row r="4292" spans="26:26">
      <c r="Z4292" s="371"/>
    </row>
    <row r="4293" spans="26:26">
      <c r="Z4293" s="371"/>
    </row>
    <row r="4294" spans="26:26">
      <c r="Z4294" s="371"/>
    </row>
    <row r="4295" spans="26:26">
      <c r="Z4295" s="371"/>
    </row>
    <row r="4296" spans="26:26">
      <c r="Z4296" s="371"/>
    </row>
    <row r="4297" spans="26:26">
      <c r="Z4297" s="371"/>
    </row>
    <row r="4298" spans="26:26">
      <c r="Z4298" s="371"/>
    </row>
    <row r="4299" spans="26:26">
      <c r="Z4299" s="371"/>
    </row>
    <row r="4300" spans="26:26">
      <c r="Z4300" s="371"/>
    </row>
    <row r="4301" spans="26:26">
      <c r="Z4301" s="371"/>
    </row>
    <row r="4302" spans="26:26">
      <c r="Z4302" s="371"/>
    </row>
    <row r="4303" spans="26:26">
      <c r="Z4303" s="371"/>
    </row>
    <row r="4304" spans="26:26">
      <c r="Z4304" s="371"/>
    </row>
    <row r="4305" spans="26:26">
      <c r="Z4305" s="371"/>
    </row>
    <row r="4306" spans="26:26">
      <c r="Z4306" s="371"/>
    </row>
    <row r="4307" spans="26:26">
      <c r="Z4307" s="371"/>
    </row>
    <row r="4308" spans="26:26">
      <c r="Z4308" s="371"/>
    </row>
    <row r="4309" spans="26:26">
      <c r="Z4309" s="371"/>
    </row>
    <row r="4310" spans="26:26">
      <c r="Z4310" s="371"/>
    </row>
    <row r="4311" spans="26:26">
      <c r="Z4311" s="371"/>
    </row>
    <row r="4312" spans="26:26">
      <c r="Z4312" s="371"/>
    </row>
    <row r="4313" spans="26:26">
      <c r="Z4313" s="371"/>
    </row>
    <row r="4314" spans="26:26">
      <c r="Z4314" s="371"/>
    </row>
    <row r="4315" spans="26:26">
      <c r="Z4315" s="371"/>
    </row>
    <row r="4316" spans="26:26">
      <c r="Z4316" s="371"/>
    </row>
    <row r="4317" spans="26:26">
      <c r="Z4317" s="371"/>
    </row>
    <row r="4318" spans="26:26">
      <c r="Z4318" s="371"/>
    </row>
    <row r="4319" spans="26:26">
      <c r="Z4319" s="371"/>
    </row>
    <row r="4320" spans="26:26">
      <c r="Z4320" s="371"/>
    </row>
    <row r="4321" spans="26:26">
      <c r="Z4321" s="371"/>
    </row>
    <row r="4322" spans="26:26">
      <c r="Z4322" s="371"/>
    </row>
    <row r="4323" spans="26:26">
      <c r="Z4323" s="371"/>
    </row>
    <row r="4324" spans="26:26">
      <c r="Z4324" s="371"/>
    </row>
    <row r="4325" spans="26:26">
      <c r="Z4325" s="371"/>
    </row>
    <row r="4326" spans="26:26">
      <c r="Z4326" s="371"/>
    </row>
    <row r="4327" spans="26:26">
      <c r="Z4327" s="371"/>
    </row>
    <row r="4328" spans="26:26">
      <c r="Z4328" s="371"/>
    </row>
    <row r="4329" spans="26:26">
      <c r="Z4329" s="371"/>
    </row>
    <row r="4330" spans="26:26">
      <c r="Z4330" s="371"/>
    </row>
    <row r="4331" spans="26:26">
      <c r="Z4331" s="371"/>
    </row>
    <row r="4332" spans="26:26">
      <c r="Z4332" s="371"/>
    </row>
    <row r="4333" spans="26:26">
      <c r="Z4333" s="371"/>
    </row>
    <row r="4334" spans="26:26">
      <c r="Z4334" s="371"/>
    </row>
    <row r="4335" spans="26:26">
      <c r="Z4335" s="371"/>
    </row>
    <row r="4336" spans="26:26">
      <c r="Z4336" s="371"/>
    </row>
    <row r="4337" spans="26:26">
      <c r="Z4337" s="371"/>
    </row>
    <row r="4338" spans="26:26">
      <c r="Z4338" s="371"/>
    </row>
    <row r="4339" spans="26:26">
      <c r="Z4339" s="371"/>
    </row>
    <row r="4340" spans="26:26">
      <c r="Z4340" s="371"/>
    </row>
    <row r="4341" spans="26:26">
      <c r="Z4341" s="371"/>
    </row>
    <row r="4342" spans="26:26">
      <c r="Z4342" s="371"/>
    </row>
    <row r="4343" spans="26:26">
      <c r="Z4343" s="371"/>
    </row>
    <row r="4344" spans="26:26">
      <c r="Z4344" s="371"/>
    </row>
    <row r="4345" spans="26:26">
      <c r="Z4345" s="371"/>
    </row>
    <row r="4346" spans="26:26">
      <c r="Z4346" s="371"/>
    </row>
    <row r="4347" spans="26:26">
      <c r="Z4347" s="371"/>
    </row>
    <row r="4348" spans="26:26">
      <c r="Z4348" s="371"/>
    </row>
    <row r="4349" spans="26:26">
      <c r="Z4349" s="371"/>
    </row>
    <row r="4350" spans="26:26">
      <c r="Z4350" s="371"/>
    </row>
    <row r="4351" spans="26:26">
      <c r="Z4351" s="371"/>
    </row>
    <row r="4352" spans="26:26">
      <c r="Z4352" s="371"/>
    </row>
    <row r="4353" spans="26:26">
      <c r="Z4353" s="371"/>
    </row>
    <row r="4354" spans="26:26">
      <c r="Z4354" s="371"/>
    </row>
    <row r="4355" spans="26:26">
      <c r="Z4355" s="371"/>
    </row>
    <row r="4356" spans="26:26">
      <c r="Z4356" s="371"/>
    </row>
    <row r="4357" spans="26:26">
      <c r="Z4357" s="371"/>
    </row>
    <row r="4358" spans="26:26">
      <c r="Z4358" s="371"/>
    </row>
    <row r="4359" spans="26:26">
      <c r="Z4359" s="371"/>
    </row>
    <row r="4360" spans="26:26">
      <c r="Z4360" s="371"/>
    </row>
    <row r="4361" spans="26:26">
      <c r="Z4361" s="371"/>
    </row>
    <row r="4362" spans="26:26">
      <c r="Z4362" s="371"/>
    </row>
    <row r="4363" spans="26:26">
      <c r="Z4363" s="371"/>
    </row>
    <row r="4364" spans="26:26">
      <c r="Z4364" s="371"/>
    </row>
    <row r="4365" spans="26:26">
      <c r="Z4365" s="371"/>
    </row>
    <row r="4366" spans="26:26">
      <c r="Z4366" s="371"/>
    </row>
    <row r="4367" spans="26:26">
      <c r="Z4367" s="371"/>
    </row>
    <row r="4368" spans="26:26">
      <c r="Z4368" s="371"/>
    </row>
    <row r="4369" spans="26:26">
      <c r="Z4369" s="371"/>
    </row>
    <row r="4370" spans="26:26">
      <c r="Z4370" s="371"/>
    </row>
    <row r="4371" spans="26:26">
      <c r="Z4371" s="371"/>
    </row>
    <row r="4372" spans="26:26">
      <c r="Z4372" s="371"/>
    </row>
    <row r="4373" spans="26:26">
      <c r="Z4373" s="371"/>
    </row>
    <row r="4374" spans="26:26">
      <c r="Z4374" s="371"/>
    </row>
    <row r="4375" spans="26:26">
      <c r="Z4375" s="371"/>
    </row>
    <row r="4376" spans="26:26">
      <c r="Z4376" s="371"/>
    </row>
    <row r="4377" spans="26:26">
      <c r="Z4377" s="371"/>
    </row>
    <row r="4378" spans="26:26">
      <c r="Z4378" s="371"/>
    </row>
    <row r="4379" spans="26:26">
      <c r="Z4379" s="371"/>
    </row>
    <row r="4380" spans="26:26">
      <c r="Z4380" s="371"/>
    </row>
    <row r="4381" spans="26:26">
      <c r="Z4381" s="371"/>
    </row>
    <row r="4382" spans="26:26">
      <c r="Z4382" s="371"/>
    </row>
    <row r="4383" spans="26:26">
      <c r="Z4383" s="371"/>
    </row>
    <row r="4384" spans="26:26">
      <c r="Z4384" s="371"/>
    </row>
    <row r="4385" spans="26:26">
      <c r="Z4385" s="371"/>
    </row>
    <row r="4386" spans="26:26">
      <c r="Z4386" s="371"/>
    </row>
    <row r="4387" spans="26:26">
      <c r="Z4387" s="371"/>
    </row>
    <row r="4388" spans="26:26">
      <c r="Z4388" s="371"/>
    </row>
    <row r="4389" spans="26:26">
      <c r="Z4389" s="371"/>
    </row>
    <row r="4390" spans="26:26">
      <c r="Z4390" s="371"/>
    </row>
    <row r="4391" spans="26:26">
      <c r="Z4391" s="371"/>
    </row>
    <row r="4392" spans="26:26">
      <c r="Z4392" s="371"/>
    </row>
    <row r="4393" spans="26:26">
      <c r="Z4393" s="371"/>
    </row>
    <row r="4394" spans="26:26">
      <c r="Z4394" s="371"/>
    </row>
    <row r="4395" spans="26:26">
      <c r="Z4395" s="371"/>
    </row>
    <row r="4396" spans="26:26">
      <c r="Z4396" s="371"/>
    </row>
    <row r="4397" spans="26:26">
      <c r="Z4397" s="371"/>
    </row>
    <row r="4398" spans="26:26">
      <c r="Z4398" s="371"/>
    </row>
    <row r="4399" spans="26:26">
      <c r="Z4399" s="371"/>
    </row>
    <row r="4400" spans="26:26">
      <c r="Z4400" s="371"/>
    </row>
    <row r="4401" spans="26:26">
      <c r="Z4401" s="371"/>
    </row>
    <row r="4402" spans="26:26">
      <c r="Z4402" s="371"/>
    </row>
    <row r="4403" spans="26:26">
      <c r="Z4403" s="371"/>
    </row>
    <row r="4404" spans="26:26">
      <c r="Z4404" s="371"/>
    </row>
    <row r="4405" spans="26:26">
      <c r="Z4405" s="371"/>
    </row>
    <row r="4406" spans="26:26">
      <c r="Z4406" s="371"/>
    </row>
    <row r="4407" spans="26:26">
      <c r="Z4407" s="371"/>
    </row>
    <row r="4408" spans="26:26">
      <c r="Z4408" s="371"/>
    </row>
    <row r="4409" spans="26:26">
      <c r="Z4409" s="371"/>
    </row>
    <row r="4410" spans="26:26">
      <c r="Z4410" s="371"/>
    </row>
    <row r="4411" spans="26:26">
      <c r="Z4411" s="371"/>
    </row>
    <row r="4412" spans="26:26">
      <c r="Z4412" s="371"/>
    </row>
    <row r="4413" spans="26:26">
      <c r="Z4413" s="371"/>
    </row>
    <row r="4414" spans="26:26">
      <c r="Z4414" s="371"/>
    </row>
    <row r="4415" spans="26:26">
      <c r="Z4415" s="371"/>
    </row>
    <row r="4416" spans="26:26">
      <c r="Z4416" s="371"/>
    </row>
    <row r="4417" spans="26:26">
      <c r="Z4417" s="371"/>
    </row>
    <row r="4418" spans="26:26">
      <c r="Z4418" s="371"/>
    </row>
    <row r="4419" spans="26:26">
      <c r="Z4419" s="371"/>
    </row>
    <row r="4420" spans="26:26">
      <c r="Z4420" s="371"/>
    </row>
    <row r="4421" spans="26:26">
      <c r="Z4421" s="371"/>
    </row>
    <row r="4422" spans="26:26">
      <c r="Z4422" s="371"/>
    </row>
    <row r="4423" spans="26:26">
      <c r="Z4423" s="371"/>
    </row>
    <row r="4424" spans="26:26">
      <c r="Z4424" s="371"/>
    </row>
    <row r="4425" spans="26:26">
      <c r="Z4425" s="371"/>
    </row>
    <row r="4426" spans="26:26">
      <c r="Z4426" s="371"/>
    </row>
    <row r="4427" spans="26:26">
      <c r="Z4427" s="371"/>
    </row>
    <row r="4428" spans="26:26">
      <c r="Z4428" s="371"/>
    </row>
    <row r="4429" spans="26:26">
      <c r="Z4429" s="371"/>
    </row>
    <row r="4430" spans="26:26">
      <c r="Z4430" s="371"/>
    </row>
    <row r="4431" spans="26:26">
      <c r="Z4431" s="371"/>
    </row>
    <row r="4432" spans="26:26">
      <c r="Z4432" s="371"/>
    </row>
    <row r="4433" spans="26:26">
      <c r="Z4433" s="371"/>
    </row>
    <row r="4434" spans="26:26">
      <c r="Z4434" s="371"/>
    </row>
    <row r="4435" spans="26:26">
      <c r="Z4435" s="371"/>
    </row>
    <row r="4436" spans="26:26">
      <c r="Z4436" s="371"/>
    </row>
    <row r="4437" spans="26:26">
      <c r="Z4437" s="371"/>
    </row>
    <row r="4438" spans="26:26">
      <c r="Z4438" s="371"/>
    </row>
    <row r="4439" spans="26:26">
      <c r="Z4439" s="371"/>
    </row>
    <row r="4440" spans="26:26">
      <c r="Z4440" s="371"/>
    </row>
    <row r="4441" spans="26:26">
      <c r="Z4441" s="371"/>
    </row>
    <row r="4442" spans="26:26">
      <c r="Z4442" s="371"/>
    </row>
    <row r="4443" spans="26:26">
      <c r="Z4443" s="371"/>
    </row>
    <row r="4444" spans="26:26">
      <c r="Z4444" s="371"/>
    </row>
    <row r="4445" spans="26:26">
      <c r="Z4445" s="371"/>
    </row>
    <row r="4446" spans="26:26">
      <c r="Z4446" s="371"/>
    </row>
    <row r="4447" spans="26:26">
      <c r="Z4447" s="371"/>
    </row>
    <row r="4448" spans="26:26">
      <c r="Z4448" s="371"/>
    </row>
    <row r="4449" spans="26:26">
      <c r="Z4449" s="371"/>
    </row>
    <row r="4450" spans="26:26">
      <c r="Z4450" s="371"/>
    </row>
    <row r="4451" spans="26:26">
      <c r="Z4451" s="371"/>
    </row>
    <row r="4452" spans="26:26">
      <c r="Z4452" s="371"/>
    </row>
    <row r="4453" spans="26:26">
      <c r="Z4453" s="371"/>
    </row>
    <row r="4454" spans="26:26">
      <c r="Z4454" s="371"/>
    </row>
    <row r="4455" spans="26:26">
      <c r="Z4455" s="371"/>
    </row>
    <row r="4456" spans="26:26">
      <c r="Z4456" s="371"/>
    </row>
    <row r="4457" spans="26:26">
      <c r="Z4457" s="371"/>
    </row>
    <row r="4458" spans="26:26">
      <c r="Z4458" s="371"/>
    </row>
    <row r="4459" spans="26:26">
      <c r="Z4459" s="371"/>
    </row>
    <row r="4460" spans="26:26">
      <c r="Z4460" s="371"/>
    </row>
    <row r="4461" spans="26:26">
      <c r="Z4461" s="371"/>
    </row>
    <row r="4462" spans="26:26">
      <c r="Z4462" s="371"/>
    </row>
    <row r="4463" spans="26:26">
      <c r="Z4463" s="371"/>
    </row>
    <row r="4464" spans="26:26">
      <c r="Z4464" s="371"/>
    </row>
    <row r="4465" spans="26:26">
      <c r="Z4465" s="371"/>
    </row>
    <row r="4466" spans="26:26">
      <c r="Z4466" s="371"/>
    </row>
    <row r="4467" spans="26:26">
      <c r="Z4467" s="371"/>
    </row>
    <row r="4468" spans="26:26">
      <c r="Z4468" s="371"/>
    </row>
    <row r="4469" spans="26:26">
      <c r="Z4469" s="371"/>
    </row>
    <row r="4470" spans="26:26">
      <c r="Z4470" s="371"/>
    </row>
    <row r="4471" spans="26:26">
      <c r="Z4471" s="371"/>
    </row>
    <row r="4472" spans="26:26">
      <c r="Z4472" s="371"/>
    </row>
    <row r="4473" spans="26:26">
      <c r="Z4473" s="371"/>
    </row>
    <row r="4474" spans="26:26">
      <c r="Z4474" s="371"/>
    </row>
    <row r="4475" spans="26:26">
      <c r="Z4475" s="371"/>
    </row>
    <row r="4476" spans="26:26">
      <c r="Z4476" s="371"/>
    </row>
    <row r="4477" spans="26:26">
      <c r="Z4477" s="371"/>
    </row>
    <row r="4478" spans="26:26">
      <c r="Z4478" s="371"/>
    </row>
    <row r="4479" spans="26:26">
      <c r="Z4479" s="371"/>
    </row>
    <row r="4480" spans="26:26">
      <c r="Z4480" s="371"/>
    </row>
    <row r="4481" spans="26:26">
      <c r="Z4481" s="371"/>
    </row>
    <row r="4482" spans="26:26">
      <c r="Z4482" s="371"/>
    </row>
    <row r="4483" spans="26:26">
      <c r="Z4483" s="371"/>
    </row>
    <row r="4484" spans="26:26">
      <c r="Z4484" s="371"/>
    </row>
    <row r="4485" spans="26:26">
      <c r="Z4485" s="371"/>
    </row>
    <row r="4486" spans="26:26">
      <c r="Z4486" s="371"/>
    </row>
    <row r="4487" spans="26:26">
      <c r="Z4487" s="371"/>
    </row>
    <row r="4488" spans="26:26">
      <c r="Z4488" s="371"/>
    </row>
    <row r="4489" spans="26:26">
      <c r="Z4489" s="371"/>
    </row>
    <row r="4490" spans="26:26">
      <c r="Z4490" s="371"/>
    </row>
    <row r="4491" spans="26:26">
      <c r="Z4491" s="371"/>
    </row>
    <row r="4492" spans="26:26">
      <c r="Z4492" s="371"/>
    </row>
    <row r="4493" spans="26:26">
      <c r="Z4493" s="371"/>
    </row>
    <row r="4494" spans="26:26">
      <c r="Z4494" s="371"/>
    </row>
    <row r="4495" spans="26:26">
      <c r="Z4495" s="371"/>
    </row>
    <row r="4496" spans="26:26">
      <c r="Z4496" s="371"/>
    </row>
    <row r="4497" spans="26:26">
      <c r="Z4497" s="371"/>
    </row>
    <row r="4498" spans="26:26">
      <c r="Z4498" s="371"/>
    </row>
    <row r="4499" spans="26:26">
      <c r="Z4499" s="371"/>
    </row>
    <row r="4500" spans="26:26">
      <c r="Z4500" s="371"/>
    </row>
    <row r="4501" spans="26:26">
      <c r="Z4501" s="371"/>
    </row>
    <row r="4502" spans="26:26">
      <c r="Z4502" s="371"/>
    </row>
    <row r="4503" spans="26:26">
      <c r="Z4503" s="371"/>
    </row>
    <row r="4504" spans="26:26">
      <c r="Z4504" s="371"/>
    </row>
    <row r="4505" spans="26:26">
      <c r="Z4505" s="371"/>
    </row>
    <row r="4506" spans="26:26">
      <c r="Z4506" s="371"/>
    </row>
    <row r="4507" spans="26:26">
      <c r="Z4507" s="371"/>
    </row>
    <row r="4508" spans="26:26">
      <c r="Z4508" s="371"/>
    </row>
    <row r="4509" spans="26:26">
      <c r="Z4509" s="371"/>
    </row>
    <row r="4510" spans="26:26">
      <c r="Z4510" s="371"/>
    </row>
    <row r="4511" spans="26:26">
      <c r="Z4511" s="371"/>
    </row>
    <row r="4512" spans="26:26">
      <c r="Z4512" s="371"/>
    </row>
    <row r="4513" spans="26:26">
      <c r="Z4513" s="371"/>
    </row>
    <row r="4514" spans="26:26">
      <c r="Z4514" s="371"/>
    </row>
    <row r="4515" spans="26:26">
      <c r="Z4515" s="371"/>
    </row>
    <row r="4516" spans="26:26">
      <c r="Z4516" s="371"/>
    </row>
    <row r="4517" spans="26:26">
      <c r="Z4517" s="371"/>
    </row>
    <row r="4518" spans="26:26">
      <c r="Z4518" s="371"/>
    </row>
    <row r="4519" spans="26:26">
      <c r="Z4519" s="371"/>
    </row>
    <row r="4520" spans="26:26">
      <c r="Z4520" s="371"/>
    </row>
    <row r="4521" spans="26:26">
      <c r="Z4521" s="371"/>
    </row>
    <row r="4522" spans="26:26">
      <c r="Z4522" s="371"/>
    </row>
    <row r="4523" spans="26:26">
      <c r="Z4523" s="371"/>
    </row>
    <row r="4524" spans="26:26">
      <c r="Z4524" s="371"/>
    </row>
    <row r="4525" spans="26:26">
      <c r="Z4525" s="371"/>
    </row>
    <row r="4526" spans="26:26">
      <c r="Z4526" s="371"/>
    </row>
    <row r="4527" spans="26:26">
      <c r="Z4527" s="371"/>
    </row>
    <row r="4528" spans="26:26">
      <c r="Z4528" s="371"/>
    </row>
    <row r="4529" spans="26:26">
      <c r="Z4529" s="371"/>
    </row>
    <row r="4530" spans="26:26">
      <c r="Z4530" s="371"/>
    </row>
    <row r="4531" spans="26:26">
      <c r="Z4531" s="371"/>
    </row>
    <row r="4532" spans="26:26">
      <c r="Z4532" s="371"/>
    </row>
    <row r="4533" spans="26:26">
      <c r="Z4533" s="371"/>
    </row>
    <row r="4534" spans="26:26">
      <c r="Z4534" s="371"/>
    </row>
    <row r="4535" spans="26:26">
      <c r="Z4535" s="371"/>
    </row>
    <row r="4536" spans="26:26">
      <c r="Z4536" s="371"/>
    </row>
    <row r="4537" spans="26:26">
      <c r="Z4537" s="371"/>
    </row>
    <row r="4538" spans="26:26">
      <c r="Z4538" s="371"/>
    </row>
    <row r="4539" spans="26:26">
      <c r="Z4539" s="371"/>
    </row>
    <row r="4540" spans="26:26">
      <c r="Z4540" s="371"/>
    </row>
    <row r="4541" spans="26:26">
      <c r="Z4541" s="371"/>
    </row>
    <row r="4542" spans="26:26">
      <c r="Z4542" s="371"/>
    </row>
    <row r="4543" spans="26:26">
      <c r="Z4543" s="371"/>
    </row>
    <row r="4544" spans="26:26">
      <c r="Z4544" s="371"/>
    </row>
    <row r="4545" spans="26:26">
      <c r="Z4545" s="371"/>
    </row>
    <row r="4546" spans="26:26">
      <c r="Z4546" s="371"/>
    </row>
    <row r="4547" spans="26:26">
      <c r="Z4547" s="371"/>
    </row>
    <row r="4548" spans="26:26">
      <c r="Z4548" s="371"/>
    </row>
    <row r="4549" spans="26:26">
      <c r="Z4549" s="371"/>
    </row>
    <row r="4550" spans="26:26">
      <c r="Z4550" s="371"/>
    </row>
    <row r="4551" spans="26:26">
      <c r="Z4551" s="371"/>
    </row>
    <row r="4552" spans="26:26">
      <c r="Z4552" s="371"/>
    </row>
    <row r="4553" spans="26:26">
      <c r="Z4553" s="371"/>
    </row>
    <row r="4554" spans="26:26">
      <c r="Z4554" s="371"/>
    </row>
    <row r="4555" spans="26:26">
      <c r="Z4555" s="371"/>
    </row>
    <row r="4556" spans="26:26">
      <c r="Z4556" s="371"/>
    </row>
    <row r="4557" spans="26:26">
      <c r="Z4557" s="371"/>
    </row>
    <row r="4558" spans="26:26">
      <c r="Z4558" s="371"/>
    </row>
    <row r="4559" spans="26:26">
      <c r="Z4559" s="371"/>
    </row>
    <row r="4560" spans="26:26">
      <c r="Z4560" s="371"/>
    </row>
    <row r="4561" spans="26:26">
      <c r="Z4561" s="371"/>
    </row>
    <row r="4562" spans="26:26">
      <c r="Z4562" s="371"/>
    </row>
    <row r="4563" spans="26:26">
      <c r="Z4563" s="371"/>
    </row>
    <row r="4564" spans="26:26">
      <c r="Z4564" s="371"/>
    </row>
    <row r="4565" spans="26:26">
      <c r="Z4565" s="371"/>
    </row>
    <row r="4566" spans="26:26">
      <c r="Z4566" s="371"/>
    </row>
    <row r="4567" spans="26:26">
      <c r="Z4567" s="371"/>
    </row>
    <row r="4568" spans="26:26">
      <c r="Z4568" s="371"/>
    </row>
    <row r="4569" spans="26:26">
      <c r="Z4569" s="371"/>
    </row>
    <row r="4570" spans="26:26">
      <c r="Z4570" s="371"/>
    </row>
    <row r="4571" spans="26:26">
      <c r="Z4571" s="371"/>
    </row>
    <row r="4572" spans="26:26">
      <c r="Z4572" s="371"/>
    </row>
    <row r="4573" spans="26:26">
      <c r="Z4573" s="371"/>
    </row>
    <row r="4574" spans="26:26">
      <c r="Z4574" s="371"/>
    </row>
    <row r="4575" spans="26:26">
      <c r="Z4575" s="371"/>
    </row>
    <row r="4576" spans="26:26">
      <c r="Z4576" s="371"/>
    </row>
    <row r="4577" spans="26:26">
      <c r="Z4577" s="371"/>
    </row>
    <row r="4578" spans="26:26">
      <c r="Z4578" s="371"/>
    </row>
    <row r="4579" spans="26:26">
      <c r="Z4579" s="371"/>
    </row>
    <row r="4580" spans="26:26">
      <c r="Z4580" s="371"/>
    </row>
    <row r="4581" spans="26:26">
      <c r="Z4581" s="371"/>
    </row>
    <row r="4582" spans="26:26">
      <c r="Z4582" s="371"/>
    </row>
    <row r="4583" spans="26:26">
      <c r="Z4583" s="371"/>
    </row>
    <row r="4584" spans="26:26">
      <c r="Z4584" s="371"/>
    </row>
    <row r="4585" spans="26:26">
      <c r="Z4585" s="371"/>
    </row>
    <row r="4586" spans="26:26">
      <c r="Z4586" s="371"/>
    </row>
    <row r="4587" spans="26:26">
      <c r="Z4587" s="371"/>
    </row>
    <row r="4588" spans="26:26">
      <c r="Z4588" s="371"/>
    </row>
    <row r="4589" spans="26:26">
      <c r="Z4589" s="371"/>
    </row>
    <row r="4590" spans="26:26">
      <c r="Z4590" s="371"/>
    </row>
    <row r="4591" spans="26:26">
      <c r="Z4591" s="371"/>
    </row>
    <row r="4592" spans="26:26">
      <c r="Z4592" s="371"/>
    </row>
    <row r="4593" spans="26:26">
      <c r="Z4593" s="371"/>
    </row>
    <row r="4594" spans="26:26">
      <c r="Z4594" s="371"/>
    </row>
    <row r="4595" spans="26:26">
      <c r="Z4595" s="371"/>
    </row>
    <row r="4596" spans="26:26">
      <c r="Z4596" s="371"/>
    </row>
    <row r="4597" spans="26:26">
      <c r="Z4597" s="371"/>
    </row>
    <row r="4598" spans="26:26">
      <c r="Z4598" s="371"/>
    </row>
    <row r="4599" spans="26:26">
      <c r="Z4599" s="371"/>
    </row>
    <row r="4600" spans="26:26">
      <c r="Z4600" s="371"/>
    </row>
    <row r="4601" spans="26:26">
      <c r="Z4601" s="371"/>
    </row>
    <row r="4602" spans="26:26">
      <c r="Z4602" s="371"/>
    </row>
    <row r="4603" spans="26:26">
      <c r="Z4603" s="371"/>
    </row>
    <row r="4604" spans="26:26">
      <c r="Z4604" s="371"/>
    </row>
    <row r="4605" spans="26:26">
      <c r="Z4605" s="371"/>
    </row>
    <row r="4606" spans="26:26">
      <c r="Z4606" s="371"/>
    </row>
    <row r="4607" spans="26:26">
      <c r="Z4607" s="371"/>
    </row>
    <row r="4608" spans="26:26">
      <c r="Z4608" s="371"/>
    </row>
    <row r="4609" spans="26:26">
      <c r="Z4609" s="371"/>
    </row>
    <row r="4610" spans="26:26">
      <c r="Z4610" s="371"/>
    </row>
    <row r="4611" spans="26:26">
      <c r="Z4611" s="371"/>
    </row>
    <row r="4612" spans="26:26">
      <c r="Z4612" s="371"/>
    </row>
    <row r="4613" spans="26:26">
      <c r="Z4613" s="371"/>
    </row>
    <row r="4614" spans="26:26">
      <c r="Z4614" s="371"/>
    </row>
    <row r="4615" spans="26:26">
      <c r="Z4615" s="371"/>
    </row>
    <row r="4616" spans="26:26">
      <c r="Z4616" s="371"/>
    </row>
    <row r="4617" spans="26:26">
      <c r="Z4617" s="371"/>
    </row>
    <row r="4618" spans="26:26">
      <c r="Z4618" s="371"/>
    </row>
    <row r="4619" spans="26:26">
      <c r="Z4619" s="371"/>
    </row>
    <row r="4620" spans="26:26">
      <c r="Z4620" s="371"/>
    </row>
    <row r="4621" spans="26:26">
      <c r="Z4621" s="371"/>
    </row>
    <row r="4622" spans="26:26">
      <c r="Z4622" s="371"/>
    </row>
    <row r="4623" spans="26:26">
      <c r="Z4623" s="371"/>
    </row>
    <row r="4624" spans="26:26">
      <c r="Z4624" s="371"/>
    </row>
    <row r="4625" spans="26:26">
      <c r="Z4625" s="371"/>
    </row>
    <row r="4626" spans="26:26">
      <c r="Z4626" s="371"/>
    </row>
    <row r="4627" spans="26:26">
      <c r="Z4627" s="371"/>
    </row>
    <row r="4628" spans="26:26">
      <c r="Z4628" s="371"/>
    </row>
    <row r="4629" spans="26:26">
      <c r="Z4629" s="371"/>
    </row>
    <row r="4630" spans="26:26">
      <c r="Z4630" s="371"/>
    </row>
    <row r="4631" spans="26:26">
      <c r="Z4631" s="371"/>
    </row>
    <row r="4632" spans="26:26">
      <c r="Z4632" s="371"/>
    </row>
    <row r="4633" spans="26:26">
      <c r="Z4633" s="371"/>
    </row>
    <row r="4634" spans="26:26">
      <c r="Z4634" s="371"/>
    </row>
    <row r="4635" spans="26:26">
      <c r="Z4635" s="371"/>
    </row>
    <row r="4636" spans="26:26">
      <c r="Z4636" s="371"/>
    </row>
    <row r="4637" spans="26:26">
      <c r="Z4637" s="371"/>
    </row>
    <row r="4638" spans="26:26">
      <c r="Z4638" s="371"/>
    </row>
    <row r="4639" spans="26:26">
      <c r="Z4639" s="371"/>
    </row>
    <row r="4640" spans="26:26">
      <c r="Z4640" s="371"/>
    </row>
    <row r="4641" spans="26:26">
      <c r="Z4641" s="371"/>
    </row>
    <row r="4642" spans="26:26">
      <c r="Z4642" s="371"/>
    </row>
    <row r="4643" spans="26:26">
      <c r="Z4643" s="371"/>
    </row>
    <row r="4644" spans="26:26">
      <c r="Z4644" s="371"/>
    </row>
    <row r="4645" spans="26:26">
      <c r="Z4645" s="371"/>
    </row>
    <row r="4646" spans="26:26">
      <c r="Z4646" s="371"/>
    </row>
    <row r="4647" spans="26:26">
      <c r="Z4647" s="371"/>
    </row>
    <row r="4648" spans="26:26">
      <c r="Z4648" s="371"/>
    </row>
    <row r="4649" spans="26:26">
      <c r="Z4649" s="371"/>
    </row>
    <row r="4650" spans="26:26">
      <c r="Z4650" s="371"/>
    </row>
    <row r="4651" spans="26:26">
      <c r="Z4651" s="371"/>
    </row>
    <row r="4652" spans="26:26">
      <c r="Z4652" s="371"/>
    </row>
    <row r="4653" spans="26:26">
      <c r="Z4653" s="371"/>
    </row>
    <row r="4654" spans="26:26">
      <c r="Z4654" s="371"/>
    </row>
    <row r="4655" spans="26:26">
      <c r="Z4655" s="371"/>
    </row>
    <row r="4656" spans="26:26">
      <c r="Z4656" s="371"/>
    </row>
    <row r="4657" spans="26:26">
      <c r="Z4657" s="371"/>
    </row>
    <row r="4658" spans="26:26">
      <c r="Z4658" s="371"/>
    </row>
    <row r="4659" spans="26:26">
      <c r="Z4659" s="371"/>
    </row>
    <row r="4660" spans="26:26">
      <c r="Z4660" s="371"/>
    </row>
    <row r="4661" spans="26:26">
      <c r="Z4661" s="371"/>
    </row>
    <row r="4662" spans="26:26">
      <c r="Z4662" s="371"/>
    </row>
    <row r="4663" spans="26:26">
      <c r="Z4663" s="371"/>
    </row>
    <row r="4664" spans="26:26">
      <c r="Z4664" s="371"/>
    </row>
    <row r="4665" spans="26:26">
      <c r="Z4665" s="371"/>
    </row>
    <row r="4666" spans="26:26">
      <c r="Z4666" s="371"/>
    </row>
    <row r="4667" spans="26:26">
      <c r="Z4667" s="371"/>
    </row>
    <row r="4668" spans="26:26">
      <c r="Z4668" s="371"/>
    </row>
    <row r="4669" spans="26:26">
      <c r="Z4669" s="371"/>
    </row>
    <row r="4670" spans="26:26">
      <c r="Z4670" s="371"/>
    </row>
    <row r="4671" spans="26:26">
      <c r="Z4671" s="371"/>
    </row>
    <row r="4672" spans="26:26">
      <c r="Z4672" s="371"/>
    </row>
    <row r="4673" spans="26:26">
      <c r="Z4673" s="371"/>
    </row>
    <row r="4674" spans="26:26">
      <c r="Z4674" s="371"/>
    </row>
    <row r="4675" spans="26:26">
      <c r="Z4675" s="371"/>
    </row>
    <row r="4676" spans="26:26">
      <c r="Z4676" s="371"/>
    </row>
    <row r="4677" spans="26:26">
      <c r="Z4677" s="371"/>
    </row>
    <row r="4678" spans="26:26">
      <c r="Z4678" s="371"/>
    </row>
    <row r="4679" spans="26:26">
      <c r="Z4679" s="371"/>
    </row>
    <row r="4680" spans="26:26">
      <c r="Z4680" s="371"/>
    </row>
    <row r="4681" spans="26:26">
      <c r="Z4681" s="371"/>
    </row>
    <row r="4682" spans="26:26">
      <c r="Z4682" s="371"/>
    </row>
    <row r="4683" spans="26:26">
      <c r="Z4683" s="371"/>
    </row>
    <row r="4684" spans="26:26">
      <c r="Z4684" s="371"/>
    </row>
    <row r="4685" spans="26:26">
      <c r="Z4685" s="371"/>
    </row>
    <row r="4686" spans="26:26">
      <c r="Z4686" s="371"/>
    </row>
    <row r="4687" spans="26:26">
      <c r="Z4687" s="371"/>
    </row>
    <row r="4688" spans="26:26">
      <c r="Z4688" s="371"/>
    </row>
    <row r="4689" spans="26:26">
      <c r="Z4689" s="371"/>
    </row>
    <row r="4690" spans="26:26">
      <c r="Z4690" s="371"/>
    </row>
    <row r="4691" spans="26:26">
      <c r="Z4691" s="371"/>
    </row>
    <row r="4692" spans="26:26">
      <c r="Z4692" s="371"/>
    </row>
    <row r="4693" spans="26:26">
      <c r="Z4693" s="371"/>
    </row>
    <row r="4694" spans="26:26">
      <c r="Z4694" s="371"/>
    </row>
    <row r="4695" spans="26:26">
      <c r="Z4695" s="371"/>
    </row>
    <row r="4696" spans="26:26">
      <c r="Z4696" s="371"/>
    </row>
    <row r="4697" spans="26:26">
      <c r="Z4697" s="371"/>
    </row>
    <row r="4698" spans="26:26">
      <c r="Z4698" s="371"/>
    </row>
    <row r="4699" spans="26:26">
      <c r="Z4699" s="371"/>
    </row>
    <row r="4700" spans="26:26">
      <c r="Z4700" s="371"/>
    </row>
    <row r="4701" spans="26:26">
      <c r="Z4701" s="371"/>
    </row>
    <row r="4702" spans="26:26">
      <c r="Z4702" s="371"/>
    </row>
    <row r="4703" spans="26:26">
      <c r="Z4703" s="371"/>
    </row>
    <row r="4704" spans="26:26">
      <c r="Z4704" s="371"/>
    </row>
    <row r="4705" spans="26:26">
      <c r="Z4705" s="371"/>
    </row>
    <row r="4706" spans="26:26">
      <c r="Z4706" s="371"/>
    </row>
    <row r="4707" spans="26:26">
      <c r="Z4707" s="371"/>
    </row>
    <row r="4708" spans="26:26">
      <c r="Z4708" s="371"/>
    </row>
    <row r="4709" spans="26:26">
      <c r="Z4709" s="371"/>
    </row>
    <row r="4710" spans="26:26">
      <c r="Z4710" s="371"/>
    </row>
    <row r="4711" spans="26:26">
      <c r="Z4711" s="371"/>
    </row>
    <row r="4712" spans="26:26">
      <c r="Z4712" s="371"/>
    </row>
    <row r="4713" spans="26:26">
      <c r="Z4713" s="371"/>
    </row>
    <row r="4714" spans="26:26">
      <c r="Z4714" s="371"/>
    </row>
    <row r="4715" spans="26:26">
      <c r="Z4715" s="371"/>
    </row>
    <row r="4716" spans="26:26">
      <c r="Z4716" s="371"/>
    </row>
    <row r="4717" spans="26:26">
      <c r="Z4717" s="371"/>
    </row>
    <row r="4718" spans="26:26">
      <c r="Z4718" s="371"/>
    </row>
    <row r="4719" spans="26:26">
      <c r="Z4719" s="371"/>
    </row>
    <row r="4720" spans="26:26">
      <c r="Z4720" s="371"/>
    </row>
    <row r="4721" spans="26:26">
      <c r="Z4721" s="371"/>
    </row>
    <row r="4722" spans="26:26">
      <c r="Z4722" s="371"/>
    </row>
    <row r="4723" spans="26:26">
      <c r="Z4723" s="371"/>
    </row>
    <row r="4724" spans="26:26">
      <c r="Z4724" s="371"/>
    </row>
    <row r="4725" spans="26:26">
      <c r="Z4725" s="371"/>
    </row>
    <row r="4726" spans="26:26">
      <c r="Z4726" s="371"/>
    </row>
    <row r="4727" spans="26:26">
      <c r="Z4727" s="371"/>
    </row>
    <row r="4728" spans="26:26">
      <c r="Z4728" s="371"/>
    </row>
    <row r="4729" spans="26:26">
      <c r="Z4729" s="371"/>
    </row>
    <row r="4730" spans="26:26">
      <c r="Z4730" s="371"/>
    </row>
    <row r="4731" spans="26:26">
      <c r="Z4731" s="371"/>
    </row>
    <row r="4732" spans="26:26">
      <c r="Z4732" s="371"/>
    </row>
    <row r="4733" spans="26:26">
      <c r="Z4733" s="371"/>
    </row>
    <row r="4734" spans="26:26">
      <c r="Z4734" s="371"/>
    </row>
    <row r="4735" spans="26:26">
      <c r="Z4735" s="371"/>
    </row>
    <row r="4736" spans="26:26">
      <c r="Z4736" s="371"/>
    </row>
    <row r="4737" spans="26:26">
      <c r="Z4737" s="371"/>
    </row>
    <row r="4738" spans="26:26">
      <c r="Z4738" s="371"/>
    </row>
    <row r="4739" spans="26:26">
      <c r="Z4739" s="371"/>
    </row>
    <row r="4740" spans="26:26">
      <c r="Z4740" s="371"/>
    </row>
    <row r="4741" spans="26:26">
      <c r="Z4741" s="371"/>
    </row>
    <row r="4742" spans="26:26">
      <c r="Z4742" s="371"/>
    </row>
    <row r="4743" spans="26:26">
      <c r="Z4743" s="371"/>
    </row>
    <row r="4744" spans="26:26">
      <c r="Z4744" s="371"/>
    </row>
    <row r="4745" spans="26:26">
      <c r="Z4745" s="371"/>
    </row>
    <row r="4746" spans="26:26">
      <c r="Z4746" s="371"/>
    </row>
    <row r="4747" spans="26:26">
      <c r="Z4747" s="371"/>
    </row>
    <row r="4748" spans="26:26">
      <c r="Z4748" s="371"/>
    </row>
    <row r="4749" spans="26:26">
      <c r="Z4749" s="371"/>
    </row>
    <row r="4750" spans="26:26">
      <c r="Z4750" s="371"/>
    </row>
    <row r="4751" spans="26:26">
      <c r="Z4751" s="371"/>
    </row>
    <row r="4752" spans="26:26">
      <c r="Z4752" s="371"/>
    </row>
    <row r="4753" spans="26:26">
      <c r="Z4753" s="371"/>
    </row>
    <row r="4754" spans="26:26">
      <c r="Z4754" s="371"/>
    </row>
    <row r="4755" spans="26:26">
      <c r="Z4755" s="371"/>
    </row>
    <row r="4756" spans="26:26">
      <c r="Z4756" s="371"/>
    </row>
    <row r="4757" spans="26:26">
      <c r="Z4757" s="371"/>
    </row>
    <row r="4758" spans="26:26">
      <c r="Z4758" s="371"/>
    </row>
    <row r="4759" spans="26:26">
      <c r="Z4759" s="371"/>
    </row>
    <row r="4760" spans="26:26">
      <c r="Z4760" s="371"/>
    </row>
    <row r="4761" spans="26:26">
      <c r="Z4761" s="371"/>
    </row>
    <row r="4762" spans="26:26">
      <c r="Z4762" s="371"/>
    </row>
    <row r="4763" spans="26:26">
      <c r="Z4763" s="371"/>
    </row>
    <row r="4764" spans="26:26">
      <c r="Z4764" s="371"/>
    </row>
    <row r="4765" spans="26:26">
      <c r="Z4765" s="371"/>
    </row>
    <row r="4766" spans="26:26">
      <c r="Z4766" s="371"/>
    </row>
    <row r="4767" spans="26:26">
      <c r="Z4767" s="371"/>
    </row>
    <row r="4768" spans="26:26">
      <c r="Z4768" s="371"/>
    </row>
    <row r="4769" spans="26:26">
      <c r="Z4769" s="371"/>
    </row>
    <row r="4770" spans="26:26">
      <c r="Z4770" s="371"/>
    </row>
    <row r="4771" spans="26:26">
      <c r="Z4771" s="371"/>
    </row>
    <row r="4772" spans="26:26">
      <c r="Z4772" s="371"/>
    </row>
    <row r="4773" spans="26:26">
      <c r="Z4773" s="371"/>
    </row>
    <row r="4774" spans="26:26">
      <c r="Z4774" s="371"/>
    </row>
    <row r="4775" spans="26:26">
      <c r="Z4775" s="371"/>
    </row>
    <row r="4776" spans="26:26">
      <c r="Z4776" s="371"/>
    </row>
    <row r="4777" spans="26:26">
      <c r="Z4777" s="371"/>
    </row>
    <row r="4778" spans="26:26">
      <c r="Z4778" s="371"/>
    </row>
    <row r="4779" spans="26:26">
      <c r="Z4779" s="371"/>
    </row>
    <row r="4780" spans="26:26">
      <c r="Z4780" s="371"/>
    </row>
    <row r="4781" spans="26:26">
      <c r="Z4781" s="371"/>
    </row>
    <row r="4782" spans="26:26">
      <c r="Z4782" s="371"/>
    </row>
    <row r="4783" spans="26:26">
      <c r="Z4783" s="371"/>
    </row>
    <row r="4784" spans="26:26">
      <c r="Z4784" s="371"/>
    </row>
    <row r="4785" spans="26:26">
      <c r="Z4785" s="371"/>
    </row>
    <row r="4786" spans="26:26">
      <c r="Z4786" s="371"/>
    </row>
    <row r="4787" spans="26:26">
      <c r="Z4787" s="371"/>
    </row>
    <row r="4788" spans="26:26">
      <c r="Z4788" s="371"/>
    </row>
    <row r="4789" spans="26:26">
      <c r="Z4789" s="371"/>
    </row>
    <row r="4790" spans="26:26">
      <c r="Z4790" s="371"/>
    </row>
    <row r="4791" spans="26:26">
      <c r="Z4791" s="371"/>
    </row>
    <row r="4792" spans="26:26">
      <c r="Z4792" s="371"/>
    </row>
    <row r="4793" spans="26:26">
      <c r="Z4793" s="371"/>
    </row>
    <row r="4794" spans="26:26">
      <c r="Z4794" s="371"/>
    </row>
    <row r="4795" spans="26:26">
      <c r="Z4795" s="371"/>
    </row>
    <row r="4796" spans="26:26">
      <c r="Z4796" s="371"/>
    </row>
    <row r="4797" spans="26:26">
      <c r="Z4797" s="371"/>
    </row>
    <row r="4798" spans="26:26">
      <c r="Z4798" s="371"/>
    </row>
    <row r="4799" spans="26:26">
      <c r="Z4799" s="371"/>
    </row>
    <row r="4800" spans="26:26">
      <c r="Z4800" s="371"/>
    </row>
    <row r="4801" spans="26:26">
      <c r="Z4801" s="371"/>
    </row>
    <row r="4802" spans="26:26">
      <c r="Z4802" s="371"/>
    </row>
    <row r="4803" spans="26:26">
      <c r="Z4803" s="371"/>
    </row>
    <row r="4804" spans="26:26">
      <c r="Z4804" s="371"/>
    </row>
    <row r="4805" spans="26:26">
      <c r="Z4805" s="371"/>
    </row>
    <row r="4806" spans="26:26">
      <c r="Z4806" s="371"/>
    </row>
    <row r="4807" spans="26:26">
      <c r="Z4807" s="371"/>
    </row>
    <row r="4808" spans="26:26">
      <c r="Z4808" s="371"/>
    </row>
    <row r="4809" spans="26:26">
      <c r="Z4809" s="371"/>
    </row>
    <row r="4810" spans="26:26">
      <c r="Z4810" s="371"/>
    </row>
    <row r="4811" spans="26:26">
      <c r="Z4811" s="371"/>
    </row>
    <row r="4812" spans="26:26">
      <c r="Z4812" s="371"/>
    </row>
    <row r="4813" spans="26:26">
      <c r="Z4813" s="371"/>
    </row>
    <row r="4814" spans="26:26">
      <c r="Z4814" s="371"/>
    </row>
    <row r="4815" spans="26:26">
      <c r="Z4815" s="371"/>
    </row>
    <row r="4816" spans="26:26">
      <c r="Z4816" s="371"/>
    </row>
    <row r="4817" spans="26:26">
      <c r="Z4817" s="371"/>
    </row>
    <row r="4818" spans="26:26">
      <c r="Z4818" s="371"/>
    </row>
    <row r="4819" spans="26:26">
      <c r="Z4819" s="371"/>
    </row>
    <row r="4820" spans="26:26">
      <c r="Z4820" s="371"/>
    </row>
    <row r="4821" spans="26:26">
      <c r="Z4821" s="371"/>
    </row>
    <row r="4822" spans="26:26">
      <c r="Z4822" s="371"/>
    </row>
    <row r="4823" spans="26:26">
      <c r="Z4823" s="371"/>
    </row>
    <row r="4824" spans="26:26">
      <c r="Z4824" s="371"/>
    </row>
    <row r="4825" spans="26:26">
      <c r="Z4825" s="371"/>
    </row>
    <row r="4826" spans="26:26">
      <c r="Z4826" s="371"/>
    </row>
    <row r="4827" spans="26:26">
      <c r="Z4827" s="371"/>
    </row>
    <row r="4828" spans="26:26">
      <c r="Z4828" s="371"/>
    </row>
    <row r="4829" spans="26:26">
      <c r="Z4829" s="371"/>
    </row>
    <row r="4830" spans="26:26">
      <c r="Z4830" s="371"/>
    </row>
    <row r="4831" spans="26:26">
      <c r="Z4831" s="371"/>
    </row>
    <row r="4832" spans="26:26">
      <c r="Z4832" s="371"/>
    </row>
    <row r="4833" spans="26:26">
      <c r="Z4833" s="371"/>
    </row>
    <row r="4834" spans="26:26">
      <c r="Z4834" s="371"/>
    </row>
    <row r="4835" spans="26:26">
      <c r="Z4835" s="371"/>
    </row>
    <row r="4836" spans="26:26">
      <c r="Z4836" s="371"/>
    </row>
    <row r="4837" spans="26:26">
      <c r="Z4837" s="371"/>
    </row>
    <row r="4838" spans="26:26">
      <c r="Z4838" s="371"/>
    </row>
    <row r="4839" spans="26:26">
      <c r="Z4839" s="371"/>
    </row>
    <row r="4840" spans="26:26">
      <c r="Z4840" s="371"/>
    </row>
    <row r="4841" spans="26:26">
      <c r="Z4841" s="371"/>
    </row>
    <row r="4842" spans="26:26">
      <c r="Z4842" s="371"/>
    </row>
    <row r="4843" spans="26:26">
      <c r="Z4843" s="371"/>
    </row>
    <row r="4844" spans="26:26">
      <c r="Z4844" s="371"/>
    </row>
    <row r="4845" spans="26:26">
      <c r="Z4845" s="371"/>
    </row>
    <row r="4846" spans="26:26">
      <c r="Z4846" s="371"/>
    </row>
    <row r="4847" spans="26:26">
      <c r="Z4847" s="371"/>
    </row>
    <row r="4848" spans="26:26">
      <c r="Z4848" s="371"/>
    </row>
    <row r="4849" spans="26:26">
      <c r="Z4849" s="371"/>
    </row>
    <row r="4850" spans="26:26">
      <c r="Z4850" s="371"/>
    </row>
    <row r="4851" spans="26:26">
      <c r="Z4851" s="371"/>
    </row>
    <row r="4852" spans="26:26">
      <c r="Z4852" s="371"/>
    </row>
    <row r="4853" spans="26:26">
      <c r="Z4853" s="371"/>
    </row>
    <row r="4854" spans="26:26">
      <c r="Z4854" s="371"/>
    </row>
    <row r="4855" spans="26:26">
      <c r="Z4855" s="371"/>
    </row>
    <row r="4856" spans="26:26">
      <c r="Z4856" s="371"/>
    </row>
    <row r="4857" spans="26:26">
      <c r="Z4857" s="371"/>
    </row>
    <row r="4858" spans="26:26">
      <c r="Z4858" s="371"/>
    </row>
    <row r="4859" spans="26:26">
      <c r="Z4859" s="371"/>
    </row>
    <row r="4860" spans="26:26">
      <c r="Z4860" s="371"/>
    </row>
    <row r="4861" spans="26:26">
      <c r="Z4861" s="371"/>
    </row>
    <row r="4862" spans="26:26">
      <c r="Z4862" s="371"/>
    </row>
    <row r="4863" spans="26:26">
      <c r="Z4863" s="371"/>
    </row>
    <row r="4864" spans="26:26">
      <c r="Z4864" s="371"/>
    </row>
    <row r="4865" spans="26:26">
      <c r="Z4865" s="371"/>
    </row>
    <row r="4866" spans="26:26">
      <c r="Z4866" s="371"/>
    </row>
    <row r="4867" spans="26:26">
      <c r="Z4867" s="371"/>
    </row>
    <row r="4868" spans="26:26">
      <c r="Z4868" s="371"/>
    </row>
    <row r="4869" spans="26:26">
      <c r="Z4869" s="371"/>
    </row>
    <row r="4870" spans="26:26">
      <c r="Z4870" s="371"/>
    </row>
    <row r="4871" spans="26:26">
      <c r="Z4871" s="371"/>
    </row>
    <row r="4872" spans="26:26">
      <c r="Z4872" s="371"/>
    </row>
    <row r="4873" spans="26:26">
      <c r="Z4873" s="371"/>
    </row>
    <row r="4874" spans="26:26">
      <c r="Z4874" s="371"/>
    </row>
    <row r="4875" spans="26:26">
      <c r="Z4875" s="371"/>
    </row>
    <row r="4876" spans="26:26">
      <c r="Z4876" s="371"/>
    </row>
    <row r="4877" spans="26:26">
      <c r="Z4877" s="371"/>
    </row>
    <row r="4878" spans="26:26">
      <c r="Z4878" s="371"/>
    </row>
    <row r="4879" spans="26:26">
      <c r="Z4879" s="371"/>
    </row>
    <row r="4880" spans="26:26">
      <c r="Z4880" s="371"/>
    </row>
    <row r="4881" spans="26:26">
      <c r="Z4881" s="371"/>
    </row>
    <row r="4882" spans="26:26">
      <c r="Z4882" s="371"/>
    </row>
    <row r="4883" spans="26:26">
      <c r="Z4883" s="371"/>
    </row>
    <row r="4884" spans="26:26">
      <c r="Z4884" s="371"/>
    </row>
    <row r="4885" spans="26:26">
      <c r="Z4885" s="371"/>
    </row>
    <row r="4886" spans="26:26">
      <c r="Z4886" s="371"/>
    </row>
    <row r="4887" spans="26:26">
      <c r="Z4887" s="371"/>
    </row>
    <row r="4888" spans="26:26">
      <c r="Z4888" s="371"/>
    </row>
    <row r="4889" spans="26:26">
      <c r="Z4889" s="371"/>
    </row>
    <row r="4890" spans="26:26">
      <c r="Z4890" s="371"/>
    </row>
    <row r="4891" spans="26:26">
      <c r="Z4891" s="371"/>
    </row>
    <row r="4892" spans="26:26">
      <c r="Z4892" s="371"/>
    </row>
    <row r="4893" spans="26:26">
      <c r="Z4893" s="371"/>
    </row>
    <row r="4894" spans="26:26">
      <c r="Z4894" s="371"/>
    </row>
    <row r="4895" spans="26:26">
      <c r="Z4895" s="371"/>
    </row>
    <row r="4896" spans="26:26">
      <c r="Z4896" s="371"/>
    </row>
    <row r="4897" spans="26:26">
      <c r="Z4897" s="371"/>
    </row>
    <row r="4898" spans="26:26">
      <c r="Z4898" s="371"/>
    </row>
    <row r="4899" spans="26:26">
      <c r="Z4899" s="371"/>
    </row>
    <row r="4900" spans="26:26">
      <c r="Z4900" s="371"/>
    </row>
    <row r="4901" spans="26:26">
      <c r="Z4901" s="371"/>
    </row>
    <row r="4902" spans="26:26">
      <c r="Z4902" s="371"/>
    </row>
    <row r="4903" spans="26:26">
      <c r="Z4903" s="371"/>
    </row>
    <row r="4904" spans="26:26">
      <c r="Z4904" s="371"/>
    </row>
    <row r="4905" spans="26:26">
      <c r="Z4905" s="371"/>
    </row>
    <row r="4906" spans="26:26">
      <c r="Z4906" s="371"/>
    </row>
    <row r="4907" spans="26:26">
      <c r="Z4907" s="371"/>
    </row>
    <row r="4908" spans="26:26">
      <c r="Z4908" s="371"/>
    </row>
    <row r="4909" spans="26:26">
      <c r="Z4909" s="371"/>
    </row>
    <row r="4910" spans="26:26">
      <c r="Z4910" s="371"/>
    </row>
    <row r="4911" spans="26:26">
      <c r="Z4911" s="371"/>
    </row>
    <row r="4912" spans="26:26">
      <c r="Z4912" s="371"/>
    </row>
    <row r="4913" spans="26:26">
      <c r="Z4913" s="371"/>
    </row>
    <row r="4914" spans="26:26">
      <c r="Z4914" s="371"/>
    </row>
    <row r="4915" spans="26:26">
      <c r="Z4915" s="371"/>
    </row>
    <row r="4916" spans="26:26">
      <c r="Z4916" s="371"/>
    </row>
    <row r="4917" spans="26:26">
      <c r="Z4917" s="371"/>
    </row>
    <row r="4918" spans="26:26">
      <c r="Z4918" s="371"/>
    </row>
    <row r="4919" spans="26:26">
      <c r="Z4919" s="371"/>
    </row>
    <row r="4920" spans="26:26">
      <c r="Z4920" s="371"/>
    </row>
    <row r="4921" spans="26:26">
      <c r="Z4921" s="371"/>
    </row>
    <row r="4922" spans="26:26">
      <c r="Z4922" s="371"/>
    </row>
    <row r="4923" spans="26:26">
      <c r="Z4923" s="371"/>
    </row>
    <row r="4924" spans="26:26">
      <c r="Z4924" s="371"/>
    </row>
    <row r="4925" spans="26:26">
      <c r="Z4925" s="371"/>
    </row>
    <row r="4926" spans="26:26">
      <c r="Z4926" s="371"/>
    </row>
    <row r="4927" spans="26:26">
      <c r="Z4927" s="371"/>
    </row>
    <row r="4928" spans="26:26">
      <c r="Z4928" s="371"/>
    </row>
    <row r="4929" spans="26:26">
      <c r="Z4929" s="371"/>
    </row>
    <row r="4930" spans="26:26">
      <c r="Z4930" s="371"/>
    </row>
    <row r="4931" spans="26:26">
      <c r="Z4931" s="371"/>
    </row>
    <row r="4932" spans="26:26">
      <c r="Z4932" s="371"/>
    </row>
    <row r="4933" spans="26:26">
      <c r="Z4933" s="371"/>
    </row>
    <row r="4934" spans="26:26">
      <c r="Z4934" s="371"/>
    </row>
    <row r="4935" spans="26:26">
      <c r="Z4935" s="371"/>
    </row>
    <row r="4936" spans="26:26">
      <c r="Z4936" s="371"/>
    </row>
    <row r="4937" spans="26:26">
      <c r="Z4937" s="371"/>
    </row>
    <row r="4938" spans="26:26">
      <c r="Z4938" s="371"/>
    </row>
    <row r="4939" spans="26:26">
      <c r="Z4939" s="371"/>
    </row>
    <row r="4940" spans="26:26">
      <c r="Z4940" s="371"/>
    </row>
    <row r="4941" spans="26:26">
      <c r="Z4941" s="371"/>
    </row>
    <row r="4942" spans="26:26">
      <c r="Z4942" s="371"/>
    </row>
    <row r="4943" spans="26:26">
      <c r="Z4943" s="371"/>
    </row>
    <row r="4944" spans="26:26">
      <c r="Z4944" s="371"/>
    </row>
    <row r="4945" spans="26:26">
      <c r="Z4945" s="371"/>
    </row>
    <row r="4946" spans="26:26">
      <c r="Z4946" s="371"/>
    </row>
    <row r="4947" spans="26:26">
      <c r="Z4947" s="371"/>
    </row>
    <row r="4948" spans="26:26">
      <c r="Z4948" s="371"/>
    </row>
    <row r="4949" spans="26:26">
      <c r="Z4949" s="371"/>
    </row>
    <row r="4950" spans="26:26">
      <c r="Z4950" s="371"/>
    </row>
    <row r="4951" spans="26:26">
      <c r="Z4951" s="371"/>
    </row>
    <row r="4952" spans="26:26">
      <c r="Z4952" s="371"/>
    </row>
    <row r="4953" spans="26:26">
      <c r="Z4953" s="371"/>
    </row>
    <row r="4954" spans="26:26">
      <c r="Z4954" s="371"/>
    </row>
    <row r="4955" spans="26:26">
      <c r="Z4955" s="371"/>
    </row>
    <row r="4956" spans="26:26">
      <c r="Z4956" s="371"/>
    </row>
    <row r="4957" spans="26:26">
      <c r="Z4957" s="371"/>
    </row>
    <row r="4958" spans="26:26">
      <c r="Z4958" s="371"/>
    </row>
    <row r="4959" spans="26:26">
      <c r="Z4959" s="371"/>
    </row>
    <row r="4960" spans="26:26">
      <c r="Z4960" s="371"/>
    </row>
    <row r="4961" spans="26:26">
      <c r="Z4961" s="371"/>
    </row>
    <row r="4962" spans="26:26">
      <c r="Z4962" s="371"/>
    </row>
    <row r="4963" spans="26:26">
      <c r="Z4963" s="371"/>
    </row>
    <row r="4964" spans="26:26">
      <c r="Z4964" s="371"/>
    </row>
    <row r="4965" spans="26:26">
      <c r="Z4965" s="371"/>
    </row>
    <row r="4966" spans="26:26">
      <c r="Z4966" s="371"/>
    </row>
    <row r="4967" spans="26:26">
      <c r="Z4967" s="371"/>
    </row>
    <row r="4968" spans="26:26">
      <c r="Z4968" s="371"/>
    </row>
    <row r="4969" spans="26:26">
      <c r="Z4969" s="371"/>
    </row>
    <row r="4970" spans="26:26">
      <c r="Z4970" s="371"/>
    </row>
    <row r="4971" spans="26:26">
      <c r="Z4971" s="371"/>
    </row>
    <row r="4972" spans="26:26">
      <c r="Z4972" s="371"/>
    </row>
    <row r="4973" spans="26:26">
      <c r="Z4973" s="371"/>
    </row>
    <row r="4974" spans="26:26">
      <c r="Z4974" s="371"/>
    </row>
    <row r="4975" spans="26:26">
      <c r="Z4975" s="371"/>
    </row>
    <row r="4976" spans="26:26">
      <c r="Z4976" s="371"/>
    </row>
    <row r="4977" spans="26:26">
      <c r="Z4977" s="371"/>
    </row>
    <row r="4978" spans="26:26">
      <c r="Z4978" s="371"/>
    </row>
    <row r="4979" spans="26:26">
      <c r="Z4979" s="371"/>
    </row>
    <row r="4980" spans="26:26">
      <c r="Z4980" s="371"/>
    </row>
    <row r="4981" spans="26:26">
      <c r="Z4981" s="371"/>
    </row>
    <row r="4982" spans="26:26">
      <c r="Z4982" s="371"/>
    </row>
    <row r="4983" spans="26:26">
      <c r="Z4983" s="371"/>
    </row>
    <row r="4984" spans="26:26">
      <c r="Z4984" s="371"/>
    </row>
    <row r="4985" spans="26:26">
      <c r="Z4985" s="371"/>
    </row>
    <row r="4986" spans="26:26">
      <c r="Z4986" s="371"/>
    </row>
    <row r="4987" spans="26:26">
      <c r="Z4987" s="371"/>
    </row>
    <row r="4988" spans="26:26">
      <c r="Z4988" s="371"/>
    </row>
    <row r="4989" spans="26:26">
      <c r="Z4989" s="371"/>
    </row>
    <row r="4990" spans="26:26">
      <c r="Z4990" s="371"/>
    </row>
    <row r="4991" spans="26:26">
      <c r="Z4991" s="371"/>
    </row>
    <row r="4992" spans="26:26">
      <c r="Z4992" s="371"/>
    </row>
    <row r="4993" spans="26:26">
      <c r="Z4993" s="371"/>
    </row>
    <row r="4994" spans="26:26">
      <c r="Z4994" s="371"/>
    </row>
    <row r="4995" spans="26:26">
      <c r="Z4995" s="371"/>
    </row>
    <row r="4996" spans="26:26">
      <c r="Z4996" s="371"/>
    </row>
    <row r="4997" spans="26:26">
      <c r="Z4997" s="371"/>
    </row>
    <row r="4998" spans="26:26">
      <c r="Z4998" s="371"/>
    </row>
    <row r="4999" spans="26:26">
      <c r="Z4999" s="371"/>
    </row>
    <row r="5000" spans="26:26">
      <c r="Z5000" s="371"/>
    </row>
    <row r="5001" spans="26:26">
      <c r="Z5001" s="371"/>
    </row>
    <row r="5002" spans="26:26">
      <c r="Z5002" s="371"/>
    </row>
    <row r="5003" spans="26:26">
      <c r="Z5003" s="371"/>
    </row>
    <row r="5004" spans="26:26">
      <c r="Z5004" s="371"/>
    </row>
    <row r="5005" spans="26:26">
      <c r="Z5005" s="371"/>
    </row>
    <row r="5006" spans="26:26">
      <c r="Z5006" s="371"/>
    </row>
    <row r="5007" spans="26:26">
      <c r="Z5007" s="371"/>
    </row>
    <row r="5008" spans="26:26">
      <c r="Z5008" s="371"/>
    </row>
    <row r="5009" spans="26:26">
      <c r="Z5009" s="371"/>
    </row>
    <row r="5010" spans="26:26">
      <c r="Z5010" s="371"/>
    </row>
    <row r="5011" spans="26:26">
      <c r="Z5011" s="371"/>
    </row>
    <row r="5012" spans="26:26">
      <c r="Z5012" s="371"/>
    </row>
    <row r="5013" spans="26:26">
      <c r="Z5013" s="371"/>
    </row>
    <row r="5014" spans="26:26">
      <c r="Z5014" s="371"/>
    </row>
    <row r="5015" spans="26:26">
      <c r="Z5015" s="371"/>
    </row>
    <row r="5016" spans="26:26">
      <c r="Z5016" s="371"/>
    </row>
    <row r="5017" spans="26:26">
      <c r="Z5017" s="371"/>
    </row>
    <row r="5018" spans="26:26">
      <c r="Z5018" s="371"/>
    </row>
    <row r="5019" spans="26:26">
      <c r="Z5019" s="371"/>
    </row>
    <row r="5020" spans="26:26">
      <c r="Z5020" s="371"/>
    </row>
    <row r="5021" spans="26:26">
      <c r="Z5021" s="371"/>
    </row>
    <row r="5022" spans="26:26">
      <c r="Z5022" s="371"/>
    </row>
    <row r="5023" spans="26:26">
      <c r="Z5023" s="371"/>
    </row>
    <row r="5024" spans="26:26">
      <c r="Z5024" s="371"/>
    </row>
    <row r="5025" spans="26:26">
      <c r="Z5025" s="371"/>
    </row>
    <row r="5026" spans="26:26">
      <c r="Z5026" s="371"/>
    </row>
    <row r="5027" spans="26:26">
      <c r="Z5027" s="371"/>
    </row>
    <row r="5028" spans="26:26">
      <c r="Z5028" s="371"/>
    </row>
    <row r="5029" spans="26:26">
      <c r="Z5029" s="371"/>
    </row>
    <row r="5030" spans="26:26">
      <c r="Z5030" s="371"/>
    </row>
    <row r="5031" spans="26:26">
      <c r="Z5031" s="371"/>
    </row>
    <row r="5032" spans="26:26">
      <c r="Z5032" s="371"/>
    </row>
    <row r="5033" spans="26:26">
      <c r="Z5033" s="371"/>
    </row>
    <row r="5034" spans="26:26">
      <c r="Z5034" s="371"/>
    </row>
    <row r="5035" spans="26:26">
      <c r="Z5035" s="371"/>
    </row>
    <row r="5036" spans="26:26">
      <c r="Z5036" s="371"/>
    </row>
    <row r="5037" spans="26:26">
      <c r="Z5037" s="371"/>
    </row>
    <row r="5038" spans="26:26">
      <c r="Z5038" s="371"/>
    </row>
    <row r="5039" spans="26:26">
      <c r="Z5039" s="371"/>
    </row>
    <row r="5040" spans="26:26">
      <c r="Z5040" s="371"/>
    </row>
    <row r="5041" spans="26:26">
      <c r="Z5041" s="371"/>
    </row>
    <row r="5042" spans="26:26">
      <c r="Z5042" s="371"/>
    </row>
    <row r="5043" spans="26:26">
      <c r="Z5043" s="371"/>
    </row>
    <row r="5044" spans="26:26">
      <c r="Z5044" s="371"/>
    </row>
    <row r="5045" spans="26:26">
      <c r="Z5045" s="371"/>
    </row>
    <row r="5046" spans="26:26">
      <c r="Z5046" s="371"/>
    </row>
    <row r="5047" spans="26:26">
      <c r="Z5047" s="371"/>
    </row>
    <row r="5048" spans="26:26">
      <c r="Z5048" s="371"/>
    </row>
    <row r="5049" spans="26:26">
      <c r="Z5049" s="371"/>
    </row>
    <row r="5050" spans="26:26">
      <c r="Z5050" s="371"/>
    </row>
    <row r="5051" spans="26:26">
      <c r="Z5051" s="371"/>
    </row>
    <row r="5052" spans="26:26">
      <c r="Z5052" s="371"/>
    </row>
    <row r="5053" spans="26:26">
      <c r="Z5053" s="371"/>
    </row>
    <row r="5054" spans="26:26">
      <c r="Z5054" s="371"/>
    </row>
    <row r="5055" spans="26:26">
      <c r="Z5055" s="371"/>
    </row>
    <row r="5056" spans="26:26">
      <c r="Z5056" s="371"/>
    </row>
    <row r="5057" spans="26:26">
      <c r="Z5057" s="371"/>
    </row>
    <row r="5058" spans="26:26">
      <c r="Z5058" s="371"/>
    </row>
    <row r="5059" spans="26:26">
      <c r="Z5059" s="371"/>
    </row>
    <row r="5060" spans="26:26">
      <c r="Z5060" s="371"/>
    </row>
    <row r="5061" spans="26:26">
      <c r="Z5061" s="371"/>
    </row>
    <row r="5062" spans="26:26">
      <c r="Z5062" s="371"/>
    </row>
    <row r="5063" spans="26:26">
      <c r="Z5063" s="371"/>
    </row>
    <row r="5064" spans="26:26">
      <c r="Z5064" s="371"/>
    </row>
    <row r="5065" spans="26:26">
      <c r="Z5065" s="371"/>
    </row>
    <row r="5066" spans="26:26">
      <c r="Z5066" s="371"/>
    </row>
    <row r="5067" spans="26:26">
      <c r="Z5067" s="371"/>
    </row>
    <row r="5068" spans="26:26">
      <c r="Z5068" s="371"/>
    </row>
    <row r="5069" spans="26:26">
      <c r="Z5069" s="371"/>
    </row>
    <row r="5070" spans="26:26">
      <c r="Z5070" s="371"/>
    </row>
    <row r="5071" spans="26:26">
      <c r="Z5071" s="371"/>
    </row>
    <row r="5072" spans="26:26">
      <c r="Z5072" s="371"/>
    </row>
    <row r="5073" spans="26:26">
      <c r="Z5073" s="371"/>
    </row>
    <row r="5074" spans="26:26">
      <c r="Z5074" s="371"/>
    </row>
    <row r="5075" spans="26:26">
      <c r="Z5075" s="371"/>
    </row>
    <row r="5076" spans="26:26">
      <c r="Z5076" s="371"/>
    </row>
    <row r="5077" spans="26:26">
      <c r="Z5077" s="371"/>
    </row>
    <row r="5078" spans="26:26">
      <c r="Z5078" s="371"/>
    </row>
    <row r="5079" spans="26:26">
      <c r="Z5079" s="371"/>
    </row>
    <row r="5080" spans="26:26">
      <c r="Z5080" s="371"/>
    </row>
    <row r="5081" spans="26:26">
      <c r="Z5081" s="371"/>
    </row>
    <row r="5082" spans="26:26">
      <c r="Z5082" s="371"/>
    </row>
    <row r="5083" spans="26:26">
      <c r="Z5083" s="371"/>
    </row>
    <row r="5084" spans="26:26">
      <c r="Z5084" s="371"/>
    </row>
    <row r="5085" spans="26:26">
      <c r="Z5085" s="371"/>
    </row>
    <row r="5086" spans="26:26">
      <c r="Z5086" s="371"/>
    </row>
    <row r="5087" spans="26:26">
      <c r="Z5087" s="371"/>
    </row>
    <row r="5088" spans="26:26">
      <c r="Z5088" s="371"/>
    </row>
    <row r="5089" spans="26:26">
      <c r="Z5089" s="371"/>
    </row>
    <row r="5090" spans="26:26">
      <c r="Z5090" s="371"/>
    </row>
    <row r="5091" spans="26:26">
      <c r="Z5091" s="371"/>
    </row>
    <row r="5092" spans="26:26">
      <c r="Z5092" s="371"/>
    </row>
    <row r="5093" spans="26:26">
      <c r="Z5093" s="371"/>
    </row>
    <row r="5094" spans="26:26">
      <c r="Z5094" s="371"/>
    </row>
    <row r="5095" spans="26:26">
      <c r="Z5095" s="371"/>
    </row>
    <row r="5096" spans="26:26">
      <c r="Z5096" s="371"/>
    </row>
    <row r="5097" spans="26:26">
      <c r="Z5097" s="371"/>
    </row>
    <row r="5098" spans="26:26">
      <c r="Z5098" s="371"/>
    </row>
    <row r="5099" spans="26:26">
      <c r="Z5099" s="371"/>
    </row>
    <row r="5100" spans="26:26">
      <c r="Z5100" s="371"/>
    </row>
    <row r="5101" spans="26:26">
      <c r="Z5101" s="371"/>
    </row>
    <row r="5102" spans="26:26">
      <c r="Z5102" s="371"/>
    </row>
    <row r="5103" spans="26:26">
      <c r="Z5103" s="371"/>
    </row>
    <row r="5104" spans="26:26">
      <c r="Z5104" s="371"/>
    </row>
    <row r="5105" spans="26:26">
      <c r="Z5105" s="371"/>
    </row>
    <row r="5106" spans="26:26">
      <c r="Z5106" s="371"/>
    </row>
    <row r="5107" spans="26:26">
      <c r="Z5107" s="371"/>
    </row>
    <row r="5108" spans="26:26">
      <c r="Z5108" s="371"/>
    </row>
    <row r="5109" spans="26:26">
      <c r="Z5109" s="371"/>
    </row>
    <row r="5110" spans="26:26">
      <c r="Z5110" s="371"/>
    </row>
    <row r="5111" spans="26:26">
      <c r="Z5111" s="371"/>
    </row>
    <row r="5112" spans="26:26">
      <c r="Z5112" s="371"/>
    </row>
    <row r="5113" spans="26:26">
      <c r="Z5113" s="371"/>
    </row>
    <row r="5114" spans="26:26">
      <c r="Z5114" s="371"/>
    </row>
    <row r="5115" spans="26:26">
      <c r="Z5115" s="371"/>
    </row>
    <row r="5116" spans="26:26">
      <c r="Z5116" s="371"/>
    </row>
    <row r="5117" spans="26:26">
      <c r="Z5117" s="371"/>
    </row>
    <row r="5118" spans="26:26">
      <c r="Z5118" s="371"/>
    </row>
    <row r="5119" spans="26:26">
      <c r="Z5119" s="371"/>
    </row>
    <row r="5120" spans="26:26">
      <c r="Z5120" s="371"/>
    </row>
    <row r="5121" spans="26:26">
      <c r="Z5121" s="371"/>
    </row>
    <row r="5122" spans="26:26">
      <c r="Z5122" s="371"/>
    </row>
    <row r="5123" spans="26:26">
      <c r="Z5123" s="371"/>
    </row>
    <row r="5124" spans="26:26">
      <c r="Z5124" s="371"/>
    </row>
    <row r="5125" spans="26:26">
      <c r="Z5125" s="371"/>
    </row>
    <row r="5126" spans="26:26">
      <c r="Z5126" s="371"/>
    </row>
    <row r="5127" spans="26:26">
      <c r="Z5127" s="371"/>
    </row>
    <row r="5128" spans="26:26">
      <c r="Z5128" s="371"/>
    </row>
    <row r="5129" spans="26:26">
      <c r="Z5129" s="371"/>
    </row>
    <row r="5130" spans="26:26">
      <c r="Z5130" s="371"/>
    </row>
    <row r="5131" spans="26:26">
      <c r="Z5131" s="371"/>
    </row>
    <row r="5132" spans="26:26">
      <c r="Z5132" s="371"/>
    </row>
    <row r="5133" spans="26:26">
      <c r="Z5133" s="371"/>
    </row>
    <row r="5134" spans="26:26">
      <c r="Z5134" s="371"/>
    </row>
    <row r="5135" spans="26:26">
      <c r="Z5135" s="371"/>
    </row>
    <row r="5136" spans="26:26">
      <c r="Z5136" s="371"/>
    </row>
    <row r="5137" spans="26:26">
      <c r="Z5137" s="371"/>
    </row>
    <row r="5138" spans="26:26">
      <c r="Z5138" s="371"/>
    </row>
    <row r="5139" spans="26:26">
      <c r="Z5139" s="371"/>
    </row>
    <row r="5140" spans="26:26">
      <c r="Z5140" s="371"/>
    </row>
    <row r="5141" spans="26:26">
      <c r="Z5141" s="371"/>
    </row>
    <row r="5142" spans="26:26">
      <c r="Z5142" s="371"/>
    </row>
    <row r="5143" spans="26:26">
      <c r="Z5143" s="371"/>
    </row>
    <row r="5144" spans="26:26">
      <c r="Z5144" s="371"/>
    </row>
    <row r="5145" spans="26:26">
      <c r="Z5145" s="371"/>
    </row>
    <row r="5146" spans="26:26">
      <c r="Z5146" s="371"/>
    </row>
    <row r="5147" spans="26:26">
      <c r="Z5147" s="371"/>
    </row>
    <row r="5148" spans="26:26">
      <c r="Z5148" s="371"/>
    </row>
    <row r="5149" spans="26:26">
      <c r="Z5149" s="371"/>
    </row>
    <row r="5150" spans="26:26">
      <c r="Z5150" s="371"/>
    </row>
    <row r="5151" spans="26:26">
      <c r="Z5151" s="371"/>
    </row>
    <row r="5152" spans="26:26">
      <c r="Z5152" s="371"/>
    </row>
    <row r="5153" spans="26:26">
      <c r="Z5153" s="371"/>
    </row>
    <row r="5154" spans="26:26">
      <c r="Z5154" s="371"/>
    </row>
    <row r="5155" spans="26:26">
      <c r="Z5155" s="371"/>
    </row>
    <row r="5156" spans="26:26">
      <c r="Z5156" s="371"/>
    </row>
    <row r="5157" spans="26:26">
      <c r="Z5157" s="371"/>
    </row>
    <row r="5158" spans="26:26">
      <c r="Z5158" s="371"/>
    </row>
    <row r="5159" spans="26:26">
      <c r="Z5159" s="371"/>
    </row>
    <row r="5160" spans="26:26">
      <c r="Z5160" s="371"/>
    </row>
    <row r="5161" spans="26:26">
      <c r="Z5161" s="371"/>
    </row>
    <row r="5162" spans="26:26">
      <c r="Z5162" s="371"/>
    </row>
    <row r="5163" spans="26:26">
      <c r="Z5163" s="371"/>
    </row>
    <row r="5164" spans="26:26">
      <c r="Z5164" s="371"/>
    </row>
    <row r="5165" spans="26:26">
      <c r="Z5165" s="371"/>
    </row>
    <row r="5166" spans="26:26">
      <c r="Z5166" s="371"/>
    </row>
    <row r="5167" spans="26:26">
      <c r="Z5167" s="371"/>
    </row>
    <row r="5168" spans="26:26">
      <c r="Z5168" s="371"/>
    </row>
    <row r="5169" spans="26:26">
      <c r="Z5169" s="371"/>
    </row>
    <row r="5170" spans="26:26">
      <c r="Z5170" s="371"/>
    </row>
    <row r="5171" spans="26:26">
      <c r="Z5171" s="371"/>
    </row>
    <row r="5172" spans="26:26">
      <c r="Z5172" s="371"/>
    </row>
    <row r="5173" spans="26:26">
      <c r="Z5173" s="371"/>
    </row>
    <row r="5174" spans="26:26">
      <c r="Z5174" s="371"/>
    </row>
    <row r="5175" spans="26:26">
      <c r="Z5175" s="371"/>
    </row>
    <row r="5176" spans="26:26">
      <c r="Z5176" s="371"/>
    </row>
    <row r="5177" spans="26:26">
      <c r="Z5177" s="371"/>
    </row>
    <row r="5178" spans="26:26">
      <c r="Z5178" s="371"/>
    </row>
    <row r="5179" spans="26:26">
      <c r="Z5179" s="371"/>
    </row>
    <row r="5180" spans="26:26">
      <c r="Z5180" s="371"/>
    </row>
    <row r="5181" spans="26:26">
      <c r="Z5181" s="371"/>
    </row>
    <row r="5182" spans="26:26">
      <c r="Z5182" s="371"/>
    </row>
    <row r="5183" spans="26:26">
      <c r="Z5183" s="371"/>
    </row>
    <row r="5184" spans="26:26">
      <c r="Z5184" s="371"/>
    </row>
    <row r="5185" spans="26:26">
      <c r="Z5185" s="371"/>
    </row>
    <row r="5186" spans="26:26">
      <c r="Z5186" s="371"/>
    </row>
    <row r="5187" spans="26:26">
      <c r="Z5187" s="371"/>
    </row>
    <row r="5188" spans="26:26">
      <c r="Z5188" s="371"/>
    </row>
    <row r="5189" spans="26:26">
      <c r="Z5189" s="371"/>
    </row>
    <row r="5190" spans="26:26">
      <c r="Z5190" s="371"/>
    </row>
    <row r="5191" spans="26:26">
      <c r="Z5191" s="371"/>
    </row>
    <row r="5192" spans="26:26">
      <c r="Z5192" s="371"/>
    </row>
    <row r="5193" spans="26:26">
      <c r="Z5193" s="371"/>
    </row>
    <row r="5194" spans="26:26">
      <c r="Z5194" s="371"/>
    </row>
    <row r="5195" spans="26:26">
      <c r="Z5195" s="371"/>
    </row>
    <row r="5196" spans="26:26">
      <c r="Z5196" s="371"/>
    </row>
    <row r="5197" spans="26:26">
      <c r="Z5197" s="371"/>
    </row>
    <row r="5198" spans="26:26">
      <c r="Z5198" s="371"/>
    </row>
    <row r="5199" spans="26:26">
      <c r="Z5199" s="371"/>
    </row>
    <row r="5200" spans="26:26">
      <c r="Z5200" s="371"/>
    </row>
    <row r="5201" spans="26:26">
      <c r="Z5201" s="371"/>
    </row>
    <row r="5202" spans="26:26">
      <c r="Z5202" s="371"/>
    </row>
    <row r="5203" spans="26:26">
      <c r="Z5203" s="371"/>
    </row>
    <row r="5204" spans="26:26">
      <c r="Z5204" s="371"/>
    </row>
    <row r="5205" spans="26:26">
      <c r="Z5205" s="371"/>
    </row>
    <row r="5206" spans="26:26">
      <c r="Z5206" s="371"/>
    </row>
    <row r="5207" spans="26:26">
      <c r="Z5207" s="371"/>
    </row>
    <row r="5208" spans="26:26">
      <c r="Z5208" s="371"/>
    </row>
    <row r="5209" spans="26:26">
      <c r="Z5209" s="371"/>
    </row>
    <row r="5210" spans="26:26">
      <c r="Z5210" s="371"/>
    </row>
    <row r="5211" spans="26:26">
      <c r="Z5211" s="371"/>
    </row>
    <row r="5212" spans="26:26">
      <c r="Z5212" s="371"/>
    </row>
    <row r="5213" spans="26:26">
      <c r="Z5213" s="371"/>
    </row>
    <row r="5214" spans="26:26">
      <c r="Z5214" s="371"/>
    </row>
    <row r="5215" spans="26:26">
      <c r="Z5215" s="371"/>
    </row>
    <row r="5216" spans="26:26">
      <c r="Z5216" s="371"/>
    </row>
    <row r="5217" spans="26:26">
      <c r="Z5217" s="371"/>
    </row>
    <row r="5218" spans="26:26">
      <c r="Z5218" s="371"/>
    </row>
    <row r="5219" spans="26:26">
      <c r="Z5219" s="371"/>
    </row>
    <row r="5220" spans="26:26">
      <c r="Z5220" s="371"/>
    </row>
    <row r="5221" spans="26:26">
      <c r="Z5221" s="371"/>
    </row>
    <row r="5222" spans="26:26">
      <c r="Z5222" s="371"/>
    </row>
    <row r="5223" spans="26:26">
      <c r="Z5223" s="371"/>
    </row>
    <row r="5224" spans="26:26">
      <c r="Z5224" s="371"/>
    </row>
    <row r="5225" spans="26:26">
      <c r="Z5225" s="371"/>
    </row>
    <row r="5226" spans="26:26">
      <c r="Z5226" s="371"/>
    </row>
    <row r="5227" spans="26:26">
      <c r="Z5227" s="371"/>
    </row>
    <row r="5228" spans="26:26">
      <c r="Z5228" s="371"/>
    </row>
    <row r="5229" spans="26:26">
      <c r="Z5229" s="371"/>
    </row>
    <row r="5230" spans="26:26">
      <c r="Z5230" s="371"/>
    </row>
    <row r="5231" spans="26:26">
      <c r="Z5231" s="371"/>
    </row>
    <row r="5232" spans="26:26">
      <c r="Z5232" s="371"/>
    </row>
    <row r="5233" spans="26:26">
      <c r="Z5233" s="371"/>
    </row>
    <row r="5234" spans="26:26">
      <c r="Z5234" s="371"/>
    </row>
    <row r="5235" spans="26:26">
      <c r="Z5235" s="371"/>
    </row>
    <row r="5236" spans="26:26">
      <c r="Z5236" s="371"/>
    </row>
    <row r="5237" spans="26:26">
      <c r="Z5237" s="371"/>
    </row>
    <row r="5238" spans="26:26">
      <c r="Z5238" s="371"/>
    </row>
    <row r="5239" spans="26:26">
      <c r="Z5239" s="371"/>
    </row>
    <row r="5240" spans="26:26">
      <c r="Z5240" s="371"/>
    </row>
    <row r="5241" spans="26:26">
      <c r="Z5241" s="371"/>
    </row>
    <row r="5242" spans="26:26">
      <c r="Z5242" s="371"/>
    </row>
    <row r="5243" spans="26:26">
      <c r="Z5243" s="371"/>
    </row>
    <row r="5244" spans="26:26">
      <c r="Z5244" s="371"/>
    </row>
    <row r="5245" spans="26:26">
      <c r="Z5245" s="371"/>
    </row>
    <row r="5246" spans="26:26">
      <c r="Z5246" s="371"/>
    </row>
    <row r="5247" spans="26:26">
      <c r="Z5247" s="371"/>
    </row>
    <row r="5248" spans="26:26">
      <c r="Z5248" s="371"/>
    </row>
    <row r="5249" spans="26:26">
      <c r="Z5249" s="371"/>
    </row>
    <row r="5250" spans="26:26">
      <c r="Z5250" s="371"/>
    </row>
    <row r="5251" spans="26:26">
      <c r="Z5251" s="371"/>
    </row>
    <row r="5252" spans="26:26">
      <c r="Z5252" s="371"/>
    </row>
    <row r="5253" spans="26:26">
      <c r="Z5253" s="371"/>
    </row>
    <row r="5254" spans="26:26">
      <c r="Z5254" s="371"/>
    </row>
    <row r="5255" spans="26:26">
      <c r="Z5255" s="371"/>
    </row>
    <row r="5256" spans="26:26">
      <c r="Z5256" s="371"/>
    </row>
    <row r="5257" spans="26:26">
      <c r="Z5257" s="371"/>
    </row>
    <row r="5258" spans="26:26">
      <c r="Z5258" s="371"/>
    </row>
    <row r="5259" spans="26:26">
      <c r="Z5259" s="371"/>
    </row>
    <row r="5260" spans="26:26">
      <c r="Z5260" s="371"/>
    </row>
    <row r="5261" spans="26:26">
      <c r="Z5261" s="371"/>
    </row>
    <row r="5262" spans="26:26">
      <c r="Z5262" s="371"/>
    </row>
    <row r="5263" spans="26:26">
      <c r="Z5263" s="371"/>
    </row>
    <row r="5264" spans="26:26">
      <c r="Z5264" s="371"/>
    </row>
    <row r="5265" spans="26:26">
      <c r="Z5265" s="371"/>
    </row>
    <row r="5266" spans="26:26">
      <c r="Z5266" s="371"/>
    </row>
    <row r="5267" spans="26:26">
      <c r="Z5267" s="371"/>
    </row>
    <row r="5268" spans="26:26">
      <c r="Z5268" s="371"/>
    </row>
    <row r="5269" spans="26:26">
      <c r="Z5269" s="371"/>
    </row>
    <row r="5270" spans="26:26">
      <c r="Z5270" s="371"/>
    </row>
    <row r="5271" spans="26:26">
      <c r="Z5271" s="371"/>
    </row>
    <row r="5272" spans="26:26">
      <c r="Z5272" s="371"/>
    </row>
    <row r="5273" spans="26:26">
      <c r="Z5273" s="371"/>
    </row>
    <row r="5274" spans="26:26">
      <c r="Z5274" s="371"/>
    </row>
    <row r="5275" spans="26:26">
      <c r="Z5275" s="371"/>
    </row>
    <row r="5276" spans="26:26">
      <c r="Z5276" s="371"/>
    </row>
    <row r="5277" spans="26:26">
      <c r="Z5277" s="371"/>
    </row>
    <row r="5278" spans="26:26">
      <c r="Z5278" s="371"/>
    </row>
    <row r="5279" spans="26:26">
      <c r="Z5279" s="371"/>
    </row>
    <row r="5280" spans="26:26">
      <c r="Z5280" s="371"/>
    </row>
    <row r="5281" spans="26:26">
      <c r="Z5281" s="371"/>
    </row>
    <row r="5282" spans="26:26">
      <c r="Z5282" s="371"/>
    </row>
    <row r="5283" spans="26:26">
      <c r="Z5283" s="371"/>
    </row>
    <row r="5284" spans="26:26">
      <c r="Z5284" s="371"/>
    </row>
    <row r="5285" spans="26:26">
      <c r="Z5285" s="371"/>
    </row>
    <row r="5286" spans="26:26">
      <c r="Z5286" s="371"/>
    </row>
    <row r="5287" spans="26:26">
      <c r="Z5287" s="371"/>
    </row>
    <row r="5288" spans="26:26">
      <c r="Z5288" s="371"/>
    </row>
    <row r="5289" spans="26:26">
      <c r="Z5289" s="371"/>
    </row>
    <row r="5290" spans="26:26">
      <c r="Z5290" s="371"/>
    </row>
    <row r="5291" spans="26:26">
      <c r="Z5291" s="371"/>
    </row>
    <row r="5292" spans="26:26">
      <c r="Z5292" s="371"/>
    </row>
    <row r="5293" spans="26:26">
      <c r="Z5293" s="371"/>
    </row>
    <row r="5294" spans="26:26">
      <c r="Z5294" s="371"/>
    </row>
    <row r="5295" spans="26:26">
      <c r="Z5295" s="371"/>
    </row>
    <row r="5296" spans="26:26">
      <c r="Z5296" s="371"/>
    </row>
    <row r="5297" spans="26:26">
      <c r="Z5297" s="371"/>
    </row>
    <row r="5298" spans="26:26">
      <c r="Z5298" s="371"/>
    </row>
    <row r="5299" spans="26:26">
      <c r="Z5299" s="371"/>
    </row>
    <row r="5300" spans="26:26">
      <c r="Z5300" s="371"/>
    </row>
    <row r="5301" spans="26:26">
      <c r="Z5301" s="371"/>
    </row>
    <row r="5302" spans="26:26">
      <c r="Z5302" s="371"/>
    </row>
    <row r="5303" spans="26:26">
      <c r="Z5303" s="371"/>
    </row>
    <row r="5304" spans="26:26">
      <c r="Z5304" s="371"/>
    </row>
    <row r="5305" spans="26:26">
      <c r="Z5305" s="371"/>
    </row>
    <row r="5306" spans="26:26">
      <c r="Z5306" s="371"/>
    </row>
    <row r="5307" spans="26:26">
      <c r="Z5307" s="371"/>
    </row>
    <row r="5308" spans="26:26">
      <c r="Z5308" s="371"/>
    </row>
    <row r="5309" spans="26:26">
      <c r="Z5309" s="371"/>
    </row>
    <row r="5310" spans="26:26">
      <c r="Z5310" s="371"/>
    </row>
    <row r="5311" spans="26:26">
      <c r="Z5311" s="371"/>
    </row>
    <row r="5312" spans="26:26">
      <c r="Z5312" s="371"/>
    </row>
    <row r="5313" spans="26:26">
      <c r="Z5313" s="371"/>
    </row>
    <row r="5314" spans="26:26">
      <c r="Z5314" s="371"/>
    </row>
    <row r="5315" spans="26:26">
      <c r="Z5315" s="371"/>
    </row>
    <row r="5316" spans="26:26">
      <c r="Z5316" s="371"/>
    </row>
    <row r="5317" spans="26:26">
      <c r="Z5317" s="371"/>
    </row>
    <row r="5318" spans="26:26">
      <c r="Z5318" s="371"/>
    </row>
    <row r="5319" spans="26:26">
      <c r="Z5319" s="371"/>
    </row>
    <row r="5320" spans="26:26">
      <c r="Z5320" s="371"/>
    </row>
    <row r="5321" spans="26:26">
      <c r="Z5321" s="371"/>
    </row>
    <row r="5322" spans="26:26">
      <c r="Z5322" s="371"/>
    </row>
    <row r="5323" spans="26:26">
      <c r="Z5323" s="371"/>
    </row>
    <row r="5324" spans="26:26">
      <c r="Z5324" s="371"/>
    </row>
    <row r="5325" spans="26:26">
      <c r="Z5325" s="371"/>
    </row>
    <row r="5326" spans="26:26">
      <c r="Z5326" s="371"/>
    </row>
    <row r="5327" spans="26:26">
      <c r="Z5327" s="371"/>
    </row>
    <row r="5328" spans="26:26">
      <c r="Z5328" s="371"/>
    </row>
    <row r="5329" spans="26:26">
      <c r="Z5329" s="371"/>
    </row>
    <row r="5330" spans="26:26">
      <c r="Z5330" s="371"/>
    </row>
    <row r="5331" spans="26:26">
      <c r="Z5331" s="371"/>
    </row>
    <row r="5332" spans="26:26">
      <c r="Z5332" s="371"/>
    </row>
    <row r="5333" spans="26:26">
      <c r="Z5333" s="371"/>
    </row>
    <row r="5334" spans="26:26">
      <c r="Z5334" s="371"/>
    </row>
    <row r="5335" spans="26:26">
      <c r="Z5335" s="371"/>
    </row>
    <row r="5336" spans="26:26">
      <c r="Z5336" s="371"/>
    </row>
    <row r="5337" spans="26:26">
      <c r="Z5337" s="371"/>
    </row>
    <row r="5338" spans="26:26">
      <c r="Z5338" s="371"/>
    </row>
    <row r="5339" spans="26:26">
      <c r="Z5339" s="371"/>
    </row>
    <row r="5340" spans="26:26">
      <c r="Z5340" s="371"/>
    </row>
    <row r="5341" spans="26:26">
      <c r="Z5341" s="371"/>
    </row>
    <row r="5342" spans="26:26">
      <c r="Z5342" s="371"/>
    </row>
    <row r="5343" spans="26:26">
      <c r="Z5343" s="371"/>
    </row>
    <row r="5344" spans="26:26">
      <c r="Z5344" s="371"/>
    </row>
    <row r="5345" spans="26:26">
      <c r="Z5345" s="371"/>
    </row>
    <row r="5346" spans="26:26">
      <c r="Z5346" s="371"/>
    </row>
    <row r="5347" spans="26:26">
      <c r="Z5347" s="371"/>
    </row>
    <row r="5348" spans="26:26">
      <c r="Z5348" s="371"/>
    </row>
    <row r="5349" spans="26:26">
      <c r="Z5349" s="371"/>
    </row>
    <row r="5350" spans="26:26">
      <c r="Z5350" s="371"/>
    </row>
    <row r="5351" spans="26:26">
      <c r="Z5351" s="371"/>
    </row>
    <row r="5352" spans="26:26">
      <c r="Z5352" s="371"/>
    </row>
    <row r="5353" spans="26:26">
      <c r="Z5353" s="371"/>
    </row>
    <row r="5354" spans="26:26">
      <c r="Z5354" s="371"/>
    </row>
    <row r="5355" spans="26:26">
      <c r="Z5355" s="371"/>
    </row>
    <row r="5356" spans="26:26">
      <c r="Z5356" s="371"/>
    </row>
    <row r="5357" spans="26:26">
      <c r="Z5357" s="371"/>
    </row>
    <row r="5358" spans="26:26">
      <c r="Z5358" s="371"/>
    </row>
    <row r="5359" spans="26:26">
      <c r="Z5359" s="371"/>
    </row>
    <row r="5360" spans="26:26">
      <c r="Z5360" s="371"/>
    </row>
    <row r="5361" spans="26:26">
      <c r="Z5361" s="371"/>
    </row>
    <row r="5362" spans="26:26">
      <c r="Z5362" s="371"/>
    </row>
    <row r="5363" spans="26:26">
      <c r="Z5363" s="371"/>
    </row>
    <row r="5364" spans="26:26">
      <c r="Z5364" s="371"/>
    </row>
    <row r="5365" spans="26:26">
      <c r="Z5365" s="371"/>
    </row>
    <row r="5366" spans="26:26">
      <c r="Z5366" s="371"/>
    </row>
    <row r="5367" spans="26:26">
      <c r="Z5367" s="371"/>
    </row>
    <row r="5368" spans="26:26">
      <c r="Z5368" s="371"/>
    </row>
    <row r="5369" spans="26:26">
      <c r="Z5369" s="371"/>
    </row>
    <row r="5370" spans="26:26">
      <c r="Z5370" s="371"/>
    </row>
    <row r="5371" spans="26:26">
      <c r="Z5371" s="371"/>
    </row>
    <row r="5372" spans="26:26">
      <c r="Z5372" s="371"/>
    </row>
    <row r="5373" spans="26:26">
      <c r="Z5373" s="371"/>
    </row>
    <row r="5374" spans="26:26">
      <c r="Z5374" s="371"/>
    </row>
    <row r="5375" spans="26:26">
      <c r="Z5375" s="371"/>
    </row>
    <row r="5376" spans="26:26">
      <c r="Z5376" s="371"/>
    </row>
    <row r="5377" spans="26:26">
      <c r="Z5377" s="371"/>
    </row>
    <row r="5378" spans="26:26">
      <c r="Z5378" s="371"/>
    </row>
    <row r="5379" spans="26:26">
      <c r="Z5379" s="371"/>
    </row>
    <row r="5380" spans="26:26">
      <c r="Z5380" s="371"/>
    </row>
    <row r="5381" spans="26:26">
      <c r="Z5381" s="371"/>
    </row>
    <row r="5382" spans="26:26">
      <c r="Z5382" s="371"/>
    </row>
    <row r="5383" spans="26:26">
      <c r="Z5383" s="371"/>
    </row>
    <row r="5384" spans="26:26">
      <c r="Z5384" s="371"/>
    </row>
    <row r="5385" spans="26:26">
      <c r="Z5385" s="371"/>
    </row>
    <row r="5386" spans="26:26">
      <c r="Z5386" s="371"/>
    </row>
    <row r="5387" spans="26:26">
      <c r="Z5387" s="371"/>
    </row>
    <row r="5388" spans="26:26">
      <c r="Z5388" s="371"/>
    </row>
    <row r="5389" spans="26:26">
      <c r="Z5389" s="371"/>
    </row>
    <row r="5390" spans="26:26">
      <c r="Z5390" s="371"/>
    </row>
    <row r="5391" spans="26:26">
      <c r="Z5391" s="371"/>
    </row>
    <row r="5392" spans="26:26">
      <c r="Z5392" s="371"/>
    </row>
    <row r="5393" spans="26:26">
      <c r="Z5393" s="371"/>
    </row>
    <row r="5394" spans="26:26">
      <c r="Z5394" s="371"/>
    </row>
    <row r="5395" spans="26:26">
      <c r="Z5395" s="371"/>
    </row>
    <row r="5396" spans="26:26">
      <c r="Z5396" s="371"/>
    </row>
    <row r="5397" spans="26:26">
      <c r="Z5397" s="371"/>
    </row>
    <row r="5398" spans="26:26">
      <c r="Z5398" s="371"/>
    </row>
    <row r="5399" spans="26:26">
      <c r="Z5399" s="371"/>
    </row>
    <row r="5400" spans="26:26">
      <c r="Z5400" s="371"/>
    </row>
    <row r="5401" spans="26:26">
      <c r="Z5401" s="371"/>
    </row>
    <row r="5402" spans="26:26">
      <c r="Z5402" s="371"/>
    </row>
    <row r="5403" spans="26:26">
      <c r="Z5403" s="371"/>
    </row>
    <row r="5404" spans="26:26">
      <c r="Z5404" s="371"/>
    </row>
    <row r="5405" spans="26:26">
      <c r="Z5405" s="371"/>
    </row>
    <row r="5406" spans="26:26">
      <c r="Z5406" s="371"/>
    </row>
    <row r="5407" spans="26:26">
      <c r="Z5407" s="371"/>
    </row>
    <row r="5408" spans="26:26">
      <c r="Z5408" s="371"/>
    </row>
    <row r="5409" spans="26:26">
      <c r="Z5409" s="371"/>
    </row>
    <row r="5410" spans="26:26">
      <c r="Z5410" s="371"/>
    </row>
    <row r="5411" spans="26:26">
      <c r="Z5411" s="371"/>
    </row>
    <row r="5412" spans="26:26">
      <c r="Z5412" s="371"/>
    </row>
    <row r="5413" spans="26:26">
      <c r="Z5413" s="371"/>
    </row>
    <row r="5414" spans="26:26">
      <c r="Z5414" s="371"/>
    </row>
    <row r="5415" spans="26:26">
      <c r="Z5415" s="371"/>
    </row>
    <row r="5416" spans="26:26">
      <c r="Z5416" s="371"/>
    </row>
    <row r="5417" spans="26:26">
      <c r="Z5417" s="371"/>
    </row>
    <row r="5418" spans="26:26">
      <c r="Z5418" s="371"/>
    </row>
    <row r="5419" spans="26:26">
      <c r="Z5419" s="371"/>
    </row>
    <row r="5420" spans="26:26">
      <c r="Z5420" s="371"/>
    </row>
    <row r="5421" spans="26:26">
      <c r="Z5421" s="371"/>
    </row>
    <row r="5422" spans="26:26">
      <c r="Z5422" s="371"/>
    </row>
    <row r="5423" spans="26:26">
      <c r="Z5423" s="371"/>
    </row>
    <row r="5424" spans="26:26">
      <c r="Z5424" s="371"/>
    </row>
    <row r="5425" spans="26:26">
      <c r="Z5425" s="371"/>
    </row>
    <row r="5426" spans="26:26">
      <c r="Z5426" s="371"/>
    </row>
    <row r="5427" spans="26:26">
      <c r="Z5427" s="371"/>
    </row>
    <row r="5428" spans="26:26">
      <c r="Z5428" s="371"/>
    </row>
    <row r="5429" spans="26:26">
      <c r="Z5429" s="371"/>
    </row>
    <row r="5430" spans="26:26">
      <c r="Z5430" s="371"/>
    </row>
    <row r="5431" spans="26:26">
      <c r="Z5431" s="371"/>
    </row>
    <row r="5432" spans="26:26">
      <c r="Z5432" s="371"/>
    </row>
    <row r="5433" spans="26:26">
      <c r="Z5433" s="371"/>
    </row>
    <row r="5434" spans="26:26">
      <c r="Z5434" s="371"/>
    </row>
    <row r="5435" spans="26:26">
      <c r="Z5435" s="371"/>
    </row>
    <row r="5436" spans="26:26">
      <c r="Z5436" s="371"/>
    </row>
    <row r="5437" spans="26:26">
      <c r="Z5437" s="371"/>
    </row>
    <row r="5438" spans="26:26">
      <c r="Z5438" s="371"/>
    </row>
    <row r="5439" spans="26:26">
      <c r="Z5439" s="371"/>
    </row>
    <row r="5440" spans="26:26">
      <c r="Z5440" s="371"/>
    </row>
    <row r="5441" spans="26:26">
      <c r="Z5441" s="371"/>
    </row>
    <row r="5442" spans="26:26">
      <c r="Z5442" s="371"/>
    </row>
    <row r="5443" spans="26:26">
      <c r="Z5443" s="371"/>
    </row>
    <row r="5444" spans="26:26">
      <c r="Z5444" s="371"/>
    </row>
    <row r="5445" spans="26:26">
      <c r="Z5445" s="371"/>
    </row>
    <row r="5446" spans="26:26">
      <c r="Z5446" s="371"/>
    </row>
    <row r="5447" spans="26:26">
      <c r="Z5447" s="371"/>
    </row>
    <row r="5448" spans="26:26">
      <c r="Z5448" s="371"/>
    </row>
    <row r="5449" spans="26:26">
      <c r="Z5449" s="371"/>
    </row>
    <row r="5450" spans="26:26">
      <c r="Z5450" s="371"/>
    </row>
    <row r="5451" spans="26:26">
      <c r="Z5451" s="371"/>
    </row>
    <row r="5452" spans="26:26">
      <c r="Z5452" s="371"/>
    </row>
    <row r="5453" spans="26:26">
      <c r="Z5453" s="371"/>
    </row>
    <row r="5454" spans="26:26">
      <c r="Z5454" s="371"/>
    </row>
    <row r="5455" spans="26:26">
      <c r="Z5455" s="371"/>
    </row>
    <row r="5456" spans="26:26">
      <c r="Z5456" s="371"/>
    </row>
    <row r="5457" spans="26:26">
      <c r="Z5457" s="371"/>
    </row>
    <row r="5458" spans="26:26">
      <c r="Z5458" s="371"/>
    </row>
    <row r="5459" spans="26:26">
      <c r="Z5459" s="371"/>
    </row>
    <row r="5460" spans="26:26">
      <c r="Z5460" s="371"/>
    </row>
    <row r="5461" spans="26:26">
      <c r="Z5461" s="371"/>
    </row>
    <row r="5462" spans="26:26">
      <c r="Z5462" s="371"/>
    </row>
    <row r="5463" spans="26:26">
      <c r="Z5463" s="371"/>
    </row>
    <row r="5464" spans="26:26">
      <c r="Z5464" s="371"/>
    </row>
    <row r="5465" spans="26:26">
      <c r="Z5465" s="371"/>
    </row>
    <row r="5466" spans="26:26">
      <c r="Z5466" s="371"/>
    </row>
    <row r="5467" spans="26:26">
      <c r="Z5467" s="371"/>
    </row>
    <row r="5468" spans="26:26">
      <c r="Z5468" s="371"/>
    </row>
    <row r="5469" spans="26:26">
      <c r="Z5469" s="371"/>
    </row>
    <row r="5470" spans="26:26">
      <c r="Z5470" s="371"/>
    </row>
    <row r="5471" spans="26:26">
      <c r="Z5471" s="371"/>
    </row>
    <row r="5472" spans="26:26">
      <c r="Z5472" s="371"/>
    </row>
    <row r="5473" spans="26:26">
      <c r="Z5473" s="371"/>
    </row>
    <row r="5474" spans="26:26">
      <c r="Z5474" s="371"/>
    </row>
    <row r="5475" spans="26:26">
      <c r="Z5475" s="371"/>
    </row>
    <row r="5476" spans="26:26">
      <c r="Z5476" s="371"/>
    </row>
    <row r="5477" spans="26:26">
      <c r="Z5477" s="371"/>
    </row>
    <row r="5478" spans="26:26">
      <c r="Z5478" s="371"/>
    </row>
    <row r="5479" spans="26:26">
      <c r="Z5479" s="371"/>
    </row>
    <row r="5480" spans="26:26">
      <c r="Z5480" s="371"/>
    </row>
    <row r="5481" spans="26:26">
      <c r="Z5481" s="371"/>
    </row>
    <row r="5482" spans="26:26">
      <c r="Z5482" s="371"/>
    </row>
    <row r="5483" spans="26:26">
      <c r="Z5483" s="371"/>
    </row>
    <row r="5484" spans="26:26">
      <c r="Z5484" s="371"/>
    </row>
    <row r="5485" spans="26:26">
      <c r="Z5485" s="371"/>
    </row>
    <row r="5486" spans="26:26">
      <c r="Z5486" s="371"/>
    </row>
    <row r="5487" spans="26:26">
      <c r="Z5487" s="371"/>
    </row>
    <row r="5488" spans="26:26">
      <c r="Z5488" s="371"/>
    </row>
    <row r="5489" spans="26:26">
      <c r="Z5489" s="371"/>
    </row>
    <row r="5490" spans="26:26">
      <c r="Z5490" s="371"/>
    </row>
    <row r="5491" spans="26:26">
      <c r="Z5491" s="371"/>
    </row>
    <row r="5492" spans="26:26">
      <c r="Z5492" s="371"/>
    </row>
    <row r="5493" spans="26:26">
      <c r="Z5493" s="371"/>
    </row>
    <row r="5494" spans="26:26">
      <c r="Z5494" s="371"/>
    </row>
    <row r="5495" spans="26:26">
      <c r="Z5495" s="371"/>
    </row>
    <row r="5496" spans="26:26">
      <c r="Z5496" s="371"/>
    </row>
    <row r="5497" spans="26:26">
      <c r="Z5497" s="371"/>
    </row>
    <row r="5498" spans="26:26">
      <c r="Z5498" s="371"/>
    </row>
    <row r="5499" spans="26:26">
      <c r="Z5499" s="371"/>
    </row>
    <row r="5500" spans="26:26">
      <c r="Z5500" s="371"/>
    </row>
    <row r="5501" spans="26:26">
      <c r="Z5501" s="371"/>
    </row>
    <row r="5502" spans="26:26">
      <c r="Z5502" s="371"/>
    </row>
    <row r="5503" spans="26:26">
      <c r="Z5503" s="371"/>
    </row>
    <row r="5504" spans="26:26">
      <c r="Z5504" s="371"/>
    </row>
    <row r="5505" spans="26:26">
      <c r="Z5505" s="371"/>
    </row>
    <row r="5506" spans="26:26">
      <c r="Z5506" s="371"/>
    </row>
    <row r="5507" spans="26:26">
      <c r="Z5507" s="371"/>
    </row>
    <row r="5508" spans="26:26">
      <c r="Z5508" s="371"/>
    </row>
    <row r="5509" spans="26:26">
      <c r="Z5509" s="371"/>
    </row>
    <row r="5510" spans="26:26">
      <c r="Z5510" s="371"/>
    </row>
    <row r="5511" spans="26:26">
      <c r="Z5511" s="371"/>
    </row>
    <row r="5512" spans="26:26">
      <c r="Z5512" s="371"/>
    </row>
    <row r="5513" spans="26:26">
      <c r="Z5513" s="371"/>
    </row>
    <row r="5514" spans="26:26">
      <c r="Z5514" s="371"/>
    </row>
    <row r="5515" spans="26:26">
      <c r="Z5515" s="371"/>
    </row>
    <row r="5516" spans="26:26">
      <c r="Z5516" s="371"/>
    </row>
    <row r="5517" spans="26:26">
      <c r="Z5517" s="371"/>
    </row>
    <row r="5518" spans="26:26">
      <c r="Z5518" s="371"/>
    </row>
    <row r="5519" spans="26:26">
      <c r="Z5519" s="371"/>
    </row>
    <row r="5520" spans="26:26">
      <c r="Z5520" s="371"/>
    </row>
    <row r="5521" spans="26:26">
      <c r="Z5521" s="371"/>
    </row>
    <row r="5522" spans="26:26">
      <c r="Z5522" s="371"/>
    </row>
    <row r="5523" spans="26:26">
      <c r="Z5523" s="371"/>
    </row>
    <row r="5524" spans="26:26">
      <c r="Z5524" s="371"/>
    </row>
    <row r="5525" spans="26:26">
      <c r="Z5525" s="371"/>
    </row>
    <row r="5526" spans="26:26">
      <c r="Z5526" s="371"/>
    </row>
    <row r="5527" spans="26:26">
      <c r="Z5527" s="371"/>
    </row>
    <row r="5528" spans="26:26">
      <c r="Z5528" s="371"/>
    </row>
    <row r="5529" spans="26:26">
      <c r="Z5529" s="371"/>
    </row>
    <row r="5530" spans="26:26">
      <c r="Z5530" s="371"/>
    </row>
    <row r="5531" spans="26:26">
      <c r="Z5531" s="371"/>
    </row>
    <row r="5532" spans="26:26">
      <c r="Z5532" s="371"/>
    </row>
    <row r="5533" spans="26:26">
      <c r="Z5533" s="371"/>
    </row>
    <row r="5534" spans="26:26">
      <c r="Z5534" s="371"/>
    </row>
    <row r="5535" spans="26:26">
      <c r="Z5535" s="371"/>
    </row>
    <row r="5536" spans="26:26">
      <c r="Z5536" s="371"/>
    </row>
    <row r="5537" spans="26:26">
      <c r="Z5537" s="371"/>
    </row>
    <row r="5538" spans="26:26">
      <c r="Z5538" s="371"/>
    </row>
    <row r="5539" spans="26:26">
      <c r="Z5539" s="371"/>
    </row>
    <row r="5540" spans="26:26">
      <c r="Z5540" s="371"/>
    </row>
    <row r="5541" spans="26:26">
      <c r="Z5541" s="371"/>
    </row>
    <row r="5542" spans="26:26">
      <c r="Z5542" s="371"/>
    </row>
    <row r="5543" spans="26:26">
      <c r="Z5543" s="371"/>
    </row>
    <row r="5544" spans="26:26">
      <c r="Z5544" s="371"/>
    </row>
    <row r="5545" spans="26:26">
      <c r="Z5545" s="371"/>
    </row>
    <row r="5546" spans="26:26">
      <c r="Z5546" s="371"/>
    </row>
    <row r="5547" spans="26:26">
      <c r="Z5547" s="371"/>
    </row>
    <row r="5548" spans="26:26">
      <c r="Z5548" s="371"/>
    </row>
    <row r="5549" spans="26:26">
      <c r="Z5549" s="371"/>
    </row>
    <row r="5550" spans="26:26">
      <c r="Z5550" s="371"/>
    </row>
    <row r="5551" spans="26:26">
      <c r="Z5551" s="371"/>
    </row>
    <row r="5552" spans="26:26">
      <c r="Z5552" s="371"/>
    </row>
    <row r="5553" spans="26:26">
      <c r="Z5553" s="371"/>
    </row>
    <row r="5554" spans="26:26">
      <c r="Z5554" s="371"/>
    </row>
    <row r="5555" spans="26:26">
      <c r="Z5555" s="371"/>
    </row>
    <row r="5556" spans="26:26">
      <c r="Z5556" s="371"/>
    </row>
    <row r="5557" spans="26:26">
      <c r="Z5557" s="371"/>
    </row>
    <row r="5558" spans="26:26">
      <c r="Z5558" s="371"/>
    </row>
    <row r="5559" spans="26:26">
      <c r="Z5559" s="371"/>
    </row>
    <row r="5560" spans="26:26">
      <c r="Z5560" s="371"/>
    </row>
    <row r="5561" spans="26:26">
      <c r="Z5561" s="371"/>
    </row>
    <row r="5562" spans="26:26">
      <c r="Z5562" s="371"/>
    </row>
    <row r="5563" spans="26:26">
      <c r="Z5563" s="371"/>
    </row>
    <row r="5564" spans="26:26">
      <c r="Z5564" s="371"/>
    </row>
    <row r="5565" spans="26:26">
      <c r="Z5565" s="371"/>
    </row>
    <row r="5566" spans="26:26">
      <c r="Z5566" s="371"/>
    </row>
    <row r="5567" spans="26:26">
      <c r="Z5567" s="371"/>
    </row>
    <row r="5568" spans="26:26">
      <c r="Z5568" s="371"/>
    </row>
    <row r="5569" spans="26:26">
      <c r="Z5569" s="371"/>
    </row>
    <row r="5570" spans="26:26">
      <c r="Z5570" s="371"/>
    </row>
    <row r="5571" spans="26:26">
      <c r="Z5571" s="371"/>
    </row>
    <row r="5572" spans="26:26">
      <c r="Z5572" s="371"/>
    </row>
    <row r="5573" spans="26:26">
      <c r="Z5573" s="371"/>
    </row>
    <row r="5574" spans="26:26">
      <c r="Z5574" s="371"/>
    </row>
    <row r="5575" spans="26:26">
      <c r="Z5575" s="371"/>
    </row>
    <row r="5576" spans="26:26">
      <c r="Z5576" s="371"/>
    </row>
    <row r="5577" spans="26:26">
      <c r="Z5577" s="371"/>
    </row>
    <row r="5578" spans="26:26">
      <c r="Z5578" s="371"/>
    </row>
    <row r="5579" spans="26:26">
      <c r="Z5579" s="371"/>
    </row>
    <row r="5580" spans="26:26">
      <c r="Z5580" s="371"/>
    </row>
    <row r="5581" spans="26:26">
      <c r="Z5581" s="371"/>
    </row>
    <row r="5582" spans="26:26">
      <c r="Z5582" s="371"/>
    </row>
    <row r="5583" spans="26:26">
      <c r="Z5583" s="371"/>
    </row>
    <row r="5584" spans="26:26">
      <c r="Z5584" s="371"/>
    </row>
    <row r="5585" spans="26:26">
      <c r="Z5585" s="371"/>
    </row>
    <row r="5586" spans="26:26">
      <c r="Z5586" s="371"/>
    </row>
    <row r="5587" spans="26:26">
      <c r="Z5587" s="371"/>
    </row>
    <row r="5588" spans="26:26">
      <c r="Z5588" s="371"/>
    </row>
    <row r="5589" spans="26:26">
      <c r="Z5589" s="371"/>
    </row>
    <row r="5590" spans="26:26">
      <c r="Z5590" s="371"/>
    </row>
    <row r="5591" spans="26:26">
      <c r="Z5591" s="371"/>
    </row>
    <row r="5592" spans="26:26">
      <c r="Z5592" s="371"/>
    </row>
    <row r="5593" spans="26:26">
      <c r="Z5593" s="371"/>
    </row>
    <row r="5594" spans="26:26">
      <c r="Z5594" s="371"/>
    </row>
    <row r="5595" spans="26:26">
      <c r="Z5595" s="371"/>
    </row>
    <row r="5596" spans="26:26">
      <c r="Z5596" s="371"/>
    </row>
    <row r="5597" spans="26:26">
      <c r="Z5597" s="371"/>
    </row>
    <row r="5598" spans="26:26">
      <c r="Z5598" s="371"/>
    </row>
    <row r="5599" spans="26:26">
      <c r="Z5599" s="371"/>
    </row>
    <row r="5600" spans="26:26">
      <c r="Z5600" s="371"/>
    </row>
    <row r="5601" spans="26:26">
      <c r="Z5601" s="371"/>
    </row>
    <row r="5602" spans="26:26">
      <c r="Z5602" s="371"/>
    </row>
    <row r="5603" spans="26:26">
      <c r="Z5603" s="371"/>
    </row>
    <row r="5604" spans="26:26">
      <c r="Z5604" s="371"/>
    </row>
    <row r="5605" spans="26:26">
      <c r="Z5605" s="371"/>
    </row>
    <row r="5606" spans="26:26">
      <c r="Z5606" s="371"/>
    </row>
    <row r="5607" spans="26:26">
      <c r="Z5607" s="371"/>
    </row>
    <row r="5608" spans="26:26">
      <c r="Z5608" s="371"/>
    </row>
    <row r="5609" spans="26:26">
      <c r="Z5609" s="371"/>
    </row>
    <row r="5610" spans="26:26">
      <c r="Z5610" s="371"/>
    </row>
    <row r="5611" spans="26:26">
      <c r="Z5611" s="371"/>
    </row>
    <row r="5612" spans="26:26">
      <c r="Z5612" s="371"/>
    </row>
    <row r="5613" spans="26:26">
      <c r="Z5613" s="371"/>
    </row>
    <row r="5614" spans="26:26">
      <c r="Z5614" s="371"/>
    </row>
    <row r="5615" spans="26:26">
      <c r="Z5615" s="371"/>
    </row>
    <row r="5616" spans="26:26">
      <c r="Z5616" s="371"/>
    </row>
    <row r="5617" spans="26:26">
      <c r="Z5617" s="371"/>
    </row>
    <row r="5618" spans="26:26">
      <c r="Z5618" s="371"/>
    </row>
    <row r="5619" spans="26:26">
      <c r="Z5619" s="371"/>
    </row>
    <row r="5620" spans="26:26">
      <c r="Z5620" s="371"/>
    </row>
    <row r="5621" spans="26:26">
      <c r="Z5621" s="371"/>
    </row>
    <row r="5622" spans="26:26">
      <c r="Z5622" s="371"/>
    </row>
    <row r="5623" spans="26:26">
      <c r="Z5623" s="371"/>
    </row>
    <row r="5624" spans="26:26">
      <c r="Z5624" s="371"/>
    </row>
    <row r="5625" spans="26:26">
      <c r="Z5625" s="371"/>
    </row>
    <row r="5626" spans="26:26">
      <c r="Z5626" s="371"/>
    </row>
    <row r="5627" spans="26:26">
      <c r="Z5627" s="371"/>
    </row>
    <row r="5628" spans="26:26">
      <c r="Z5628" s="371"/>
    </row>
    <row r="5629" spans="26:26">
      <c r="Z5629" s="371"/>
    </row>
    <row r="5630" spans="26:26">
      <c r="Z5630" s="371"/>
    </row>
    <row r="5631" spans="26:26">
      <c r="Z5631" s="371"/>
    </row>
    <row r="5632" spans="26:26">
      <c r="Z5632" s="371"/>
    </row>
    <row r="5633" spans="26:26">
      <c r="Z5633" s="371"/>
    </row>
    <row r="5634" spans="26:26">
      <c r="Z5634" s="371"/>
    </row>
    <row r="5635" spans="26:26">
      <c r="Z5635" s="371"/>
    </row>
    <row r="5636" spans="26:26">
      <c r="Z5636" s="371"/>
    </row>
    <row r="5637" spans="26:26">
      <c r="Z5637" s="371"/>
    </row>
    <row r="5638" spans="26:26">
      <c r="Z5638" s="371"/>
    </row>
    <row r="5639" spans="26:26">
      <c r="Z5639" s="371"/>
    </row>
    <row r="5640" spans="26:26">
      <c r="Z5640" s="371"/>
    </row>
    <row r="5641" spans="26:26">
      <c r="Z5641" s="371"/>
    </row>
    <row r="5642" spans="26:26">
      <c r="Z5642" s="371"/>
    </row>
    <row r="5643" spans="26:26">
      <c r="Z5643" s="371"/>
    </row>
    <row r="5644" spans="26:26">
      <c r="Z5644" s="371"/>
    </row>
    <row r="5645" spans="26:26">
      <c r="Z5645" s="371"/>
    </row>
    <row r="5646" spans="26:26">
      <c r="Z5646" s="371"/>
    </row>
    <row r="5647" spans="26:26">
      <c r="Z5647" s="371"/>
    </row>
    <row r="5648" spans="26:26">
      <c r="Z5648" s="371"/>
    </row>
    <row r="5649" spans="26:26">
      <c r="Z5649" s="371"/>
    </row>
    <row r="5650" spans="26:26">
      <c r="Z5650" s="371"/>
    </row>
    <row r="5651" spans="26:26">
      <c r="Z5651" s="371"/>
    </row>
    <row r="5652" spans="26:26">
      <c r="Z5652" s="371"/>
    </row>
    <row r="5653" spans="26:26">
      <c r="Z5653" s="371"/>
    </row>
    <row r="5654" spans="26:26">
      <c r="Z5654" s="371"/>
    </row>
    <row r="5655" spans="26:26">
      <c r="Z5655" s="371"/>
    </row>
    <row r="5656" spans="26:26">
      <c r="Z5656" s="371"/>
    </row>
    <row r="5657" spans="26:26">
      <c r="Z5657" s="371"/>
    </row>
    <row r="5658" spans="26:26">
      <c r="Z5658" s="371"/>
    </row>
    <row r="5659" spans="26:26">
      <c r="Z5659" s="371"/>
    </row>
    <row r="5660" spans="26:26">
      <c r="Z5660" s="371"/>
    </row>
    <row r="5661" spans="26:26">
      <c r="Z5661" s="371"/>
    </row>
    <row r="5662" spans="26:26">
      <c r="Z5662" s="371"/>
    </row>
    <row r="5663" spans="26:26">
      <c r="Z5663" s="371"/>
    </row>
    <row r="5664" spans="26:26">
      <c r="Z5664" s="371"/>
    </row>
    <row r="5665" spans="26:26">
      <c r="Z5665" s="371"/>
    </row>
    <row r="5666" spans="26:26">
      <c r="Z5666" s="371"/>
    </row>
    <row r="5667" spans="26:26">
      <c r="Z5667" s="371"/>
    </row>
    <row r="5668" spans="26:26">
      <c r="Z5668" s="371"/>
    </row>
    <row r="5669" spans="26:26">
      <c r="Z5669" s="371"/>
    </row>
    <row r="5670" spans="26:26">
      <c r="Z5670" s="371"/>
    </row>
    <row r="5671" spans="26:26">
      <c r="Z5671" s="371"/>
    </row>
    <row r="5672" spans="26:26">
      <c r="Z5672" s="371"/>
    </row>
    <row r="5673" spans="26:26">
      <c r="Z5673" s="371"/>
    </row>
    <row r="5674" spans="26:26">
      <c r="Z5674" s="371"/>
    </row>
    <row r="5675" spans="26:26">
      <c r="Z5675" s="371"/>
    </row>
    <row r="5676" spans="26:26">
      <c r="Z5676" s="371"/>
    </row>
    <row r="5677" spans="26:26">
      <c r="Z5677" s="371"/>
    </row>
    <row r="5678" spans="26:26">
      <c r="Z5678" s="371"/>
    </row>
    <row r="5679" spans="26:26">
      <c r="Z5679" s="371"/>
    </row>
    <row r="5680" spans="26:26">
      <c r="Z5680" s="371"/>
    </row>
    <row r="5681" spans="26:26">
      <c r="Z5681" s="371"/>
    </row>
    <row r="5682" spans="26:26">
      <c r="Z5682" s="371"/>
    </row>
    <row r="5683" spans="26:26">
      <c r="Z5683" s="371"/>
    </row>
    <row r="5684" spans="26:26">
      <c r="Z5684" s="371"/>
    </row>
    <row r="5685" spans="26:26">
      <c r="Z5685" s="371"/>
    </row>
    <row r="5686" spans="26:26">
      <c r="Z5686" s="371"/>
    </row>
    <row r="5687" spans="26:26">
      <c r="Z5687" s="371"/>
    </row>
    <row r="5688" spans="26:26">
      <c r="Z5688" s="371"/>
    </row>
    <row r="5689" spans="26:26">
      <c r="Z5689" s="371"/>
    </row>
    <row r="5690" spans="26:26">
      <c r="Z5690" s="371"/>
    </row>
    <row r="5691" spans="26:26">
      <c r="Z5691" s="371"/>
    </row>
    <row r="5692" spans="26:26">
      <c r="Z5692" s="371"/>
    </row>
    <row r="5693" spans="26:26">
      <c r="Z5693" s="371"/>
    </row>
    <row r="5694" spans="26:26">
      <c r="Z5694" s="371"/>
    </row>
    <row r="5695" spans="26:26">
      <c r="Z5695" s="371"/>
    </row>
    <row r="5696" spans="26:26">
      <c r="Z5696" s="371"/>
    </row>
    <row r="5697" spans="26:26">
      <c r="Z5697" s="371"/>
    </row>
    <row r="5698" spans="26:26">
      <c r="Z5698" s="371"/>
    </row>
    <row r="5699" spans="26:26">
      <c r="Z5699" s="371"/>
    </row>
    <row r="5700" spans="26:26">
      <c r="Z5700" s="371"/>
    </row>
    <row r="5701" spans="26:26">
      <c r="Z5701" s="371"/>
    </row>
    <row r="5702" spans="26:26">
      <c r="Z5702" s="371"/>
    </row>
    <row r="5703" spans="26:26">
      <c r="Z5703" s="371"/>
    </row>
    <row r="5704" spans="26:26">
      <c r="Z5704" s="371"/>
    </row>
    <row r="5705" spans="26:26">
      <c r="Z5705" s="371"/>
    </row>
    <row r="5706" spans="26:26">
      <c r="Z5706" s="371"/>
    </row>
    <row r="5707" spans="26:26">
      <c r="Z5707" s="371"/>
    </row>
    <row r="5708" spans="26:26">
      <c r="Z5708" s="371"/>
    </row>
    <row r="5709" spans="26:26">
      <c r="Z5709" s="371"/>
    </row>
    <row r="5710" spans="26:26">
      <c r="Z5710" s="371"/>
    </row>
    <row r="5711" spans="26:26">
      <c r="Z5711" s="371"/>
    </row>
    <row r="5712" spans="26:26">
      <c r="Z5712" s="371"/>
    </row>
    <row r="5713" spans="26:26">
      <c r="Z5713" s="371"/>
    </row>
    <row r="5714" spans="26:26">
      <c r="Z5714" s="371"/>
    </row>
    <row r="5715" spans="26:26">
      <c r="Z5715" s="371"/>
    </row>
    <row r="5716" spans="26:26">
      <c r="Z5716" s="371"/>
    </row>
    <row r="5717" spans="26:26">
      <c r="Z5717" s="371"/>
    </row>
    <row r="5718" spans="26:26">
      <c r="Z5718" s="371"/>
    </row>
    <row r="5719" spans="26:26">
      <c r="Z5719" s="371"/>
    </row>
    <row r="5720" spans="26:26">
      <c r="Z5720" s="371"/>
    </row>
    <row r="5721" spans="26:26">
      <c r="Z5721" s="371"/>
    </row>
    <row r="5722" spans="26:26">
      <c r="Z5722" s="371"/>
    </row>
    <row r="5723" spans="26:26">
      <c r="Z5723" s="371"/>
    </row>
    <row r="5724" spans="26:26">
      <c r="Z5724" s="371"/>
    </row>
    <row r="5725" spans="26:26">
      <c r="Z5725" s="371"/>
    </row>
    <row r="5726" spans="26:26">
      <c r="Z5726" s="371"/>
    </row>
    <row r="5727" spans="26:26">
      <c r="Z5727" s="371"/>
    </row>
    <row r="5728" spans="26:26">
      <c r="Z5728" s="371"/>
    </row>
    <row r="5729" spans="26:26">
      <c r="Z5729" s="371"/>
    </row>
    <row r="5730" spans="26:26">
      <c r="Z5730" s="371"/>
    </row>
    <row r="5731" spans="26:26">
      <c r="Z5731" s="371"/>
    </row>
    <row r="5732" spans="26:26">
      <c r="Z5732" s="371"/>
    </row>
    <row r="5733" spans="26:26">
      <c r="Z5733" s="371"/>
    </row>
    <row r="5734" spans="26:26">
      <c r="Z5734" s="371"/>
    </row>
    <row r="5735" spans="26:26">
      <c r="Z5735" s="371"/>
    </row>
    <row r="5736" spans="26:26">
      <c r="Z5736" s="371"/>
    </row>
    <row r="5737" spans="26:26">
      <c r="Z5737" s="371"/>
    </row>
    <row r="5738" spans="26:26">
      <c r="Z5738" s="371"/>
    </row>
    <row r="5739" spans="26:26">
      <c r="Z5739" s="371"/>
    </row>
    <row r="5740" spans="26:26">
      <c r="Z5740" s="371"/>
    </row>
    <row r="5741" spans="26:26">
      <c r="Z5741" s="371"/>
    </row>
    <row r="5742" spans="26:26">
      <c r="Z5742" s="371"/>
    </row>
    <row r="5743" spans="26:26">
      <c r="Z5743" s="371"/>
    </row>
    <row r="5744" spans="26:26">
      <c r="Z5744" s="371"/>
    </row>
    <row r="5745" spans="26:26">
      <c r="Z5745" s="371"/>
    </row>
    <row r="5746" spans="26:26">
      <c r="Z5746" s="371"/>
    </row>
    <row r="5747" spans="26:26">
      <c r="Z5747" s="371"/>
    </row>
    <row r="5748" spans="26:26">
      <c r="Z5748" s="371"/>
    </row>
    <row r="5749" spans="26:26">
      <c r="Z5749" s="371"/>
    </row>
    <row r="5750" spans="26:26">
      <c r="Z5750" s="371"/>
    </row>
    <row r="5751" spans="26:26">
      <c r="Z5751" s="371"/>
    </row>
    <row r="5752" spans="26:26">
      <c r="Z5752" s="371"/>
    </row>
    <row r="5753" spans="26:26">
      <c r="Z5753" s="371"/>
    </row>
    <row r="5754" spans="26:26">
      <c r="Z5754" s="371"/>
    </row>
    <row r="5755" spans="26:26">
      <c r="Z5755" s="371"/>
    </row>
    <row r="5756" spans="26:26">
      <c r="Z5756" s="371"/>
    </row>
    <row r="5757" spans="26:26">
      <c r="Z5757" s="371"/>
    </row>
    <row r="5758" spans="26:26">
      <c r="Z5758" s="371"/>
    </row>
    <row r="5759" spans="26:26">
      <c r="Z5759" s="371"/>
    </row>
    <row r="5760" spans="26:26">
      <c r="Z5760" s="371"/>
    </row>
    <row r="5761" spans="26:26">
      <c r="Z5761" s="371"/>
    </row>
    <row r="5762" spans="26:26">
      <c r="Z5762" s="371"/>
    </row>
    <row r="5763" spans="26:26">
      <c r="Z5763" s="371"/>
    </row>
    <row r="5764" spans="26:26">
      <c r="Z5764" s="371"/>
    </row>
    <row r="5765" spans="26:26">
      <c r="Z5765" s="371"/>
    </row>
    <row r="5766" spans="26:26">
      <c r="Z5766" s="371"/>
    </row>
    <row r="5767" spans="26:26">
      <c r="Z5767" s="371"/>
    </row>
    <row r="5768" spans="26:26">
      <c r="Z5768" s="371"/>
    </row>
    <row r="5769" spans="26:26">
      <c r="Z5769" s="371"/>
    </row>
    <row r="5770" spans="26:26">
      <c r="Z5770" s="371"/>
    </row>
    <row r="5771" spans="26:26">
      <c r="Z5771" s="371"/>
    </row>
    <row r="5772" spans="26:26">
      <c r="Z5772" s="371"/>
    </row>
    <row r="5773" spans="26:26">
      <c r="Z5773" s="371"/>
    </row>
    <row r="5774" spans="26:26">
      <c r="Z5774" s="371"/>
    </row>
    <row r="5775" spans="26:26">
      <c r="Z5775" s="371"/>
    </row>
    <row r="5776" spans="26:26">
      <c r="Z5776" s="371"/>
    </row>
    <row r="5777" spans="26:26">
      <c r="Z5777" s="371"/>
    </row>
    <row r="5778" spans="26:26">
      <c r="Z5778" s="371"/>
    </row>
    <row r="5779" spans="26:26">
      <c r="Z5779" s="371"/>
    </row>
    <row r="5780" spans="26:26">
      <c r="Z5780" s="371"/>
    </row>
    <row r="5781" spans="26:26">
      <c r="Z5781" s="371"/>
    </row>
    <row r="5782" spans="26:26">
      <c r="Z5782" s="371"/>
    </row>
    <row r="5783" spans="26:26">
      <c r="Z5783" s="371"/>
    </row>
    <row r="5784" spans="26:26">
      <c r="Z5784" s="371"/>
    </row>
    <row r="5785" spans="26:26">
      <c r="Z5785" s="371"/>
    </row>
    <row r="5786" spans="26:26">
      <c r="Z5786" s="371"/>
    </row>
    <row r="5787" spans="26:26">
      <c r="Z5787" s="371"/>
    </row>
    <row r="5788" spans="26:26">
      <c r="Z5788" s="371"/>
    </row>
    <row r="5789" spans="26:26">
      <c r="Z5789" s="371"/>
    </row>
    <row r="5790" spans="26:26">
      <c r="Z5790" s="371"/>
    </row>
    <row r="5791" spans="26:26">
      <c r="Z5791" s="371"/>
    </row>
    <row r="5792" spans="26:26">
      <c r="Z5792" s="371"/>
    </row>
    <row r="5793" spans="26:26">
      <c r="Z5793" s="371"/>
    </row>
    <row r="5794" spans="26:26">
      <c r="Z5794" s="371"/>
    </row>
    <row r="5795" spans="26:26">
      <c r="Z5795" s="371"/>
    </row>
    <row r="5796" spans="26:26">
      <c r="Z5796" s="371"/>
    </row>
    <row r="5797" spans="26:26">
      <c r="Z5797" s="371"/>
    </row>
    <row r="5798" spans="26:26">
      <c r="Z5798" s="371"/>
    </row>
    <row r="5799" spans="26:26">
      <c r="Z5799" s="371"/>
    </row>
    <row r="5800" spans="26:26">
      <c r="Z5800" s="371"/>
    </row>
    <row r="5801" spans="26:26">
      <c r="Z5801" s="371"/>
    </row>
    <row r="5802" spans="26:26">
      <c r="Z5802" s="371"/>
    </row>
    <row r="5803" spans="26:26">
      <c r="Z5803" s="371"/>
    </row>
    <row r="5804" spans="26:26">
      <c r="Z5804" s="371"/>
    </row>
    <row r="5805" spans="26:26">
      <c r="Z5805" s="371"/>
    </row>
    <row r="5806" spans="26:26">
      <c r="Z5806" s="371"/>
    </row>
    <row r="5807" spans="26:26">
      <c r="Z5807" s="371"/>
    </row>
    <row r="5808" spans="26:26">
      <c r="Z5808" s="371"/>
    </row>
    <row r="5809" spans="26:26">
      <c r="Z5809" s="371"/>
    </row>
    <row r="5810" spans="26:26">
      <c r="Z5810" s="371"/>
    </row>
    <row r="5811" spans="26:26">
      <c r="Z5811" s="371"/>
    </row>
    <row r="5812" spans="26:26">
      <c r="Z5812" s="371"/>
    </row>
    <row r="5813" spans="26:26">
      <c r="Z5813" s="371"/>
    </row>
    <row r="5814" spans="26:26">
      <c r="Z5814" s="371"/>
    </row>
    <row r="5815" spans="26:26">
      <c r="Z5815" s="371"/>
    </row>
    <row r="5816" spans="26:26">
      <c r="Z5816" s="371"/>
    </row>
    <row r="5817" spans="26:26">
      <c r="Z5817" s="371"/>
    </row>
    <row r="5818" spans="26:26">
      <c r="Z5818" s="371"/>
    </row>
    <row r="5819" spans="26:26">
      <c r="Z5819" s="371"/>
    </row>
    <row r="5820" spans="26:26">
      <c r="Z5820" s="371"/>
    </row>
    <row r="5821" spans="26:26">
      <c r="Z5821" s="371"/>
    </row>
    <row r="5822" spans="26:26">
      <c r="Z5822" s="371"/>
    </row>
    <row r="5823" spans="26:26">
      <c r="Z5823" s="371"/>
    </row>
    <row r="5824" spans="26:26">
      <c r="Z5824" s="371"/>
    </row>
    <row r="5825" spans="26:26">
      <c r="Z5825" s="371"/>
    </row>
    <row r="5826" spans="26:26">
      <c r="Z5826" s="371"/>
    </row>
    <row r="5827" spans="26:26">
      <c r="Z5827" s="371"/>
    </row>
    <row r="5828" spans="26:26">
      <c r="Z5828" s="371"/>
    </row>
    <row r="5829" spans="26:26">
      <c r="Z5829" s="371"/>
    </row>
    <row r="5830" spans="26:26">
      <c r="Z5830" s="371"/>
    </row>
    <row r="5831" spans="26:26">
      <c r="Z5831" s="371"/>
    </row>
    <row r="5832" spans="26:26">
      <c r="Z5832" s="371"/>
    </row>
    <row r="5833" spans="26:26">
      <c r="Z5833" s="371"/>
    </row>
    <row r="5834" spans="26:26">
      <c r="Z5834" s="371"/>
    </row>
    <row r="5835" spans="26:26">
      <c r="Z5835" s="371"/>
    </row>
    <row r="5836" spans="26:26">
      <c r="Z5836" s="371"/>
    </row>
    <row r="5837" spans="26:26">
      <c r="Z5837" s="371"/>
    </row>
    <row r="5838" spans="26:26">
      <c r="Z5838" s="371"/>
    </row>
    <row r="5839" spans="26:26">
      <c r="Z5839" s="371"/>
    </row>
    <row r="5840" spans="26:26">
      <c r="Z5840" s="371"/>
    </row>
    <row r="5841" spans="26:26">
      <c r="Z5841" s="371"/>
    </row>
    <row r="5842" spans="26:26">
      <c r="Z5842" s="371"/>
    </row>
    <row r="5843" spans="26:26">
      <c r="Z5843" s="371"/>
    </row>
    <row r="5844" spans="26:26">
      <c r="Z5844" s="371"/>
    </row>
    <row r="5845" spans="26:26">
      <c r="Z5845" s="371"/>
    </row>
    <row r="5846" spans="26:26">
      <c r="Z5846" s="371"/>
    </row>
    <row r="5847" spans="26:26">
      <c r="Z5847" s="371"/>
    </row>
    <row r="5848" spans="26:26">
      <c r="Z5848" s="371"/>
    </row>
    <row r="5849" spans="26:26">
      <c r="Z5849" s="371"/>
    </row>
    <row r="5850" spans="26:26">
      <c r="Z5850" s="371"/>
    </row>
    <row r="5851" spans="26:26">
      <c r="Z5851" s="371"/>
    </row>
    <row r="5852" spans="26:26">
      <c r="Z5852" s="371"/>
    </row>
    <row r="5853" spans="26:26">
      <c r="Z5853" s="371"/>
    </row>
    <row r="5854" spans="26:26">
      <c r="Z5854" s="371"/>
    </row>
    <row r="5855" spans="26:26">
      <c r="Z5855" s="371"/>
    </row>
    <row r="5856" spans="26:26">
      <c r="Z5856" s="371"/>
    </row>
    <row r="5857" spans="26:26">
      <c r="Z5857" s="371"/>
    </row>
    <row r="5858" spans="26:26">
      <c r="Z5858" s="371"/>
    </row>
    <row r="5859" spans="26:26">
      <c r="Z5859" s="371"/>
    </row>
    <row r="5860" spans="26:26">
      <c r="Z5860" s="371"/>
    </row>
    <row r="5861" spans="26:26">
      <c r="Z5861" s="371"/>
    </row>
    <row r="5862" spans="26:26">
      <c r="Z5862" s="371"/>
    </row>
    <row r="5863" spans="26:26">
      <c r="Z5863" s="371"/>
    </row>
    <row r="5864" spans="26:26">
      <c r="Z5864" s="371"/>
    </row>
    <row r="5865" spans="26:26">
      <c r="Z5865" s="371"/>
    </row>
    <row r="5866" spans="26:26">
      <c r="Z5866" s="371"/>
    </row>
    <row r="5867" spans="26:26">
      <c r="Z5867" s="371"/>
    </row>
    <row r="5868" spans="26:26">
      <c r="Z5868" s="371"/>
    </row>
    <row r="5869" spans="26:26">
      <c r="Z5869" s="371"/>
    </row>
    <row r="5870" spans="26:26">
      <c r="Z5870" s="371"/>
    </row>
    <row r="5871" spans="26:26">
      <c r="Z5871" s="371"/>
    </row>
    <row r="5872" spans="26:26">
      <c r="Z5872" s="371"/>
    </row>
    <row r="5873" spans="26:26">
      <c r="Z5873" s="371"/>
    </row>
    <row r="5874" spans="26:26">
      <c r="Z5874" s="371"/>
    </row>
    <row r="5875" spans="26:26">
      <c r="Z5875" s="371"/>
    </row>
    <row r="5876" spans="26:26">
      <c r="Z5876" s="371"/>
    </row>
    <row r="5877" spans="26:26">
      <c r="Z5877" s="371"/>
    </row>
    <row r="5878" spans="26:26">
      <c r="Z5878" s="371"/>
    </row>
    <row r="5879" spans="26:26">
      <c r="Z5879" s="371"/>
    </row>
    <row r="5880" spans="26:26">
      <c r="Z5880" s="371"/>
    </row>
    <row r="5881" spans="26:26">
      <c r="Z5881" s="371"/>
    </row>
    <row r="5882" spans="26:26">
      <c r="Z5882" s="371"/>
    </row>
    <row r="5883" spans="26:26">
      <c r="Z5883" s="371"/>
    </row>
    <row r="5884" spans="26:26">
      <c r="Z5884" s="371"/>
    </row>
    <row r="5885" spans="26:26">
      <c r="Z5885" s="371"/>
    </row>
    <row r="5886" spans="26:26">
      <c r="Z5886" s="371"/>
    </row>
    <row r="5887" spans="26:26">
      <c r="Z5887" s="371"/>
    </row>
    <row r="5888" spans="26:26">
      <c r="Z5888" s="371"/>
    </row>
    <row r="5889" spans="26:26">
      <c r="Z5889" s="371"/>
    </row>
    <row r="5890" spans="26:26">
      <c r="Z5890" s="371"/>
    </row>
    <row r="5891" spans="26:26">
      <c r="Z5891" s="371"/>
    </row>
    <row r="5892" spans="26:26">
      <c r="Z5892" s="371"/>
    </row>
    <row r="5893" spans="26:26">
      <c r="Z5893" s="371"/>
    </row>
    <row r="5894" spans="26:26">
      <c r="Z5894" s="371"/>
    </row>
    <row r="5895" spans="26:26">
      <c r="Z5895" s="371"/>
    </row>
    <row r="5896" spans="26:26">
      <c r="Z5896" s="371"/>
    </row>
    <row r="5897" spans="26:26">
      <c r="Z5897" s="371"/>
    </row>
    <row r="5898" spans="26:26">
      <c r="Z5898" s="371"/>
    </row>
    <row r="5899" spans="26:26">
      <c r="Z5899" s="371"/>
    </row>
    <row r="5900" spans="26:26">
      <c r="Z5900" s="371"/>
    </row>
    <row r="5901" spans="26:26">
      <c r="Z5901" s="371"/>
    </row>
    <row r="5902" spans="26:26">
      <c r="Z5902" s="371"/>
    </row>
    <row r="5903" spans="26:26">
      <c r="Z5903" s="371"/>
    </row>
    <row r="5904" spans="26:26">
      <c r="Z5904" s="371"/>
    </row>
    <row r="5905" spans="26:26">
      <c r="Z5905" s="371"/>
    </row>
    <row r="5906" spans="26:26">
      <c r="Z5906" s="371"/>
    </row>
    <row r="5907" spans="26:26">
      <c r="Z5907" s="371"/>
    </row>
    <row r="5908" spans="26:26">
      <c r="Z5908" s="371"/>
    </row>
    <row r="5909" spans="26:26">
      <c r="Z5909" s="371"/>
    </row>
    <row r="5910" spans="26:26">
      <c r="Z5910" s="371"/>
    </row>
    <row r="5911" spans="26:26">
      <c r="Z5911" s="371"/>
    </row>
    <row r="5912" spans="26:26">
      <c r="Z5912" s="371"/>
    </row>
    <row r="5913" spans="26:26">
      <c r="Z5913" s="371"/>
    </row>
    <row r="5914" spans="26:26">
      <c r="Z5914" s="371"/>
    </row>
    <row r="5915" spans="26:26">
      <c r="Z5915" s="371"/>
    </row>
    <row r="5916" spans="26:26">
      <c r="Z5916" s="371"/>
    </row>
    <row r="5917" spans="26:26">
      <c r="Z5917" s="371"/>
    </row>
    <row r="5918" spans="26:26">
      <c r="Z5918" s="371"/>
    </row>
    <row r="5919" spans="26:26">
      <c r="Z5919" s="371"/>
    </row>
    <row r="5920" spans="26:26">
      <c r="Z5920" s="371"/>
    </row>
    <row r="5921" spans="26:26">
      <c r="Z5921" s="371"/>
    </row>
    <row r="5922" spans="26:26">
      <c r="Z5922" s="371"/>
    </row>
    <row r="5923" spans="26:26">
      <c r="Z5923" s="371"/>
    </row>
    <row r="5924" spans="26:26">
      <c r="Z5924" s="371"/>
    </row>
    <row r="5925" spans="26:26">
      <c r="Z5925" s="371"/>
    </row>
    <row r="5926" spans="26:26">
      <c r="Z5926" s="371"/>
    </row>
    <row r="5927" spans="26:26">
      <c r="Z5927" s="371"/>
    </row>
    <row r="5928" spans="26:26">
      <c r="Z5928" s="371"/>
    </row>
    <row r="5929" spans="26:26">
      <c r="Z5929" s="371"/>
    </row>
    <row r="5930" spans="26:26">
      <c r="Z5930" s="371"/>
    </row>
    <row r="5931" spans="26:26">
      <c r="Z5931" s="371"/>
    </row>
    <row r="5932" spans="26:26">
      <c r="Z5932" s="371"/>
    </row>
    <row r="5933" spans="26:26">
      <c r="Z5933" s="371"/>
    </row>
    <row r="5934" spans="26:26">
      <c r="Z5934" s="371"/>
    </row>
    <row r="5935" spans="26:26">
      <c r="Z5935" s="371"/>
    </row>
    <row r="5936" spans="26:26">
      <c r="Z5936" s="371"/>
    </row>
    <row r="5937" spans="26:26">
      <c r="Z5937" s="371"/>
    </row>
    <row r="5938" spans="26:26">
      <c r="Z5938" s="371"/>
    </row>
    <row r="5939" spans="26:26">
      <c r="Z5939" s="371"/>
    </row>
    <row r="5940" spans="26:26">
      <c r="Z5940" s="371"/>
    </row>
    <row r="5941" spans="26:26">
      <c r="Z5941" s="371"/>
    </row>
    <row r="5942" spans="26:26">
      <c r="Z5942" s="371"/>
    </row>
    <row r="5943" spans="26:26">
      <c r="Z5943" s="371"/>
    </row>
    <row r="5944" spans="26:26">
      <c r="Z5944" s="371"/>
    </row>
    <row r="5945" spans="26:26">
      <c r="Z5945" s="371"/>
    </row>
    <row r="5946" spans="26:26">
      <c r="Z5946" s="371"/>
    </row>
    <row r="5947" spans="26:26">
      <c r="Z5947" s="371"/>
    </row>
    <row r="5948" spans="26:26">
      <c r="Z5948" s="371"/>
    </row>
    <row r="5949" spans="26:26">
      <c r="Z5949" s="371"/>
    </row>
    <row r="5950" spans="26:26">
      <c r="Z5950" s="371"/>
    </row>
    <row r="5951" spans="26:26">
      <c r="Z5951" s="371"/>
    </row>
    <row r="5952" spans="26:26">
      <c r="Z5952" s="371"/>
    </row>
    <row r="5953" spans="26:26">
      <c r="Z5953" s="371"/>
    </row>
    <row r="5954" spans="26:26">
      <c r="Z5954" s="371"/>
    </row>
    <row r="5955" spans="26:26">
      <c r="Z5955" s="371"/>
    </row>
    <row r="5956" spans="26:26">
      <c r="Z5956" s="371"/>
    </row>
    <row r="5957" spans="26:26">
      <c r="Z5957" s="371"/>
    </row>
    <row r="5958" spans="26:26">
      <c r="Z5958" s="371"/>
    </row>
    <row r="5959" spans="26:26">
      <c r="Z5959" s="371"/>
    </row>
    <row r="5960" spans="26:26">
      <c r="Z5960" s="371"/>
    </row>
    <row r="5961" spans="26:26">
      <c r="Z5961" s="371"/>
    </row>
    <row r="5962" spans="26:26">
      <c r="Z5962" s="371"/>
    </row>
    <row r="5963" spans="26:26">
      <c r="Z5963" s="371"/>
    </row>
    <row r="5964" spans="26:26">
      <c r="Z5964" s="371"/>
    </row>
    <row r="5965" spans="26:26">
      <c r="Z5965" s="371"/>
    </row>
    <row r="5966" spans="26:26">
      <c r="Z5966" s="371"/>
    </row>
    <row r="5967" spans="26:26">
      <c r="Z5967" s="371"/>
    </row>
    <row r="5968" spans="26:26">
      <c r="Z5968" s="371"/>
    </row>
    <row r="5969" spans="26:26">
      <c r="Z5969" s="371"/>
    </row>
    <row r="5970" spans="26:26">
      <c r="Z5970" s="371"/>
    </row>
    <row r="5971" spans="26:26">
      <c r="Z5971" s="371"/>
    </row>
    <row r="5972" spans="26:26">
      <c r="Z5972" s="371"/>
    </row>
    <row r="5973" spans="26:26">
      <c r="Z5973" s="371"/>
    </row>
    <row r="5974" spans="26:26">
      <c r="Z5974" s="371"/>
    </row>
    <row r="5975" spans="26:26">
      <c r="Z5975" s="371"/>
    </row>
    <row r="5976" spans="26:26">
      <c r="Z5976" s="371"/>
    </row>
    <row r="5977" spans="26:26">
      <c r="Z5977" s="371"/>
    </row>
    <row r="5978" spans="26:26">
      <c r="Z5978" s="371"/>
    </row>
    <row r="5979" spans="26:26">
      <c r="Z5979" s="371"/>
    </row>
    <row r="5980" spans="26:26">
      <c r="Z5980" s="371"/>
    </row>
    <row r="5981" spans="26:26">
      <c r="Z5981" s="371"/>
    </row>
    <row r="5982" spans="26:26">
      <c r="Z5982" s="371"/>
    </row>
    <row r="5983" spans="26:26">
      <c r="Z5983" s="371"/>
    </row>
    <row r="5984" spans="26:26">
      <c r="Z5984" s="371"/>
    </row>
    <row r="5985" spans="26:26">
      <c r="Z5985" s="371"/>
    </row>
    <row r="5986" spans="26:26">
      <c r="Z5986" s="371"/>
    </row>
    <row r="5987" spans="26:26">
      <c r="Z5987" s="371"/>
    </row>
    <row r="5988" spans="26:26">
      <c r="Z5988" s="371"/>
    </row>
    <row r="5989" spans="26:26">
      <c r="Z5989" s="371"/>
    </row>
    <row r="5990" spans="26:26">
      <c r="Z5990" s="371"/>
    </row>
    <row r="5991" spans="26:26">
      <c r="Z5991" s="371"/>
    </row>
    <row r="5992" spans="26:26">
      <c r="Z5992" s="371"/>
    </row>
    <row r="5993" spans="26:26">
      <c r="Z5993" s="371"/>
    </row>
    <row r="5994" spans="26:26">
      <c r="Z5994" s="371"/>
    </row>
    <row r="5995" spans="26:26">
      <c r="Z5995" s="371"/>
    </row>
    <row r="5996" spans="26:26">
      <c r="Z5996" s="371"/>
    </row>
    <row r="5997" spans="26:26">
      <c r="Z5997" s="371"/>
    </row>
    <row r="5998" spans="26:26">
      <c r="Z5998" s="371"/>
    </row>
    <row r="5999" spans="26:26">
      <c r="Z5999" s="371"/>
    </row>
    <row r="6000" spans="26:26">
      <c r="Z6000" s="371"/>
    </row>
    <row r="6001" spans="26:26">
      <c r="Z6001" s="371"/>
    </row>
    <row r="6002" spans="26:26">
      <c r="Z6002" s="371"/>
    </row>
    <row r="6003" spans="26:26">
      <c r="Z6003" s="371"/>
    </row>
    <row r="6004" spans="26:26">
      <c r="Z6004" s="371"/>
    </row>
    <row r="6005" spans="26:26">
      <c r="Z6005" s="371"/>
    </row>
    <row r="6006" spans="26:26">
      <c r="Z6006" s="371"/>
    </row>
    <row r="6007" spans="26:26">
      <c r="Z6007" s="371"/>
    </row>
    <row r="6008" spans="26:26">
      <c r="Z6008" s="371"/>
    </row>
    <row r="6009" spans="26:26">
      <c r="Z6009" s="371"/>
    </row>
    <row r="6010" spans="26:26">
      <c r="Z6010" s="371"/>
    </row>
    <row r="6011" spans="26:26">
      <c r="Z6011" s="371"/>
    </row>
    <row r="6012" spans="26:26">
      <c r="Z6012" s="371"/>
    </row>
    <row r="6013" spans="26:26">
      <c r="Z6013" s="371"/>
    </row>
    <row r="6014" spans="26:26">
      <c r="Z6014" s="371"/>
    </row>
    <row r="6015" spans="26:26">
      <c r="Z6015" s="371"/>
    </row>
    <row r="6016" spans="26:26">
      <c r="Z6016" s="371"/>
    </row>
    <row r="6017" spans="26:26">
      <c r="Z6017" s="371"/>
    </row>
    <row r="6018" spans="26:26">
      <c r="Z6018" s="371"/>
    </row>
    <row r="6019" spans="26:26">
      <c r="Z6019" s="371"/>
    </row>
    <row r="6020" spans="26:26">
      <c r="Z6020" s="371"/>
    </row>
    <row r="6021" spans="26:26">
      <c r="Z6021" s="371"/>
    </row>
    <row r="6022" spans="26:26">
      <c r="Z6022" s="371"/>
    </row>
    <row r="6023" spans="26:26">
      <c r="Z6023" s="371"/>
    </row>
    <row r="6024" spans="26:26">
      <c r="Z6024" s="371"/>
    </row>
    <row r="6025" spans="26:26">
      <c r="Z6025" s="371"/>
    </row>
    <row r="6026" spans="26:26">
      <c r="Z6026" s="371"/>
    </row>
    <row r="6027" spans="26:26">
      <c r="Z6027" s="371"/>
    </row>
    <row r="6028" spans="26:26">
      <c r="Z6028" s="371"/>
    </row>
    <row r="6029" spans="26:26">
      <c r="Z6029" s="371"/>
    </row>
    <row r="6030" spans="26:26">
      <c r="Z6030" s="371"/>
    </row>
    <row r="6031" spans="26:26">
      <c r="Z6031" s="371"/>
    </row>
    <row r="6032" spans="26:26">
      <c r="Z6032" s="371"/>
    </row>
    <row r="6033" spans="26:26">
      <c r="Z6033" s="371"/>
    </row>
    <row r="6034" spans="26:26">
      <c r="Z6034" s="371"/>
    </row>
    <row r="6035" spans="26:26">
      <c r="Z6035" s="371"/>
    </row>
    <row r="6036" spans="26:26">
      <c r="Z6036" s="371"/>
    </row>
    <row r="6037" spans="26:26">
      <c r="Z6037" s="371"/>
    </row>
    <row r="6038" spans="26:26">
      <c r="Z6038" s="371"/>
    </row>
    <row r="6039" spans="26:26">
      <c r="Z6039" s="371"/>
    </row>
    <row r="6040" spans="26:26">
      <c r="Z6040" s="371"/>
    </row>
    <row r="6041" spans="26:26">
      <c r="Z6041" s="371"/>
    </row>
    <row r="6042" spans="26:26">
      <c r="Z6042" s="371"/>
    </row>
    <row r="6043" spans="26:26">
      <c r="Z6043" s="371"/>
    </row>
    <row r="6044" spans="26:26">
      <c r="Z6044" s="371"/>
    </row>
    <row r="6045" spans="26:26">
      <c r="Z6045" s="371"/>
    </row>
    <row r="6046" spans="26:26">
      <c r="Z6046" s="371"/>
    </row>
    <row r="6047" spans="26:26">
      <c r="Z6047" s="371"/>
    </row>
    <row r="6048" spans="26:26">
      <c r="Z6048" s="371"/>
    </row>
    <row r="6049" spans="26:26">
      <c r="Z6049" s="371"/>
    </row>
    <row r="6050" spans="26:26">
      <c r="Z6050" s="371"/>
    </row>
    <row r="6051" spans="26:26">
      <c r="Z6051" s="371"/>
    </row>
    <row r="6052" spans="26:26">
      <c r="Z6052" s="371"/>
    </row>
    <row r="6053" spans="26:26">
      <c r="Z6053" s="371"/>
    </row>
    <row r="6054" spans="26:26">
      <c r="Z6054" s="371"/>
    </row>
    <row r="6055" spans="26:26">
      <c r="Z6055" s="371"/>
    </row>
    <row r="6056" spans="26:26">
      <c r="Z6056" s="371"/>
    </row>
    <row r="6057" spans="26:26">
      <c r="Z6057" s="371"/>
    </row>
    <row r="6058" spans="26:26">
      <c r="Z6058" s="371"/>
    </row>
    <row r="6059" spans="26:26">
      <c r="Z6059" s="371"/>
    </row>
    <row r="6060" spans="26:26">
      <c r="Z6060" s="371"/>
    </row>
    <row r="6061" spans="26:26">
      <c r="Z6061" s="371"/>
    </row>
    <row r="6062" spans="26:26">
      <c r="Z6062" s="371"/>
    </row>
    <row r="6063" spans="26:26">
      <c r="Z6063" s="371"/>
    </row>
    <row r="6064" spans="26:26">
      <c r="Z6064" s="371"/>
    </row>
    <row r="6065" spans="26:26">
      <c r="Z6065" s="371"/>
    </row>
    <row r="6066" spans="26:26">
      <c r="Z6066" s="371"/>
    </row>
    <row r="6067" spans="26:26">
      <c r="Z6067" s="371"/>
    </row>
    <row r="6068" spans="26:26">
      <c r="Z6068" s="371"/>
    </row>
    <row r="6069" spans="26:26">
      <c r="Z6069" s="371"/>
    </row>
    <row r="6070" spans="26:26">
      <c r="Z6070" s="371"/>
    </row>
    <row r="6071" spans="26:26">
      <c r="Z6071" s="371"/>
    </row>
    <row r="6072" spans="26:26">
      <c r="Z6072" s="371"/>
    </row>
    <row r="6073" spans="26:26">
      <c r="Z6073" s="371"/>
    </row>
    <row r="6074" spans="26:26">
      <c r="Z6074" s="371"/>
    </row>
    <row r="6075" spans="26:26">
      <c r="Z6075" s="371"/>
    </row>
    <row r="6076" spans="26:26">
      <c r="Z6076" s="371"/>
    </row>
    <row r="6077" spans="26:26">
      <c r="Z6077" s="371"/>
    </row>
    <row r="6078" spans="26:26">
      <c r="Z6078" s="371"/>
    </row>
    <row r="6079" spans="26:26">
      <c r="Z6079" s="371"/>
    </row>
    <row r="6080" spans="26:26">
      <c r="Z6080" s="371"/>
    </row>
    <row r="6081" spans="26:26">
      <c r="Z6081" s="371"/>
    </row>
    <row r="6082" spans="26:26">
      <c r="Z6082" s="371"/>
    </row>
    <row r="6083" spans="26:26">
      <c r="Z6083" s="371"/>
    </row>
    <row r="6084" spans="26:26">
      <c r="Z6084" s="371"/>
    </row>
    <row r="6085" spans="26:26">
      <c r="Z6085" s="371"/>
    </row>
    <row r="6086" spans="26:26">
      <c r="Z6086" s="371"/>
    </row>
    <row r="6087" spans="26:26">
      <c r="Z6087" s="371"/>
    </row>
    <row r="6088" spans="26:26">
      <c r="Z6088" s="371"/>
    </row>
    <row r="6089" spans="26:26">
      <c r="Z6089" s="371"/>
    </row>
    <row r="6090" spans="26:26">
      <c r="Z6090" s="371"/>
    </row>
    <row r="6091" spans="26:26">
      <c r="Z6091" s="371"/>
    </row>
    <row r="6092" spans="26:26">
      <c r="Z6092" s="371"/>
    </row>
    <row r="6093" spans="26:26">
      <c r="Z6093" s="371"/>
    </row>
    <row r="6094" spans="26:26">
      <c r="Z6094" s="371"/>
    </row>
    <row r="6095" spans="26:26">
      <c r="Z6095" s="371"/>
    </row>
    <row r="6096" spans="26:26">
      <c r="Z6096" s="371"/>
    </row>
    <row r="6097" spans="26:26">
      <c r="Z6097" s="371"/>
    </row>
    <row r="6098" spans="26:26">
      <c r="Z6098" s="371"/>
    </row>
    <row r="6099" spans="26:26">
      <c r="Z6099" s="371"/>
    </row>
    <row r="6100" spans="26:26">
      <c r="Z6100" s="371"/>
    </row>
    <row r="6101" spans="26:26">
      <c r="Z6101" s="371"/>
    </row>
    <row r="6102" spans="26:26">
      <c r="Z6102" s="371"/>
    </row>
    <row r="6103" spans="26:26">
      <c r="Z6103" s="371"/>
    </row>
    <row r="6104" spans="26:26">
      <c r="Z6104" s="371"/>
    </row>
    <row r="6105" spans="26:26">
      <c r="Z6105" s="371"/>
    </row>
    <row r="6106" spans="26:26">
      <c r="Z6106" s="371"/>
    </row>
    <row r="6107" spans="26:26">
      <c r="Z6107" s="371"/>
    </row>
    <row r="6108" spans="26:26">
      <c r="Z6108" s="371"/>
    </row>
    <row r="6109" spans="26:26">
      <c r="Z6109" s="371"/>
    </row>
    <row r="6110" spans="26:26">
      <c r="Z6110" s="371"/>
    </row>
    <row r="6111" spans="26:26">
      <c r="Z6111" s="371"/>
    </row>
    <row r="6112" spans="26:26">
      <c r="Z6112" s="371"/>
    </row>
    <row r="6113" spans="26:26">
      <c r="Z6113" s="371"/>
    </row>
    <row r="6114" spans="26:26">
      <c r="Z6114" s="371"/>
    </row>
    <row r="6115" spans="26:26">
      <c r="Z6115" s="371"/>
    </row>
    <row r="6116" spans="26:26">
      <c r="Z6116" s="371"/>
    </row>
    <row r="6117" spans="26:26">
      <c r="Z6117" s="371"/>
    </row>
    <row r="6118" spans="26:26">
      <c r="Z6118" s="371"/>
    </row>
    <row r="6119" spans="26:26">
      <c r="Z6119" s="371"/>
    </row>
    <row r="6120" spans="26:26">
      <c r="Z6120" s="371"/>
    </row>
    <row r="6121" spans="26:26">
      <c r="Z6121" s="371"/>
    </row>
    <row r="6122" spans="26:26">
      <c r="Z6122" s="371"/>
    </row>
    <row r="6123" spans="26:26">
      <c r="Z6123" s="371"/>
    </row>
    <row r="6124" spans="26:26">
      <c r="Z6124" s="371"/>
    </row>
    <row r="6125" spans="26:26">
      <c r="Z6125" s="371"/>
    </row>
    <row r="6126" spans="26:26">
      <c r="Z6126" s="371"/>
    </row>
    <row r="6127" spans="26:26">
      <c r="Z6127" s="371"/>
    </row>
    <row r="6128" spans="26:26">
      <c r="Z6128" s="371"/>
    </row>
    <row r="6129" spans="26:26">
      <c r="Z6129" s="371"/>
    </row>
    <row r="6130" spans="26:26">
      <c r="Z6130" s="371"/>
    </row>
    <row r="6131" spans="26:26">
      <c r="Z6131" s="371"/>
    </row>
    <row r="6132" spans="26:26">
      <c r="Z6132" s="371"/>
    </row>
    <row r="6133" spans="26:26">
      <c r="Z6133" s="371"/>
    </row>
    <row r="6134" spans="26:26">
      <c r="Z6134" s="371"/>
    </row>
    <row r="6135" spans="26:26">
      <c r="Z6135" s="371"/>
    </row>
    <row r="6136" spans="26:26">
      <c r="Z6136" s="371"/>
    </row>
    <row r="6137" spans="26:26">
      <c r="Z6137" s="371"/>
    </row>
    <row r="6138" spans="26:26">
      <c r="Z6138" s="371"/>
    </row>
    <row r="6139" spans="26:26">
      <c r="Z6139" s="371"/>
    </row>
    <row r="6140" spans="26:26">
      <c r="Z6140" s="371"/>
    </row>
    <row r="6141" spans="26:26">
      <c r="Z6141" s="371"/>
    </row>
    <row r="6142" spans="26:26">
      <c r="Z6142" s="371"/>
    </row>
    <row r="6143" spans="26:26">
      <c r="Z6143" s="371"/>
    </row>
    <row r="6144" spans="26:26">
      <c r="Z6144" s="371"/>
    </row>
    <row r="6145" spans="26:26">
      <c r="Z6145" s="371"/>
    </row>
    <row r="6146" spans="26:26">
      <c r="Z6146" s="371"/>
    </row>
    <row r="6147" spans="26:26">
      <c r="Z6147" s="371"/>
    </row>
    <row r="6148" spans="26:26">
      <c r="Z6148" s="371"/>
    </row>
    <row r="6149" spans="26:26">
      <c r="Z6149" s="371"/>
    </row>
    <row r="6150" spans="26:26">
      <c r="Z6150" s="371"/>
    </row>
    <row r="6151" spans="26:26">
      <c r="Z6151" s="371"/>
    </row>
    <row r="6152" spans="26:26">
      <c r="Z6152" s="371"/>
    </row>
    <row r="6153" spans="26:26">
      <c r="Z6153" s="371"/>
    </row>
    <row r="6154" spans="26:26">
      <c r="Z6154" s="371"/>
    </row>
    <row r="6155" spans="26:26">
      <c r="Z6155" s="371"/>
    </row>
    <row r="6156" spans="26:26">
      <c r="Z6156" s="371"/>
    </row>
    <row r="6157" spans="26:26">
      <c r="Z6157" s="371"/>
    </row>
    <row r="6158" spans="26:26">
      <c r="Z6158" s="371"/>
    </row>
    <row r="6159" spans="26:26">
      <c r="Z6159" s="371"/>
    </row>
    <row r="6160" spans="26:26">
      <c r="Z6160" s="371"/>
    </row>
    <row r="6161" spans="26:26">
      <c r="Z6161" s="371"/>
    </row>
    <row r="6162" spans="26:26">
      <c r="Z6162" s="371"/>
    </row>
    <row r="6163" spans="26:26">
      <c r="Z6163" s="371"/>
    </row>
    <row r="6164" spans="26:26">
      <c r="Z6164" s="371"/>
    </row>
    <row r="6165" spans="26:26">
      <c r="Z6165" s="371"/>
    </row>
    <row r="6166" spans="26:26">
      <c r="Z6166" s="371"/>
    </row>
    <row r="6167" spans="26:26">
      <c r="Z6167" s="371"/>
    </row>
    <row r="6168" spans="26:26">
      <c r="Z6168" s="371"/>
    </row>
    <row r="6169" spans="26:26">
      <c r="Z6169" s="371"/>
    </row>
    <row r="6170" spans="26:26">
      <c r="Z6170" s="371"/>
    </row>
    <row r="6171" spans="26:26">
      <c r="Z6171" s="371"/>
    </row>
    <row r="6172" spans="26:26">
      <c r="Z6172" s="371"/>
    </row>
    <row r="6173" spans="26:26">
      <c r="Z6173" s="371"/>
    </row>
    <row r="6174" spans="26:26">
      <c r="Z6174" s="371"/>
    </row>
    <row r="6175" spans="26:26">
      <c r="Z6175" s="371"/>
    </row>
    <row r="6176" spans="26:26">
      <c r="Z6176" s="371"/>
    </row>
    <row r="6177" spans="26:26">
      <c r="Z6177" s="371"/>
    </row>
    <row r="6178" spans="26:26">
      <c r="Z6178" s="371"/>
    </row>
    <row r="6179" spans="26:26">
      <c r="Z6179" s="371"/>
    </row>
    <row r="6180" spans="26:26">
      <c r="Z6180" s="371"/>
    </row>
    <row r="6181" spans="26:26">
      <c r="Z6181" s="371"/>
    </row>
    <row r="6182" spans="26:26">
      <c r="Z6182" s="371"/>
    </row>
    <row r="6183" spans="26:26">
      <c r="Z6183" s="371"/>
    </row>
    <row r="6184" spans="26:26">
      <c r="Z6184" s="371"/>
    </row>
    <row r="6185" spans="26:26">
      <c r="Z6185" s="371"/>
    </row>
    <row r="6186" spans="26:26">
      <c r="Z6186" s="371"/>
    </row>
    <row r="6187" spans="26:26">
      <c r="Z6187" s="371"/>
    </row>
    <row r="6188" spans="26:26">
      <c r="Z6188" s="371"/>
    </row>
    <row r="6189" spans="26:26">
      <c r="Z6189" s="371"/>
    </row>
    <row r="6190" spans="26:26">
      <c r="Z6190" s="371"/>
    </row>
    <row r="6191" spans="26:26">
      <c r="Z6191" s="371"/>
    </row>
    <row r="6192" spans="26:26">
      <c r="Z6192" s="371"/>
    </row>
    <row r="6193" spans="26:26">
      <c r="Z6193" s="371"/>
    </row>
    <row r="6194" spans="26:26">
      <c r="Z6194" s="371"/>
    </row>
    <row r="6195" spans="26:26">
      <c r="Z6195" s="371"/>
    </row>
    <row r="6196" spans="26:26">
      <c r="Z6196" s="371"/>
    </row>
    <row r="6197" spans="26:26">
      <c r="Z6197" s="371"/>
    </row>
    <row r="6198" spans="26:26">
      <c r="Z6198" s="371"/>
    </row>
    <row r="6199" spans="26:26">
      <c r="Z6199" s="371"/>
    </row>
    <row r="6200" spans="26:26">
      <c r="Z6200" s="371"/>
    </row>
    <row r="6201" spans="26:26">
      <c r="Z6201" s="371"/>
    </row>
    <row r="6202" spans="26:26">
      <c r="Z6202" s="371"/>
    </row>
    <row r="6203" spans="26:26">
      <c r="Z6203" s="371"/>
    </row>
    <row r="6204" spans="26:26">
      <c r="Z6204" s="371"/>
    </row>
    <row r="6205" spans="26:26">
      <c r="Z6205" s="371"/>
    </row>
    <row r="6206" spans="26:26">
      <c r="Z6206" s="371"/>
    </row>
    <row r="6207" spans="26:26">
      <c r="Z6207" s="371"/>
    </row>
    <row r="6208" spans="26:26">
      <c r="Z6208" s="371"/>
    </row>
    <row r="6209" spans="26:26">
      <c r="Z6209" s="371"/>
    </row>
    <row r="6210" spans="26:26">
      <c r="Z6210" s="371"/>
    </row>
    <row r="6211" spans="26:26">
      <c r="Z6211" s="371"/>
    </row>
    <row r="6212" spans="26:26">
      <c r="Z6212" s="371"/>
    </row>
    <row r="6213" spans="26:26">
      <c r="Z6213" s="371"/>
    </row>
    <row r="6214" spans="26:26">
      <c r="Z6214" s="371"/>
    </row>
    <row r="6215" spans="26:26">
      <c r="Z6215" s="371"/>
    </row>
    <row r="6216" spans="26:26">
      <c r="Z6216" s="371"/>
    </row>
    <row r="6217" spans="26:26">
      <c r="Z6217" s="371"/>
    </row>
    <row r="6218" spans="26:26">
      <c r="Z6218" s="371"/>
    </row>
    <row r="6219" spans="26:26">
      <c r="Z6219" s="371"/>
    </row>
    <row r="6220" spans="26:26">
      <c r="Z6220" s="371"/>
    </row>
    <row r="6221" spans="26:26">
      <c r="Z6221" s="371"/>
    </row>
    <row r="6222" spans="26:26">
      <c r="Z6222" s="371"/>
    </row>
    <row r="6223" spans="26:26">
      <c r="Z6223" s="371"/>
    </row>
    <row r="6224" spans="26:26">
      <c r="Z6224" s="371"/>
    </row>
    <row r="6225" spans="26:26">
      <c r="Z6225" s="371"/>
    </row>
    <row r="6226" spans="26:26">
      <c r="Z6226" s="371"/>
    </row>
    <row r="6227" spans="26:26">
      <c r="Z6227" s="371"/>
    </row>
    <row r="6228" spans="26:26">
      <c r="Z6228" s="371"/>
    </row>
    <row r="6229" spans="26:26">
      <c r="Z6229" s="371"/>
    </row>
    <row r="6230" spans="26:26">
      <c r="Z6230" s="371"/>
    </row>
    <row r="6231" spans="26:26">
      <c r="Z6231" s="371"/>
    </row>
    <row r="6232" spans="26:26">
      <c r="Z6232" s="371"/>
    </row>
    <row r="6233" spans="26:26">
      <c r="Z6233" s="371"/>
    </row>
    <row r="6234" spans="26:26">
      <c r="Z6234" s="371"/>
    </row>
    <row r="6235" spans="26:26">
      <c r="Z6235" s="371"/>
    </row>
    <row r="6236" spans="26:26">
      <c r="Z6236" s="371"/>
    </row>
    <row r="6237" spans="26:26">
      <c r="Z6237" s="371"/>
    </row>
    <row r="6238" spans="26:26">
      <c r="Z6238" s="371"/>
    </row>
    <row r="6239" spans="26:26">
      <c r="Z6239" s="371"/>
    </row>
    <row r="6240" spans="26:26">
      <c r="Z6240" s="371"/>
    </row>
    <row r="6241" spans="26:26">
      <c r="Z6241" s="371"/>
    </row>
    <row r="6242" spans="26:26">
      <c r="Z6242" s="371"/>
    </row>
    <row r="6243" spans="26:26">
      <c r="Z6243" s="371"/>
    </row>
    <row r="6244" spans="26:26">
      <c r="Z6244" s="371"/>
    </row>
    <row r="6245" spans="26:26">
      <c r="Z6245" s="371"/>
    </row>
    <row r="6246" spans="26:26">
      <c r="Z6246" s="371"/>
    </row>
    <row r="6247" spans="26:26">
      <c r="Z6247" s="371"/>
    </row>
    <row r="6248" spans="26:26">
      <c r="Z6248" s="371"/>
    </row>
    <row r="6249" spans="26:26">
      <c r="Z6249" s="371"/>
    </row>
    <row r="6250" spans="26:26">
      <c r="Z6250" s="371"/>
    </row>
    <row r="6251" spans="26:26">
      <c r="Z6251" s="371"/>
    </row>
    <row r="6252" spans="26:26">
      <c r="Z6252" s="371"/>
    </row>
    <row r="6253" spans="26:26">
      <c r="Z6253" s="371"/>
    </row>
    <row r="6254" spans="26:26">
      <c r="Z6254" s="371"/>
    </row>
    <row r="6255" spans="26:26">
      <c r="Z6255" s="371"/>
    </row>
    <row r="6256" spans="26:26">
      <c r="Z6256" s="371"/>
    </row>
    <row r="6257" spans="26:26">
      <c r="Z6257" s="371"/>
    </row>
    <row r="6258" spans="26:26">
      <c r="Z6258" s="371"/>
    </row>
    <row r="6259" spans="26:26">
      <c r="Z6259" s="371"/>
    </row>
    <row r="6260" spans="26:26">
      <c r="Z6260" s="371"/>
    </row>
    <row r="6261" spans="26:26">
      <c r="Z6261" s="371"/>
    </row>
    <row r="6262" spans="26:26">
      <c r="Z6262" s="371"/>
    </row>
    <row r="6263" spans="26:26">
      <c r="Z6263" s="371"/>
    </row>
    <row r="6264" spans="26:26">
      <c r="Z6264" s="371"/>
    </row>
    <row r="6265" spans="26:26">
      <c r="Z6265" s="371"/>
    </row>
    <row r="6266" spans="26:26">
      <c r="Z6266" s="371"/>
    </row>
    <row r="6267" spans="26:26">
      <c r="Z6267" s="371"/>
    </row>
    <row r="6268" spans="26:26">
      <c r="Z6268" s="371"/>
    </row>
    <row r="6269" spans="26:26">
      <c r="Z6269" s="371"/>
    </row>
    <row r="6270" spans="26:26">
      <c r="Z6270" s="371"/>
    </row>
    <row r="6271" spans="26:26">
      <c r="Z6271" s="371"/>
    </row>
    <row r="6272" spans="26:26">
      <c r="Z6272" s="371"/>
    </row>
    <row r="6273" spans="26:26">
      <c r="Z6273" s="371"/>
    </row>
    <row r="6274" spans="26:26">
      <c r="Z6274" s="371"/>
    </row>
    <row r="6275" spans="26:26">
      <c r="Z6275" s="371"/>
    </row>
    <row r="6276" spans="26:26">
      <c r="Z6276" s="371"/>
    </row>
    <row r="6277" spans="26:26">
      <c r="Z6277" s="371"/>
    </row>
    <row r="6278" spans="26:26">
      <c r="Z6278" s="371"/>
    </row>
    <row r="6279" spans="26:26">
      <c r="Z6279" s="371"/>
    </row>
    <row r="6280" spans="26:26">
      <c r="Z6280" s="371"/>
    </row>
    <row r="6281" spans="26:26">
      <c r="Z6281" s="371"/>
    </row>
    <row r="6282" spans="26:26">
      <c r="Z6282" s="371"/>
    </row>
    <row r="6283" spans="26:26">
      <c r="Z6283" s="371"/>
    </row>
    <row r="6284" spans="26:26">
      <c r="Z6284" s="371"/>
    </row>
    <row r="6285" spans="26:26">
      <c r="Z6285" s="371"/>
    </row>
    <row r="6286" spans="26:26">
      <c r="Z6286" s="371"/>
    </row>
    <row r="6287" spans="26:26">
      <c r="Z6287" s="371"/>
    </row>
    <row r="6288" spans="26:26">
      <c r="Z6288" s="371"/>
    </row>
    <row r="6289" spans="26:26">
      <c r="Z6289" s="371"/>
    </row>
    <row r="6290" spans="26:26">
      <c r="Z6290" s="371"/>
    </row>
    <row r="6291" spans="26:26">
      <c r="Z6291" s="371"/>
    </row>
    <row r="6292" spans="26:26">
      <c r="Z6292" s="371"/>
    </row>
    <row r="6293" spans="26:26">
      <c r="Z6293" s="371"/>
    </row>
    <row r="6294" spans="26:26">
      <c r="Z6294" s="371"/>
    </row>
    <row r="6295" spans="26:26">
      <c r="Z6295" s="371"/>
    </row>
    <row r="6296" spans="26:26">
      <c r="Z6296" s="371"/>
    </row>
    <row r="6297" spans="26:26">
      <c r="Z6297" s="371"/>
    </row>
    <row r="6298" spans="26:26">
      <c r="Z6298" s="371"/>
    </row>
    <row r="6299" spans="26:26">
      <c r="Z6299" s="371"/>
    </row>
    <row r="6300" spans="26:26">
      <c r="Z6300" s="371"/>
    </row>
    <row r="6301" spans="26:26">
      <c r="Z6301" s="371"/>
    </row>
    <row r="6302" spans="26:26">
      <c r="Z6302" s="371"/>
    </row>
    <row r="6303" spans="26:26">
      <c r="Z6303" s="371"/>
    </row>
    <row r="6304" spans="26:26">
      <c r="Z6304" s="371"/>
    </row>
    <row r="6305" spans="26:26">
      <c r="Z6305" s="371"/>
    </row>
    <row r="6306" spans="26:26">
      <c r="Z6306" s="371"/>
    </row>
    <row r="6307" spans="26:26">
      <c r="Z6307" s="371"/>
    </row>
    <row r="6308" spans="26:26">
      <c r="Z6308" s="371"/>
    </row>
    <row r="6309" spans="26:26">
      <c r="Z6309" s="371"/>
    </row>
    <row r="6310" spans="26:26">
      <c r="Z6310" s="371"/>
    </row>
    <row r="6311" spans="26:26">
      <c r="Z6311" s="371"/>
    </row>
    <row r="6312" spans="26:26">
      <c r="Z6312" s="371"/>
    </row>
    <row r="6313" spans="26:26">
      <c r="Z6313" s="371"/>
    </row>
    <row r="6314" spans="26:26">
      <c r="Z6314" s="371"/>
    </row>
    <row r="6315" spans="26:26">
      <c r="Z6315" s="371"/>
    </row>
    <row r="6316" spans="26:26">
      <c r="Z6316" s="371"/>
    </row>
    <row r="6317" spans="26:26">
      <c r="Z6317" s="371"/>
    </row>
    <row r="6318" spans="26:26">
      <c r="Z6318" s="371"/>
    </row>
    <row r="6319" spans="26:26">
      <c r="Z6319" s="371"/>
    </row>
    <row r="6320" spans="26:26">
      <c r="Z6320" s="371"/>
    </row>
    <row r="6321" spans="26:26">
      <c r="Z6321" s="371"/>
    </row>
    <row r="6322" spans="26:26">
      <c r="Z6322" s="371"/>
    </row>
    <row r="6323" spans="26:26">
      <c r="Z6323" s="371"/>
    </row>
    <row r="6324" spans="26:26">
      <c r="Z6324" s="371"/>
    </row>
    <row r="6325" spans="26:26">
      <c r="Z6325" s="371"/>
    </row>
    <row r="6326" spans="26:26">
      <c r="Z6326" s="371"/>
    </row>
    <row r="6327" spans="26:26">
      <c r="Z6327" s="371"/>
    </row>
    <row r="6328" spans="26:26">
      <c r="Z6328" s="371"/>
    </row>
    <row r="6329" spans="26:26">
      <c r="Z6329" s="371"/>
    </row>
    <row r="6330" spans="26:26">
      <c r="Z6330" s="371"/>
    </row>
    <row r="6331" spans="26:26">
      <c r="Z6331" s="371"/>
    </row>
    <row r="6332" spans="26:26">
      <c r="Z6332" s="371"/>
    </row>
    <row r="6333" spans="26:26">
      <c r="Z6333" s="371"/>
    </row>
    <row r="6334" spans="26:26">
      <c r="Z6334" s="371"/>
    </row>
    <row r="6335" spans="26:26">
      <c r="Z6335" s="371"/>
    </row>
    <row r="6336" spans="26:26">
      <c r="Z6336" s="371"/>
    </row>
    <row r="6337" spans="26:26">
      <c r="Z6337" s="371"/>
    </row>
    <row r="6338" spans="26:26">
      <c r="Z6338" s="371"/>
    </row>
    <row r="6339" spans="26:26">
      <c r="Z6339" s="371"/>
    </row>
    <row r="6340" spans="26:26">
      <c r="Z6340" s="371"/>
    </row>
    <row r="6341" spans="26:26">
      <c r="Z6341" s="371"/>
    </row>
    <row r="6342" spans="26:26">
      <c r="Z6342" s="371"/>
    </row>
    <row r="6343" spans="26:26">
      <c r="Z6343" s="371"/>
    </row>
    <row r="6344" spans="26:26">
      <c r="Z6344" s="371"/>
    </row>
    <row r="6345" spans="26:26">
      <c r="Z6345" s="371"/>
    </row>
    <row r="6346" spans="26:26">
      <c r="Z6346" s="371"/>
    </row>
    <row r="6347" spans="26:26">
      <c r="Z6347" s="371"/>
    </row>
    <row r="6348" spans="26:26">
      <c r="Z6348" s="371"/>
    </row>
    <row r="6349" spans="26:26">
      <c r="Z6349" s="371"/>
    </row>
    <row r="6350" spans="26:26">
      <c r="Z6350" s="371"/>
    </row>
    <row r="6351" spans="26:26">
      <c r="Z6351" s="371"/>
    </row>
    <row r="6352" spans="26:26">
      <c r="Z6352" s="371"/>
    </row>
    <row r="6353" spans="26:26">
      <c r="Z6353" s="371"/>
    </row>
    <row r="6354" spans="26:26">
      <c r="Z6354" s="371"/>
    </row>
    <row r="6355" spans="26:26">
      <c r="Z6355" s="371"/>
    </row>
    <row r="6356" spans="26:26">
      <c r="Z6356" s="371"/>
    </row>
    <row r="6357" spans="26:26">
      <c r="Z6357" s="371"/>
    </row>
    <row r="6358" spans="26:26">
      <c r="Z6358" s="371"/>
    </row>
    <row r="6359" spans="26:26">
      <c r="Z6359" s="371"/>
    </row>
    <row r="6360" spans="26:26">
      <c r="Z6360" s="371"/>
    </row>
    <row r="6361" spans="26:26">
      <c r="Z6361" s="371"/>
    </row>
    <row r="6362" spans="26:26">
      <c r="Z6362" s="371"/>
    </row>
    <row r="6363" spans="26:26">
      <c r="Z6363" s="371"/>
    </row>
    <row r="6364" spans="26:26">
      <c r="Z6364" s="371"/>
    </row>
    <row r="6365" spans="26:26">
      <c r="Z6365" s="371"/>
    </row>
    <row r="6366" spans="26:26">
      <c r="Z6366" s="371"/>
    </row>
    <row r="6367" spans="26:26">
      <c r="Z6367" s="371"/>
    </row>
    <row r="6368" spans="26:26">
      <c r="Z6368" s="371"/>
    </row>
    <row r="6369" spans="26:26">
      <c r="Z6369" s="371"/>
    </row>
    <row r="6370" spans="26:26">
      <c r="Z6370" s="371"/>
    </row>
    <row r="6371" spans="26:26">
      <c r="Z6371" s="371"/>
    </row>
    <row r="6372" spans="26:26">
      <c r="Z6372" s="371"/>
    </row>
    <row r="6373" spans="26:26">
      <c r="Z6373" s="371"/>
    </row>
    <row r="6374" spans="26:26">
      <c r="Z6374" s="371"/>
    </row>
    <row r="6375" spans="26:26">
      <c r="Z6375" s="371"/>
    </row>
    <row r="6376" spans="26:26">
      <c r="Z6376" s="371"/>
    </row>
    <row r="6377" spans="26:26">
      <c r="Z6377" s="371"/>
    </row>
    <row r="6378" spans="26:26">
      <c r="Z6378" s="371"/>
    </row>
    <row r="6379" spans="26:26">
      <c r="Z6379" s="371"/>
    </row>
    <row r="6380" spans="26:26">
      <c r="Z6380" s="371"/>
    </row>
    <row r="6381" spans="26:26">
      <c r="Z6381" s="371"/>
    </row>
    <row r="6382" spans="26:26">
      <c r="Z6382" s="371"/>
    </row>
    <row r="6383" spans="26:26">
      <c r="Z6383" s="371"/>
    </row>
    <row r="6384" spans="26:26">
      <c r="Z6384" s="371"/>
    </row>
    <row r="6385" spans="26:26">
      <c r="Z6385" s="371"/>
    </row>
    <row r="6386" spans="26:26">
      <c r="Z6386" s="371"/>
    </row>
    <row r="6387" spans="26:26">
      <c r="Z6387" s="371"/>
    </row>
    <row r="6388" spans="26:26">
      <c r="Z6388" s="371"/>
    </row>
    <row r="6389" spans="26:26">
      <c r="Z6389" s="371"/>
    </row>
    <row r="6390" spans="26:26">
      <c r="Z6390" s="371"/>
    </row>
    <row r="6391" spans="26:26">
      <c r="Z6391" s="371"/>
    </row>
    <row r="6392" spans="26:26">
      <c r="Z6392" s="371"/>
    </row>
    <row r="6393" spans="26:26">
      <c r="Z6393" s="371"/>
    </row>
    <row r="6394" spans="26:26">
      <c r="Z6394" s="371"/>
    </row>
    <row r="6395" spans="26:26">
      <c r="Z6395" s="371"/>
    </row>
    <row r="6396" spans="26:26">
      <c r="Z6396" s="371"/>
    </row>
    <row r="6397" spans="26:26">
      <c r="Z6397" s="371"/>
    </row>
    <row r="6398" spans="26:26">
      <c r="Z6398" s="371"/>
    </row>
    <row r="6399" spans="26:26">
      <c r="Z6399" s="371"/>
    </row>
    <row r="6400" spans="26:26">
      <c r="Z6400" s="371"/>
    </row>
    <row r="6401" spans="26:26">
      <c r="Z6401" s="371"/>
    </row>
    <row r="6402" spans="26:26">
      <c r="Z6402" s="371"/>
    </row>
    <row r="6403" spans="26:26">
      <c r="Z6403" s="371"/>
    </row>
    <row r="6404" spans="26:26">
      <c r="Z6404" s="371"/>
    </row>
    <row r="6405" spans="26:26">
      <c r="Z6405" s="371"/>
    </row>
    <row r="6406" spans="26:26">
      <c r="Z6406" s="371"/>
    </row>
    <row r="6407" spans="26:26">
      <c r="Z6407" s="371"/>
    </row>
    <row r="6408" spans="26:26">
      <c r="Z6408" s="371"/>
    </row>
    <row r="6409" spans="26:26">
      <c r="Z6409" s="371"/>
    </row>
    <row r="6410" spans="26:26">
      <c r="Z6410" s="371"/>
    </row>
    <row r="6411" spans="26:26">
      <c r="Z6411" s="371"/>
    </row>
    <row r="6412" spans="26:26">
      <c r="Z6412" s="371"/>
    </row>
    <row r="6413" spans="26:26">
      <c r="Z6413" s="371"/>
    </row>
    <row r="6414" spans="26:26">
      <c r="Z6414" s="371"/>
    </row>
    <row r="6415" spans="26:26">
      <c r="Z6415" s="371"/>
    </row>
    <row r="6416" spans="26:26">
      <c r="Z6416" s="371"/>
    </row>
    <row r="6417" spans="26:26">
      <c r="Z6417" s="371"/>
    </row>
    <row r="6418" spans="26:26">
      <c r="Z6418" s="371"/>
    </row>
    <row r="6419" spans="26:26">
      <c r="Z6419" s="371"/>
    </row>
    <row r="6420" spans="26:26">
      <c r="Z6420" s="371"/>
    </row>
    <row r="6421" spans="26:26">
      <c r="Z6421" s="371"/>
    </row>
    <row r="6422" spans="26:26">
      <c r="Z6422" s="371"/>
    </row>
    <row r="6423" spans="26:26">
      <c r="Z6423" s="371"/>
    </row>
    <row r="6424" spans="26:26">
      <c r="Z6424" s="371"/>
    </row>
    <row r="6425" spans="26:26">
      <c r="Z6425" s="371"/>
    </row>
    <row r="6426" spans="26:26">
      <c r="Z6426" s="371"/>
    </row>
    <row r="6427" spans="26:26">
      <c r="Z6427" s="371"/>
    </row>
    <row r="6428" spans="26:26">
      <c r="Z6428" s="371"/>
    </row>
    <row r="6429" spans="26:26">
      <c r="Z6429" s="371"/>
    </row>
    <row r="6430" spans="26:26">
      <c r="Z6430" s="371"/>
    </row>
    <row r="6431" spans="26:26">
      <c r="Z6431" s="371"/>
    </row>
    <row r="6432" spans="26:26">
      <c r="Z6432" s="371"/>
    </row>
    <row r="6433" spans="26:26">
      <c r="Z6433" s="371"/>
    </row>
    <row r="6434" spans="26:26">
      <c r="Z6434" s="371"/>
    </row>
    <row r="6435" spans="26:26">
      <c r="Z6435" s="371"/>
    </row>
    <row r="6436" spans="26:26">
      <c r="Z6436" s="371"/>
    </row>
    <row r="6437" spans="26:26">
      <c r="Z6437" s="371"/>
    </row>
    <row r="6438" spans="26:26">
      <c r="Z6438" s="371"/>
    </row>
    <row r="6439" spans="26:26">
      <c r="Z6439" s="371"/>
    </row>
    <row r="6440" spans="26:26">
      <c r="Z6440" s="371"/>
    </row>
    <row r="6441" spans="26:26">
      <c r="Z6441" s="371"/>
    </row>
    <row r="6442" spans="26:26">
      <c r="Z6442" s="371"/>
    </row>
    <row r="6443" spans="26:26">
      <c r="Z6443" s="371"/>
    </row>
    <row r="6444" spans="26:26">
      <c r="Z6444" s="371"/>
    </row>
    <row r="6445" spans="26:26">
      <c r="Z6445" s="371"/>
    </row>
    <row r="6446" spans="26:26">
      <c r="Z6446" s="371"/>
    </row>
    <row r="6447" spans="26:26">
      <c r="Z6447" s="371"/>
    </row>
    <row r="6448" spans="26:26">
      <c r="Z6448" s="371"/>
    </row>
    <row r="6449" spans="26:26">
      <c r="Z6449" s="371"/>
    </row>
    <row r="6450" spans="26:26">
      <c r="Z6450" s="371"/>
    </row>
    <row r="6451" spans="26:26">
      <c r="Z6451" s="371"/>
    </row>
    <row r="6452" spans="26:26">
      <c r="Z6452" s="371"/>
    </row>
    <row r="6453" spans="26:26">
      <c r="Z6453" s="371"/>
    </row>
    <row r="6454" spans="26:26">
      <c r="Z6454" s="371"/>
    </row>
    <row r="6455" spans="26:26">
      <c r="Z6455" s="371"/>
    </row>
    <row r="6456" spans="26:26">
      <c r="Z6456" s="371"/>
    </row>
    <row r="6457" spans="26:26">
      <c r="Z6457" s="371"/>
    </row>
    <row r="6458" spans="26:26">
      <c r="Z6458" s="371"/>
    </row>
    <row r="6459" spans="26:26">
      <c r="Z6459" s="371"/>
    </row>
    <row r="6460" spans="26:26">
      <c r="Z6460" s="371"/>
    </row>
    <row r="6461" spans="26:26">
      <c r="Z6461" s="371"/>
    </row>
    <row r="6462" spans="26:26">
      <c r="Z6462" s="371"/>
    </row>
    <row r="6463" spans="26:26">
      <c r="Z6463" s="371"/>
    </row>
    <row r="6464" spans="26:26">
      <c r="Z6464" s="371"/>
    </row>
    <row r="6465" spans="26:26">
      <c r="Z6465" s="371"/>
    </row>
    <row r="6466" spans="26:26">
      <c r="Z6466" s="371"/>
    </row>
    <row r="6467" spans="26:26">
      <c r="Z6467" s="371"/>
    </row>
    <row r="6468" spans="26:26">
      <c r="Z6468" s="371"/>
    </row>
    <row r="6469" spans="26:26">
      <c r="Z6469" s="371"/>
    </row>
    <row r="6470" spans="26:26">
      <c r="Z6470" s="371"/>
    </row>
    <row r="6471" spans="26:26">
      <c r="Z6471" s="371"/>
    </row>
    <row r="6472" spans="26:26">
      <c r="Z6472" s="371"/>
    </row>
    <row r="6473" spans="26:26">
      <c r="Z6473" s="371"/>
    </row>
    <row r="6474" spans="26:26">
      <c r="Z6474" s="371"/>
    </row>
    <row r="6475" spans="26:26">
      <c r="Z6475" s="371"/>
    </row>
    <row r="6476" spans="26:26">
      <c r="Z6476" s="371"/>
    </row>
    <row r="6477" spans="26:26">
      <c r="Z6477" s="371"/>
    </row>
    <row r="6478" spans="26:26">
      <c r="Z6478" s="371"/>
    </row>
    <row r="6479" spans="26:26">
      <c r="Z6479" s="371"/>
    </row>
    <row r="6480" spans="26:26">
      <c r="Z6480" s="371"/>
    </row>
    <row r="6481" spans="26:26">
      <c r="Z6481" s="371"/>
    </row>
    <row r="6482" spans="26:26">
      <c r="Z6482" s="371"/>
    </row>
    <row r="6483" spans="26:26">
      <c r="Z6483" s="371"/>
    </row>
    <row r="6484" spans="26:26">
      <c r="Z6484" s="371"/>
    </row>
    <row r="6485" spans="26:26">
      <c r="Z6485" s="371"/>
    </row>
    <row r="6486" spans="26:26">
      <c r="Z6486" s="371"/>
    </row>
    <row r="6487" spans="26:26">
      <c r="Z6487" s="371"/>
    </row>
    <row r="6488" spans="26:26">
      <c r="Z6488" s="371"/>
    </row>
    <row r="6489" spans="26:26">
      <c r="Z6489" s="371"/>
    </row>
    <row r="6490" spans="26:26">
      <c r="Z6490" s="371"/>
    </row>
    <row r="6491" spans="26:26">
      <c r="Z6491" s="371"/>
    </row>
    <row r="6492" spans="26:26">
      <c r="Z6492" s="371"/>
    </row>
    <row r="6493" spans="26:26">
      <c r="Z6493" s="371"/>
    </row>
    <row r="6494" spans="26:26">
      <c r="Z6494" s="371"/>
    </row>
    <row r="6495" spans="26:26">
      <c r="Z6495" s="371"/>
    </row>
    <row r="6496" spans="26:26">
      <c r="Z6496" s="371"/>
    </row>
    <row r="6497" spans="26:26">
      <c r="Z6497" s="371"/>
    </row>
    <row r="6498" spans="26:26">
      <c r="Z6498" s="371"/>
    </row>
    <row r="6499" spans="26:26">
      <c r="Z6499" s="371"/>
    </row>
    <row r="6500" spans="26:26">
      <c r="Z6500" s="371"/>
    </row>
    <row r="6501" spans="26:26">
      <c r="Z6501" s="371"/>
    </row>
    <row r="6502" spans="26:26">
      <c r="Z6502" s="371"/>
    </row>
    <row r="6503" spans="26:26">
      <c r="Z6503" s="371"/>
    </row>
    <row r="6504" spans="26:26">
      <c r="Z6504" s="371"/>
    </row>
    <row r="6505" spans="26:26">
      <c r="Z6505" s="371"/>
    </row>
    <row r="6506" spans="26:26">
      <c r="Z6506" s="371"/>
    </row>
    <row r="6507" spans="26:26">
      <c r="Z6507" s="371"/>
    </row>
    <row r="6508" spans="26:26">
      <c r="Z6508" s="371"/>
    </row>
    <row r="6509" spans="26:26">
      <c r="Z6509" s="371"/>
    </row>
    <row r="6510" spans="26:26">
      <c r="Z6510" s="371"/>
    </row>
    <row r="6511" spans="26:26">
      <c r="Z6511" s="371"/>
    </row>
    <row r="6512" spans="26:26">
      <c r="Z6512" s="371"/>
    </row>
    <row r="6513" spans="26:26">
      <c r="Z6513" s="371"/>
    </row>
    <row r="6514" spans="26:26">
      <c r="Z6514" s="371"/>
    </row>
    <row r="6515" spans="26:26">
      <c r="Z6515" s="371"/>
    </row>
    <row r="6516" spans="26:26">
      <c r="Z6516" s="371"/>
    </row>
    <row r="6517" spans="26:26">
      <c r="Z6517" s="371"/>
    </row>
    <row r="6518" spans="26:26">
      <c r="Z6518" s="371"/>
    </row>
    <row r="6519" spans="26:26">
      <c r="Z6519" s="371"/>
    </row>
    <row r="6520" spans="26:26">
      <c r="Z6520" s="371"/>
    </row>
    <row r="6521" spans="26:26">
      <c r="Z6521" s="371"/>
    </row>
    <row r="6522" spans="26:26">
      <c r="Z6522" s="371"/>
    </row>
    <row r="6523" spans="26:26">
      <c r="Z6523" s="371"/>
    </row>
    <row r="6524" spans="26:26">
      <c r="Z6524" s="371"/>
    </row>
    <row r="6525" spans="26:26">
      <c r="Z6525" s="371"/>
    </row>
    <row r="6526" spans="26:26">
      <c r="Z6526" s="371"/>
    </row>
    <row r="6527" spans="26:26">
      <c r="Z6527" s="371"/>
    </row>
    <row r="6528" spans="26:26">
      <c r="Z6528" s="371"/>
    </row>
    <row r="6529" spans="26:26">
      <c r="Z6529" s="371"/>
    </row>
    <row r="6530" spans="26:26">
      <c r="Z6530" s="371"/>
    </row>
    <row r="6531" spans="26:26">
      <c r="Z6531" s="371"/>
    </row>
    <row r="6532" spans="26:26">
      <c r="Z6532" s="371"/>
    </row>
    <row r="6533" spans="26:26">
      <c r="Z6533" s="371"/>
    </row>
    <row r="6534" spans="26:26">
      <c r="Z6534" s="371"/>
    </row>
    <row r="6535" spans="26:26">
      <c r="Z6535" s="371"/>
    </row>
    <row r="6536" spans="26:26">
      <c r="Z6536" s="371"/>
    </row>
    <row r="6537" spans="26:26">
      <c r="Z6537" s="371"/>
    </row>
    <row r="6538" spans="26:26">
      <c r="Z6538" s="371"/>
    </row>
    <row r="6539" spans="26:26">
      <c r="Z6539" s="371"/>
    </row>
    <row r="6540" spans="26:26">
      <c r="Z6540" s="371"/>
    </row>
    <row r="6541" spans="26:26">
      <c r="Z6541" s="371"/>
    </row>
    <row r="6542" spans="26:26">
      <c r="Z6542" s="371"/>
    </row>
    <row r="6543" spans="26:26">
      <c r="Z6543" s="371"/>
    </row>
    <row r="6544" spans="26:26">
      <c r="Z6544" s="371"/>
    </row>
    <row r="6545" spans="26:26">
      <c r="Z6545" s="371"/>
    </row>
    <row r="6546" spans="26:26">
      <c r="Z6546" s="371"/>
    </row>
    <row r="6547" spans="26:26">
      <c r="Z6547" s="371"/>
    </row>
    <row r="6548" spans="26:26">
      <c r="Z6548" s="371"/>
    </row>
    <row r="6549" spans="26:26">
      <c r="Z6549" s="371"/>
    </row>
    <row r="6550" spans="26:26">
      <c r="Z6550" s="371"/>
    </row>
    <row r="6551" spans="26:26">
      <c r="Z6551" s="371"/>
    </row>
    <row r="6552" spans="26:26">
      <c r="Z6552" s="371"/>
    </row>
    <row r="6553" spans="26:26">
      <c r="Z6553" s="371"/>
    </row>
    <row r="6554" spans="26:26">
      <c r="Z6554" s="371"/>
    </row>
    <row r="6555" spans="26:26">
      <c r="Z6555" s="371"/>
    </row>
    <row r="6556" spans="26:26">
      <c r="Z6556" s="371"/>
    </row>
    <row r="6557" spans="26:26">
      <c r="Z6557" s="371"/>
    </row>
    <row r="6558" spans="26:26">
      <c r="Z6558" s="371"/>
    </row>
    <row r="6559" spans="26:26">
      <c r="Z6559" s="371"/>
    </row>
    <row r="6560" spans="26:26">
      <c r="Z6560" s="371"/>
    </row>
    <row r="6561" spans="26:26">
      <c r="Z6561" s="371"/>
    </row>
    <row r="6562" spans="26:26">
      <c r="Z6562" s="371"/>
    </row>
    <row r="6563" spans="26:26">
      <c r="Z6563" s="371"/>
    </row>
    <row r="6564" spans="26:26">
      <c r="Z6564" s="371"/>
    </row>
    <row r="6565" spans="26:26">
      <c r="Z6565" s="371"/>
    </row>
    <row r="6566" spans="26:26">
      <c r="Z6566" s="371"/>
    </row>
    <row r="6567" spans="26:26">
      <c r="Z6567" s="371"/>
    </row>
    <row r="6568" spans="26:26">
      <c r="Z6568" s="371"/>
    </row>
    <row r="6569" spans="26:26">
      <c r="Z6569" s="371"/>
    </row>
    <row r="6570" spans="26:26">
      <c r="Z6570" s="371"/>
    </row>
    <row r="6571" spans="26:26">
      <c r="Z6571" s="371"/>
    </row>
    <row r="6572" spans="26:26">
      <c r="Z6572" s="371"/>
    </row>
    <row r="6573" spans="26:26">
      <c r="Z6573" s="371"/>
    </row>
    <row r="6574" spans="26:26">
      <c r="Z6574" s="371"/>
    </row>
    <row r="6575" spans="26:26">
      <c r="Z6575" s="371"/>
    </row>
    <row r="6576" spans="26:26">
      <c r="Z6576" s="371"/>
    </row>
    <row r="6577" spans="26:26">
      <c r="Z6577" s="371"/>
    </row>
    <row r="6578" spans="26:26">
      <c r="Z6578" s="371"/>
    </row>
    <row r="6579" spans="26:26">
      <c r="Z6579" s="371"/>
    </row>
    <row r="6580" spans="26:26">
      <c r="Z6580" s="371"/>
    </row>
    <row r="6581" spans="26:26">
      <c r="Z6581" s="371"/>
    </row>
    <row r="6582" spans="26:26">
      <c r="Z6582" s="371"/>
    </row>
    <row r="6583" spans="26:26">
      <c r="Z6583" s="371"/>
    </row>
    <row r="6584" spans="26:26">
      <c r="Z6584" s="371"/>
    </row>
    <row r="6585" spans="26:26">
      <c r="Z6585" s="371"/>
    </row>
    <row r="6586" spans="26:26">
      <c r="Z6586" s="371"/>
    </row>
    <row r="6587" spans="26:26">
      <c r="Z6587" s="371"/>
    </row>
    <row r="6588" spans="26:26">
      <c r="Z6588" s="371"/>
    </row>
    <row r="6589" spans="26:26">
      <c r="Z6589" s="371"/>
    </row>
    <row r="6590" spans="26:26">
      <c r="Z6590" s="371"/>
    </row>
    <row r="6591" spans="26:26">
      <c r="Z6591" s="371"/>
    </row>
    <row r="6592" spans="26:26">
      <c r="Z6592" s="371"/>
    </row>
    <row r="6593" spans="26:26">
      <c r="Z6593" s="371"/>
    </row>
    <row r="6594" spans="26:26">
      <c r="Z6594" s="371"/>
    </row>
    <row r="6595" spans="26:26">
      <c r="Z6595" s="371"/>
    </row>
    <row r="6596" spans="26:26">
      <c r="Z6596" s="371"/>
    </row>
    <row r="6597" spans="26:26">
      <c r="Z6597" s="371"/>
    </row>
    <row r="6598" spans="26:26">
      <c r="Z6598" s="371"/>
    </row>
    <row r="6599" spans="26:26">
      <c r="Z6599" s="371"/>
    </row>
    <row r="6600" spans="26:26">
      <c r="Z6600" s="371"/>
    </row>
    <row r="6601" spans="26:26">
      <c r="Z6601" s="371"/>
    </row>
    <row r="6602" spans="26:26">
      <c r="Z6602" s="371"/>
    </row>
    <row r="6603" spans="26:26">
      <c r="Z6603" s="371"/>
    </row>
    <row r="6604" spans="26:26">
      <c r="Z6604" s="371"/>
    </row>
    <row r="6605" spans="26:26">
      <c r="Z6605" s="371"/>
    </row>
    <row r="6606" spans="26:26">
      <c r="Z6606" s="371"/>
    </row>
    <row r="6607" spans="26:26">
      <c r="Z6607" s="371"/>
    </row>
    <row r="6608" spans="26:26">
      <c r="Z6608" s="371"/>
    </row>
    <row r="6609" spans="26:26">
      <c r="Z6609" s="371"/>
    </row>
    <row r="6610" spans="26:26">
      <c r="Z6610" s="371"/>
    </row>
    <row r="6611" spans="26:26">
      <c r="Z6611" s="371"/>
    </row>
    <row r="6612" spans="26:26">
      <c r="Z6612" s="371"/>
    </row>
    <row r="6613" spans="26:26">
      <c r="Z6613" s="371"/>
    </row>
    <row r="6614" spans="26:26">
      <c r="Z6614" s="371"/>
    </row>
    <row r="6615" spans="26:26">
      <c r="Z6615" s="371"/>
    </row>
    <row r="6616" spans="26:26">
      <c r="Z6616" s="371"/>
    </row>
    <row r="6617" spans="26:26">
      <c r="Z6617" s="371"/>
    </row>
    <row r="6618" spans="26:26">
      <c r="Z6618" s="371"/>
    </row>
    <row r="6619" spans="26:26">
      <c r="Z6619" s="371"/>
    </row>
    <row r="6620" spans="26:26">
      <c r="Z6620" s="371"/>
    </row>
    <row r="6621" spans="26:26">
      <c r="Z6621" s="371"/>
    </row>
    <row r="6622" spans="26:26">
      <c r="Z6622" s="371"/>
    </row>
    <row r="6623" spans="26:26">
      <c r="Z6623" s="371"/>
    </row>
    <row r="6624" spans="26:26">
      <c r="Z6624" s="371"/>
    </row>
    <row r="6625" spans="26:26">
      <c r="Z6625" s="371"/>
    </row>
    <row r="6626" spans="26:26">
      <c r="Z6626" s="371"/>
    </row>
    <row r="6627" spans="26:26">
      <c r="Z6627" s="371"/>
    </row>
    <row r="6628" spans="26:26">
      <c r="Z6628" s="371"/>
    </row>
    <row r="6629" spans="26:26">
      <c r="Z6629" s="371"/>
    </row>
    <row r="6630" spans="26:26">
      <c r="Z6630" s="371"/>
    </row>
    <row r="6631" spans="26:26">
      <c r="Z6631" s="371"/>
    </row>
    <row r="6632" spans="26:26">
      <c r="Z6632" s="371"/>
    </row>
    <row r="6633" spans="26:26">
      <c r="Z6633" s="371"/>
    </row>
    <row r="6634" spans="26:26">
      <c r="Z6634" s="371"/>
    </row>
    <row r="6635" spans="26:26">
      <c r="Z6635" s="371"/>
    </row>
    <row r="6636" spans="26:26">
      <c r="Z6636" s="371"/>
    </row>
    <row r="6637" spans="26:26">
      <c r="Z6637" s="371"/>
    </row>
    <row r="6638" spans="26:26">
      <c r="Z6638" s="371"/>
    </row>
    <row r="6639" spans="26:26">
      <c r="Z6639" s="371"/>
    </row>
    <row r="6640" spans="26:26">
      <c r="Z6640" s="371"/>
    </row>
    <row r="6641" spans="26:26">
      <c r="Z6641" s="371"/>
    </row>
    <row r="6642" spans="26:26">
      <c r="Z6642" s="371"/>
    </row>
    <row r="6643" spans="26:26">
      <c r="Z6643" s="371"/>
    </row>
    <row r="6644" spans="26:26">
      <c r="Z6644" s="371"/>
    </row>
    <row r="6645" spans="26:26">
      <c r="Z6645" s="371"/>
    </row>
    <row r="6646" spans="26:26">
      <c r="Z6646" s="371"/>
    </row>
    <row r="6647" spans="26:26">
      <c r="Z6647" s="371"/>
    </row>
    <row r="6648" spans="26:26">
      <c r="Z6648" s="371"/>
    </row>
    <row r="6649" spans="26:26">
      <c r="Z6649" s="371"/>
    </row>
    <row r="6650" spans="26:26">
      <c r="Z6650" s="371"/>
    </row>
    <row r="6651" spans="26:26">
      <c r="Z6651" s="371"/>
    </row>
    <row r="6652" spans="26:26">
      <c r="Z6652" s="371"/>
    </row>
    <row r="6653" spans="26:26">
      <c r="Z6653" s="371"/>
    </row>
    <row r="6654" spans="26:26">
      <c r="Z6654" s="371"/>
    </row>
    <row r="6655" spans="26:26">
      <c r="Z6655" s="371"/>
    </row>
    <row r="6656" spans="26:26">
      <c r="Z6656" s="371"/>
    </row>
    <row r="6657" spans="26:26">
      <c r="Z6657" s="371"/>
    </row>
    <row r="6658" spans="26:26">
      <c r="Z6658" s="371"/>
    </row>
    <row r="6659" spans="26:26">
      <c r="Z6659" s="371"/>
    </row>
    <row r="6660" spans="26:26">
      <c r="Z6660" s="371"/>
    </row>
    <row r="6661" spans="26:26">
      <c r="Z6661" s="371"/>
    </row>
    <row r="6662" spans="26:26">
      <c r="Z6662" s="371"/>
    </row>
    <row r="6663" spans="26:26">
      <c r="Z6663" s="371"/>
    </row>
    <row r="6664" spans="26:26">
      <c r="Z6664" s="371"/>
    </row>
    <row r="6665" spans="26:26">
      <c r="Z6665" s="371"/>
    </row>
    <row r="6666" spans="26:26">
      <c r="Z6666" s="371"/>
    </row>
    <row r="6667" spans="26:26">
      <c r="Z6667" s="371"/>
    </row>
    <row r="6668" spans="26:26">
      <c r="Z6668" s="371"/>
    </row>
    <row r="6669" spans="26:26">
      <c r="Z6669" s="371"/>
    </row>
    <row r="6670" spans="26:26">
      <c r="Z6670" s="371"/>
    </row>
    <row r="6671" spans="26:26">
      <c r="Z6671" s="371"/>
    </row>
    <row r="6672" spans="26:26">
      <c r="Z6672" s="371"/>
    </row>
    <row r="6673" spans="26:26">
      <c r="Z6673" s="371"/>
    </row>
    <row r="6674" spans="26:26">
      <c r="Z6674" s="371"/>
    </row>
    <row r="6675" spans="26:26">
      <c r="Z6675" s="371"/>
    </row>
    <row r="6676" spans="26:26">
      <c r="Z6676" s="371"/>
    </row>
    <row r="6677" spans="26:26">
      <c r="Z6677" s="371"/>
    </row>
    <row r="6678" spans="26:26">
      <c r="Z6678" s="371"/>
    </row>
    <row r="6679" spans="26:26">
      <c r="Z6679" s="371"/>
    </row>
    <row r="6680" spans="26:26">
      <c r="Z6680" s="371"/>
    </row>
    <row r="6681" spans="26:26">
      <c r="Z6681" s="371"/>
    </row>
    <row r="6682" spans="26:26">
      <c r="Z6682" s="371"/>
    </row>
    <row r="6683" spans="26:26">
      <c r="Z6683" s="371"/>
    </row>
    <row r="6684" spans="26:26">
      <c r="Z6684" s="371"/>
    </row>
    <row r="6685" spans="26:26">
      <c r="Z6685" s="371"/>
    </row>
    <row r="6686" spans="26:26">
      <c r="Z6686" s="371"/>
    </row>
    <row r="6687" spans="26:26">
      <c r="Z6687" s="371"/>
    </row>
    <row r="6688" spans="26:26">
      <c r="Z6688" s="371"/>
    </row>
    <row r="6689" spans="26:26">
      <c r="Z6689" s="371"/>
    </row>
    <row r="6690" spans="26:26">
      <c r="Z6690" s="371"/>
    </row>
    <row r="6691" spans="26:26">
      <c r="Z6691" s="371"/>
    </row>
    <row r="6692" spans="26:26">
      <c r="Z6692" s="371"/>
    </row>
    <row r="6693" spans="26:26">
      <c r="Z6693" s="371"/>
    </row>
    <row r="6694" spans="26:26">
      <c r="Z6694" s="371"/>
    </row>
    <row r="6695" spans="26:26">
      <c r="Z6695" s="371"/>
    </row>
    <row r="6696" spans="26:26">
      <c r="Z6696" s="371"/>
    </row>
    <row r="6697" spans="26:26">
      <c r="Z6697" s="371"/>
    </row>
    <row r="6698" spans="26:26">
      <c r="Z6698" s="371"/>
    </row>
    <row r="6699" spans="26:26">
      <c r="Z6699" s="371"/>
    </row>
    <row r="6700" spans="26:26">
      <c r="Z6700" s="371"/>
    </row>
    <row r="6701" spans="26:26">
      <c r="Z6701" s="371"/>
    </row>
    <row r="6702" spans="26:26">
      <c r="Z6702" s="371"/>
    </row>
    <row r="6703" spans="26:26">
      <c r="Z6703" s="371"/>
    </row>
    <row r="6704" spans="26:26">
      <c r="Z6704" s="371"/>
    </row>
    <row r="6705" spans="26:26">
      <c r="Z6705" s="371"/>
    </row>
    <row r="6706" spans="26:26">
      <c r="Z6706" s="371"/>
    </row>
    <row r="6707" spans="26:26">
      <c r="Z6707" s="371"/>
    </row>
    <row r="6708" spans="26:26">
      <c r="Z6708" s="371"/>
    </row>
    <row r="6709" spans="26:26">
      <c r="Z6709" s="371"/>
    </row>
    <row r="6710" spans="26:26">
      <c r="Z6710" s="371"/>
    </row>
    <row r="6711" spans="26:26">
      <c r="Z6711" s="371"/>
    </row>
    <row r="6712" spans="26:26">
      <c r="Z6712" s="371"/>
    </row>
    <row r="6713" spans="26:26">
      <c r="Z6713" s="371"/>
    </row>
    <row r="6714" spans="26:26">
      <c r="Z6714" s="371"/>
    </row>
    <row r="6715" spans="26:26">
      <c r="Z6715" s="371"/>
    </row>
    <row r="6716" spans="26:26">
      <c r="Z6716" s="371"/>
    </row>
    <row r="6717" spans="26:26">
      <c r="Z6717" s="371"/>
    </row>
    <row r="6718" spans="26:26">
      <c r="Z6718" s="371"/>
    </row>
    <row r="6719" spans="26:26">
      <c r="Z6719" s="371"/>
    </row>
    <row r="6720" spans="26:26">
      <c r="Z6720" s="371"/>
    </row>
    <row r="6721" spans="26:26">
      <c r="Z6721" s="371"/>
    </row>
    <row r="6722" spans="26:26">
      <c r="Z6722" s="371"/>
    </row>
    <row r="6723" spans="26:26">
      <c r="Z6723" s="371"/>
    </row>
    <row r="6724" spans="26:26">
      <c r="Z6724" s="371"/>
    </row>
    <row r="6725" spans="26:26">
      <c r="Z6725" s="371"/>
    </row>
    <row r="6726" spans="26:26">
      <c r="Z6726" s="371"/>
    </row>
    <row r="6727" spans="26:26">
      <c r="Z6727" s="371"/>
    </row>
    <row r="6728" spans="26:26">
      <c r="Z6728" s="371"/>
    </row>
    <row r="6729" spans="26:26">
      <c r="Z6729" s="371"/>
    </row>
    <row r="6730" spans="26:26">
      <c r="Z6730" s="371"/>
    </row>
    <row r="6731" spans="26:26">
      <c r="Z6731" s="371"/>
    </row>
    <row r="6732" spans="26:26">
      <c r="Z6732" s="371"/>
    </row>
    <row r="6733" spans="26:26">
      <c r="Z6733" s="371"/>
    </row>
    <row r="6734" spans="26:26">
      <c r="Z6734" s="371"/>
    </row>
    <row r="6735" spans="26:26">
      <c r="Z6735" s="371"/>
    </row>
    <row r="6736" spans="26:26">
      <c r="Z6736" s="371"/>
    </row>
    <row r="6737" spans="26:26">
      <c r="Z6737" s="371"/>
    </row>
    <row r="6738" spans="26:26">
      <c r="Z6738" s="371"/>
    </row>
    <row r="6739" spans="26:26">
      <c r="Z6739" s="371"/>
    </row>
    <row r="6740" spans="26:26">
      <c r="Z6740" s="371"/>
    </row>
    <row r="6741" spans="26:26">
      <c r="Z6741" s="371"/>
    </row>
    <row r="6742" spans="26:26">
      <c r="Z6742" s="371"/>
    </row>
    <row r="6743" spans="26:26">
      <c r="Z6743" s="371"/>
    </row>
    <row r="6744" spans="26:26">
      <c r="Z6744" s="371"/>
    </row>
    <row r="6745" spans="26:26">
      <c r="Z6745" s="371"/>
    </row>
    <row r="6746" spans="26:26">
      <c r="Z6746" s="371"/>
    </row>
    <row r="6747" spans="26:26">
      <c r="Z6747" s="371"/>
    </row>
    <row r="6748" spans="26:26">
      <c r="Z6748" s="371"/>
    </row>
    <row r="6749" spans="26:26">
      <c r="Z6749" s="371"/>
    </row>
    <row r="6750" spans="26:26">
      <c r="Z6750" s="371"/>
    </row>
    <row r="6751" spans="26:26">
      <c r="Z6751" s="371"/>
    </row>
    <row r="6752" spans="26:26">
      <c r="Z6752" s="371"/>
    </row>
    <row r="6753" spans="26:26">
      <c r="Z6753" s="371"/>
    </row>
    <row r="6754" spans="26:26">
      <c r="Z6754" s="371"/>
    </row>
    <row r="6755" spans="26:26">
      <c r="Z6755" s="371"/>
    </row>
    <row r="6756" spans="26:26">
      <c r="Z6756" s="371"/>
    </row>
    <row r="6757" spans="26:26">
      <c r="Z6757" s="371"/>
    </row>
    <row r="6758" spans="26:26">
      <c r="Z6758" s="371"/>
    </row>
    <row r="6759" spans="26:26">
      <c r="Z6759" s="371"/>
    </row>
    <row r="6760" spans="26:26">
      <c r="Z6760" s="371"/>
    </row>
    <row r="6761" spans="26:26">
      <c r="Z6761" s="371"/>
    </row>
    <row r="6762" spans="26:26">
      <c r="Z6762" s="371"/>
    </row>
    <row r="6763" spans="26:26">
      <c r="Z6763" s="371"/>
    </row>
    <row r="6764" spans="26:26">
      <c r="Z6764" s="371"/>
    </row>
    <row r="6765" spans="26:26">
      <c r="Z6765" s="371"/>
    </row>
    <row r="6766" spans="26:26">
      <c r="Z6766" s="371"/>
    </row>
    <row r="6767" spans="26:26">
      <c r="Z6767" s="371"/>
    </row>
    <row r="6768" spans="26:26">
      <c r="Z6768" s="371"/>
    </row>
    <row r="6769" spans="26:26">
      <c r="Z6769" s="371"/>
    </row>
    <row r="6770" spans="26:26">
      <c r="Z6770" s="371"/>
    </row>
    <row r="6771" spans="26:26">
      <c r="Z6771" s="371"/>
    </row>
    <row r="6772" spans="26:26">
      <c r="Z6772" s="371"/>
    </row>
    <row r="6773" spans="26:26">
      <c r="Z6773" s="371"/>
    </row>
    <row r="6774" spans="26:26">
      <c r="Z6774" s="371"/>
    </row>
    <row r="6775" spans="26:26">
      <c r="Z6775" s="371"/>
    </row>
    <row r="6776" spans="26:26">
      <c r="Z6776" s="371"/>
    </row>
    <row r="6777" spans="26:26">
      <c r="Z6777" s="371"/>
    </row>
    <row r="6778" spans="26:26">
      <c r="Z6778" s="371"/>
    </row>
    <row r="6779" spans="26:26">
      <c r="Z6779" s="371"/>
    </row>
    <row r="6780" spans="26:26">
      <c r="Z6780" s="371"/>
    </row>
    <row r="6781" spans="26:26">
      <c r="Z6781" s="371"/>
    </row>
    <row r="6782" spans="26:26">
      <c r="Z6782" s="371"/>
    </row>
    <row r="6783" spans="26:26">
      <c r="Z6783" s="371"/>
    </row>
    <row r="6784" spans="26:26">
      <c r="Z6784" s="371"/>
    </row>
    <row r="6785" spans="26:26">
      <c r="Z6785" s="371"/>
    </row>
    <row r="6786" spans="26:26">
      <c r="Z6786" s="371"/>
    </row>
    <row r="6787" spans="26:26">
      <c r="Z6787" s="371"/>
    </row>
    <row r="6788" spans="26:26">
      <c r="Z6788" s="371"/>
    </row>
    <row r="6789" spans="26:26">
      <c r="Z6789" s="371"/>
    </row>
    <row r="6790" spans="26:26">
      <c r="Z6790" s="371"/>
    </row>
    <row r="6791" spans="26:26">
      <c r="Z6791" s="371"/>
    </row>
    <row r="6792" spans="26:26">
      <c r="Z6792" s="371"/>
    </row>
    <row r="6793" spans="26:26">
      <c r="Z6793" s="371"/>
    </row>
    <row r="6794" spans="26:26">
      <c r="Z6794" s="371"/>
    </row>
    <row r="6795" spans="26:26">
      <c r="Z6795" s="371"/>
    </row>
    <row r="6796" spans="26:26">
      <c r="Z6796" s="371"/>
    </row>
    <row r="6797" spans="26:26">
      <c r="Z6797" s="371"/>
    </row>
    <row r="6798" spans="26:26">
      <c r="Z6798" s="371"/>
    </row>
    <row r="6799" spans="26:26">
      <c r="Z6799" s="371"/>
    </row>
    <row r="6800" spans="26:26">
      <c r="Z6800" s="371"/>
    </row>
    <row r="6801" spans="26:26">
      <c r="Z6801" s="371"/>
    </row>
    <row r="6802" spans="26:26">
      <c r="Z6802" s="371"/>
    </row>
    <row r="6803" spans="26:26">
      <c r="Z6803" s="371"/>
    </row>
    <row r="6804" spans="26:26">
      <c r="Z6804" s="371"/>
    </row>
    <row r="6805" spans="26:26">
      <c r="Z6805" s="371"/>
    </row>
    <row r="6806" spans="26:26">
      <c r="Z6806" s="371"/>
    </row>
    <row r="6807" spans="26:26">
      <c r="Z6807" s="371"/>
    </row>
    <row r="6808" spans="26:26">
      <c r="Z6808" s="371"/>
    </row>
    <row r="6809" spans="26:26">
      <c r="Z6809" s="371"/>
    </row>
    <row r="6810" spans="26:26">
      <c r="Z6810" s="371"/>
    </row>
    <row r="6811" spans="26:26">
      <c r="Z6811" s="371"/>
    </row>
    <row r="6812" spans="26:26">
      <c r="Z6812" s="371"/>
    </row>
    <row r="6813" spans="26:26">
      <c r="Z6813" s="371"/>
    </row>
    <row r="6814" spans="26:26">
      <c r="Z6814" s="371"/>
    </row>
    <row r="6815" spans="26:26">
      <c r="Z6815" s="371"/>
    </row>
    <row r="6816" spans="26:26">
      <c r="Z6816" s="371"/>
    </row>
    <row r="6817" spans="26:26">
      <c r="Z6817" s="371"/>
    </row>
    <row r="6818" spans="26:26">
      <c r="Z6818" s="371"/>
    </row>
    <row r="6819" spans="26:26">
      <c r="Z6819" s="371"/>
    </row>
    <row r="6820" spans="26:26">
      <c r="Z6820" s="371"/>
    </row>
    <row r="6821" spans="26:26">
      <c r="Z6821" s="371"/>
    </row>
    <row r="6822" spans="26:26">
      <c r="Z6822" s="371"/>
    </row>
    <row r="6823" spans="26:26">
      <c r="Z6823" s="371"/>
    </row>
    <row r="6824" spans="26:26">
      <c r="Z6824" s="371"/>
    </row>
    <row r="6825" spans="26:26">
      <c r="Z6825" s="371"/>
    </row>
    <row r="6826" spans="26:26">
      <c r="Z6826" s="371"/>
    </row>
    <row r="6827" spans="26:26">
      <c r="Z6827" s="371"/>
    </row>
    <row r="6828" spans="26:26">
      <c r="Z6828" s="371"/>
    </row>
    <row r="6829" spans="26:26">
      <c r="Z6829" s="371"/>
    </row>
    <row r="6830" spans="26:26">
      <c r="Z6830" s="371"/>
    </row>
    <row r="6831" spans="26:26">
      <c r="Z6831" s="371"/>
    </row>
    <row r="6832" spans="26:26">
      <c r="Z6832" s="371"/>
    </row>
    <row r="6833" spans="26:26">
      <c r="Z6833" s="371"/>
    </row>
    <row r="6834" spans="26:26">
      <c r="Z6834" s="371"/>
    </row>
    <row r="6835" spans="26:26">
      <c r="Z6835" s="371"/>
    </row>
    <row r="6836" spans="26:26">
      <c r="Z6836" s="371"/>
    </row>
    <row r="6837" spans="26:26">
      <c r="Z6837" s="371"/>
    </row>
    <row r="6838" spans="26:26">
      <c r="Z6838" s="371"/>
    </row>
    <row r="6839" spans="26:26">
      <c r="Z6839" s="371"/>
    </row>
    <row r="6840" spans="26:26">
      <c r="Z6840" s="371"/>
    </row>
    <row r="6841" spans="26:26">
      <c r="Z6841" s="371"/>
    </row>
    <row r="6842" spans="26:26">
      <c r="Z6842" s="371"/>
    </row>
    <row r="6843" spans="26:26">
      <c r="Z6843" s="371"/>
    </row>
    <row r="6844" spans="26:26">
      <c r="Z6844" s="371"/>
    </row>
    <row r="6845" spans="26:26">
      <c r="Z6845" s="371"/>
    </row>
    <row r="6846" spans="26:26">
      <c r="Z6846" s="371"/>
    </row>
    <row r="6847" spans="26:26">
      <c r="Z6847" s="371"/>
    </row>
    <row r="6848" spans="26:26">
      <c r="Z6848" s="371"/>
    </row>
    <row r="6849" spans="26:26">
      <c r="Z6849" s="371"/>
    </row>
    <row r="6850" spans="26:26">
      <c r="Z6850" s="371"/>
    </row>
    <row r="6851" spans="26:26">
      <c r="Z6851" s="371"/>
    </row>
    <row r="6852" spans="26:26">
      <c r="Z6852" s="371"/>
    </row>
    <row r="6853" spans="26:26">
      <c r="Z6853" s="371"/>
    </row>
    <row r="6854" spans="26:26">
      <c r="Z6854" s="371"/>
    </row>
    <row r="6855" spans="26:26">
      <c r="Z6855" s="371"/>
    </row>
    <row r="6856" spans="26:26">
      <c r="Z6856" s="371"/>
    </row>
    <row r="6857" spans="26:26">
      <c r="Z6857" s="371"/>
    </row>
    <row r="6858" spans="26:26">
      <c r="Z6858" s="371"/>
    </row>
    <row r="6859" spans="26:26">
      <c r="Z6859" s="371"/>
    </row>
    <row r="6860" spans="26:26">
      <c r="Z6860" s="371"/>
    </row>
    <row r="6861" spans="26:26">
      <c r="Z6861" s="371"/>
    </row>
    <row r="6862" spans="26:26">
      <c r="Z6862" s="371"/>
    </row>
    <row r="6863" spans="26:26">
      <c r="Z6863" s="371"/>
    </row>
    <row r="6864" spans="26:26">
      <c r="Z6864" s="371"/>
    </row>
    <row r="6865" spans="26:26">
      <c r="Z6865" s="371"/>
    </row>
    <row r="6866" spans="26:26">
      <c r="Z6866" s="371"/>
    </row>
    <row r="6867" spans="26:26">
      <c r="Z6867" s="371"/>
    </row>
    <row r="6868" spans="26:26">
      <c r="Z6868" s="371"/>
    </row>
    <row r="6869" spans="26:26">
      <c r="Z6869" s="371"/>
    </row>
    <row r="6870" spans="26:26">
      <c r="Z6870" s="371"/>
    </row>
    <row r="6871" spans="26:26">
      <c r="Z6871" s="371"/>
    </row>
    <row r="6872" spans="26:26">
      <c r="Z6872" s="371"/>
    </row>
    <row r="6873" spans="26:26">
      <c r="Z6873" s="371"/>
    </row>
    <row r="6874" spans="26:26">
      <c r="Z6874" s="371"/>
    </row>
    <row r="6875" spans="26:26">
      <c r="Z6875" s="371"/>
    </row>
    <row r="6876" spans="26:26">
      <c r="Z6876" s="371"/>
    </row>
    <row r="6877" spans="26:26">
      <c r="Z6877" s="371"/>
    </row>
    <row r="6878" spans="26:26">
      <c r="Z6878" s="371"/>
    </row>
    <row r="6879" spans="26:26">
      <c r="Z6879" s="371"/>
    </row>
    <row r="6880" spans="26:26">
      <c r="Z6880" s="371"/>
    </row>
    <row r="6881" spans="26:26">
      <c r="Z6881" s="371"/>
    </row>
    <row r="6882" spans="26:26">
      <c r="Z6882" s="371"/>
    </row>
    <row r="6883" spans="26:26">
      <c r="Z6883" s="371"/>
    </row>
    <row r="6884" spans="26:26">
      <c r="Z6884" s="371"/>
    </row>
    <row r="6885" spans="26:26">
      <c r="Z6885" s="371"/>
    </row>
    <row r="6886" spans="26:26">
      <c r="Z6886" s="371"/>
    </row>
    <row r="6887" spans="26:26">
      <c r="Z6887" s="371"/>
    </row>
    <row r="6888" spans="26:26">
      <c r="Z6888" s="371"/>
    </row>
    <row r="6889" spans="26:26">
      <c r="Z6889" s="371"/>
    </row>
    <row r="6890" spans="26:26">
      <c r="Z6890" s="371"/>
    </row>
    <row r="6891" spans="26:26">
      <c r="Z6891" s="371"/>
    </row>
    <row r="6892" spans="26:26">
      <c r="Z6892" s="371"/>
    </row>
    <row r="6893" spans="26:26">
      <c r="Z6893" s="371"/>
    </row>
    <row r="6894" spans="26:26">
      <c r="Z6894" s="371"/>
    </row>
    <row r="6895" spans="26:26">
      <c r="Z6895" s="371"/>
    </row>
    <row r="6896" spans="26:26">
      <c r="Z6896" s="371"/>
    </row>
    <row r="6897" spans="26:26">
      <c r="Z6897" s="371"/>
    </row>
    <row r="6898" spans="26:26">
      <c r="Z6898" s="371"/>
    </row>
    <row r="6899" spans="26:26">
      <c r="Z6899" s="371"/>
    </row>
    <row r="6900" spans="26:26">
      <c r="Z6900" s="371"/>
    </row>
    <row r="6901" spans="26:26">
      <c r="Z6901" s="371"/>
    </row>
    <row r="6902" spans="26:26">
      <c r="Z6902" s="371"/>
    </row>
    <row r="6903" spans="26:26">
      <c r="Z6903" s="371"/>
    </row>
    <row r="6904" spans="26:26">
      <c r="Z6904" s="371"/>
    </row>
    <row r="6905" spans="26:26">
      <c r="Z6905" s="371"/>
    </row>
    <row r="6906" spans="26:26">
      <c r="Z6906" s="371"/>
    </row>
    <row r="6907" spans="26:26">
      <c r="Z6907" s="371"/>
    </row>
    <row r="6908" spans="26:26">
      <c r="Z6908" s="371"/>
    </row>
    <row r="6909" spans="26:26">
      <c r="Z6909" s="371"/>
    </row>
    <row r="6910" spans="26:26">
      <c r="Z6910" s="371"/>
    </row>
    <row r="6911" spans="26:26">
      <c r="Z6911" s="371"/>
    </row>
    <row r="6912" spans="26:26">
      <c r="Z6912" s="371"/>
    </row>
    <row r="6913" spans="26:26">
      <c r="Z6913" s="371"/>
    </row>
    <row r="6914" spans="26:26">
      <c r="Z6914" s="371"/>
    </row>
    <row r="6915" spans="26:26">
      <c r="Z6915" s="371"/>
    </row>
    <row r="6916" spans="26:26">
      <c r="Z6916" s="371"/>
    </row>
    <row r="6917" spans="26:26">
      <c r="Z6917" s="371"/>
    </row>
    <row r="6918" spans="26:26">
      <c r="Z6918" s="371"/>
    </row>
    <row r="6919" spans="26:26">
      <c r="Z6919" s="371"/>
    </row>
    <row r="6920" spans="26:26">
      <c r="Z6920" s="371"/>
    </row>
    <row r="6921" spans="26:26">
      <c r="Z6921" s="371"/>
    </row>
    <row r="6922" spans="26:26">
      <c r="Z6922" s="371"/>
    </row>
    <row r="6923" spans="26:26">
      <c r="Z6923" s="371"/>
    </row>
    <row r="6924" spans="26:26">
      <c r="Z6924" s="371"/>
    </row>
    <row r="6925" spans="26:26">
      <c r="Z6925" s="371"/>
    </row>
    <row r="6926" spans="26:26">
      <c r="Z6926" s="371"/>
    </row>
    <row r="6927" spans="26:26">
      <c r="Z6927" s="371"/>
    </row>
    <row r="6928" spans="26:26">
      <c r="Z6928" s="371"/>
    </row>
    <row r="6929" spans="26:26">
      <c r="Z6929" s="371"/>
    </row>
    <row r="6930" spans="26:26">
      <c r="Z6930" s="371"/>
    </row>
    <row r="6931" spans="26:26">
      <c r="Z6931" s="371"/>
    </row>
    <row r="6932" spans="26:26">
      <c r="Z6932" s="371"/>
    </row>
    <row r="6933" spans="26:26">
      <c r="Z6933" s="371"/>
    </row>
    <row r="6934" spans="26:26">
      <c r="Z6934" s="371"/>
    </row>
    <row r="6935" spans="26:26">
      <c r="Z6935" s="371"/>
    </row>
    <row r="6936" spans="26:26">
      <c r="Z6936" s="371"/>
    </row>
    <row r="6937" spans="26:26">
      <c r="Z6937" s="371"/>
    </row>
    <row r="6938" spans="26:26">
      <c r="Z6938" s="371"/>
    </row>
    <row r="6939" spans="26:26">
      <c r="Z6939" s="371"/>
    </row>
    <row r="6940" spans="26:26">
      <c r="Z6940" s="371"/>
    </row>
    <row r="6941" spans="26:26">
      <c r="Z6941" s="371"/>
    </row>
    <row r="6942" spans="26:26">
      <c r="Z6942" s="371"/>
    </row>
    <row r="6943" spans="26:26">
      <c r="Z6943" s="371"/>
    </row>
    <row r="6944" spans="26:26">
      <c r="Z6944" s="371"/>
    </row>
    <row r="6945" spans="26:26">
      <c r="Z6945" s="371"/>
    </row>
    <row r="6946" spans="26:26">
      <c r="Z6946" s="371"/>
    </row>
    <row r="6947" spans="26:26">
      <c r="Z6947" s="371"/>
    </row>
    <row r="6948" spans="26:26">
      <c r="Z6948" s="371"/>
    </row>
    <row r="6949" spans="26:26">
      <c r="Z6949" s="371"/>
    </row>
    <row r="6950" spans="26:26">
      <c r="Z6950" s="371"/>
    </row>
    <row r="6951" spans="26:26">
      <c r="Z6951" s="371"/>
    </row>
    <row r="6952" spans="26:26">
      <c r="Z6952" s="371"/>
    </row>
    <row r="6953" spans="26:26">
      <c r="Z6953" s="371"/>
    </row>
    <row r="6954" spans="26:26">
      <c r="Z6954" s="371"/>
    </row>
    <row r="6955" spans="26:26">
      <c r="Z6955" s="371"/>
    </row>
    <row r="6956" spans="26:26">
      <c r="Z6956" s="371"/>
    </row>
    <row r="6957" spans="26:26">
      <c r="Z6957" s="371"/>
    </row>
    <row r="6958" spans="26:26">
      <c r="Z6958" s="371"/>
    </row>
    <row r="6959" spans="26:26">
      <c r="Z6959" s="371"/>
    </row>
    <row r="6960" spans="26:26">
      <c r="Z6960" s="371"/>
    </row>
    <row r="6961" spans="26:26">
      <c r="Z6961" s="371"/>
    </row>
    <row r="6962" spans="26:26">
      <c r="Z6962" s="371"/>
    </row>
    <row r="6963" spans="26:26">
      <c r="Z6963" s="371"/>
    </row>
    <row r="6964" spans="26:26">
      <c r="Z6964" s="371"/>
    </row>
    <row r="6965" spans="26:26">
      <c r="Z6965" s="371"/>
    </row>
    <row r="6966" spans="26:26">
      <c r="Z6966" s="371"/>
    </row>
    <row r="6967" spans="26:26">
      <c r="Z6967" s="371"/>
    </row>
    <row r="6968" spans="26:26">
      <c r="Z6968" s="371"/>
    </row>
    <row r="6969" spans="26:26">
      <c r="Z6969" s="371"/>
    </row>
    <row r="6970" spans="26:26">
      <c r="Z6970" s="371"/>
    </row>
    <row r="6971" spans="26:26">
      <c r="Z6971" s="371"/>
    </row>
    <row r="6972" spans="26:26">
      <c r="Z6972" s="371"/>
    </row>
    <row r="6973" spans="26:26">
      <c r="Z6973" s="371"/>
    </row>
    <row r="6974" spans="26:26">
      <c r="Z6974" s="371"/>
    </row>
    <row r="6975" spans="26:26">
      <c r="Z6975" s="371"/>
    </row>
    <row r="6976" spans="26:26">
      <c r="Z6976" s="371"/>
    </row>
    <row r="6977" spans="26:26">
      <c r="Z6977" s="371"/>
    </row>
    <row r="6978" spans="26:26">
      <c r="Z6978" s="371"/>
    </row>
    <row r="6979" spans="26:26">
      <c r="Z6979" s="371"/>
    </row>
    <row r="6980" spans="26:26">
      <c r="Z6980" s="371"/>
    </row>
    <row r="6981" spans="26:26">
      <c r="Z6981" s="371"/>
    </row>
    <row r="6982" spans="26:26">
      <c r="Z6982" s="371"/>
    </row>
    <row r="6983" spans="26:26">
      <c r="Z6983" s="371"/>
    </row>
    <row r="6984" spans="26:26">
      <c r="Z6984" s="371"/>
    </row>
    <row r="6985" spans="26:26">
      <c r="Z6985" s="371"/>
    </row>
    <row r="6986" spans="26:26">
      <c r="Z6986" s="371"/>
    </row>
    <row r="6987" spans="26:26">
      <c r="Z6987" s="371"/>
    </row>
    <row r="6988" spans="26:26">
      <c r="Z6988" s="371"/>
    </row>
    <row r="6989" spans="26:26">
      <c r="Z6989" s="371"/>
    </row>
    <row r="6990" spans="26:26">
      <c r="Z6990" s="371"/>
    </row>
    <row r="6991" spans="26:26">
      <c r="Z6991" s="371"/>
    </row>
    <row r="6992" spans="26:26">
      <c r="Z6992" s="371"/>
    </row>
    <row r="6993" spans="26:26">
      <c r="Z6993" s="371"/>
    </row>
    <row r="6994" spans="26:26">
      <c r="Z6994" s="371"/>
    </row>
    <row r="6995" spans="26:26">
      <c r="Z6995" s="371"/>
    </row>
    <row r="6996" spans="26:26">
      <c r="Z6996" s="371"/>
    </row>
    <row r="6997" spans="26:26">
      <c r="Z6997" s="371"/>
    </row>
    <row r="6998" spans="26:26">
      <c r="Z6998" s="371"/>
    </row>
    <row r="6999" spans="26:26">
      <c r="Z6999" s="371"/>
    </row>
    <row r="7000" spans="26:26">
      <c r="Z7000" s="371"/>
    </row>
    <row r="7001" spans="26:26">
      <c r="Z7001" s="371"/>
    </row>
    <row r="7002" spans="26:26">
      <c r="Z7002" s="371"/>
    </row>
    <row r="7003" spans="26:26">
      <c r="Z7003" s="371"/>
    </row>
    <row r="7004" spans="26:26">
      <c r="Z7004" s="371"/>
    </row>
    <row r="7005" spans="26:26">
      <c r="Z7005" s="371"/>
    </row>
    <row r="7006" spans="26:26">
      <c r="Z7006" s="371"/>
    </row>
    <row r="7007" spans="26:26">
      <c r="Z7007" s="371"/>
    </row>
    <row r="7008" spans="26:26">
      <c r="Z7008" s="371"/>
    </row>
    <row r="7009" spans="26:26">
      <c r="Z7009" s="371"/>
    </row>
    <row r="7010" spans="26:26">
      <c r="Z7010" s="371"/>
    </row>
    <row r="7011" spans="26:26">
      <c r="Z7011" s="371"/>
    </row>
    <row r="7012" spans="26:26">
      <c r="Z7012" s="371"/>
    </row>
    <row r="7013" spans="26:26">
      <c r="Z7013" s="371"/>
    </row>
    <row r="7014" spans="26:26">
      <c r="Z7014" s="371"/>
    </row>
    <row r="7015" spans="26:26">
      <c r="Z7015" s="371"/>
    </row>
    <row r="7016" spans="26:26">
      <c r="Z7016" s="371"/>
    </row>
    <row r="7017" spans="26:26">
      <c r="Z7017" s="371"/>
    </row>
    <row r="7018" spans="26:26">
      <c r="Z7018" s="371"/>
    </row>
    <row r="7019" spans="26:26">
      <c r="Z7019" s="371"/>
    </row>
    <row r="7020" spans="26:26">
      <c r="Z7020" s="371"/>
    </row>
    <row r="7021" spans="26:26">
      <c r="Z7021" s="371"/>
    </row>
    <row r="7022" spans="26:26">
      <c r="Z7022" s="371"/>
    </row>
    <row r="7023" spans="26:26">
      <c r="Z7023" s="371"/>
    </row>
    <row r="7024" spans="26:26">
      <c r="Z7024" s="371"/>
    </row>
    <row r="7025" spans="26:26">
      <c r="Z7025" s="371"/>
    </row>
    <row r="7026" spans="26:26">
      <c r="Z7026" s="371"/>
    </row>
    <row r="7027" spans="26:26">
      <c r="Z7027" s="371"/>
    </row>
    <row r="7028" spans="26:26">
      <c r="Z7028" s="371"/>
    </row>
    <row r="7029" spans="26:26">
      <c r="Z7029" s="371"/>
    </row>
    <row r="7030" spans="26:26">
      <c r="Z7030" s="371"/>
    </row>
    <row r="7031" spans="26:26">
      <c r="Z7031" s="371"/>
    </row>
    <row r="7032" spans="26:26">
      <c r="Z7032" s="371"/>
    </row>
    <row r="7033" spans="26:26">
      <c r="Z7033" s="371"/>
    </row>
    <row r="7034" spans="26:26">
      <c r="Z7034" s="371"/>
    </row>
    <row r="7035" spans="26:26">
      <c r="Z7035" s="371"/>
    </row>
    <row r="7036" spans="26:26">
      <c r="Z7036" s="371"/>
    </row>
    <row r="7037" spans="26:26">
      <c r="Z7037" s="371"/>
    </row>
    <row r="7038" spans="26:26">
      <c r="Z7038" s="371"/>
    </row>
    <row r="7039" spans="26:26">
      <c r="Z7039" s="371"/>
    </row>
    <row r="7040" spans="26:26">
      <c r="Z7040" s="371"/>
    </row>
    <row r="7041" spans="26:26">
      <c r="Z7041" s="371"/>
    </row>
    <row r="7042" spans="26:26">
      <c r="Z7042" s="371"/>
    </row>
    <row r="7043" spans="26:26">
      <c r="Z7043" s="371"/>
    </row>
    <row r="7044" spans="26:26">
      <c r="Z7044" s="371"/>
    </row>
    <row r="7045" spans="26:26">
      <c r="Z7045" s="371"/>
    </row>
    <row r="7046" spans="26:26">
      <c r="Z7046" s="371"/>
    </row>
    <row r="7047" spans="26:26">
      <c r="Z7047" s="371"/>
    </row>
    <row r="7048" spans="26:26">
      <c r="Z7048" s="371"/>
    </row>
    <row r="7049" spans="26:26">
      <c r="Z7049" s="371"/>
    </row>
    <row r="7050" spans="26:26">
      <c r="Z7050" s="371"/>
    </row>
    <row r="7051" spans="26:26">
      <c r="Z7051" s="371"/>
    </row>
    <row r="7052" spans="26:26">
      <c r="Z7052" s="371"/>
    </row>
    <row r="7053" spans="26:26">
      <c r="Z7053" s="371"/>
    </row>
    <row r="7054" spans="26:26">
      <c r="Z7054" s="371"/>
    </row>
    <row r="7055" spans="26:26">
      <c r="Z7055" s="371"/>
    </row>
    <row r="7056" spans="26:26">
      <c r="Z7056" s="371"/>
    </row>
    <row r="7057" spans="26:26">
      <c r="Z7057" s="371"/>
    </row>
    <row r="7058" spans="26:26">
      <c r="Z7058" s="371"/>
    </row>
    <row r="7059" spans="26:26">
      <c r="Z7059" s="371"/>
    </row>
    <row r="7060" spans="26:26">
      <c r="Z7060" s="371"/>
    </row>
    <row r="7061" spans="26:26">
      <c r="Z7061" s="371"/>
    </row>
    <row r="7062" spans="26:26">
      <c r="Z7062" s="371"/>
    </row>
    <row r="7063" spans="26:26">
      <c r="Z7063" s="371"/>
    </row>
    <row r="7064" spans="26:26">
      <c r="Z7064" s="371"/>
    </row>
    <row r="7065" spans="26:26">
      <c r="Z7065" s="371"/>
    </row>
    <row r="7066" spans="26:26">
      <c r="Z7066" s="371"/>
    </row>
    <row r="7067" spans="26:26">
      <c r="Z7067" s="371"/>
    </row>
    <row r="7068" spans="26:26">
      <c r="Z7068" s="371"/>
    </row>
    <row r="7069" spans="26:26">
      <c r="Z7069" s="371"/>
    </row>
    <row r="7070" spans="26:26">
      <c r="Z7070" s="371"/>
    </row>
    <row r="7071" spans="26:26">
      <c r="Z7071" s="371"/>
    </row>
    <row r="7072" spans="26:26">
      <c r="Z7072" s="371"/>
    </row>
    <row r="7073" spans="26:26">
      <c r="Z7073" s="371"/>
    </row>
    <row r="7074" spans="26:26">
      <c r="Z7074" s="371"/>
    </row>
    <row r="7075" spans="26:26">
      <c r="Z7075" s="371"/>
    </row>
    <row r="7076" spans="26:26">
      <c r="Z7076" s="371"/>
    </row>
    <row r="7077" spans="26:26">
      <c r="Z7077" s="371"/>
    </row>
    <row r="7078" spans="26:26">
      <c r="Z7078" s="371"/>
    </row>
    <row r="7079" spans="26:26">
      <c r="Z7079" s="371"/>
    </row>
    <row r="7080" spans="26:26">
      <c r="Z7080" s="371"/>
    </row>
    <row r="7081" spans="26:26">
      <c r="Z7081" s="371"/>
    </row>
    <row r="7082" spans="26:26">
      <c r="Z7082" s="371"/>
    </row>
    <row r="7083" spans="26:26">
      <c r="Z7083" s="371"/>
    </row>
    <row r="7084" spans="26:26">
      <c r="Z7084" s="371"/>
    </row>
    <row r="7085" spans="26:26">
      <c r="Z7085" s="371"/>
    </row>
    <row r="7086" spans="26:26">
      <c r="Z7086" s="371"/>
    </row>
    <row r="7087" spans="26:26">
      <c r="Z7087" s="371"/>
    </row>
    <row r="7088" spans="26:26">
      <c r="Z7088" s="371"/>
    </row>
    <row r="7089" spans="26:26">
      <c r="Z7089" s="371"/>
    </row>
    <row r="7090" spans="26:26">
      <c r="Z7090" s="371"/>
    </row>
    <row r="7091" spans="26:26">
      <c r="Z7091" s="371"/>
    </row>
    <row r="7092" spans="26:26">
      <c r="Z7092" s="371"/>
    </row>
    <row r="7093" spans="26:26">
      <c r="Z7093" s="371"/>
    </row>
    <row r="7094" spans="26:26">
      <c r="Z7094" s="371"/>
    </row>
    <row r="7095" spans="26:26">
      <c r="Z7095" s="371"/>
    </row>
    <row r="7096" spans="26:26">
      <c r="Z7096" s="371"/>
    </row>
    <row r="7097" spans="26:26">
      <c r="Z7097" s="371"/>
    </row>
    <row r="7098" spans="26:26">
      <c r="Z7098" s="371"/>
    </row>
    <row r="7099" spans="26:26">
      <c r="Z7099" s="371"/>
    </row>
    <row r="7100" spans="26:26">
      <c r="Z7100" s="371"/>
    </row>
    <row r="7101" spans="26:26">
      <c r="Z7101" s="371"/>
    </row>
    <row r="7102" spans="26:26">
      <c r="Z7102" s="371"/>
    </row>
    <row r="7103" spans="26:26">
      <c r="Z7103" s="371"/>
    </row>
    <row r="7104" spans="26:26">
      <c r="Z7104" s="371"/>
    </row>
    <row r="7105" spans="26:26">
      <c r="Z7105" s="371"/>
    </row>
    <row r="7106" spans="26:26">
      <c r="Z7106" s="371"/>
    </row>
    <row r="7107" spans="26:26">
      <c r="Z7107" s="371"/>
    </row>
    <row r="7108" spans="26:26">
      <c r="Z7108" s="371"/>
    </row>
    <row r="7109" spans="26:26">
      <c r="Z7109" s="371"/>
    </row>
    <row r="7110" spans="26:26">
      <c r="Z7110" s="371"/>
    </row>
    <row r="7111" spans="26:26">
      <c r="Z7111" s="371"/>
    </row>
    <row r="7112" spans="26:26">
      <c r="Z7112" s="371"/>
    </row>
    <row r="7113" spans="26:26">
      <c r="Z7113" s="371"/>
    </row>
    <row r="7114" spans="26:26">
      <c r="Z7114" s="371"/>
    </row>
    <row r="7115" spans="26:26">
      <c r="Z7115" s="371"/>
    </row>
    <row r="7116" spans="26:26">
      <c r="Z7116" s="371"/>
    </row>
    <row r="7117" spans="26:26">
      <c r="Z7117" s="371"/>
    </row>
    <row r="7118" spans="26:26">
      <c r="Z7118" s="371"/>
    </row>
    <row r="7119" spans="26:26">
      <c r="Z7119" s="371"/>
    </row>
    <row r="7120" spans="26:26">
      <c r="Z7120" s="371"/>
    </row>
    <row r="7121" spans="26:26">
      <c r="Z7121" s="371"/>
    </row>
    <row r="7122" spans="26:26">
      <c r="Z7122" s="371"/>
    </row>
    <row r="7123" spans="26:26">
      <c r="Z7123" s="371"/>
    </row>
    <row r="7124" spans="26:26">
      <c r="Z7124" s="371"/>
    </row>
    <row r="7125" spans="26:26">
      <c r="Z7125" s="371"/>
    </row>
    <row r="7126" spans="26:26">
      <c r="Z7126" s="371"/>
    </row>
    <row r="7127" spans="26:26">
      <c r="Z7127" s="371"/>
    </row>
    <row r="7128" spans="26:26">
      <c r="Z7128" s="371"/>
    </row>
    <row r="7129" spans="26:26">
      <c r="Z7129" s="371"/>
    </row>
    <row r="7130" spans="26:26">
      <c r="Z7130" s="371"/>
    </row>
    <row r="7131" spans="26:26">
      <c r="Z7131" s="371"/>
    </row>
    <row r="7132" spans="26:26">
      <c r="Z7132" s="371"/>
    </row>
    <row r="7133" spans="26:26">
      <c r="Z7133" s="371"/>
    </row>
    <row r="7134" spans="26:26">
      <c r="Z7134" s="371"/>
    </row>
    <row r="7135" spans="26:26">
      <c r="Z7135" s="371"/>
    </row>
    <row r="7136" spans="26:26">
      <c r="Z7136" s="371"/>
    </row>
    <row r="7137" spans="26:26">
      <c r="Z7137" s="371"/>
    </row>
    <row r="7138" spans="26:26">
      <c r="Z7138" s="371"/>
    </row>
    <row r="7139" spans="26:26">
      <c r="Z7139" s="371"/>
    </row>
    <row r="7140" spans="26:26">
      <c r="Z7140" s="371"/>
    </row>
    <row r="7141" spans="26:26">
      <c r="Z7141" s="371"/>
    </row>
    <row r="7142" spans="26:26">
      <c r="Z7142" s="371"/>
    </row>
    <row r="7143" spans="26:26">
      <c r="Z7143" s="371"/>
    </row>
    <row r="7144" spans="26:26">
      <c r="Z7144" s="371"/>
    </row>
    <row r="7145" spans="26:26">
      <c r="Z7145" s="371"/>
    </row>
    <row r="7146" spans="26:26">
      <c r="Z7146" s="371"/>
    </row>
    <row r="7147" spans="26:26">
      <c r="Z7147" s="371"/>
    </row>
    <row r="7148" spans="26:26">
      <c r="Z7148" s="371"/>
    </row>
    <row r="7149" spans="26:26">
      <c r="Z7149" s="371"/>
    </row>
    <row r="7150" spans="26:26">
      <c r="Z7150" s="371"/>
    </row>
    <row r="7151" spans="26:26">
      <c r="Z7151" s="371"/>
    </row>
    <row r="7152" spans="26:26">
      <c r="Z7152" s="371"/>
    </row>
    <row r="7153" spans="26:26">
      <c r="Z7153" s="371"/>
    </row>
    <row r="7154" spans="26:26">
      <c r="Z7154" s="371"/>
    </row>
    <row r="7155" spans="26:26">
      <c r="Z7155" s="371"/>
    </row>
    <row r="7156" spans="26:26">
      <c r="Z7156" s="371"/>
    </row>
    <row r="7157" spans="26:26">
      <c r="Z7157" s="371"/>
    </row>
    <row r="7158" spans="26:26">
      <c r="Z7158" s="371"/>
    </row>
    <row r="7159" spans="26:26">
      <c r="Z7159" s="371"/>
    </row>
    <row r="7160" spans="26:26">
      <c r="Z7160" s="371"/>
    </row>
    <row r="7161" spans="26:26">
      <c r="Z7161" s="371"/>
    </row>
    <row r="7162" spans="26:26">
      <c r="Z7162" s="371"/>
    </row>
    <row r="7163" spans="26:26">
      <c r="Z7163" s="371"/>
    </row>
    <row r="7164" spans="26:26">
      <c r="Z7164" s="371"/>
    </row>
    <row r="7165" spans="26:26">
      <c r="Z7165" s="371"/>
    </row>
    <row r="7166" spans="26:26">
      <c r="Z7166" s="371"/>
    </row>
    <row r="7167" spans="26:26">
      <c r="Z7167" s="371"/>
    </row>
    <row r="7168" spans="26:26">
      <c r="Z7168" s="371"/>
    </row>
    <row r="7169" spans="26:26">
      <c r="Z7169" s="371"/>
    </row>
    <row r="7170" spans="26:26">
      <c r="Z7170" s="371"/>
    </row>
    <row r="7171" spans="26:26">
      <c r="Z7171" s="371"/>
    </row>
    <row r="7172" spans="26:26">
      <c r="Z7172" s="371"/>
    </row>
    <row r="7173" spans="26:26">
      <c r="Z7173" s="371"/>
    </row>
    <row r="7174" spans="26:26">
      <c r="Z7174" s="371"/>
    </row>
    <row r="7175" spans="26:26">
      <c r="Z7175" s="371"/>
    </row>
    <row r="7176" spans="26:26">
      <c r="Z7176" s="371"/>
    </row>
    <row r="7177" spans="26:26">
      <c r="Z7177" s="371"/>
    </row>
    <row r="7178" spans="26:26">
      <c r="Z7178" s="371"/>
    </row>
    <row r="7179" spans="26:26">
      <c r="Z7179" s="371"/>
    </row>
    <row r="7180" spans="26:26">
      <c r="Z7180" s="371"/>
    </row>
    <row r="7181" spans="26:26">
      <c r="Z7181" s="371"/>
    </row>
    <row r="7182" spans="26:26">
      <c r="Z7182" s="371"/>
    </row>
    <row r="7183" spans="26:26">
      <c r="Z7183" s="371"/>
    </row>
    <row r="7184" spans="26:26">
      <c r="Z7184" s="371"/>
    </row>
    <row r="7185" spans="26:26">
      <c r="Z7185" s="371"/>
    </row>
    <row r="7186" spans="26:26">
      <c r="Z7186" s="371"/>
    </row>
    <row r="7187" spans="26:26">
      <c r="Z7187" s="371"/>
    </row>
    <row r="7188" spans="26:26">
      <c r="Z7188" s="371"/>
    </row>
    <row r="7189" spans="26:26">
      <c r="Z7189" s="371"/>
    </row>
    <row r="7190" spans="26:26">
      <c r="Z7190" s="371"/>
    </row>
    <row r="7191" spans="26:26">
      <c r="Z7191" s="371"/>
    </row>
    <row r="7192" spans="26:26">
      <c r="Z7192" s="371"/>
    </row>
    <row r="7193" spans="26:26">
      <c r="Z7193" s="371"/>
    </row>
    <row r="7194" spans="26:26">
      <c r="Z7194" s="371"/>
    </row>
    <row r="7195" spans="26:26">
      <c r="Z7195" s="371"/>
    </row>
    <row r="7196" spans="26:26">
      <c r="Z7196" s="371"/>
    </row>
    <row r="7197" spans="26:26">
      <c r="Z7197" s="371"/>
    </row>
    <row r="7198" spans="26:26">
      <c r="Z7198" s="371"/>
    </row>
    <row r="7199" spans="26:26">
      <c r="Z7199" s="371"/>
    </row>
    <row r="7200" spans="26:26">
      <c r="Z7200" s="371"/>
    </row>
    <row r="7201" spans="26:26">
      <c r="Z7201" s="371"/>
    </row>
    <row r="7202" spans="26:26">
      <c r="Z7202" s="371"/>
    </row>
    <row r="7203" spans="26:26">
      <c r="Z7203" s="371"/>
    </row>
    <row r="7204" spans="26:26">
      <c r="Z7204" s="371"/>
    </row>
    <row r="7205" spans="26:26">
      <c r="Z7205" s="371"/>
    </row>
    <row r="7206" spans="26:26">
      <c r="Z7206" s="371"/>
    </row>
    <row r="7207" spans="26:26">
      <c r="Z7207" s="371"/>
    </row>
    <row r="7208" spans="26:26">
      <c r="Z7208" s="371"/>
    </row>
    <row r="7209" spans="26:26">
      <c r="Z7209" s="371"/>
    </row>
    <row r="7210" spans="26:26">
      <c r="Z7210" s="371"/>
    </row>
    <row r="7211" spans="26:26">
      <c r="Z7211" s="371"/>
    </row>
    <row r="7212" spans="26:26">
      <c r="Z7212" s="371"/>
    </row>
    <row r="7213" spans="26:26">
      <c r="Z7213" s="371"/>
    </row>
    <row r="7214" spans="26:26">
      <c r="Z7214" s="371"/>
    </row>
    <row r="7215" spans="26:26">
      <c r="Z7215" s="371"/>
    </row>
    <row r="7216" spans="26:26">
      <c r="Z7216" s="371"/>
    </row>
    <row r="7217" spans="26:26">
      <c r="Z7217" s="371"/>
    </row>
    <row r="7218" spans="26:26">
      <c r="Z7218" s="371"/>
    </row>
    <row r="7219" spans="26:26">
      <c r="Z7219" s="371"/>
    </row>
    <row r="7220" spans="26:26">
      <c r="Z7220" s="371"/>
    </row>
    <row r="7221" spans="26:26">
      <c r="Z7221" s="371"/>
    </row>
    <row r="7222" spans="26:26">
      <c r="Z7222" s="371"/>
    </row>
    <row r="7223" spans="26:26">
      <c r="Z7223" s="371"/>
    </row>
    <row r="7224" spans="26:26">
      <c r="Z7224" s="371"/>
    </row>
    <row r="7225" spans="26:26">
      <c r="Z7225" s="371"/>
    </row>
    <row r="7226" spans="26:26">
      <c r="Z7226" s="371"/>
    </row>
    <row r="7227" spans="26:26">
      <c r="Z7227" s="371"/>
    </row>
    <row r="7228" spans="26:26">
      <c r="Z7228" s="371"/>
    </row>
    <row r="7229" spans="26:26">
      <c r="Z7229" s="371"/>
    </row>
    <row r="7230" spans="26:26">
      <c r="Z7230" s="371"/>
    </row>
    <row r="7231" spans="26:26">
      <c r="Z7231" s="371"/>
    </row>
    <row r="7232" spans="26:26">
      <c r="Z7232" s="371"/>
    </row>
    <row r="7233" spans="26:26">
      <c r="Z7233" s="371"/>
    </row>
    <row r="7234" spans="26:26">
      <c r="Z7234" s="371"/>
    </row>
    <row r="7235" spans="26:26">
      <c r="Z7235" s="371"/>
    </row>
    <row r="7236" spans="26:26">
      <c r="Z7236" s="371"/>
    </row>
    <row r="7237" spans="26:26">
      <c r="Z7237" s="371"/>
    </row>
    <row r="7238" spans="26:26">
      <c r="Z7238" s="371"/>
    </row>
    <row r="7239" spans="26:26">
      <c r="Z7239" s="371"/>
    </row>
    <row r="7240" spans="26:26">
      <c r="Z7240" s="371"/>
    </row>
    <row r="7241" spans="26:26">
      <c r="Z7241" s="371"/>
    </row>
    <row r="7242" spans="26:26">
      <c r="Z7242" s="371"/>
    </row>
    <row r="7243" spans="26:26">
      <c r="Z7243" s="371"/>
    </row>
    <row r="7244" spans="26:26">
      <c r="Z7244" s="371"/>
    </row>
    <row r="7245" spans="26:26">
      <c r="Z7245" s="371"/>
    </row>
    <row r="7246" spans="26:26">
      <c r="Z7246" s="371"/>
    </row>
    <row r="7247" spans="26:26">
      <c r="Z7247" s="371"/>
    </row>
    <row r="7248" spans="26:26">
      <c r="Z7248" s="371"/>
    </row>
    <row r="7249" spans="26:26">
      <c r="Z7249" s="371"/>
    </row>
    <row r="7250" spans="26:26">
      <c r="Z7250" s="371"/>
    </row>
    <row r="7251" spans="26:26">
      <c r="Z7251" s="371"/>
    </row>
    <row r="7252" spans="26:26">
      <c r="Z7252" s="371"/>
    </row>
    <row r="7253" spans="26:26">
      <c r="Z7253" s="371"/>
    </row>
    <row r="7254" spans="26:26">
      <c r="Z7254" s="371"/>
    </row>
    <row r="7255" spans="26:26">
      <c r="Z7255" s="371"/>
    </row>
    <row r="7256" spans="26:26">
      <c r="Z7256" s="371"/>
    </row>
    <row r="7257" spans="26:26">
      <c r="Z7257" s="371"/>
    </row>
    <row r="7258" spans="26:26">
      <c r="Z7258" s="371"/>
    </row>
    <row r="7259" spans="26:26">
      <c r="Z7259" s="371"/>
    </row>
    <row r="7260" spans="26:26">
      <c r="Z7260" s="371"/>
    </row>
    <row r="7261" spans="26:26">
      <c r="Z7261" s="371"/>
    </row>
    <row r="7262" spans="26:26">
      <c r="Z7262" s="371"/>
    </row>
    <row r="7263" spans="26:26">
      <c r="Z7263" s="371"/>
    </row>
    <row r="7264" spans="26:26">
      <c r="Z7264" s="371"/>
    </row>
    <row r="7265" spans="26:26">
      <c r="Z7265" s="371"/>
    </row>
    <row r="7266" spans="26:26">
      <c r="Z7266" s="371"/>
    </row>
    <row r="7267" spans="26:26">
      <c r="Z7267" s="371"/>
    </row>
    <row r="7268" spans="26:26">
      <c r="Z7268" s="371"/>
    </row>
    <row r="7269" spans="26:26">
      <c r="Z7269" s="371"/>
    </row>
    <row r="7270" spans="26:26">
      <c r="Z7270" s="371"/>
    </row>
    <row r="7271" spans="26:26">
      <c r="Z7271" s="371"/>
    </row>
    <row r="7272" spans="26:26">
      <c r="Z7272" s="371"/>
    </row>
    <row r="7273" spans="26:26">
      <c r="Z7273" s="371"/>
    </row>
    <row r="7274" spans="26:26">
      <c r="Z7274" s="371"/>
    </row>
    <row r="7275" spans="26:26">
      <c r="Z7275" s="371"/>
    </row>
    <row r="7276" spans="26:26">
      <c r="Z7276" s="371"/>
    </row>
    <row r="7277" spans="26:26">
      <c r="Z7277" s="371"/>
    </row>
    <row r="7278" spans="26:26">
      <c r="Z7278" s="371"/>
    </row>
    <row r="7279" spans="26:26">
      <c r="Z7279" s="371"/>
    </row>
    <row r="7280" spans="26:26">
      <c r="Z7280" s="371"/>
    </row>
    <row r="7281" spans="26:26">
      <c r="Z7281" s="371"/>
    </row>
    <row r="7282" spans="26:26">
      <c r="Z7282" s="371"/>
    </row>
    <row r="7283" spans="26:26">
      <c r="Z7283" s="371"/>
    </row>
    <row r="7284" spans="26:26">
      <c r="Z7284" s="371"/>
    </row>
    <row r="7285" spans="26:26">
      <c r="Z7285" s="371"/>
    </row>
    <row r="7286" spans="26:26">
      <c r="Z7286" s="371"/>
    </row>
    <row r="7287" spans="26:26">
      <c r="Z7287" s="371"/>
    </row>
    <row r="7288" spans="26:26">
      <c r="Z7288" s="371"/>
    </row>
    <row r="7289" spans="26:26">
      <c r="Z7289" s="371"/>
    </row>
    <row r="7290" spans="26:26">
      <c r="Z7290" s="371"/>
    </row>
    <row r="7291" spans="26:26">
      <c r="Z7291" s="371"/>
    </row>
    <row r="7292" spans="26:26">
      <c r="Z7292" s="371"/>
    </row>
    <row r="7293" spans="26:26">
      <c r="Z7293" s="371"/>
    </row>
    <row r="7294" spans="26:26">
      <c r="Z7294" s="371"/>
    </row>
    <row r="7295" spans="26:26">
      <c r="Z7295" s="371"/>
    </row>
    <row r="7296" spans="26:26">
      <c r="Z7296" s="371"/>
    </row>
    <row r="7297" spans="26:26">
      <c r="Z7297" s="371"/>
    </row>
    <row r="7298" spans="26:26">
      <c r="Z7298" s="371"/>
    </row>
    <row r="7299" spans="26:26">
      <c r="Z7299" s="371"/>
    </row>
    <row r="7300" spans="26:26">
      <c r="Z7300" s="371"/>
    </row>
    <row r="7301" spans="26:26">
      <c r="Z7301" s="371"/>
    </row>
    <row r="7302" spans="26:26">
      <c r="Z7302" s="371"/>
    </row>
    <row r="7303" spans="26:26">
      <c r="Z7303" s="371"/>
    </row>
    <row r="7304" spans="26:26">
      <c r="Z7304" s="371"/>
    </row>
    <row r="7305" spans="26:26">
      <c r="Z7305" s="371"/>
    </row>
    <row r="7306" spans="26:26">
      <c r="Z7306" s="371"/>
    </row>
    <row r="7307" spans="26:26">
      <c r="Z7307" s="371"/>
    </row>
    <row r="7308" spans="26:26">
      <c r="Z7308" s="371"/>
    </row>
    <row r="7309" spans="26:26">
      <c r="Z7309" s="371"/>
    </row>
    <row r="7310" spans="26:26">
      <c r="Z7310" s="371"/>
    </row>
    <row r="7311" spans="26:26">
      <c r="Z7311" s="371"/>
    </row>
    <row r="7312" spans="26:26">
      <c r="Z7312" s="371"/>
    </row>
    <row r="7313" spans="26:26">
      <c r="Z7313" s="371"/>
    </row>
    <row r="7314" spans="26:26">
      <c r="Z7314" s="371"/>
    </row>
    <row r="7315" spans="26:26">
      <c r="Z7315" s="371"/>
    </row>
    <row r="7316" spans="26:26">
      <c r="Z7316" s="371"/>
    </row>
    <row r="7317" spans="26:26">
      <c r="Z7317" s="371"/>
    </row>
    <row r="7318" spans="26:26">
      <c r="Z7318" s="371"/>
    </row>
    <row r="7319" spans="26:26">
      <c r="Z7319" s="371"/>
    </row>
    <row r="7320" spans="26:26">
      <c r="Z7320" s="371"/>
    </row>
    <row r="7321" spans="26:26">
      <c r="Z7321" s="371"/>
    </row>
    <row r="7322" spans="26:26">
      <c r="Z7322" s="371"/>
    </row>
    <row r="7323" spans="26:26">
      <c r="Z7323" s="371"/>
    </row>
    <row r="7324" spans="26:26">
      <c r="Z7324" s="371"/>
    </row>
    <row r="7325" spans="26:26">
      <c r="Z7325" s="371"/>
    </row>
    <row r="7326" spans="26:26">
      <c r="Z7326" s="371"/>
    </row>
    <row r="7327" spans="26:26">
      <c r="Z7327" s="371"/>
    </row>
    <row r="7328" spans="26:26">
      <c r="Z7328" s="371"/>
    </row>
    <row r="7329" spans="26:26">
      <c r="Z7329" s="371"/>
    </row>
    <row r="7330" spans="26:26">
      <c r="Z7330" s="371"/>
    </row>
    <row r="7331" spans="26:26">
      <c r="Z7331" s="371"/>
    </row>
    <row r="7332" spans="26:26">
      <c r="Z7332" s="371"/>
    </row>
    <row r="7333" spans="26:26">
      <c r="Z7333" s="371"/>
    </row>
    <row r="7334" spans="26:26">
      <c r="Z7334" s="371"/>
    </row>
    <row r="7335" spans="26:26">
      <c r="Z7335" s="371"/>
    </row>
    <row r="7336" spans="26:26">
      <c r="Z7336" s="371"/>
    </row>
    <row r="7337" spans="26:26">
      <c r="Z7337" s="371"/>
    </row>
    <row r="7338" spans="26:26">
      <c r="Z7338" s="371"/>
    </row>
    <row r="7339" spans="26:26">
      <c r="Z7339" s="371"/>
    </row>
    <row r="7340" spans="26:26">
      <c r="Z7340" s="371"/>
    </row>
    <row r="7341" spans="26:26">
      <c r="Z7341" s="371"/>
    </row>
    <row r="7342" spans="26:26">
      <c r="Z7342" s="371"/>
    </row>
    <row r="7343" spans="26:26">
      <c r="Z7343" s="371"/>
    </row>
    <row r="7344" spans="26:26">
      <c r="Z7344" s="371"/>
    </row>
    <row r="7345" spans="26:26">
      <c r="Z7345" s="371"/>
    </row>
    <row r="7346" spans="26:26">
      <c r="Z7346" s="371"/>
    </row>
    <row r="7347" spans="26:26">
      <c r="Z7347" s="371"/>
    </row>
    <row r="7348" spans="26:26">
      <c r="Z7348" s="371"/>
    </row>
    <row r="7349" spans="26:26">
      <c r="Z7349" s="371"/>
    </row>
    <row r="7350" spans="26:26">
      <c r="Z7350" s="371"/>
    </row>
    <row r="7351" spans="26:26">
      <c r="Z7351" s="371"/>
    </row>
    <row r="7352" spans="26:26">
      <c r="Z7352" s="371"/>
    </row>
    <row r="7353" spans="26:26">
      <c r="Z7353" s="371"/>
    </row>
    <row r="7354" spans="26:26">
      <c r="Z7354" s="371"/>
    </row>
    <row r="7355" spans="26:26">
      <c r="Z7355" s="371"/>
    </row>
    <row r="7356" spans="26:26">
      <c r="Z7356" s="371"/>
    </row>
    <row r="7357" spans="26:26">
      <c r="Z7357" s="371"/>
    </row>
    <row r="7358" spans="26:26">
      <c r="Z7358" s="371"/>
    </row>
    <row r="7359" spans="26:26">
      <c r="Z7359" s="371"/>
    </row>
    <row r="7360" spans="26:26">
      <c r="Z7360" s="371"/>
    </row>
    <row r="7361" spans="26:26">
      <c r="Z7361" s="371"/>
    </row>
    <row r="7362" spans="26:26">
      <c r="Z7362" s="371"/>
    </row>
    <row r="7363" spans="26:26">
      <c r="Z7363" s="371"/>
    </row>
    <row r="7364" spans="26:26">
      <c r="Z7364" s="371"/>
    </row>
    <row r="7365" spans="26:26">
      <c r="Z7365" s="371"/>
    </row>
    <row r="7366" spans="26:26">
      <c r="Z7366" s="371"/>
    </row>
    <row r="7367" spans="26:26">
      <c r="Z7367" s="371"/>
    </row>
    <row r="7368" spans="26:26">
      <c r="Z7368" s="371"/>
    </row>
    <row r="7369" spans="26:26">
      <c r="Z7369" s="371"/>
    </row>
    <row r="7370" spans="26:26">
      <c r="Z7370" s="371"/>
    </row>
    <row r="7371" spans="26:26">
      <c r="Z7371" s="371"/>
    </row>
    <row r="7372" spans="26:26">
      <c r="Z7372" s="371"/>
    </row>
    <row r="7373" spans="26:26">
      <c r="Z7373" s="371"/>
    </row>
    <row r="7374" spans="26:26">
      <c r="Z7374" s="371"/>
    </row>
    <row r="7375" spans="26:26">
      <c r="Z7375" s="371"/>
    </row>
    <row r="7376" spans="26:26">
      <c r="Z7376" s="371"/>
    </row>
    <row r="7377" spans="26:26">
      <c r="Z7377" s="371"/>
    </row>
    <row r="7378" spans="26:26">
      <c r="Z7378" s="371"/>
    </row>
    <row r="7379" spans="26:26">
      <c r="Z7379" s="371"/>
    </row>
    <row r="7380" spans="26:26">
      <c r="Z7380" s="371"/>
    </row>
    <row r="7381" spans="26:26">
      <c r="Z7381" s="371"/>
    </row>
    <row r="7382" spans="26:26">
      <c r="Z7382" s="371"/>
    </row>
    <row r="7383" spans="26:26">
      <c r="Z7383" s="371"/>
    </row>
    <row r="7384" spans="26:26">
      <c r="Z7384" s="371"/>
    </row>
    <row r="7385" spans="26:26">
      <c r="Z7385" s="371"/>
    </row>
    <row r="7386" spans="26:26">
      <c r="Z7386" s="371"/>
    </row>
    <row r="7387" spans="26:26">
      <c r="Z7387" s="371"/>
    </row>
    <row r="7388" spans="26:26">
      <c r="Z7388" s="371"/>
    </row>
    <row r="7389" spans="26:26">
      <c r="Z7389" s="371"/>
    </row>
    <row r="7390" spans="26:26">
      <c r="Z7390" s="371"/>
    </row>
    <row r="7391" spans="26:26">
      <c r="Z7391" s="371"/>
    </row>
    <row r="7392" spans="26:26">
      <c r="Z7392" s="371"/>
    </row>
    <row r="7393" spans="26:26">
      <c r="Z7393" s="371"/>
    </row>
    <row r="7394" spans="26:26">
      <c r="Z7394" s="371"/>
    </row>
    <row r="7395" spans="26:26">
      <c r="Z7395" s="371"/>
    </row>
    <row r="7396" spans="26:26">
      <c r="Z7396" s="371"/>
    </row>
    <row r="7397" spans="26:26">
      <c r="Z7397" s="371"/>
    </row>
    <row r="7398" spans="26:26">
      <c r="Z7398" s="371"/>
    </row>
    <row r="7399" spans="26:26">
      <c r="Z7399" s="371"/>
    </row>
    <row r="7400" spans="26:26">
      <c r="Z7400" s="371"/>
    </row>
    <row r="7401" spans="26:26">
      <c r="Z7401" s="371"/>
    </row>
    <row r="7402" spans="26:26">
      <c r="Z7402" s="371"/>
    </row>
    <row r="7403" spans="26:26">
      <c r="Z7403" s="371"/>
    </row>
    <row r="7404" spans="26:26">
      <c r="Z7404" s="371"/>
    </row>
    <row r="7405" spans="26:26">
      <c r="Z7405" s="371"/>
    </row>
    <row r="7406" spans="26:26">
      <c r="Z7406" s="371"/>
    </row>
    <row r="7407" spans="26:26">
      <c r="Z7407" s="371"/>
    </row>
    <row r="7408" spans="26:26">
      <c r="Z7408" s="371"/>
    </row>
    <row r="7409" spans="26:26">
      <c r="Z7409" s="371"/>
    </row>
    <row r="7410" spans="26:26">
      <c r="Z7410" s="371"/>
    </row>
    <row r="7411" spans="26:26">
      <c r="Z7411" s="371"/>
    </row>
    <row r="7412" spans="26:26">
      <c r="Z7412" s="371"/>
    </row>
    <row r="7413" spans="26:26">
      <c r="Z7413" s="371"/>
    </row>
    <row r="7414" spans="26:26">
      <c r="Z7414" s="371"/>
    </row>
    <row r="7415" spans="26:26">
      <c r="Z7415" s="371"/>
    </row>
    <row r="7416" spans="26:26">
      <c r="Z7416" s="371"/>
    </row>
    <row r="7417" spans="26:26">
      <c r="Z7417" s="371"/>
    </row>
    <row r="7418" spans="26:26">
      <c r="Z7418" s="371"/>
    </row>
    <row r="7419" spans="26:26">
      <c r="Z7419" s="371"/>
    </row>
    <row r="7420" spans="26:26">
      <c r="Z7420" s="371"/>
    </row>
    <row r="7421" spans="26:26">
      <c r="Z7421" s="371"/>
    </row>
    <row r="7422" spans="26:26">
      <c r="Z7422" s="371"/>
    </row>
    <row r="7423" spans="26:26">
      <c r="Z7423" s="371"/>
    </row>
    <row r="7424" spans="26:26">
      <c r="Z7424" s="371"/>
    </row>
    <row r="7425" spans="26:26">
      <c r="Z7425" s="371"/>
    </row>
    <row r="7426" spans="26:26">
      <c r="Z7426" s="371"/>
    </row>
    <row r="7427" spans="26:26">
      <c r="Z7427" s="371"/>
    </row>
    <row r="7428" spans="26:26">
      <c r="Z7428" s="371"/>
    </row>
    <row r="7429" spans="26:26">
      <c r="Z7429" s="371"/>
    </row>
    <row r="7430" spans="26:26">
      <c r="Z7430" s="371"/>
    </row>
    <row r="7431" spans="26:26">
      <c r="Z7431" s="371"/>
    </row>
    <row r="7432" spans="26:26">
      <c r="Z7432" s="371"/>
    </row>
    <row r="7433" spans="26:26">
      <c r="Z7433" s="371"/>
    </row>
    <row r="7434" spans="26:26">
      <c r="Z7434" s="371"/>
    </row>
    <row r="7435" spans="26:26">
      <c r="Z7435" s="371"/>
    </row>
    <row r="7436" spans="26:26">
      <c r="Z7436" s="371"/>
    </row>
    <row r="7437" spans="26:26">
      <c r="Z7437" s="371"/>
    </row>
    <row r="7438" spans="26:26">
      <c r="Z7438" s="371"/>
    </row>
    <row r="7439" spans="26:26">
      <c r="Z7439" s="371"/>
    </row>
    <row r="7440" spans="26:26">
      <c r="Z7440" s="371"/>
    </row>
    <row r="7441" spans="26:26">
      <c r="Z7441" s="371"/>
    </row>
    <row r="7442" spans="26:26">
      <c r="Z7442" s="371"/>
    </row>
    <row r="7443" spans="26:26">
      <c r="Z7443" s="371"/>
    </row>
    <row r="7444" spans="26:26">
      <c r="Z7444" s="371"/>
    </row>
    <row r="7445" spans="26:26">
      <c r="Z7445" s="371"/>
    </row>
    <row r="7446" spans="26:26">
      <c r="Z7446" s="371"/>
    </row>
    <row r="7447" spans="26:26">
      <c r="Z7447" s="371"/>
    </row>
    <row r="7448" spans="26:26">
      <c r="Z7448" s="371"/>
    </row>
    <row r="7449" spans="26:26">
      <c r="Z7449" s="371"/>
    </row>
    <row r="7450" spans="26:26">
      <c r="Z7450" s="371"/>
    </row>
    <row r="7451" spans="26:26">
      <c r="Z7451" s="371"/>
    </row>
    <row r="7452" spans="26:26">
      <c r="Z7452" s="371"/>
    </row>
    <row r="7453" spans="26:26">
      <c r="Z7453" s="371"/>
    </row>
    <row r="7454" spans="26:26">
      <c r="Z7454" s="371"/>
    </row>
    <row r="7455" spans="26:26">
      <c r="Z7455" s="371"/>
    </row>
    <row r="7456" spans="26:26">
      <c r="Z7456" s="371"/>
    </row>
    <row r="7457" spans="26:26">
      <c r="Z7457" s="371"/>
    </row>
    <row r="7458" spans="26:26">
      <c r="Z7458" s="371"/>
    </row>
    <row r="7459" spans="26:26">
      <c r="Z7459" s="371"/>
    </row>
    <row r="7460" spans="26:26">
      <c r="Z7460" s="371"/>
    </row>
    <row r="7461" spans="26:26">
      <c r="Z7461" s="371"/>
    </row>
    <row r="7462" spans="26:26">
      <c r="Z7462" s="371"/>
    </row>
    <row r="7463" spans="26:26">
      <c r="Z7463" s="371"/>
    </row>
    <row r="7464" spans="26:26">
      <c r="Z7464" s="371"/>
    </row>
    <row r="7465" spans="26:26">
      <c r="Z7465" s="371"/>
    </row>
    <row r="7466" spans="26:26">
      <c r="Z7466" s="371"/>
    </row>
    <row r="7467" spans="26:26">
      <c r="Z7467" s="371"/>
    </row>
    <row r="7468" spans="26:26">
      <c r="Z7468" s="371"/>
    </row>
    <row r="7469" spans="26:26">
      <c r="Z7469" s="371"/>
    </row>
    <row r="7470" spans="26:26">
      <c r="Z7470" s="371"/>
    </row>
    <row r="7471" spans="26:26">
      <c r="Z7471" s="371"/>
    </row>
    <row r="7472" spans="26:26">
      <c r="Z7472" s="371"/>
    </row>
    <row r="7473" spans="26:26">
      <c r="Z7473" s="371"/>
    </row>
    <row r="7474" spans="26:26">
      <c r="Z7474" s="371"/>
    </row>
    <row r="7475" spans="26:26">
      <c r="Z7475" s="371"/>
    </row>
    <row r="7476" spans="26:26">
      <c r="Z7476" s="371"/>
    </row>
    <row r="7477" spans="26:26">
      <c r="Z7477" s="371"/>
    </row>
    <row r="7478" spans="26:26">
      <c r="Z7478" s="371"/>
    </row>
    <row r="7479" spans="26:26">
      <c r="Z7479" s="371"/>
    </row>
    <row r="7480" spans="26:26">
      <c r="Z7480" s="371"/>
    </row>
    <row r="7481" spans="26:26">
      <c r="Z7481" s="371"/>
    </row>
    <row r="7482" spans="26:26">
      <c r="Z7482" s="371"/>
    </row>
    <row r="7483" spans="26:26">
      <c r="Z7483" s="371"/>
    </row>
    <row r="7484" spans="26:26">
      <c r="Z7484" s="371"/>
    </row>
    <row r="7485" spans="26:26">
      <c r="Z7485" s="371"/>
    </row>
    <row r="7486" spans="26:26">
      <c r="Z7486" s="371"/>
    </row>
    <row r="7487" spans="26:26">
      <c r="Z7487" s="371"/>
    </row>
    <row r="7488" spans="26:26">
      <c r="Z7488" s="371"/>
    </row>
    <row r="7489" spans="26:26">
      <c r="Z7489" s="371"/>
    </row>
    <row r="7490" spans="26:26">
      <c r="Z7490" s="371"/>
    </row>
    <row r="7491" spans="26:26">
      <c r="Z7491" s="371"/>
    </row>
    <row r="7492" spans="26:26">
      <c r="Z7492" s="371"/>
    </row>
    <row r="7493" spans="26:26">
      <c r="Z7493" s="371"/>
    </row>
    <row r="7494" spans="26:26">
      <c r="Z7494" s="371"/>
    </row>
    <row r="7495" spans="26:26">
      <c r="Z7495" s="371"/>
    </row>
    <row r="7496" spans="26:26">
      <c r="Z7496" s="371"/>
    </row>
    <row r="7497" spans="26:26">
      <c r="Z7497" s="371"/>
    </row>
    <row r="7498" spans="26:26">
      <c r="Z7498" s="371"/>
    </row>
    <row r="7499" spans="26:26">
      <c r="Z7499" s="371"/>
    </row>
    <row r="7500" spans="26:26">
      <c r="Z7500" s="371"/>
    </row>
    <row r="7501" spans="26:26">
      <c r="Z7501" s="371"/>
    </row>
    <row r="7502" spans="26:26">
      <c r="Z7502" s="371"/>
    </row>
    <row r="7503" spans="26:26">
      <c r="Z7503" s="371"/>
    </row>
    <row r="7504" spans="26:26">
      <c r="Z7504" s="371"/>
    </row>
    <row r="7505" spans="26:26">
      <c r="Z7505" s="371"/>
    </row>
    <row r="7506" spans="26:26">
      <c r="Z7506" s="371"/>
    </row>
    <row r="7507" spans="26:26">
      <c r="Z7507" s="371"/>
    </row>
    <row r="7508" spans="26:26">
      <c r="Z7508" s="371"/>
    </row>
    <row r="7509" spans="26:26">
      <c r="Z7509" s="371"/>
    </row>
    <row r="7510" spans="26:26">
      <c r="Z7510" s="371"/>
    </row>
    <row r="7511" spans="26:26">
      <c r="Z7511" s="371"/>
    </row>
    <row r="7512" spans="26:26">
      <c r="Z7512" s="371"/>
    </row>
    <row r="7513" spans="26:26">
      <c r="Z7513" s="371"/>
    </row>
    <row r="7514" spans="26:26">
      <c r="Z7514" s="371"/>
    </row>
    <row r="7515" spans="26:26">
      <c r="Z7515" s="371"/>
    </row>
    <row r="7516" spans="26:26">
      <c r="Z7516" s="371"/>
    </row>
    <row r="7517" spans="26:26">
      <c r="Z7517" s="371"/>
    </row>
    <row r="7518" spans="26:26">
      <c r="Z7518" s="371"/>
    </row>
    <row r="7519" spans="26:26">
      <c r="Z7519" s="371"/>
    </row>
    <row r="7520" spans="26:26">
      <c r="Z7520" s="371"/>
    </row>
    <row r="7521" spans="26:26">
      <c r="Z7521" s="371"/>
    </row>
    <row r="7522" spans="26:26">
      <c r="Z7522" s="371"/>
    </row>
    <row r="7523" spans="26:26">
      <c r="Z7523" s="371"/>
    </row>
    <row r="7524" spans="26:26">
      <c r="Z7524" s="371"/>
    </row>
    <row r="7525" spans="26:26">
      <c r="Z7525" s="371"/>
    </row>
    <row r="7526" spans="26:26">
      <c r="Z7526" s="371"/>
    </row>
    <row r="7527" spans="26:26">
      <c r="Z7527" s="371"/>
    </row>
    <row r="7528" spans="26:26">
      <c r="Z7528" s="371"/>
    </row>
    <row r="7529" spans="26:26">
      <c r="Z7529" s="371"/>
    </row>
    <row r="7530" spans="26:26">
      <c r="Z7530" s="371"/>
    </row>
    <row r="7531" spans="26:26">
      <c r="Z7531" s="371"/>
    </row>
    <row r="7532" spans="26:26">
      <c r="Z7532" s="371"/>
    </row>
    <row r="7533" spans="26:26">
      <c r="Z7533" s="371"/>
    </row>
    <row r="7534" spans="26:26">
      <c r="Z7534" s="371"/>
    </row>
    <row r="7535" spans="26:26">
      <c r="Z7535" s="371"/>
    </row>
    <row r="7536" spans="26:26">
      <c r="Z7536" s="371"/>
    </row>
    <row r="7537" spans="26:26">
      <c r="Z7537" s="371"/>
    </row>
    <row r="7538" spans="26:26">
      <c r="Z7538" s="371"/>
    </row>
    <row r="7539" spans="26:26">
      <c r="Z7539" s="371"/>
    </row>
    <row r="7540" spans="26:26">
      <c r="Z7540" s="371"/>
    </row>
    <row r="7541" spans="26:26">
      <c r="Z7541" s="371"/>
    </row>
    <row r="7542" spans="26:26">
      <c r="Z7542" s="371"/>
    </row>
    <row r="7543" spans="26:26">
      <c r="Z7543" s="371"/>
    </row>
    <row r="7544" spans="26:26">
      <c r="Z7544" s="371"/>
    </row>
    <row r="7545" spans="26:26">
      <c r="Z7545" s="371"/>
    </row>
    <row r="7546" spans="26:26">
      <c r="Z7546" s="371"/>
    </row>
    <row r="7547" spans="26:26">
      <c r="Z7547" s="371"/>
    </row>
    <row r="7548" spans="26:26">
      <c r="Z7548" s="371"/>
    </row>
    <row r="7549" spans="26:26">
      <c r="Z7549" s="371"/>
    </row>
    <row r="7550" spans="26:26">
      <c r="Z7550" s="371"/>
    </row>
    <row r="7551" spans="26:26">
      <c r="Z7551" s="371"/>
    </row>
    <row r="7552" spans="26:26">
      <c r="Z7552" s="371"/>
    </row>
    <row r="7553" spans="26:26">
      <c r="Z7553" s="371"/>
    </row>
    <row r="7554" spans="26:26">
      <c r="Z7554" s="371"/>
    </row>
    <row r="7555" spans="26:26">
      <c r="Z7555" s="371"/>
    </row>
    <row r="7556" spans="26:26">
      <c r="Z7556" s="371"/>
    </row>
    <row r="7557" spans="26:26">
      <c r="Z7557" s="371"/>
    </row>
    <row r="7558" spans="26:26">
      <c r="Z7558" s="371"/>
    </row>
    <row r="7559" spans="26:26">
      <c r="Z7559" s="371"/>
    </row>
    <row r="7560" spans="26:26">
      <c r="Z7560" s="371"/>
    </row>
    <row r="7561" spans="26:26">
      <c r="Z7561" s="371"/>
    </row>
    <row r="7562" spans="26:26">
      <c r="Z7562" s="371"/>
    </row>
    <row r="7563" spans="26:26">
      <c r="Z7563" s="371"/>
    </row>
    <row r="7564" spans="26:26">
      <c r="Z7564" s="371"/>
    </row>
    <row r="7565" spans="26:26">
      <c r="Z7565" s="371"/>
    </row>
    <row r="7566" spans="26:26">
      <c r="Z7566" s="371"/>
    </row>
    <row r="7567" spans="26:26">
      <c r="Z7567" s="371"/>
    </row>
    <row r="7568" spans="26:26">
      <c r="Z7568" s="371"/>
    </row>
    <row r="7569" spans="26:26">
      <c r="Z7569" s="371"/>
    </row>
    <row r="7570" spans="26:26">
      <c r="Z7570" s="371"/>
    </row>
    <row r="7571" spans="26:26">
      <c r="Z7571" s="371"/>
    </row>
    <row r="7572" spans="26:26">
      <c r="Z7572" s="371"/>
    </row>
    <row r="7573" spans="26:26">
      <c r="Z7573" s="371"/>
    </row>
    <row r="7574" spans="26:26">
      <c r="Z7574" s="371"/>
    </row>
    <row r="7575" spans="26:26">
      <c r="Z7575" s="371"/>
    </row>
    <row r="7576" spans="26:26">
      <c r="Z7576" s="371"/>
    </row>
    <row r="7577" spans="26:26">
      <c r="Z7577" s="371"/>
    </row>
    <row r="7578" spans="26:26">
      <c r="Z7578" s="371"/>
    </row>
    <row r="7579" spans="26:26">
      <c r="Z7579" s="371"/>
    </row>
    <row r="7580" spans="26:26">
      <c r="Z7580" s="371"/>
    </row>
    <row r="7581" spans="26:26">
      <c r="Z7581" s="371"/>
    </row>
    <row r="7582" spans="26:26">
      <c r="Z7582" s="371"/>
    </row>
    <row r="7583" spans="26:26">
      <c r="Z7583" s="371"/>
    </row>
    <row r="7584" spans="26:26">
      <c r="Z7584" s="371"/>
    </row>
    <row r="7585" spans="26:26">
      <c r="Z7585" s="371"/>
    </row>
    <row r="7586" spans="26:26">
      <c r="Z7586" s="371"/>
    </row>
    <row r="7587" spans="26:26">
      <c r="Z7587" s="371"/>
    </row>
    <row r="7588" spans="26:26">
      <c r="Z7588" s="371"/>
    </row>
    <row r="7589" spans="26:26">
      <c r="Z7589" s="371"/>
    </row>
    <row r="7590" spans="26:26">
      <c r="Z7590" s="371"/>
    </row>
    <row r="7591" spans="26:26">
      <c r="Z7591" s="371"/>
    </row>
    <row r="7592" spans="26:26">
      <c r="Z7592" s="371"/>
    </row>
    <row r="7593" spans="26:26">
      <c r="Z7593" s="371"/>
    </row>
    <row r="7594" spans="26:26">
      <c r="Z7594" s="371"/>
    </row>
    <row r="7595" spans="26:26">
      <c r="Z7595" s="371"/>
    </row>
    <row r="7596" spans="26:26">
      <c r="Z7596" s="371"/>
    </row>
    <row r="7597" spans="26:26">
      <c r="Z7597" s="371"/>
    </row>
    <row r="7598" spans="26:26">
      <c r="Z7598" s="371"/>
    </row>
    <row r="7599" spans="26:26">
      <c r="Z7599" s="371"/>
    </row>
    <row r="7600" spans="26:26">
      <c r="Z7600" s="371"/>
    </row>
    <row r="7601" spans="26:26">
      <c r="Z7601" s="371"/>
    </row>
    <row r="7602" spans="26:26">
      <c r="Z7602" s="371"/>
    </row>
    <row r="7603" spans="26:26">
      <c r="Z7603" s="371"/>
    </row>
    <row r="7604" spans="26:26">
      <c r="Z7604" s="371"/>
    </row>
    <row r="7605" spans="26:26">
      <c r="Z7605" s="371"/>
    </row>
    <row r="7606" spans="26:26">
      <c r="Z7606" s="371"/>
    </row>
    <row r="7607" spans="26:26">
      <c r="Z7607" s="371"/>
    </row>
    <row r="7608" spans="26:26">
      <c r="Z7608" s="371"/>
    </row>
    <row r="7609" spans="26:26">
      <c r="Z7609" s="371"/>
    </row>
    <row r="7610" spans="26:26">
      <c r="Z7610" s="371"/>
    </row>
    <row r="7611" spans="26:26">
      <c r="Z7611" s="371"/>
    </row>
    <row r="7612" spans="26:26">
      <c r="Z7612" s="371"/>
    </row>
    <row r="7613" spans="26:26">
      <c r="Z7613" s="371"/>
    </row>
    <row r="7614" spans="26:26">
      <c r="Z7614" s="371"/>
    </row>
    <row r="7615" spans="26:26">
      <c r="Z7615" s="371"/>
    </row>
    <row r="7616" spans="26:26">
      <c r="Z7616" s="371"/>
    </row>
    <row r="7617" spans="26:26">
      <c r="Z7617" s="371"/>
    </row>
    <row r="7618" spans="26:26">
      <c r="Z7618" s="371"/>
    </row>
    <row r="7619" spans="26:26">
      <c r="Z7619" s="371"/>
    </row>
    <row r="7620" spans="26:26">
      <c r="Z7620" s="371"/>
    </row>
    <row r="7621" spans="26:26">
      <c r="Z7621" s="371"/>
    </row>
    <row r="7622" spans="26:26">
      <c r="Z7622" s="371"/>
    </row>
    <row r="7623" spans="26:26">
      <c r="Z7623" s="371"/>
    </row>
    <row r="7624" spans="26:26">
      <c r="Z7624" s="371"/>
    </row>
    <row r="7625" spans="26:26">
      <c r="Z7625" s="371"/>
    </row>
    <row r="7626" spans="26:26">
      <c r="Z7626" s="371"/>
    </row>
    <row r="7627" spans="26:26">
      <c r="Z7627" s="371"/>
    </row>
    <row r="7628" spans="26:26">
      <c r="Z7628" s="371"/>
    </row>
    <row r="7629" spans="26:26">
      <c r="Z7629" s="371"/>
    </row>
    <row r="7630" spans="26:26">
      <c r="Z7630" s="371"/>
    </row>
    <row r="7631" spans="26:26">
      <c r="Z7631" s="371"/>
    </row>
    <row r="7632" spans="26:26">
      <c r="Z7632" s="371"/>
    </row>
    <row r="7633" spans="26:26">
      <c r="Z7633" s="371"/>
    </row>
    <row r="7634" spans="26:26">
      <c r="Z7634" s="371"/>
    </row>
    <row r="7635" spans="26:26">
      <c r="Z7635" s="371"/>
    </row>
    <row r="7636" spans="26:26">
      <c r="Z7636" s="371"/>
    </row>
    <row r="7637" spans="26:26">
      <c r="Z7637" s="371"/>
    </row>
    <row r="7638" spans="26:26">
      <c r="Z7638" s="371"/>
    </row>
    <row r="7639" spans="26:26">
      <c r="Z7639" s="371"/>
    </row>
    <row r="7640" spans="26:26">
      <c r="Z7640" s="371"/>
    </row>
    <row r="7641" spans="26:26">
      <c r="Z7641" s="371"/>
    </row>
    <row r="7642" spans="26:26">
      <c r="Z7642" s="371"/>
    </row>
    <row r="7643" spans="26:26">
      <c r="Z7643" s="371"/>
    </row>
    <row r="7644" spans="26:26">
      <c r="Z7644" s="371"/>
    </row>
    <row r="7645" spans="26:26">
      <c r="Z7645" s="371"/>
    </row>
    <row r="7646" spans="26:26">
      <c r="Z7646" s="371"/>
    </row>
    <row r="7647" spans="26:26">
      <c r="Z7647" s="371"/>
    </row>
    <row r="7648" spans="26:26">
      <c r="Z7648" s="371"/>
    </row>
    <row r="7649" spans="26:26">
      <c r="Z7649" s="371"/>
    </row>
    <row r="7650" spans="26:26">
      <c r="Z7650" s="371"/>
    </row>
    <row r="7651" spans="26:26">
      <c r="Z7651" s="371"/>
    </row>
    <row r="7652" spans="26:26">
      <c r="Z7652" s="371"/>
    </row>
    <row r="7653" spans="26:26">
      <c r="Z7653" s="371"/>
    </row>
    <row r="7654" spans="26:26">
      <c r="Z7654" s="371"/>
    </row>
    <row r="7655" spans="26:26">
      <c r="Z7655" s="371"/>
    </row>
    <row r="7656" spans="26:26">
      <c r="Z7656" s="371"/>
    </row>
    <row r="7657" spans="26:26">
      <c r="Z7657" s="371"/>
    </row>
    <row r="7658" spans="26:26">
      <c r="Z7658" s="371"/>
    </row>
    <row r="7659" spans="26:26">
      <c r="Z7659" s="371"/>
    </row>
    <row r="7660" spans="26:26">
      <c r="Z7660" s="371"/>
    </row>
    <row r="7661" spans="26:26">
      <c r="Z7661" s="371"/>
    </row>
    <row r="7662" spans="26:26">
      <c r="Z7662" s="371"/>
    </row>
    <row r="7663" spans="26:26">
      <c r="Z7663" s="371"/>
    </row>
    <row r="7664" spans="26:26">
      <c r="Z7664" s="371"/>
    </row>
    <row r="7665" spans="26:26">
      <c r="Z7665" s="371"/>
    </row>
    <row r="7666" spans="26:26">
      <c r="Z7666" s="371"/>
    </row>
    <row r="7667" spans="26:26">
      <c r="Z7667" s="371"/>
    </row>
    <row r="7668" spans="26:26">
      <c r="Z7668" s="371"/>
    </row>
    <row r="7669" spans="26:26">
      <c r="Z7669" s="371"/>
    </row>
    <row r="7670" spans="26:26">
      <c r="Z7670" s="371"/>
    </row>
    <row r="7671" spans="26:26">
      <c r="Z7671" s="371"/>
    </row>
    <row r="7672" spans="26:26">
      <c r="Z7672" s="371"/>
    </row>
    <row r="7673" spans="26:26">
      <c r="Z7673" s="371"/>
    </row>
    <row r="7674" spans="26:26">
      <c r="Z7674" s="371"/>
    </row>
    <row r="7675" spans="26:26">
      <c r="Z7675" s="371"/>
    </row>
    <row r="7676" spans="26:26">
      <c r="Z7676" s="371"/>
    </row>
    <row r="7677" spans="26:26">
      <c r="Z7677" s="371"/>
    </row>
    <row r="7678" spans="26:26">
      <c r="Z7678" s="371"/>
    </row>
    <row r="7679" spans="26:26">
      <c r="Z7679" s="371"/>
    </row>
    <row r="7680" spans="26:26">
      <c r="Z7680" s="371"/>
    </row>
    <row r="7681" spans="26:26">
      <c r="Z7681" s="371"/>
    </row>
    <row r="7682" spans="26:26">
      <c r="Z7682" s="371"/>
    </row>
    <row r="7683" spans="26:26">
      <c r="Z7683" s="371"/>
    </row>
    <row r="7684" spans="26:26">
      <c r="Z7684" s="371"/>
    </row>
    <row r="7685" spans="26:26">
      <c r="Z7685" s="371"/>
    </row>
    <row r="7686" spans="26:26">
      <c r="Z7686" s="371"/>
    </row>
    <row r="7687" spans="26:26">
      <c r="Z7687" s="371"/>
    </row>
    <row r="7688" spans="26:26">
      <c r="Z7688" s="371"/>
    </row>
    <row r="7689" spans="26:26">
      <c r="Z7689" s="371"/>
    </row>
    <row r="7690" spans="26:26">
      <c r="Z7690" s="371"/>
    </row>
    <row r="7691" spans="26:26">
      <c r="Z7691" s="371"/>
    </row>
    <row r="7692" spans="26:26">
      <c r="Z7692" s="371"/>
    </row>
    <row r="7693" spans="26:26">
      <c r="Z7693" s="371"/>
    </row>
    <row r="7694" spans="26:26">
      <c r="Z7694" s="371"/>
    </row>
    <row r="7695" spans="26:26">
      <c r="Z7695" s="371"/>
    </row>
    <row r="7696" spans="26:26">
      <c r="Z7696" s="371"/>
    </row>
    <row r="7697" spans="26:26">
      <c r="Z7697" s="371"/>
    </row>
    <row r="7698" spans="26:26">
      <c r="Z7698" s="371"/>
    </row>
    <row r="7699" spans="26:26">
      <c r="Z7699" s="371"/>
    </row>
    <row r="7700" spans="26:26">
      <c r="Z7700" s="371"/>
    </row>
    <row r="7701" spans="26:26">
      <c r="Z7701" s="371"/>
    </row>
    <row r="7702" spans="26:26">
      <c r="Z7702" s="371"/>
    </row>
    <row r="7703" spans="26:26">
      <c r="Z7703" s="371"/>
    </row>
    <row r="7704" spans="26:26">
      <c r="Z7704" s="371"/>
    </row>
    <row r="7705" spans="26:26">
      <c r="Z7705" s="371"/>
    </row>
    <row r="7706" spans="26:26">
      <c r="Z7706" s="371"/>
    </row>
    <row r="7707" spans="26:26">
      <c r="Z7707" s="371"/>
    </row>
    <row r="7708" spans="26:26">
      <c r="Z7708" s="371"/>
    </row>
    <row r="7709" spans="26:26">
      <c r="Z7709" s="371"/>
    </row>
    <row r="7710" spans="26:26">
      <c r="Z7710" s="371"/>
    </row>
    <row r="7711" spans="26:26">
      <c r="Z7711" s="371"/>
    </row>
    <row r="7712" spans="26:26">
      <c r="Z7712" s="371"/>
    </row>
    <row r="7713" spans="26:26">
      <c r="Z7713" s="371"/>
    </row>
    <row r="7714" spans="26:26">
      <c r="Z7714" s="371"/>
    </row>
    <row r="7715" spans="26:26">
      <c r="Z7715" s="371"/>
    </row>
    <row r="7716" spans="26:26">
      <c r="Z7716" s="371"/>
    </row>
    <row r="7717" spans="26:26">
      <c r="Z7717" s="371"/>
    </row>
    <row r="7718" spans="26:26">
      <c r="Z7718" s="371"/>
    </row>
    <row r="7719" spans="26:26">
      <c r="Z7719" s="371"/>
    </row>
    <row r="7720" spans="26:26">
      <c r="Z7720" s="371"/>
    </row>
    <row r="7721" spans="26:26">
      <c r="Z7721" s="371"/>
    </row>
    <row r="7722" spans="26:26">
      <c r="Z7722" s="371"/>
    </row>
    <row r="7723" spans="26:26">
      <c r="Z7723" s="371"/>
    </row>
    <row r="7724" spans="26:26">
      <c r="Z7724" s="371"/>
    </row>
    <row r="7725" spans="26:26">
      <c r="Z7725" s="371"/>
    </row>
    <row r="7726" spans="26:26">
      <c r="Z7726" s="371"/>
    </row>
    <row r="7727" spans="26:26">
      <c r="Z7727" s="371"/>
    </row>
    <row r="7728" spans="26:26">
      <c r="Z7728" s="371"/>
    </row>
    <row r="7729" spans="26:26">
      <c r="Z7729" s="371"/>
    </row>
    <row r="7730" spans="26:26">
      <c r="Z7730" s="371"/>
    </row>
    <row r="7731" spans="26:26">
      <c r="Z7731" s="371"/>
    </row>
    <row r="7732" spans="26:26">
      <c r="Z7732" s="371"/>
    </row>
    <row r="7733" spans="26:26">
      <c r="Z7733" s="371"/>
    </row>
    <row r="7734" spans="26:26">
      <c r="Z7734" s="371"/>
    </row>
    <row r="7735" spans="26:26">
      <c r="Z7735" s="371"/>
    </row>
    <row r="7736" spans="26:26">
      <c r="Z7736" s="371"/>
    </row>
    <row r="7737" spans="26:26">
      <c r="Z7737" s="371"/>
    </row>
    <row r="7738" spans="26:26">
      <c r="Z7738" s="371"/>
    </row>
    <row r="7739" spans="26:26">
      <c r="Z7739" s="371"/>
    </row>
    <row r="7740" spans="26:26">
      <c r="Z7740" s="371"/>
    </row>
    <row r="7741" spans="26:26">
      <c r="Z7741" s="371"/>
    </row>
    <row r="7742" spans="26:26">
      <c r="Z7742" s="371"/>
    </row>
    <row r="7743" spans="26:26">
      <c r="Z7743" s="371"/>
    </row>
    <row r="7744" spans="26:26">
      <c r="Z7744" s="371"/>
    </row>
    <row r="7745" spans="26:26">
      <c r="Z7745" s="371"/>
    </row>
    <row r="7746" spans="26:26">
      <c r="Z7746" s="371"/>
    </row>
    <row r="7747" spans="26:26">
      <c r="Z7747" s="371"/>
    </row>
    <row r="7748" spans="26:26">
      <c r="Z7748" s="371"/>
    </row>
    <row r="7749" spans="26:26">
      <c r="Z7749" s="371"/>
    </row>
    <row r="7750" spans="26:26">
      <c r="Z7750" s="371"/>
    </row>
    <row r="7751" spans="26:26">
      <c r="Z7751" s="371"/>
    </row>
    <row r="7752" spans="26:26">
      <c r="Z7752" s="371"/>
    </row>
    <row r="7753" spans="26:26">
      <c r="Z7753" s="371"/>
    </row>
    <row r="7754" spans="26:26">
      <c r="Z7754" s="371"/>
    </row>
    <row r="7755" spans="26:26">
      <c r="Z7755" s="371"/>
    </row>
    <row r="7756" spans="26:26">
      <c r="Z7756" s="371"/>
    </row>
    <row r="7757" spans="26:26">
      <c r="Z7757" s="371"/>
    </row>
    <row r="7758" spans="26:26">
      <c r="Z7758" s="371"/>
    </row>
    <row r="7759" spans="26:26">
      <c r="Z7759" s="371"/>
    </row>
    <row r="7760" spans="26:26">
      <c r="Z7760" s="371"/>
    </row>
    <row r="7761" spans="26:26">
      <c r="Z7761" s="371"/>
    </row>
    <row r="7762" spans="26:26">
      <c r="Z7762" s="371"/>
    </row>
    <row r="7763" spans="26:26">
      <c r="Z7763" s="371"/>
    </row>
    <row r="7764" spans="26:26">
      <c r="Z7764" s="371"/>
    </row>
    <row r="7765" spans="26:26">
      <c r="Z7765" s="371"/>
    </row>
    <row r="7766" spans="26:26">
      <c r="Z7766" s="371"/>
    </row>
    <row r="7767" spans="26:26">
      <c r="Z7767" s="371"/>
    </row>
    <row r="7768" spans="26:26">
      <c r="Z7768" s="371"/>
    </row>
    <row r="7769" spans="26:26">
      <c r="Z7769" s="371"/>
    </row>
    <row r="7770" spans="26:26">
      <c r="Z7770" s="371"/>
    </row>
    <row r="7771" spans="26:26">
      <c r="Z7771" s="371"/>
    </row>
    <row r="7772" spans="26:26">
      <c r="Z7772" s="371"/>
    </row>
    <row r="7773" spans="26:26">
      <c r="Z7773" s="371"/>
    </row>
    <row r="7774" spans="26:26">
      <c r="Z7774" s="371"/>
    </row>
    <row r="7775" spans="26:26">
      <c r="Z7775" s="371"/>
    </row>
    <row r="7776" spans="26:26">
      <c r="Z7776" s="371"/>
    </row>
    <row r="7777" spans="26:26">
      <c r="Z7777" s="371"/>
    </row>
    <row r="7778" spans="26:26">
      <c r="Z7778" s="371"/>
    </row>
    <row r="7779" spans="26:26">
      <c r="Z7779" s="371"/>
    </row>
    <row r="7780" spans="26:26">
      <c r="Z7780" s="371"/>
    </row>
    <row r="7781" spans="26:26">
      <c r="Z7781" s="371"/>
    </row>
    <row r="7782" spans="26:26">
      <c r="Z7782" s="371"/>
    </row>
    <row r="7783" spans="26:26">
      <c r="Z7783" s="371"/>
    </row>
    <row r="7784" spans="26:26">
      <c r="Z7784" s="371"/>
    </row>
    <row r="7785" spans="26:26">
      <c r="Z7785" s="371"/>
    </row>
    <row r="7786" spans="26:26">
      <c r="Z7786" s="371"/>
    </row>
    <row r="7787" spans="26:26">
      <c r="Z7787" s="371"/>
    </row>
    <row r="7788" spans="26:26">
      <c r="Z7788" s="371"/>
    </row>
    <row r="7789" spans="26:26">
      <c r="Z7789" s="371"/>
    </row>
    <row r="7790" spans="26:26">
      <c r="Z7790" s="371"/>
    </row>
    <row r="7791" spans="26:26">
      <c r="Z7791" s="371"/>
    </row>
    <row r="7792" spans="26:26">
      <c r="Z7792" s="371"/>
    </row>
    <row r="7793" spans="26:26">
      <c r="Z7793" s="371"/>
    </row>
    <row r="7794" spans="26:26">
      <c r="Z7794" s="371"/>
    </row>
    <row r="7795" spans="26:26">
      <c r="Z7795" s="371"/>
    </row>
    <row r="7796" spans="26:26">
      <c r="Z7796" s="371"/>
    </row>
    <row r="7797" spans="26:26">
      <c r="Z7797" s="371"/>
    </row>
    <row r="7798" spans="26:26">
      <c r="Z7798" s="371"/>
    </row>
    <row r="7799" spans="26:26">
      <c r="Z7799" s="371"/>
    </row>
    <row r="7800" spans="26:26">
      <c r="Z7800" s="371"/>
    </row>
    <row r="7801" spans="26:26">
      <c r="Z7801" s="371"/>
    </row>
    <row r="7802" spans="26:26">
      <c r="Z7802" s="371"/>
    </row>
    <row r="7803" spans="26:26">
      <c r="Z7803" s="371"/>
    </row>
    <row r="7804" spans="26:26">
      <c r="Z7804" s="371"/>
    </row>
    <row r="7805" spans="26:26">
      <c r="Z7805" s="371"/>
    </row>
    <row r="7806" spans="26:26">
      <c r="Z7806" s="371"/>
    </row>
    <row r="7807" spans="26:26">
      <c r="Z7807" s="371"/>
    </row>
    <row r="7808" spans="26:26">
      <c r="Z7808" s="371"/>
    </row>
    <row r="7809" spans="26:26">
      <c r="Z7809" s="371"/>
    </row>
    <row r="7810" spans="26:26">
      <c r="Z7810" s="371"/>
    </row>
    <row r="7811" spans="26:26">
      <c r="Z7811" s="371"/>
    </row>
    <row r="7812" spans="26:26">
      <c r="Z7812" s="371"/>
    </row>
    <row r="7813" spans="26:26">
      <c r="Z7813" s="371"/>
    </row>
    <row r="7814" spans="26:26">
      <c r="Z7814" s="371"/>
    </row>
    <row r="7815" spans="26:26">
      <c r="Z7815" s="371"/>
    </row>
    <row r="7816" spans="26:26">
      <c r="Z7816" s="371"/>
    </row>
    <row r="7817" spans="26:26">
      <c r="Z7817" s="371"/>
    </row>
    <row r="7818" spans="26:26">
      <c r="Z7818" s="371"/>
    </row>
    <row r="7819" spans="26:26">
      <c r="Z7819" s="371"/>
    </row>
    <row r="7820" spans="26:26">
      <c r="Z7820" s="371"/>
    </row>
    <row r="7821" spans="26:26">
      <c r="Z7821" s="371"/>
    </row>
    <row r="7822" spans="26:26">
      <c r="Z7822" s="371"/>
    </row>
    <row r="7823" spans="26:26">
      <c r="Z7823" s="371"/>
    </row>
    <row r="7824" spans="26:26">
      <c r="Z7824" s="371"/>
    </row>
    <row r="7825" spans="26:26">
      <c r="Z7825" s="371"/>
    </row>
    <row r="7826" spans="26:26">
      <c r="Z7826" s="371"/>
    </row>
    <row r="7827" spans="26:26">
      <c r="Z7827" s="371"/>
    </row>
    <row r="7828" spans="26:26">
      <c r="Z7828" s="371"/>
    </row>
    <row r="7829" spans="26:26">
      <c r="Z7829" s="371"/>
    </row>
    <row r="7830" spans="26:26">
      <c r="Z7830" s="371"/>
    </row>
    <row r="7831" spans="26:26">
      <c r="Z7831" s="371"/>
    </row>
    <row r="7832" spans="26:26">
      <c r="Z7832" s="371"/>
    </row>
    <row r="7833" spans="26:26">
      <c r="Z7833" s="371"/>
    </row>
    <row r="7834" spans="26:26">
      <c r="Z7834" s="371"/>
    </row>
    <row r="7835" spans="26:26">
      <c r="Z7835" s="371"/>
    </row>
    <row r="7836" spans="26:26">
      <c r="Z7836" s="371"/>
    </row>
    <row r="7837" spans="26:26">
      <c r="Z7837" s="371"/>
    </row>
    <row r="7838" spans="26:26">
      <c r="Z7838" s="371"/>
    </row>
    <row r="7839" spans="26:26">
      <c r="Z7839" s="371"/>
    </row>
    <row r="7840" spans="26:26">
      <c r="Z7840" s="371"/>
    </row>
    <row r="7841" spans="26:26">
      <c r="Z7841" s="371"/>
    </row>
    <row r="7842" spans="26:26">
      <c r="Z7842" s="371"/>
    </row>
    <row r="7843" spans="26:26">
      <c r="Z7843" s="371"/>
    </row>
    <row r="7844" spans="26:26">
      <c r="Z7844" s="371"/>
    </row>
    <row r="7845" spans="26:26">
      <c r="Z7845" s="371"/>
    </row>
    <row r="7846" spans="26:26">
      <c r="Z7846" s="371"/>
    </row>
    <row r="7847" spans="26:26">
      <c r="Z7847" s="371"/>
    </row>
    <row r="7848" spans="26:26">
      <c r="Z7848" s="371"/>
    </row>
    <row r="7849" spans="26:26">
      <c r="Z7849" s="371"/>
    </row>
    <row r="7850" spans="26:26">
      <c r="Z7850" s="371"/>
    </row>
    <row r="7851" spans="26:26">
      <c r="Z7851" s="371"/>
    </row>
    <row r="7852" spans="26:26">
      <c r="Z7852" s="371"/>
    </row>
    <row r="7853" spans="26:26">
      <c r="Z7853" s="371"/>
    </row>
    <row r="7854" spans="26:26">
      <c r="Z7854" s="371"/>
    </row>
    <row r="7855" spans="26:26">
      <c r="Z7855" s="371"/>
    </row>
    <row r="7856" spans="26:26">
      <c r="Z7856" s="371"/>
    </row>
    <row r="7857" spans="26:26">
      <c r="Z7857" s="371"/>
    </row>
    <row r="7858" spans="26:26">
      <c r="Z7858" s="371"/>
    </row>
    <row r="7859" spans="26:26">
      <c r="Z7859" s="371"/>
    </row>
    <row r="7860" spans="26:26">
      <c r="Z7860" s="371"/>
    </row>
    <row r="7861" spans="26:26">
      <c r="Z7861" s="371"/>
    </row>
    <row r="7862" spans="26:26">
      <c r="Z7862" s="371"/>
    </row>
    <row r="7863" spans="26:26">
      <c r="Z7863" s="371"/>
    </row>
    <row r="7864" spans="26:26">
      <c r="Z7864" s="371"/>
    </row>
    <row r="7865" spans="26:26">
      <c r="Z7865" s="371"/>
    </row>
    <row r="7866" spans="26:26">
      <c r="Z7866" s="371"/>
    </row>
    <row r="7867" spans="26:26">
      <c r="Z7867" s="371"/>
    </row>
    <row r="7868" spans="26:26">
      <c r="Z7868" s="371"/>
    </row>
    <row r="7869" spans="26:26">
      <c r="Z7869" s="371"/>
    </row>
    <row r="7870" spans="26:26">
      <c r="Z7870" s="371"/>
    </row>
    <row r="7871" spans="26:26">
      <c r="Z7871" s="371"/>
    </row>
    <row r="7872" spans="26:26">
      <c r="Z7872" s="371"/>
    </row>
    <row r="7873" spans="26:26">
      <c r="Z7873" s="371"/>
    </row>
    <row r="7874" spans="26:26">
      <c r="Z7874" s="371"/>
    </row>
    <row r="7875" spans="26:26">
      <c r="Z7875" s="371"/>
    </row>
    <row r="7876" spans="26:26">
      <c r="Z7876" s="371"/>
    </row>
    <row r="7877" spans="26:26">
      <c r="Z7877" s="371"/>
    </row>
    <row r="7878" spans="26:26">
      <c r="Z7878" s="371"/>
    </row>
    <row r="7879" spans="26:26">
      <c r="Z7879" s="371"/>
    </row>
    <row r="7880" spans="26:26">
      <c r="Z7880" s="371"/>
    </row>
    <row r="7881" spans="26:26">
      <c r="Z7881" s="371"/>
    </row>
    <row r="7882" spans="26:26">
      <c r="Z7882" s="371"/>
    </row>
    <row r="7883" spans="26:26">
      <c r="Z7883" s="371"/>
    </row>
    <row r="7884" spans="26:26">
      <c r="Z7884" s="371"/>
    </row>
    <row r="7885" spans="26:26">
      <c r="Z7885" s="371"/>
    </row>
    <row r="7886" spans="26:26">
      <c r="Z7886" s="371"/>
    </row>
    <row r="7887" spans="26:26">
      <c r="Z7887" s="371"/>
    </row>
    <row r="7888" spans="26:26">
      <c r="Z7888" s="371"/>
    </row>
    <row r="7889" spans="26:26">
      <c r="Z7889" s="371"/>
    </row>
    <row r="7890" spans="26:26">
      <c r="Z7890" s="371"/>
    </row>
    <row r="7891" spans="26:26">
      <c r="Z7891" s="371"/>
    </row>
    <row r="7892" spans="26:26">
      <c r="Z7892" s="371"/>
    </row>
    <row r="7893" spans="26:26">
      <c r="Z7893" s="371"/>
    </row>
    <row r="7894" spans="26:26">
      <c r="Z7894" s="371"/>
    </row>
    <row r="7895" spans="26:26">
      <c r="Z7895" s="371"/>
    </row>
    <row r="7896" spans="26:26">
      <c r="Z7896" s="371"/>
    </row>
    <row r="7897" spans="26:26">
      <c r="Z7897" s="371"/>
    </row>
    <row r="7898" spans="26:26">
      <c r="Z7898" s="371"/>
    </row>
    <row r="7899" spans="26:26">
      <c r="Z7899" s="371"/>
    </row>
    <row r="7900" spans="26:26">
      <c r="Z7900" s="371"/>
    </row>
    <row r="7901" spans="26:26">
      <c r="Z7901" s="371"/>
    </row>
    <row r="7902" spans="26:26">
      <c r="Z7902" s="371"/>
    </row>
    <row r="7903" spans="26:26">
      <c r="Z7903" s="371"/>
    </row>
    <row r="7904" spans="26:26">
      <c r="Z7904" s="371"/>
    </row>
    <row r="7905" spans="26:26">
      <c r="Z7905" s="371"/>
    </row>
    <row r="7906" spans="26:26">
      <c r="Z7906" s="371"/>
    </row>
    <row r="7907" spans="26:26">
      <c r="Z7907" s="371"/>
    </row>
    <row r="7908" spans="26:26">
      <c r="Z7908" s="371"/>
    </row>
    <row r="7909" spans="26:26">
      <c r="Z7909" s="371"/>
    </row>
    <row r="7910" spans="26:26">
      <c r="Z7910" s="371"/>
    </row>
    <row r="7911" spans="26:26">
      <c r="Z7911" s="371"/>
    </row>
    <row r="7912" spans="26:26">
      <c r="Z7912" s="371"/>
    </row>
    <row r="7913" spans="26:26">
      <c r="Z7913" s="371"/>
    </row>
    <row r="7914" spans="26:26">
      <c r="Z7914" s="371"/>
    </row>
    <row r="7915" spans="26:26">
      <c r="Z7915" s="371"/>
    </row>
    <row r="7916" spans="26:26">
      <c r="Z7916" s="371"/>
    </row>
    <row r="7917" spans="26:26">
      <c r="Z7917" s="371"/>
    </row>
    <row r="7918" spans="26:26">
      <c r="Z7918" s="371"/>
    </row>
    <row r="7919" spans="26:26">
      <c r="Z7919" s="371"/>
    </row>
    <row r="7920" spans="26:26">
      <c r="Z7920" s="371"/>
    </row>
    <row r="7921" spans="26:26">
      <c r="Z7921" s="371"/>
    </row>
    <row r="7922" spans="26:26">
      <c r="Z7922" s="371"/>
    </row>
    <row r="7923" spans="26:26">
      <c r="Z7923" s="371"/>
    </row>
    <row r="7924" spans="26:26">
      <c r="Z7924" s="371"/>
    </row>
    <row r="7925" spans="26:26">
      <c r="Z7925" s="371"/>
    </row>
    <row r="7926" spans="26:26">
      <c r="Z7926" s="371"/>
    </row>
    <row r="7927" spans="26:26">
      <c r="Z7927" s="371"/>
    </row>
    <row r="7928" spans="26:26">
      <c r="Z7928" s="371"/>
    </row>
    <row r="7929" spans="26:26">
      <c r="Z7929" s="371"/>
    </row>
    <row r="7930" spans="26:26">
      <c r="Z7930" s="371"/>
    </row>
    <row r="7931" spans="26:26">
      <c r="Z7931" s="371"/>
    </row>
    <row r="7932" spans="26:26">
      <c r="Z7932" s="371"/>
    </row>
    <row r="7933" spans="26:26">
      <c r="Z7933" s="371"/>
    </row>
    <row r="7934" spans="26:26">
      <c r="Z7934" s="371"/>
    </row>
    <row r="7935" spans="26:26">
      <c r="Z7935" s="371"/>
    </row>
    <row r="7936" spans="26:26">
      <c r="Z7936" s="371"/>
    </row>
    <row r="7937" spans="26:26">
      <c r="Z7937" s="371"/>
    </row>
    <row r="7938" spans="26:26">
      <c r="Z7938" s="371"/>
    </row>
    <row r="7939" spans="26:26">
      <c r="Z7939" s="371"/>
    </row>
    <row r="7940" spans="26:26">
      <c r="Z7940" s="371"/>
    </row>
    <row r="7941" spans="26:26">
      <c r="Z7941" s="371"/>
    </row>
    <row r="7942" spans="26:26">
      <c r="Z7942" s="371"/>
    </row>
    <row r="7943" spans="26:26">
      <c r="Z7943" s="371"/>
    </row>
    <row r="7944" spans="26:26">
      <c r="Z7944" s="371"/>
    </row>
    <row r="7945" spans="26:26">
      <c r="Z7945" s="371"/>
    </row>
    <row r="7946" spans="26:26">
      <c r="Z7946" s="371"/>
    </row>
    <row r="7947" spans="26:26">
      <c r="Z7947" s="371"/>
    </row>
    <row r="7948" spans="26:26">
      <c r="Z7948" s="371"/>
    </row>
    <row r="7949" spans="26:26">
      <c r="Z7949" s="371"/>
    </row>
    <row r="7950" spans="26:26">
      <c r="Z7950" s="371"/>
    </row>
    <row r="7951" spans="26:26">
      <c r="Z7951" s="371"/>
    </row>
    <row r="7952" spans="26:26">
      <c r="Z7952" s="371"/>
    </row>
    <row r="7953" spans="26:26">
      <c r="Z7953" s="371"/>
    </row>
    <row r="7954" spans="26:26">
      <c r="Z7954" s="371"/>
    </row>
    <row r="7955" spans="26:26">
      <c r="Z7955" s="371"/>
    </row>
    <row r="7956" spans="26:26">
      <c r="Z7956" s="371"/>
    </row>
    <row r="7957" spans="26:26">
      <c r="Z7957" s="371"/>
    </row>
    <row r="7958" spans="26:26">
      <c r="Z7958" s="371"/>
    </row>
    <row r="7959" spans="26:26">
      <c r="Z7959" s="371"/>
    </row>
    <row r="7960" spans="26:26">
      <c r="Z7960" s="371"/>
    </row>
    <row r="7961" spans="26:26">
      <c r="Z7961" s="371"/>
    </row>
    <row r="7962" spans="26:26">
      <c r="Z7962" s="371"/>
    </row>
    <row r="7963" spans="26:26">
      <c r="Z7963" s="371"/>
    </row>
    <row r="7964" spans="26:26">
      <c r="Z7964" s="371"/>
    </row>
    <row r="7965" spans="26:26">
      <c r="Z7965" s="371"/>
    </row>
    <row r="7966" spans="26:26">
      <c r="Z7966" s="371"/>
    </row>
    <row r="7967" spans="26:26">
      <c r="Z7967" s="371"/>
    </row>
    <row r="7968" spans="26:26">
      <c r="Z7968" s="371"/>
    </row>
    <row r="7969" spans="26:26">
      <c r="Z7969" s="371"/>
    </row>
    <row r="7970" spans="26:26">
      <c r="Z7970" s="371"/>
    </row>
    <row r="7971" spans="26:26">
      <c r="Z7971" s="371"/>
    </row>
    <row r="7972" spans="26:26">
      <c r="Z7972" s="371"/>
    </row>
    <row r="7973" spans="26:26">
      <c r="Z7973" s="371"/>
    </row>
    <row r="7974" spans="26:26">
      <c r="Z7974" s="371"/>
    </row>
    <row r="7975" spans="26:26">
      <c r="Z7975" s="371"/>
    </row>
    <row r="7976" spans="26:26">
      <c r="Z7976" s="371"/>
    </row>
    <row r="7977" spans="26:26">
      <c r="Z7977" s="371"/>
    </row>
    <row r="7978" spans="26:26">
      <c r="Z7978" s="371"/>
    </row>
    <row r="7979" spans="26:26">
      <c r="Z7979" s="371"/>
    </row>
    <row r="7980" spans="26:26">
      <c r="Z7980" s="371"/>
    </row>
    <row r="7981" spans="26:26">
      <c r="Z7981" s="371"/>
    </row>
    <row r="7982" spans="26:26">
      <c r="Z7982" s="371"/>
    </row>
    <row r="7983" spans="26:26">
      <c r="Z7983" s="371"/>
    </row>
    <row r="7984" spans="26:26">
      <c r="Z7984" s="371"/>
    </row>
    <row r="7985" spans="26:26">
      <c r="Z7985" s="371"/>
    </row>
    <row r="7986" spans="26:26">
      <c r="Z7986" s="371"/>
    </row>
    <row r="7987" spans="26:26">
      <c r="Z7987" s="371"/>
    </row>
    <row r="7988" spans="26:26">
      <c r="Z7988" s="371"/>
    </row>
    <row r="7989" spans="26:26">
      <c r="Z7989" s="371"/>
    </row>
    <row r="7990" spans="26:26">
      <c r="Z7990" s="371"/>
    </row>
    <row r="7991" spans="26:26">
      <c r="Z7991" s="371"/>
    </row>
    <row r="7992" spans="26:26">
      <c r="Z7992" s="371"/>
    </row>
    <row r="7993" spans="26:26">
      <c r="Z7993" s="371"/>
    </row>
    <row r="7994" spans="26:26">
      <c r="Z7994" s="371"/>
    </row>
    <row r="7995" spans="26:26">
      <c r="Z7995" s="371"/>
    </row>
    <row r="7996" spans="26:26">
      <c r="Z7996" s="371"/>
    </row>
    <row r="7997" spans="26:26">
      <c r="Z7997" s="371"/>
    </row>
    <row r="7998" spans="26:26">
      <c r="Z7998" s="371"/>
    </row>
    <row r="7999" spans="26:26">
      <c r="Z7999" s="371"/>
    </row>
    <row r="8000" spans="26:26">
      <c r="Z8000" s="371"/>
    </row>
    <row r="8001" spans="26:26">
      <c r="Z8001" s="371"/>
    </row>
    <row r="8002" spans="26:26">
      <c r="Z8002" s="371"/>
    </row>
    <row r="8003" spans="26:26">
      <c r="Z8003" s="371"/>
    </row>
    <row r="8004" spans="26:26">
      <c r="Z8004" s="371"/>
    </row>
    <row r="8005" spans="26:26">
      <c r="Z8005" s="371"/>
    </row>
    <row r="8006" spans="26:26">
      <c r="Z8006" s="371"/>
    </row>
    <row r="8007" spans="26:26">
      <c r="Z8007" s="371"/>
    </row>
    <row r="8008" spans="26:26">
      <c r="Z8008" s="371"/>
    </row>
    <row r="8009" spans="26:26">
      <c r="Z8009" s="371"/>
    </row>
    <row r="8010" spans="26:26">
      <c r="Z8010" s="371"/>
    </row>
    <row r="8011" spans="26:26">
      <c r="Z8011" s="371"/>
    </row>
    <row r="8012" spans="26:26">
      <c r="Z8012" s="371"/>
    </row>
    <row r="8013" spans="26:26">
      <c r="Z8013" s="371"/>
    </row>
    <row r="8014" spans="26:26">
      <c r="Z8014" s="371"/>
    </row>
    <row r="8015" spans="26:26">
      <c r="Z8015" s="371"/>
    </row>
    <row r="8016" spans="26:26">
      <c r="Z8016" s="371"/>
    </row>
    <row r="8017" spans="26:26">
      <c r="Z8017" s="371"/>
    </row>
    <row r="8018" spans="26:26">
      <c r="Z8018" s="371"/>
    </row>
    <row r="8019" spans="26:26">
      <c r="Z8019" s="371"/>
    </row>
    <row r="8020" spans="26:26">
      <c r="Z8020" s="371"/>
    </row>
    <row r="8021" spans="26:26">
      <c r="Z8021" s="371"/>
    </row>
    <row r="8022" spans="26:26">
      <c r="Z8022" s="371"/>
    </row>
    <row r="8023" spans="26:26">
      <c r="Z8023" s="371"/>
    </row>
    <row r="8024" spans="26:26">
      <c r="Z8024" s="371"/>
    </row>
    <row r="8025" spans="26:26">
      <c r="Z8025" s="371"/>
    </row>
    <row r="8026" spans="26:26">
      <c r="Z8026" s="371"/>
    </row>
    <row r="8027" spans="26:26">
      <c r="Z8027" s="371"/>
    </row>
    <row r="8028" spans="26:26">
      <c r="Z8028" s="371"/>
    </row>
    <row r="8029" spans="26:26">
      <c r="Z8029" s="371"/>
    </row>
    <row r="8030" spans="26:26">
      <c r="Z8030" s="371"/>
    </row>
    <row r="8031" spans="26:26">
      <c r="Z8031" s="371"/>
    </row>
    <row r="8032" spans="26:26">
      <c r="Z8032" s="371"/>
    </row>
    <row r="8033" spans="26:26">
      <c r="Z8033" s="371"/>
    </row>
    <row r="8034" spans="26:26">
      <c r="Z8034" s="371"/>
    </row>
    <row r="8035" spans="26:26">
      <c r="Z8035" s="371"/>
    </row>
    <row r="8036" spans="26:26">
      <c r="Z8036" s="371"/>
    </row>
    <row r="8037" spans="26:26">
      <c r="Z8037" s="371"/>
    </row>
    <row r="8038" spans="26:26">
      <c r="Z8038" s="371"/>
    </row>
    <row r="8039" spans="26:26">
      <c r="Z8039" s="371"/>
    </row>
    <row r="8040" spans="26:26">
      <c r="Z8040" s="371"/>
    </row>
    <row r="8041" spans="26:26">
      <c r="Z8041" s="371"/>
    </row>
    <row r="8042" spans="26:26">
      <c r="Z8042" s="371"/>
    </row>
    <row r="8043" spans="26:26">
      <c r="Z8043" s="371"/>
    </row>
    <row r="8044" spans="26:26">
      <c r="Z8044" s="371"/>
    </row>
    <row r="8045" spans="26:26">
      <c r="Z8045" s="371"/>
    </row>
    <row r="8046" spans="26:26">
      <c r="Z8046" s="371"/>
    </row>
    <row r="8047" spans="26:26">
      <c r="Z8047" s="371"/>
    </row>
    <row r="8048" spans="26:26">
      <c r="Z8048" s="371"/>
    </row>
    <row r="8049" spans="26:26">
      <c r="Z8049" s="371"/>
    </row>
    <row r="8050" spans="26:26">
      <c r="Z8050" s="371"/>
    </row>
    <row r="8051" spans="26:26">
      <c r="Z8051" s="371"/>
    </row>
    <row r="8052" spans="26:26">
      <c r="Z8052" s="371"/>
    </row>
    <row r="8053" spans="26:26">
      <c r="Z8053" s="371"/>
    </row>
    <row r="8054" spans="26:26">
      <c r="Z8054" s="371"/>
    </row>
    <row r="8055" spans="26:26">
      <c r="Z8055" s="371"/>
    </row>
    <row r="8056" spans="26:26">
      <c r="Z8056" s="371"/>
    </row>
    <row r="8057" spans="26:26">
      <c r="Z8057" s="371"/>
    </row>
    <row r="8058" spans="26:26">
      <c r="Z8058" s="371"/>
    </row>
    <row r="8059" spans="26:26">
      <c r="Z8059" s="371"/>
    </row>
    <row r="8060" spans="26:26">
      <c r="Z8060" s="371"/>
    </row>
    <row r="8061" spans="26:26">
      <c r="Z8061" s="371"/>
    </row>
    <row r="8062" spans="26:26">
      <c r="Z8062" s="371"/>
    </row>
    <row r="8063" spans="26:26">
      <c r="Z8063" s="371"/>
    </row>
    <row r="8064" spans="26:26">
      <c r="Z8064" s="371"/>
    </row>
    <row r="8065" spans="26:26">
      <c r="Z8065" s="371"/>
    </row>
    <row r="8066" spans="26:26">
      <c r="Z8066" s="371"/>
    </row>
    <row r="8067" spans="26:26">
      <c r="Z8067" s="371"/>
    </row>
    <row r="8068" spans="26:26">
      <c r="Z8068" s="371"/>
    </row>
    <row r="8069" spans="26:26">
      <c r="Z8069" s="371"/>
    </row>
    <row r="8070" spans="26:26">
      <c r="Z8070" s="371"/>
    </row>
    <row r="8071" spans="26:26">
      <c r="Z8071" s="371"/>
    </row>
    <row r="8072" spans="26:26">
      <c r="Z8072" s="371"/>
    </row>
    <row r="8073" spans="26:26">
      <c r="Z8073" s="371"/>
    </row>
    <row r="8074" spans="26:26">
      <c r="Z8074" s="371"/>
    </row>
    <row r="8075" spans="26:26">
      <c r="Z8075" s="371"/>
    </row>
    <row r="8076" spans="26:26">
      <c r="Z8076" s="371"/>
    </row>
    <row r="8077" spans="26:26">
      <c r="Z8077" s="371"/>
    </row>
    <row r="8078" spans="26:26">
      <c r="Z8078" s="371"/>
    </row>
    <row r="8079" spans="26:26">
      <c r="Z8079" s="371"/>
    </row>
    <row r="8080" spans="26:26">
      <c r="Z8080" s="371"/>
    </row>
    <row r="8081" spans="26:26">
      <c r="Z8081" s="371"/>
    </row>
    <row r="8082" spans="26:26">
      <c r="Z8082" s="371"/>
    </row>
    <row r="8083" spans="26:26">
      <c r="Z8083" s="371"/>
    </row>
    <row r="8084" spans="26:26">
      <c r="Z8084" s="371"/>
    </row>
    <row r="8085" spans="26:26">
      <c r="Z8085" s="371"/>
    </row>
    <row r="8086" spans="26:26">
      <c r="Z8086" s="371"/>
    </row>
    <row r="8087" spans="26:26">
      <c r="Z8087" s="371"/>
    </row>
    <row r="8088" spans="26:26">
      <c r="Z8088" s="371"/>
    </row>
    <row r="8089" spans="26:26">
      <c r="Z8089" s="371"/>
    </row>
    <row r="8090" spans="26:26">
      <c r="Z8090" s="371"/>
    </row>
    <row r="8091" spans="26:26">
      <c r="Z8091" s="371"/>
    </row>
    <row r="8092" spans="26:26">
      <c r="Z8092" s="371"/>
    </row>
    <row r="8093" spans="26:26">
      <c r="Z8093" s="371"/>
    </row>
    <row r="8094" spans="26:26">
      <c r="Z8094" s="371"/>
    </row>
    <row r="8095" spans="26:26">
      <c r="Z8095" s="371"/>
    </row>
    <row r="8096" spans="26:26">
      <c r="Z8096" s="371"/>
    </row>
    <row r="8097" spans="26:26">
      <c r="Z8097" s="371"/>
    </row>
    <row r="8098" spans="26:26">
      <c r="Z8098" s="371"/>
    </row>
    <row r="8099" spans="26:26">
      <c r="Z8099" s="371"/>
    </row>
    <row r="8100" spans="26:26">
      <c r="Z8100" s="371"/>
    </row>
    <row r="8101" spans="26:26">
      <c r="Z8101" s="371"/>
    </row>
    <row r="8102" spans="26:26">
      <c r="Z8102" s="371"/>
    </row>
    <row r="8103" spans="26:26">
      <c r="Z8103" s="371"/>
    </row>
    <row r="8104" spans="26:26">
      <c r="Z8104" s="371"/>
    </row>
    <row r="8105" spans="26:26">
      <c r="Z8105" s="371"/>
    </row>
    <row r="8106" spans="26:26">
      <c r="Z8106" s="371"/>
    </row>
    <row r="8107" spans="26:26">
      <c r="Z8107" s="371"/>
    </row>
    <row r="8108" spans="26:26">
      <c r="Z8108" s="371"/>
    </row>
    <row r="8109" spans="26:26">
      <c r="Z8109" s="371"/>
    </row>
    <row r="8110" spans="26:26">
      <c r="Z8110" s="371"/>
    </row>
    <row r="8111" spans="26:26">
      <c r="Z8111" s="371"/>
    </row>
    <row r="8112" spans="26:26">
      <c r="Z8112" s="371"/>
    </row>
    <row r="8113" spans="26:26">
      <c r="Z8113" s="371"/>
    </row>
    <row r="8114" spans="26:26">
      <c r="Z8114" s="371"/>
    </row>
    <row r="8115" spans="26:26">
      <c r="Z8115" s="371"/>
    </row>
    <row r="8116" spans="26:26">
      <c r="Z8116" s="371"/>
    </row>
    <row r="8117" spans="26:26">
      <c r="Z8117" s="371"/>
    </row>
    <row r="8118" spans="26:26">
      <c r="Z8118" s="371"/>
    </row>
    <row r="8119" spans="26:26">
      <c r="Z8119" s="371"/>
    </row>
    <row r="8120" spans="26:26">
      <c r="Z8120" s="371"/>
    </row>
    <row r="8121" spans="26:26">
      <c r="Z8121" s="371"/>
    </row>
    <row r="8122" spans="26:26">
      <c r="Z8122" s="371"/>
    </row>
    <row r="8123" spans="26:26">
      <c r="Z8123" s="371"/>
    </row>
    <row r="8124" spans="26:26">
      <c r="Z8124" s="371"/>
    </row>
    <row r="8125" spans="26:26">
      <c r="Z8125" s="371"/>
    </row>
    <row r="8126" spans="26:26">
      <c r="Z8126" s="371"/>
    </row>
    <row r="8127" spans="26:26">
      <c r="Z8127" s="371"/>
    </row>
    <row r="8128" spans="26:26">
      <c r="Z8128" s="371"/>
    </row>
    <row r="8129" spans="26:26">
      <c r="Z8129" s="371"/>
    </row>
    <row r="8130" spans="26:26">
      <c r="Z8130" s="371"/>
    </row>
    <row r="8131" spans="26:26">
      <c r="Z8131" s="371"/>
    </row>
    <row r="8132" spans="26:26">
      <c r="Z8132" s="371"/>
    </row>
    <row r="8133" spans="26:26">
      <c r="Z8133" s="371"/>
    </row>
    <row r="8134" spans="26:26">
      <c r="Z8134" s="371"/>
    </row>
    <row r="8135" spans="26:26">
      <c r="Z8135" s="371"/>
    </row>
    <row r="8136" spans="26:26">
      <c r="Z8136" s="371"/>
    </row>
    <row r="8137" spans="26:26">
      <c r="Z8137" s="371"/>
    </row>
    <row r="8138" spans="26:26">
      <c r="Z8138" s="371"/>
    </row>
    <row r="8139" spans="26:26">
      <c r="Z8139" s="371"/>
    </row>
    <row r="8140" spans="26:26">
      <c r="Z8140" s="371"/>
    </row>
    <row r="8141" spans="26:26">
      <c r="Z8141" s="371"/>
    </row>
    <row r="8142" spans="26:26">
      <c r="Z8142" s="371"/>
    </row>
    <row r="8143" spans="26:26">
      <c r="Z8143" s="371"/>
    </row>
    <row r="8144" spans="26:26">
      <c r="Z8144" s="371"/>
    </row>
    <row r="8145" spans="26:26">
      <c r="Z8145" s="371"/>
    </row>
    <row r="8146" spans="26:26">
      <c r="Z8146" s="371"/>
    </row>
    <row r="8147" spans="26:26">
      <c r="Z8147" s="371"/>
    </row>
    <row r="8148" spans="26:26">
      <c r="Z8148" s="371"/>
    </row>
    <row r="8149" spans="26:26">
      <c r="Z8149" s="371"/>
    </row>
    <row r="8150" spans="26:26">
      <c r="Z8150" s="371"/>
    </row>
    <row r="8151" spans="26:26">
      <c r="Z8151" s="371"/>
    </row>
    <row r="8152" spans="26:26">
      <c r="Z8152" s="371"/>
    </row>
    <row r="8153" spans="26:26">
      <c r="Z8153" s="371"/>
    </row>
    <row r="8154" spans="26:26">
      <c r="Z8154" s="371"/>
    </row>
    <row r="8155" spans="26:26">
      <c r="Z8155" s="371"/>
    </row>
    <row r="8156" spans="26:26">
      <c r="Z8156" s="371"/>
    </row>
    <row r="8157" spans="26:26">
      <c r="Z8157" s="371"/>
    </row>
    <row r="8158" spans="26:26">
      <c r="Z8158" s="371"/>
    </row>
    <row r="8159" spans="26:26">
      <c r="Z8159" s="371"/>
    </row>
    <row r="8160" spans="26:26">
      <c r="Z8160" s="371"/>
    </row>
    <row r="8161" spans="26:26">
      <c r="Z8161" s="371"/>
    </row>
    <row r="8162" spans="26:26">
      <c r="Z8162" s="371"/>
    </row>
    <row r="8163" spans="26:26">
      <c r="Z8163" s="371"/>
    </row>
    <row r="8164" spans="26:26">
      <c r="Z8164" s="371"/>
    </row>
    <row r="8165" spans="26:26">
      <c r="Z8165" s="371"/>
    </row>
    <row r="8166" spans="26:26">
      <c r="Z8166" s="371"/>
    </row>
    <row r="8167" spans="26:26">
      <c r="Z8167" s="371"/>
    </row>
    <row r="8168" spans="26:26">
      <c r="Z8168" s="371"/>
    </row>
    <row r="8169" spans="26:26">
      <c r="Z8169" s="371"/>
    </row>
    <row r="8170" spans="26:26">
      <c r="Z8170" s="371"/>
    </row>
    <row r="8171" spans="26:26">
      <c r="Z8171" s="371"/>
    </row>
    <row r="8172" spans="26:26">
      <c r="Z8172" s="371"/>
    </row>
    <row r="8173" spans="26:26">
      <c r="Z8173" s="371"/>
    </row>
    <row r="8174" spans="26:26">
      <c r="Z8174" s="371"/>
    </row>
    <row r="8175" spans="26:26">
      <c r="Z8175" s="371"/>
    </row>
    <row r="8176" spans="26:26">
      <c r="Z8176" s="371"/>
    </row>
    <row r="8177" spans="26:26">
      <c r="Z8177" s="371"/>
    </row>
    <row r="8178" spans="26:26">
      <c r="Z8178" s="371"/>
    </row>
    <row r="8179" spans="26:26">
      <c r="Z8179" s="371"/>
    </row>
    <row r="8180" spans="26:26">
      <c r="Z8180" s="371"/>
    </row>
    <row r="8181" spans="26:26">
      <c r="Z8181" s="371"/>
    </row>
    <row r="8182" spans="26:26">
      <c r="Z8182" s="371"/>
    </row>
    <row r="8183" spans="26:26">
      <c r="Z8183" s="371"/>
    </row>
    <row r="8184" spans="26:26">
      <c r="Z8184" s="371"/>
    </row>
    <row r="8185" spans="26:26">
      <c r="Z8185" s="371"/>
    </row>
    <row r="8186" spans="26:26">
      <c r="Z8186" s="371"/>
    </row>
    <row r="8187" spans="26:26">
      <c r="Z8187" s="371"/>
    </row>
    <row r="8188" spans="26:26">
      <c r="Z8188" s="371"/>
    </row>
    <row r="8189" spans="26:26">
      <c r="Z8189" s="371"/>
    </row>
    <row r="8190" spans="26:26">
      <c r="Z8190" s="371"/>
    </row>
    <row r="8191" spans="26:26">
      <c r="Z8191" s="371"/>
    </row>
    <row r="8192" spans="26:26">
      <c r="Z8192" s="371"/>
    </row>
    <row r="8193" spans="26:26">
      <c r="Z8193" s="371"/>
    </row>
    <row r="8194" spans="26:26">
      <c r="Z8194" s="371"/>
    </row>
    <row r="8195" spans="26:26">
      <c r="Z8195" s="371"/>
    </row>
    <row r="8196" spans="26:26">
      <c r="Z8196" s="371"/>
    </row>
    <row r="8197" spans="26:26">
      <c r="Z8197" s="371"/>
    </row>
    <row r="8198" spans="26:26">
      <c r="Z8198" s="371"/>
    </row>
    <row r="8199" spans="26:26">
      <c r="Z8199" s="371"/>
    </row>
    <row r="8200" spans="26:26">
      <c r="Z8200" s="371"/>
    </row>
    <row r="8201" spans="26:26">
      <c r="Z8201" s="371"/>
    </row>
    <row r="8202" spans="26:26">
      <c r="Z8202" s="371"/>
    </row>
    <row r="8203" spans="26:26">
      <c r="Z8203" s="371"/>
    </row>
    <row r="8204" spans="26:26">
      <c r="Z8204" s="371"/>
    </row>
    <row r="8205" spans="26:26">
      <c r="Z8205" s="371"/>
    </row>
    <row r="8206" spans="26:26">
      <c r="Z8206" s="371"/>
    </row>
    <row r="8207" spans="26:26">
      <c r="Z8207" s="371"/>
    </row>
    <row r="8208" spans="26:26">
      <c r="Z8208" s="371"/>
    </row>
    <row r="8209" spans="26:26">
      <c r="Z8209" s="371"/>
    </row>
    <row r="8210" spans="26:26">
      <c r="Z8210" s="371"/>
    </row>
    <row r="8211" spans="26:26">
      <c r="Z8211" s="371"/>
    </row>
    <row r="8212" spans="26:26">
      <c r="Z8212" s="371"/>
    </row>
    <row r="8213" spans="26:26">
      <c r="Z8213" s="371"/>
    </row>
    <row r="8214" spans="26:26">
      <c r="Z8214" s="371"/>
    </row>
    <row r="8215" spans="26:26">
      <c r="Z8215" s="371"/>
    </row>
    <row r="8216" spans="26:26">
      <c r="Z8216" s="371"/>
    </row>
    <row r="8217" spans="26:26">
      <c r="Z8217" s="371"/>
    </row>
    <row r="8218" spans="26:26">
      <c r="Z8218" s="371"/>
    </row>
    <row r="8219" spans="26:26">
      <c r="Z8219" s="371"/>
    </row>
    <row r="8220" spans="26:26">
      <c r="Z8220" s="371"/>
    </row>
    <row r="8221" spans="26:26">
      <c r="Z8221" s="371"/>
    </row>
    <row r="8222" spans="26:26">
      <c r="Z8222" s="371"/>
    </row>
    <row r="8223" spans="26:26">
      <c r="Z8223" s="371"/>
    </row>
    <row r="8224" spans="26:26">
      <c r="Z8224" s="371"/>
    </row>
    <row r="8225" spans="26:26">
      <c r="Z8225" s="371"/>
    </row>
    <row r="8226" spans="26:26">
      <c r="Z8226" s="371"/>
    </row>
    <row r="8227" spans="26:26">
      <c r="Z8227" s="371"/>
    </row>
    <row r="8228" spans="26:26">
      <c r="Z8228" s="371"/>
    </row>
    <row r="8229" spans="26:26">
      <c r="Z8229" s="371"/>
    </row>
    <row r="8230" spans="26:26">
      <c r="Z8230" s="371"/>
    </row>
    <row r="8231" spans="26:26">
      <c r="Z8231" s="371"/>
    </row>
    <row r="8232" spans="26:26">
      <c r="Z8232" s="371"/>
    </row>
    <row r="8233" spans="26:26">
      <c r="Z8233" s="371"/>
    </row>
    <row r="8234" spans="26:26">
      <c r="Z8234" s="371"/>
    </row>
    <row r="8235" spans="26:26">
      <c r="Z8235" s="371"/>
    </row>
    <row r="8236" spans="26:26">
      <c r="Z8236" s="371"/>
    </row>
    <row r="8237" spans="26:26">
      <c r="Z8237" s="371"/>
    </row>
    <row r="8238" spans="26:26">
      <c r="Z8238" s="371"/>
    </row>
    <row r="8239" spans="26:26">
      <c r="Z8239" s="371"/>
    </row>
    <row r="8240" spans="26:26">
      <c r="Z8240" s="371"/>
    </row>
    <row r="8241" spans="26:26">
      <c r="Z8241" s="371"/>
    </row>
    <row r="8242" spans="26:26">
      <c r="Z8242" s="371"/>
    </row>
    <row r="8243" spans="26:26">
      <c r="Z8243" s="371"/>
    </row>
    <row r="8244" spans="26:26">
      <c r="Z8244" s="371"/>
    </row>
    <row r="8245" spans="26:26">
      <c r="Z8245" s="371"/>
    </row>
    <row r="8246" spans="26:26">
      <c r="Z8246" s="371"/>
    </row>
    <row r="8247" spans="26:26">
      <c r="Z8247" s="371"/>
    </row>
    <row r="8248" spans="26:26">
      <c r="Z8248" s="371"/>
    </row>
    <row r="8249" spans="26:26">
      <c r="Z8249" s="371"/>
    </row>
    <row r="8250" spans="26:26">
      <c r="Z8250" s="371"/>
    </row>
    <row r="8251" spans="26:26">
      <c r="Z8251" s="371"/>
    </row>
    <row r="8252" spans="26:26">
      <c r="Z8252" s="371"/>
    </row>
    <row r="8253" spans="26:26">
      <c r="Z8253" s="371"/>
    </row>
    <row r="8254" spans="26:26">
      <c r="Z8254" s="371"/>
    </row>
    <row r="8255" spans="26:26">
      <c r="Z8255" s="371"/>
    </row>
    <row r="8256" spans="26:26">
      <c r="Z8256" s="371"/>
    </row>
    <row r="8257" spans="26:26">
      <c r="Z8257" s="371"/>
    </row>
    <row r="8258" spans="26:26">
      <c r="Z8258" s="371"/>
    </row>
    <row r="8259" spans="26:26">
      <c r="Z8259" s="371"/>
    </row>
    <row r="8260" spans="26:26">
      <c r="Z8260" s="371"/>
    </row>
    <row r="8261" spans="26:26">
      <c r="Z8261" s="371"/>
    </row>
    <row r="8262" spans="26:26">
      <c r="Z8262" s="371"/>
    </row>
    <row r="8263" spans="26:26">
      <c r="Z8263" s="371"/>
    </row>
    <row r="8264" spans="26:26">
      <c r="Z8264" s="371"/>
    </row>
    <row r="8265" spans="26:26">
      <c r="Z8265" s="371"/>
    </row>
    <row r="8266" spans="26:26">
      <c r="Z8266" s="371"/>
    </row>
    <row r="8267" spans="26:26">
      <c r="Z8267" s="371"/>
    </row>
    <row r="8268" spans="26:26">
      <c r="Z8268" s="371"/>
    </row>
    <row r="8269" spans="26:26">
      <c r="Z8269" s="371"/>
    </row>
    <row r="8270" spans="26:26">
      <c r="Z8270" s="371"/>
    </row>
    <row r="8271" spans="26:26">
      <c r="Z8271" s="371"/>
    </row>
    <row r="8272" spans="26:26">
      <c r="Z8272" s="371"/>
    </row>
    <row r="8273" spans="26:26">
      <c r="Z8273" s="371"/>
    </row>
    <row r="8274" spans="26:26">
      <c r="Z8274" s="371"/>
    </row>
    <row r="8275" spans="26:26">
      <c r="Z8275" s="371"/>
    </row>
    <row r="8276" spans="26:26">
      <c r="Z8276" s="371"/>
    </row>
    <row r="8277" spans="26:26">
      <c r="Z8277" s="371"/>
    </row>
    <row r="8278" spans="26:26">
      <c r="Z8278" s="371"/>
    </row>
    <row r="8279" spans="26:26">
      <c r="Z8279" s="371"/>
    </row>
    <row r="8280" spans="26:26">
      <c r="Z8280" s="371"/>
    </row>
    <row r="8281" spans="26:26">
      <c r="Z8281" s="371"/>
    </row>
    <row r="8282" spans="26:26">
      <c r="Z8282" s="371"/>
    </row>
    <row r="8283" spans="26:26">
      <c r="Z8283" s="371"/>
    </row>
    <row r="8284" spans="26:26">
      <c r="Z8284" s="371"/>
    </row>
    <row r="8285" spans="26:26">
      <c r="Z8285" s="371"/>
    </row>
    <row r="8286" spans="26:26">
      <c r="Z8286" s="371"/>
    </row>
    <row r="8287" spans="26:26">
      <c r="Z8287" s="371"/>
    </row>
    <row r="8288" spans="26:26">
      <c r="Z8288" s="371"/>
    </row>
    <row r="8289" spans="26:26">
      <c r="Z8289" s="371"/>
    </row>
    <row r="8290" spans="26:26">
      <c r="Z8290" s="371"/>
    </row>
    <row r="8291" spans="26:26">
      <c r="Z8291" s="371"/>
    </row>
    <row r="8292" spans="26:26">
      <c r="Z8292" s="371"/>
    </row>
    <row r="8293" spans="26:26">
      <c r="Z8293" s="371"/>
    </row>
    <row r="8294" spans="26:26">
      <c r="Z8294" s="371"/>
    </row>
    <row r="8295" spans="26:26">
      <c r="Z8295" s="371"/>
    </row>
    <row r="8296" spans="26:26">
      <c r="Z8296" s="371"/>
    </row>
    <row r="8297" spans="26:26">
      <c r="Z8297" s="371"/>
    </row>
    <row r="8298" spans="26:26">
      <c r="Z8298" s="371"/>
    </row>
    <row r="8299" spans="26:26">
      <c r="Z8299" s="371"/>
    </row>
    <row r="8300" spans="26:26">
      <c r="Z8300" s="371"/>
    </row>
    <row r="8301" spans="26:26">
      <c r="Z8301" s="371"/>
    </row>
    <row r="8302" spans="26:26">
      <c r="Z8302" s="371"/>
    </row>
    <row r="8303" spans="26:26">
      <c r="Z8303" s="371"/>
    </row>
    <row r="8304" spans="26:26">
      <c r="Z8304" s="371"/>
    </row>
    <row r="8305" spans="26:26">
      <c r="Z8305" s="371"/>
    </row>
    <row r="8306" spans="26:26">
      <c r="Z8306" s="371"/>
    </row>
    <row r="8307" spans="26:26">
      <c r="Z8307" s="371"/>
    </row>
    <row r="8308" spans="26:26">
      <c r="Z8308" s="371"/>
    </row>
    <row r="8309" spans="26:26">
      <c r="Z8309" s="371"/>
    </row>
    <row r="8310" spans="26:26">
      <c r="Z8310" s="371"/>
    </row>
    <row r="8311" spans="26:26">
      <c r="Z8311" s="371"/>
    </row>
    <row r="8312" spans="26:26">
      <c r="Z8312" s="371"/>
    </row>
    <row r="8313" spans="26:26">
      <c r="Z8313" s="371"/>
    </row>
    <row r="8314" spans="26:26">
      <c r="Z8314" s="371"/>
    </row>
    <row r="8315" spans="26:26">
      <c r="Z8315" s="371"/>
    </row>
    <row r="8316" spans="26:26">
      <c r="Z8316" s="371"/>
    </row>
    <row r="8317" spans="26:26">
      <c r="Z8317" s="371"/>
    </row>
    <row r="8318" spans="26:26">
      <c r="Z8318" s="371"/>
    </row>
    <row r="8319" spans="26:26">
      <c r="Z8319" s="371"/>
    </row>
    <row r="8320" spans="26:26">
      <c r="Z8320" s="371"/>
    </row>
    <row r="8321" spans="26:26">
      <c r="Z8321" s="371"/>
    </row>
    <row r="8322" spans="26:26">
      <c r="Z8322" s="371"/>
    </row>
    <row r="8323" spans="26:26">
      <c r="Z8323" s="371"/>
    </row>
    <row r="8324" spans="26:26">
      <c r="Z8324" s="371"/>
    </row>
    <row r="8325" spans="26:26">
      <c r="Z8325" s="371"/>
    </row>
    <row r="8326" spans="26:26">
      <c r="Z8326" s="371"/>
    </row>
    <row r="8327" spans="26:26">
      <c r="Z8327" s="371"/>
    </row>
    <row r="8328" spans="26:26">
      <c r="Z8328" s="371"/>
    </row>
    <row r="8329" spans="26:26">
      <c r="Z8329" s="371"/>
    </row>
    <row r="8330" spans="26:26">
      <c r="Z8330" s="371"/>
    </row>
    <row r="8331" spans="26:26">
      <c r="Z8331" s="371"/>
    </row>
    <row r="8332" spans="26:26">
      <c r="Z8332" s="371"/>
    </row>
    <row r="8333" spans="26:26">
      <c r="Z8333" s="371"/>
    </row>
    <row r="8334" spans="26:26">
      <c r="Z8334" s="371"/>
    </row>
    <row r="8335" spans="26:26">
      <c r="Z8335" s="371"/>
    </row>
    <row r="8336" spans="26:26">
      <c r="Z8336" s="371"/>
    </row>
    <row r="8337" spans="26:26">
      <c r="Z8337" s="371"/>
    </row>
    <row r="8338" spans="26:26">
      <c r="Z8338" s="371"/>
    </row>
    <row r="8339" spans="26:26">
      <c r="Z8339" s="371"/>
    </row>
    <row r="8340" spans="26:26">
      <c r="Z8340" s="371"/>
    </row>
    <row r="8341" spans="26:26">
      <c r="Z8341" s="371"/>
    </row>
    <row r="8342" spans="26:26">
      <c r="Z8342" s="371"/>
    </row>
    <row r="8343" spans="26:26">
      <c r="Z8343" s="371"/>
    </row>
    <row r="8344" spans="26:26">
      <c r="Z8344" s="371"/>
    </row>
    <row r="8345" spans="26:26">
      <c r="Z8345" s="371"/>
    </row>
    <row r="8346" spans="26:26">
      <c r="Z8346" s="371"/>
    </row>
    <row r="8347" spans="26:26">
      <c r="Z8347" s="371"/>
    </row>
    <row r="8348" spans="26:26">
      <c r="Z8348" s="371"/>
    </row>
    <row r="8349" spans="26:26">
      <c r="Z8349" s="371"/>
    </row>
    <row r="8350" spans="26:26">
      <c r="Z8350" s="371"/>
    </row>
    <row r="8351" spans="26:26">
      <c r="Z8351" s="371"/>
    </row>
    <row r="8352" spans="26:26">
      <c r="Z8352" s="371"/>
    </row>
    <row r="8353" spans="26:26">
      <c r="Z8353" s="371"/>
    </row>
    <row r="8354" spans="26:26">
      <c r="Z8354" s="371"/>
    </row>
    <row r="8355" spans="26:26">
      <c r="Z8355" s="371"/>
    </row>
    <row r="8356" spans="26:26">
      <c r="Z8356" s="371"/>
    </row>
    <row r="8357" spans="26:26">
      <c r="Z8357" s="371"/>
    </row>
    <row r="8358" spans="26:26">
      <c r="Z8358" s="371"/>
    </row>
    <row r="8359" spans="26:26">
      <c r="Z8359" s="371"/>
    </row>
    <row r="8360" spans="26:26">
      <c r="Z8360" s="371"/>
    </row>
    <row r="8361" spans="26:26">
      <c r="Z8361" s="371"/>
    </row>
    <row r="8362" spans="26:26">
      <c r="Z8362" s="371"/>
    </row>
    <row r="8363" spans="26:26">
      <c r="Z8363" s="371"/>
    </row>
    <row r="8364" spans="26:26">
      <c r="Z8364" s="371"/>
    </row>
    <row r="8365" spans="26:26">
      <c r="Z8365" s="371"/>
    </row>
    <row r="8366" spans="26:26">
      <c r="Z8366" s="371"/>
    </row>
    <row r="8367" spans="26:26">
      <c r="Z8367" s="371"/>
    </row>
    <row r="8368" spans="26:26">
      <c r="Z8368" s="371"/>
    </row>
    <row r="8369" spans="26:26">
      <c r="Z8369" s="371"/>
    </row>
    <row r="8370" spans="26:26">
      <c r="Z8370" s="371"/>
    </row>
    <row r="8371" spans="26:26">
      <c r="Z8371" s="371"/>
    </row>
    <row r="8372" spans="26:26">
      <c r="Z8372" s="371"/>
    </row>
    <row r="8373" spans="26:26">
      <c r="Z8373" s="371"/>
    </row>
    <row r="8374" spans="26:26">
      <c r="Z8374" s="371"/>
    </row>
    <row r="8375" spans="26:26">
      <c r="Z8375" s="371"/>
    </row>
    <row r="8376" spans="26:26">
      <c r="Z8376" s="371"/>
    </row>
    <row r="8377" spans="26:26">
      <c r="Z8377" s="371"/>
    </row>
    <row r="8378" spans="26:26">
      <c r="Z8378" s="371"/>
    </row>
    <row r="8379" spans="26:26">
      <c r="Z8379" s="371"/>
    </row>
    <row r="8380" spans="26:26">
      <c r="Z8380" s="371"/>
    </row>
    <row r="8381" spans="26:26">
      <c r="Z8381" s="371"/>
    </row>
    <row r="8382" spans="26:26">
      <c r="Z8382" s="371"/>
    </row>
    <row r="8383" spans="26:26">
      <c r="Z8383" s="371"/>
    </row>
    <row r="8384" spans="26:26">
      <c r="Z8384" s="371"/>
    </row>
    <row r="8385" spans="26:26">
      <c r="Z8385" s="371"/>
    </row>
    <row r="8386" spans="26:26">
      <c r="Z8386" s="371"/>
    </row>
    <row r="8387" spans="26:26">
      <c r="Z8387" s="371"/>
    </row>
    <row r="8388" spans="26:26">
      <c r="Z8388" s="371"/>
    </row>
    <row r="8389" spans="26:26">
      <c r="Z8389" s="371"/>
    </row>
    <row r="8390" spans="26:26">
      <c r="Z8390" s="371"/>
    </row>
    <row r="8391" spans="26:26">
      <c r="Z8391" s="371"/>
    </row>
    <row r="8392" spans="26:26">
      <c r="Z8392" s="371"/>
    </row>
    <row r="8393" spans="26:26">
      <c r="Z8393" s="371"/>
    </row>
    <row r="8394" spans="26:26">
      <c r="Z8394" s="371"/>
    </row>
    <row r="8395" spans="26:26">
      <c r="Z8395" s="371"/>
    </row>
    <row r="8396" spans="26:26">
      <c r="Z8396" s="371"/>
    </row>
    <row r="8397" spans="26:26">
      <c r="Z8397" s="371"/>
    </row>
    <row r="8398" spans="26:26">
      <c r="Z8398" s="371"/>
    </row>
    <row r="8399" spans="26:26">
      <c r="Z8399" s="371"/>
    </row>
    <row r="8400" spans="26:26">
      <c r="Z8400" s="371"/>
    </row>
    <row r="8401" spans="26:26">
      <c r="Z8401" s="371"/>
    </row>
    <row r="8402" spans="26:26">
      <c r="Z8402" s="371"/>
    </row>
    <row r="8403" spans="26:26">
      <c r="Z8403" s="371"/>
    </row>
    <row r="8404" spans="26:26">
      <c r="Z8404" s="371"/>
    </row>
    <row r="8405" spans="26:26">
      <c r="Z8405" s="371"/>
    </row>
    <row r="8406" spans="26:26">
      <c r="Z8406" s="371"/>
    </row>
    <row r="8407" spans="26:26">
      <c r="Z8407" s="371"/>
    </row>
    <row r="8408" spans="26:26">
      <c r="Z8408" s="371"/>
    </row>
    <row r="8409" spans="26:26">
      <c r="Z8409" s="371"/>
    </row>
    <row r="8410" spans="26:26">
      <c r="Z8410" s="371"/>
    </row>
    <row r="8411" spans="26:26">
      <c r="Z8411" s="371"/>
    </row>
    <row r="8412" spans="26:26">
      <c r="Z8412" s="371"/>
    </row>
    <row r="8413" spans="26:26">
      <c r="Z8413" s="371"/>
    </row>
    <row r="8414" spans="26:26">
      <c r="Z8414" s="371"/>
    </row>
    <row r="8415" spans="26:26">
      <c r="Z8415" s="371"/>
    </row>
    <row r="8416" spans="26:26">
      <c r="Z8416" s="371"/>
    </row>
    <row r="8417" spans="26:26">
      <c r="Z8417" s="371"/>
    </row>
    <row r="8418" spans="26:26">
      <c r="Z8418" s="371"/>
    </row>
    <row r="8419" spans="26:26">
      <c r="Z8419" s="371"/>
    </row>
    <row r="8420" spans="26:26">
      <c r="Z8420" s="371"/>
    </row>
    <row r="8421" spans="26:26">
      <c r="Z8421" s="371"/>
    </row>
    <row r="8422" spans="26:26">
      <c r="Z8422" s="371"/>
    </row>
    <row r="8423" spans="26:26">
      <c r="Z8423" s="371"/>
    </row>
    <row r="8424" spans="26:26">
      <c r="Z8424" s="371"/>
    </row>
    <row r="8425" spans="26:26">
      <c r="Z8425" s="371"/>
    </row>
    <row r="8426" spans="26:26">
      <c r="Z8426" s="371"/>
    </row>
    <row r="8427" spans="26:26">
      <c r="Z8427" s="371"/>
    </row>
    <row r="8428" spans="26:26">
      <c r="Z8428" s="371"/>
    </row>
    <row r="8429" spans="26:26">
      <c r="Z8429" s="371"/>
    </row>
    <row r="8430" spans="26:26">
      <c r="Z8430" s="371"/>
    </row>
    <row r="8431" spans="26:26">
      <c r="Z8431" s="371"/>
    </row>
    <row r="8432" spans="26:26">
      <c r="Z8432" s="371"/>
    </row>
    <row r="8433" spans="26:26">
      <c r="Z8433" s="371"/>
    </row>
    <row r="8434" spans="26:26">
      <c r="Z8434" s="371"/>
    </row>
    <row r="8435" spans="26:26">
      <c r="Z8435" s="371"/>
    </row>
    <row r="8436" spans="26:26">
      <c r="Z8436" s="371"/>
    </row>
    <row r="8437" spans="26:26">
      <c r="Z8437" s="371"/>
    </row>
    <row r="8438" spans="26:26">
      <c r="Z8438" s="371"/>
    </row>
    <row r="8439" spans="26:26">
      <c r="Z8439" s="371"/>
    </row>
    <row r="8440" spans="26:26">
      <c r="Z8440" s="371"/>
    </row>
    <row r="8441" spans="26:26">
      <c r="Z8441" s="371"/>
    </row>
    <row r="8442" spans="26:26">
      <c r="Z8442" s="371"/>
    </row>
    <row r="8443" spans="26:26">
      <c r="Z8443" s="371"/>
    </row>
    <row r="8444" spans="26:26">
      <c r="Z8444" s="371"/>
    </row>
    <row r="8445" spans="26:26">
      <c r="Z8445" s="371"/>
    </row>
    <row r="8446" spans="26:26">
      <c r="Z8446" s="371"/>
    </row>
    <row r="8447" spans="26:26">
      <c r="Z8447" s="371"/>
    </row>
    <row r="8448" spans="26:26">
      <c r="Z8448" s="371"/>
    </row>
    <row r="8449" spans="26:26">
      <c r="Z8449" s="371"/>
    </row>
    <row r="8450" spans="26:26">
      <c r="Z8450" s="371"/>
    </row>
    <row r="8451" spans="26:26">
      <c r="Z8451" s="371"/>
    </row>
    <row r="8452" spans="26:26">
      <c r="Z8452" s="371"/>
    </row>
    <row r="8453" spans="26:26">
      <c r="Z8453" s="371"/>
    </row>
    <row r="8454" spans="26:26">
      <c r="Z8454" s="371"/>
    </row>
    <row r="8455" spans="26:26">
      <c r="Z8455" s="371"/>
    </row>
    <row r="8456" spans="26:26">
      <c r="Z8456" s="371"/>
    </row>
    <row r="8457" spans="26:26">
      <c r="Z8457" s="371"/>
    </row>
    <row r="8458" spans="26:26">
      <c r="Z8458" s="371"/>
    </row>
    <row r="8459" spans="26:26">
      <c r="Z8459" s="371"/>
    </row>
    <row r="8460" spans="26:26">
      <c r="Z8460" s="371"/>
    </row>
    <row r="8461" spans="26:26">
      <c r="Z8461" s="371"/>
    </row>
    <row r="8462" spans="26:26">
      <c r="Z8462" s="371"/>
    </row>
    <row r="8463" spans="26:26">
      <c r="Z8463" s="371"/>
    </row>
    <row r="8464" spans="26:26">
      <c r="Z8464" s="371"/>
    </row>
    <row r="8465" spans="26:26">
      <c r="Z8465" s="371"/>
    </row>
    <row r="8466" spans="26:26">
      <c r="Z8466" s="371"/>
    </row>
    <row r="8467" spans="26:26">
      <c r="Z8467" s="371"/>
    </row>
    <row r="8468" spans="26:26">
      <c r="Z8468" s="371"/>
    </row>
    <row r="8469" spans="26:26">
      <c r="Z8469" s="371"/>
    </row>
    <row r="8470" spans="26:26">
      <c r="Z8470" s="371"/>
    </row>
    <row r="8471" spans="26:26">
      <c r="Z8471" s="371"/>
    </row>
    <row r="8472" spans="26:26">
      <c r="Z8472" s="371"/>
    </row>
    <row r="8473" spans="26:26">
      <c r="Z8473" s="371"/>
    </row>
    <row r="8474" spans="26:26">
      <c r="Z8474" s="371"/>
    </row>
    <row r="8475" spans="26:26">
      <c r="Z8475" s="371"/>
    </row>
    <row r="8476" spans="26:26">
      <c r="Z8476" s="371"/>
    </row>
    <row r="8477" spans="26:26">
      <c r="Z8477" s="371"/>
    </row>
    <row r="8478" spans="26:26">
      <c r="Z8478" s="371"/>
    </row>
    <row r="8479" spans="26:26">
      <c r="Z8479" s="371"/>
    </row>
    <row r="8480" spans="26:26">
      <c r="Z8480" s="371"/>
    </row>
    <row r="8481" spans="26:26">
      <c r="Z8481" s="371"/>
    </row>
    <row r="8482" spans="26:26">
      <c r="Z8482" s="371"/>
    </row>
    <row r="8483" spans="26:26">
      <c r="Z8483" s="371"/>
    </row>
    <row r="8484" spans="26:26">
      <c r="Z8484" s="371"/>
    </row>
    <row r="8485" spans="26:26">
      <c r="Z8485" s="371"/>
    </row>
    <row r="8486" spans="26:26">
      <c r="Z8486" s="371"/>
    </row>
    <row r="8487" spans="26:26">
      <c r="Z8487" s="371"/>
    </row>
    <row r="8488" spans="26:26">
      <c r="Z8488" s="371"/>
    </row>
    <row r="8489" spans="26:26">
      <c r="Z8489" s="371"/>
    </row>
    <row r="8490" spans="26:26">
      <c r="Z8490" s="371"/>
    </row>
    <row r="8491" spans="26:26">
      <c r="Z8491" s="371"/>
    </row>
    <row r="8492" spans="26:26">
      <c r="Z8492" s="371"/>
    </row>
    <row r="8493" spans="26:26">
      <c r="Z8493" s="371"/>
    </row>
    <row r="8494" spans="26:26">
      <c r="Z8494" s="371"/>
    </row>
    <row r="8495" spans="26:26">
      <c r="Z8495" s="371"/>
    </row>
    <row r="8496" spans="26:26">
      <c r="Z8496" s="371"/>
    </row>
    <row r="8497" spans="26:26">
      <c r="Z8497" s="371"/>
    </row>
    <row r="8498" spans="26:26">
      <c r="Z8498" s="371"/>
    </row>
    <row r="8499" spans="26:26">
      <c r="Z8499" s="371"/>
    </row>
    <row r="8500" spans="26:26">
      <c r="Z8500" s="371"/>
    </row>
    <row r="8501" spans="26:26">
      <c r="Z8501" s="371"/>
    </row>
    <row r="8502" spans="26:26">
      <c r="Z8502" s="371"/>
    </row>
    <row r="8503" spans="26:26">
      <c r="Z8503" s="371"/>
    </row>
    <row r="8504" spans="26:26">
      <c r="Z8504" s="371"/>
    </row>
    <row r="8505" spans="26:26">
      <c r="Z8505" s="371"/>
    </row>
    <row r="8506" spans="26:26">
      <c r="Z8506" s="371"/>
    </row>
    <row r="8507" spans="26:26">
      <c r="Z8507" s="371"/>
    </row>
    <row r="8508" spans="26:26">
      <c r="Z8508" s="371"/>
    </row>
    <row r="8509" spans="26:26">
      <c r="Z8509" s="371"/>
    </row>
    <row r="8510" spans="26:26">
      <c r="Z8510" s="371"/>
    </row>
    <row r="8511" spans="26:26">
      <c r="Z8511" s="371"/>
    </row>
    <row r="8512" spans="26:26">
      <c r="Z8512" s="371"/>
    </row>
    <row r="8513" spans="26:26">
      <c r="Z8513" s="371"/>
    </row>
    <row r="8514" spans="26:26">
      <c r="Z8514" s="371"/>
    </row>
    <row r="8515" spans="26:26">
      <c r="Z8515" s="371"/>
    </row>
    <row r="8516" spans="26:26">
      <c r="Z8516" s="371"/>
    </row>
    <row r="8517" spans="26:26">
      <c r="Z8517" s="371"/>
    </row>
    <row r="8518" spans="26:26">
      <c r="Z8518" s="371"/>
    </row>
    <row r="8519" spans="26:26">
      <c r="Z8519" s="371"/>
    </row>
    <row r="8520" spans="26:26">
      <c r="Z8520" s="371"/>
    </row>
    <row r="8521" spans="26:26">
      <c r="Z8521" s="371"/>
    </row>
    <row r="8522" spans="26:26">
      <c r="Z8522" s="371"/>
    </row>
    <row r="8523" spans="26:26">
      <c r="Z8523" s="371"/>
    </row>
    <row r="8524" spans="26:26">
      <c r="Z8524" s="371"/>
    </row>
    <row r="8525" spans="26:26">
      <c r="Z8525" s="371"/>
    </row>
    <row r="8526" spans="26:26">
      <c r="Z8526" s="371"/>
    </row>
    <row r="8527" spans="26:26">
      <c r="Z8527" s="371"/>
    </row>
    <row r="8528" spans="26:26">
      <c r="Z8528" s="371"/>
    </row>
    <row r="8529" spans="26:26">
      <c r="Z8529" s="371"/>
    </row>
    <row r="8530" spans="26:26">
      <c r="Z8530" s="371"/>
    </row>
    <row r="8531" spans="26:26">
      <c r="Z8531" s="371"/>
    </row>
    <row r="8532" spans="26:26">
      <c r="Z8532" s="371"/>
    </row>
    <row r="8533" spans="26:26">
      <c r="Z8533" s="371"/>
    </row>
    <row r="8534" spans="26:26">
      <c r="Z8534" s="371"/>
    </row>
    <row r="8535" spans="26:26">
      <c r="Z8535" s="371"/>
    </row>
    <row r="8536" spans="26:26">
      <c r="Z8536" s="371"/>
    </row>
    <row r="8537" spans="26:26">
      <c r="Z8537" s="371"/>
    </row>
    <row r="8538" spans="26:26">
      <c r="Z8538" s="371"/>
    </row>
    <row r="8539" spans="26:26">
      <c r="Z8539" s="371"/>
    </row>
    <row r="8540" spans="26:26">
      <c r="Z8540" s="371"/>
    </row>
    <row r="8541" spans="26:26">
      <c r="Z8541" s="371"/>
    </row>
    <row r="8542" spans="26:26">
      <c r="Z8542" s="371"/>
    </row>
    <row r="8543" spans="26:26">
      <c r="Z8543" s="371"/>
    </row>
    <row r="8544" spans="26:26">
      <c r="Z8544" s="371"/>
    </row>
    <row r="8545" spans="26:26">
      <c r="Z8545" s="371"/>
    </row>
    <row r="8546" spans="26:26">
      <c r="Z8546" s="371"/>
    </row>
    <row r="8547" spans="26:26">
      <c r="Z8547" s="371"/>
    </row>
    <row r="8548" spans="26:26">
      <c r="Z8548" s="371"/>
    </row>
    <row r="8549" spans="26:26">
      <c r="Z8549" s="371"/>
    </row>
    <row r="8550" spans="26:26">
      <c r="Z8550" s="371"/>
    </row>
    <row r="8551" spans="26:26">
      <c r="Z8551" s="371"/>
    </row>
    <row r="8552" spans="26:26">
      <c r="Z8552" s="371"/>
    </row>
    <row r="8553" spans="26:26">
      <c r="Z8553" s="371"/>
    </row>
    <row r="8554" spans="26:26">
      <c r="Z8554" s="371"/>
    </row>
    <row r="8555" spans="26:26">
      <c r="Z8555" s="371"/>
    </row>
    <row r="8556" spans="26:26">
      <c r="Z8556" s="371"/>
    </row>
    <row r="8557" spans="26:26">
      <c r="Z8557" s="371"/>
    </row>
    <row r="8558" spans="26:26">
      <c r="Z8558" s="371"/>
    </row>
    <row r="8559" spans="26:26">
      <c r="Z8559" s="371"/>
    </row>
    <row r="8560" spans="26:26">
      <c r="Z8560" s="371"/>
    </row>
    <row r="8561" spans="26:26">
      <c r="Z8561" s="371"/>
    </row>
    <row r="8562" spans="26:26">
      <c r="Z8562" s="371"/>
    </row>
    <row r="8563" spans="26:26">
      <c r="Z8563" s="371"/>
    </row>
    <row r="8564" spans="26:26">
      <c r="Z8564" s="371"/>
    </row>
    <row r="8565" spans="26:26">
      <c r="Z8565" s="371"/>
    </row>
    <row r="8566" spans="26:26">
      <c r="Z8566" s="371"/>
    </row>
    <row r="8567" spans="26:26">
      <c r="Z8567" s="371"/>
    </row>
    <row r="8568" spans="26:26">
      <c r="Z8568" s="371"/>
    </row>
    <row r="8569" spans="26:26">
      <c r="Z8569" s="371"/>
    </row>
    <row r="8570" spans="26:26">
      <c r="Z8570" s="371"/>
    </row>
    <row r="8571" spans="26:26">
      <c r="Z8571" s="371"/>
    </row>
    <row r="8572" spans="26:26">
      <c r="Z8572" s="371"/>
    </row>
    <row r="8573" spans="26:26">
      <c r="Z8573" s="371"/>
    </row>
    <row r="8574" spans="26:26">
      <c r="Z8574" s="371"/>
    </row>
    <row r="8575" spans="26:26">
      <c r="Z8575" s="371"/>
    </row>
    <row r="8576" spans="26:26">
      <c r="Z8576" s="371"/>
    </row>
    <row r="8577" spans="26:26">
      <c r="Z8577" s="371"/>
    </row>
    <row r="8578" spans="26:26">
      <c r="Z8578" s="371"/>
    </row>
    <row r="8579" spans="26:26">
      <c r="Z8579" s="371"/>
    </row>
    <row r="8580" spans="26:26">
      <c r="Z8580" s="371"/>
    </row>
    <row r="8581" spans="26:26">
      <c r="Z8581" s="371"/>
    </row>
    <row r="8582" spans="26:26">
      <c r="Z8582" s="371"/>
    </row>
    <row r="8583" spans="26:26">
      <c r="Z8583" s="371"/>
    </row>
    <row r="8584" spans="26:26">
      <c r="Z8584" s="371"/>
    </row>
    <row r="8585" spans="26:26">
      <c r="Z8585" s="371"/>
    </row>
    <row r="8586" spans="26:26">
      <c r="Z8586" s="371"/>
    </row>
    <row r="8587" spans="26:26">
      <c r="Z8587" s="371"/>
    </row>
    <row r="8588" spans="26:26">
      <c r="Z8588" s="371"/>
    </row>
    <row r="8589" spans="26:26">
      <c r="Z8589" s="371"/>
    </row>
    <row r="8590" spans="26:26">
      <c r="Z8590" s="371"/>
    </row>
    <row r="8591" spans="26:26">
      <c r="Z8591" s="371"/>
    </row>
    <row r="8592" spans="26:26">
      <c r="Z8592" s="371"/>
    </row>
    <row r="8593" spans="26:26">
      <c r="Z8593" s="371"/>
    </row>
    <row r="8594" spans="26:26">
      <c r="Z8594" s="371"/>
    </row>
    <row r="8595" spans="26:26">
      <c r="Z8595" s="371"/>
    </row>
    <row r="8596" spans="26:26">
      <c r="Z8596" s="371"/>
    </row>
    <row r="8597" spans="26:26">
      <c r="Z8597" s="371"/>
    </row>
    <row r="8598" spans="26:26">
      <c r="Z8598" s="371"/>
    </row>
    <row r="8599" spans="26:26">
      <c r="Z8599" s="371"/>
    </row>
    <row r="8600" spans="26:26">
      <c r="Z8600" s="371"/>
    </row>
    <row r="8601" spans="26:26">
      <c r="Z8601" s="371"/>
    </row>
    <row r="8602" spans="26:26">
      <c r="Z8602" s="371"/>
    </row>
    <row r="8603" spans="26:26">
      <c r="Z8603" s="371"/>
    </row>
    <row r="8604" spans="26:26">
      <c r="Z8604" s="371"/>
    </row>
    <row r="8605" spans="26:26">
      <c r="Z8605" s="371"/>
    </row>
    <row r="8606" spans="26:26">
      <c r="Z8606" s="371"/>
    </row>
    <row r="8607" spans="26:26">
      <c r="Z8607" s="371"/>
    </row>
    <row r="8608" spans="26:26">
      <c r="Z8608" s="371"/>
    </row>
    <row r="8609" spans="26:26">
      <c r="Z8609" s="371"/>
    </row>
    <row r="8610" spans="26:26">
      <c r="Z8610" s="371"/>
    </row>
    <row r="8611" spans="26:26">
      <c r="Z8611" s="371"/>
    </row>
    <row r="8612" spans="26:26">
      <c r="Z8612" s="371"/>
    </row>
    <row r="8613" spans="26:26">
      <c r="Z8613" s="371"/>
    </row>
    <row r="8614" spans="26:26">
      <c r="Z8614" s="371"/>
    </row>
    <row r="8615" spans="26:26">
      <c r="Z8615" s="371"/>
    </row>
    <row r="8616" spans="26:26">
      <c r="Z8616" s="371"/>
    </row>
    <row r="8617" spans="26:26">
      <c r="Z8617" s="371"/>
    </row>
    <row r="8618" spans="26:26">
      <c r="Z8618" s="371"/>
    </row>
    <row r="8619" spans="26:26">
      <c r="Z8619" s="371"/>
    </row>
    <row r="8620" spans="26:26">
      <c r="Z8620" s="371"/>
    </row>
    <row r="8621" spans="26:26">
      <c r="Z8621" s="371"/>
    </row>
    <row r="8622" spans="26:26">
      <c r="Z8622" s="371"/>
    </row>
    <row r="8623" spans="26:26">
      <c r="Z8623" s="371"/>
    </row>
    <row r="8624" spans="26:26">
      <c r="Z8624" s="371"/>
    </row>
    <row r="8625" spans="26:26">
      <c r="Z8625" s="371"/>
    </row>
    <row r="8626" spans="26:26">
      <c r="Z8626" s="371"/>
    </row>
    <row r="8627" spans="26:26">
      <c r="Z8627" s="371"/>
    </row>
    <row r="8628" spans="26:26">
      <c r="Z8628" s="371"/>
    </row>
    <row r="8629" spans="26:26">
      <c r="Z8629" s="371"/>
    </row>
    <row r="8630" spans="26:26">
      <c r="Z8630" s="371"/>
    </row>
    <row r="8631" spans="26:26">
      <c r="Z8631" s="371"/>
    </row>
    <row r="8632" spans="26:26">
      <c r="Z8632" s="371"/>
    </row>
    <row r="8633" spans="26:26">
      <c r="Z8633" s="371"/>
    </row>
    <row r="8634" spans="26:26">
      <c r="Z8634" s="371"/>
    </row>
    <row r="8635" spans="26:26">
      <c r="Z8635" s="371"/>
    </row>
    <row r="8636" spans="26:26">
      <c r="Z8636" s="371"/>
    </row>
    <row r="8637" spans="26:26">
      <c r="Z8637" s="371"/>
    </row>
    <row r="8638" spans="26:26">
      <c r="Z8638" s="371"/>
    </row>
    <row r="8639" spans="26:26">
      <c r="Z8639" s="371"/>
    </row>
    <row r="8640" spans="26:26">
      <c r="Z8640" s="371"/>
    </row>
    <row r="8641" spans="26:26">
      <c r="Z8641" s="371"/>
    </row>
    <row r="8642" spans="26:26">
      <c r="Z8642" s="371"/>
    </row>
    <row r="8643" spans="26:26">
      <c r="Z8643" s="371"/>
    </row>
    <row r="8644" spans="26:26">
      <c r="Z8644" s="371"/>
    </row>
    <row r="8645" spans="26:26">
      <c r="Z8645" s="371"/>
    </row>
    <row r="8646" spans="26:26">
      <c r="Z8646" s="371"/>
    </row>
    <row r="8647" spans="26:26">
      <c r="Z8647" s="371"/>
    </row>
    <row r="8648" spans="26:26">
      <c r="Z8648" s="371"/>
    </row>
    <row r="8649" spans="26:26">
      <c r="Z8649" s="371"/>
    </row>
    <row r="8650" spans="26:26">
      <c r="Z8650" s="371"/>
    </row>
    <row r="8651" spans="26:26">
      <c r="Z8651" s="371"/>
    </row>
    <row r="8652" spans="26:26">
      <c r="Z8652" s="371"/>
    </row>
    <row r="8653" spans="26:26">
      <c r="Z8653" s="371"/>
    </row>
    <row r="8654" spans="26:26">
      <c r="Z8654" s="371"/>
    </row>
    <row r="8655" spans="26:26">
      <c r="Z8655" s="371"/>
    </row>
    <row r="8656" spans="26:26">
      <c r="Z8656" s="371"/>
    </row>
    <row r="8657" spans="26:26">
      <c r="Z8657" s="371"/>
    </row>
    <row r="8658" spans="26:26">
      <c r="Z8658" s="371"/>
    </row>
    <row r="8659" spans="26:26">
      <c r="Z8659" s="371"/>
    </row>
    <row r="8660" spans="26:26">
      <c r="Z8660" s="371"/>
    </row>
    <row r="8661" spans="26:26">
      <c r="Z8661" s="371"/>
    </row>
    <row r="8662" spans="26:26">
      <c r="Z8662" s="371"/>
    </row>
    <row r="8663" spans="26:26">
      <c r="Z8663" s="371"/>
    </row>
    <row r="8664" spans="26:26">
      <c r="Z8664" s="371"/>
    </row>
    <row r="8665" spans="26:26">
      <c r="Z8665" s="371"/>
    </row>
    <row r="8666" spans="26:26">
      <c r="Z8666" s="371"/>
    </row>
    <row r="8667" spans="26:26">
      <c r="Z8667" s="371"/>
    </row>
    <row r="8668" spans="26:26">
      <c r="Z8668" s="371"/>
    </row>
    <row r="8669" spans="26:26">
      <c r="Z8669" s="371"/>
    </row>
    <row r="8670" spans="26:26">
      <c r="Z8670" s="371"/>
    </row>
    <row r="8671" spans="26:26">
      <c r="Z8671" s="371"/>
    </row>
    <row r="8672" spans="26:26">
      <c r="Z8672" s="371"/>
    </row>
    <row r="8673" spans="26:26">
      <c r="Z8673" s="371"/>
    </row>
    <row r="8674" spans="26:26">
      <c r="Z8674" s="371"/>
    </row>
    <row r="8675" spans="26:26">
      <c r="Z8675" s="371"/>
    </row>
    <row r="8676" spans="26:26">
      <c r="Z8676" s="371"/>
    </row>
    <row r="8677" spans="26:26">
      <c r="Z8677" s="371"/>
    </row>
    <row r="8678" spans="26:26">
      <c r="Z8678" s="371"/>
    </row>
    <row r="8679" spans="26:26">
      <c r="Z8679" s="371"/>
    </row>
    <row r="8680" spans="26:26">
      <c r="Z8680" s="371"/>
    </row>
    <row r="8681" spans="26:26">
      <c r="Z8681" s="371"/>
    </row>
    <row r="8682" spans="26:26">
      <c r="Z8682" s="371"/>
    </row>
    <row r="8683" spans="26:26">
      <c r="Z8683" s="371"/>
    </row>
    <row r="8684" spans="26:26">
      <c r="Z8684" s="371"/>
    </row>
    <row r="8685" spans="26:26">
      <c r="Z8685" s="371"/>
    </row>
    <row r="8686" spans="26:26">
      <c r="Z8686" s="371"/>
    </row>
    <row r="8687" spans="26:26">
      <c r="Z8687" s="371"/>
    </row>
    <row r="8688" spans="26:26">
      <c r="Z8688" s="371"/>
    </row>
    <row r="8689" spans="26:26">
      <c r="Z8689" s="371"/>
    </row>
    <row r="8690" spans="26:26">
      <c r="Z8690" s="371"/>
    </row>
    <row r="8691" spans="26:26">
      <c r="Z8691" s="371"/>
    </row>
    <row r="8692" spans="26:26">
      <c r="Z8692" s="371"/>
    </row>
    <row r="8693" spans="26:26">
      <c r="Z8693" s="371"/>
    </row>
    <row r="8694" spans="26:26">
      <c r="Z8694" s="371"/>
    </row>
    <row r="8695" spans="26:26">
      <c r="Z8695" s="371"/>
    </row>
    <row r="8696" spans="26:26">
      <c r="Z8696" s="371"/>
    </row>
    <row r="8697" spans="26:26">
      <c r="Z8697" s="371"/>
    </row>
    <row r="8698" spans="26:26">
      <c r="Z8698" s="371"/>
    </row>
    <row r="8699" spans="26:26">
      <c r="Z8699" s="371"/>
    </row>
    <row r="8700" spans="26:26">
      <c r="Z8700" s="371"/>
    </row>
    <row r="8701" spans="26:26">
      <c r="Z8701" s="371"/>
    </row>
    <row r="8702" spans="26:26">
      <c r="Z8702" s="371"/>
    </row>
    <row r="8703" spans="26:26">
      <c r="Z8703" s="371"/>
    </row>
    <row r="8704" spans="26:26">
      <c r="Z8704" s="371"/>
    </row>
    <row r="8705" spans="26:26">
      <c r="Z8705" s="371"/>
    </row>
    <row r="8706" spans="26:26">
      <c r="Z8706" s="371"/>
    </row>
    <row r="8707" spans="26:26">
      <c r="Z8707" s="371"/>
    </row>
    <row r="8708" spans="26:26">
      <c r="Z8708" s="371"/>
    </row>
    <row r="8709" spans="26:26">
      <c r="Z8709" s="371"/>
    </row>
    <row r="8710" spans="26:26">
      <c r="Z8710" s="371"/>
    </row>
    <row r="8711" spans="26:26">
      <c r="Z8711" s="371"/>
    </row>
    <row r="8712" spans="26:26">
      <c r="Z8712" s="371"/>
    </row>
    <row r="8713" spans="26:26">
      <c r="Z8713" s="371"/>
    </row>
    <row r="8714" spans="26:26">
      <c r="Z8714" s="371"/>
    </row>
    <row r="8715" spans="26:26">
      <c r="Z8715" s="371"/>
    </row>
    <row r="8716" spans="26:26">
      <c r="Z8716" s="371"/>
    </row>
    <row r="8717" spans="26:26">
      <c r="Z8717" s="371"/>
    </row>
    <row r="8718" spans="26:26">
      <c r="Z8718" s="371"/>
    </row>
    <row r="8719" spans="26:26">
      <c r="Z8719" s="371"/>
    </row>
    <row r="8720" spans="26:26">
      <c r="Z8720" s="371"/>
    </row>
    <row r="8721" spans="26:26">
      <c r="Z8721" s="371"/>
    </row>
    <row r="8722" spans="26:26">
      <c r="Z8722" s="371"/>
    </row>
    <row r="8723" spans="26:26">
      <c r="Z8723" s="371"/>
    </row>
    <row r="8724" spans="26:26">
      <c r="Z8724" s="371"/>
    </row>
    <row r="8725" spans="26:26">
      <c r="Z8725" s="371"/>
    </row>
    <row r="8726" spans="26:26">
      <c r="Z8726" s="371"/>
    </row>
    <row r="8727" spans="26:26">
      <c r="Z8727" s="371"/>
    </row>
    <row r="8728" spans="26:26">
      <c r="Z8728" s="371"/>
    </row>
    <row r="8729" spans="26:26">
      <c r="Z8729" s="371"/>
    </row>
    <row r="8730" spans="26:26">
      <c r="Z8730" s="371"/>
    </row>
    <row r="8731" spans="26:26">
      <c r="Z8731" s="371"/>
    </row>
    <row r="8732" spans="26:26">
      <c r="Z8732" s="371"/>
    </row>
    <row r="8733" spans="26:26">
      <c r="Z8733" s="371"/>
    </row>
    <row r="8734" spans="26:26">
      <c r="Z8734" s="371"/>
    </row>
    <row r="8735" spans="26:26">
      <c r="Z8735" s="371"/>
    </row>
    <row r="8736" spans="26:26">
      <c r="Z8736" s="371"/>
    </row>
    <row r="8737" spans="26:26">
      <c r="Z8737" s="371"/>
    </row>
    <row r="8738" spans="26:26">
      <c r="Z8738" s="371"/>
    </row>
    <row r="8739" spans="26:26">
      <c r="Z8739" s="371"/>
    </row>
    <row r="8740" spans="26:26">
      <c r="Z8740" s="371"/>
    </row>
    <row r="8741" spans="26:26">
      <c r="Z8741" s="371"/>
    </row>
    <row r="8742" spans="26:26">
      <c r="Z8742" s="371"/>
    </row>
    <row r="8743" spans="26:26">
      <c r="Z8743" s="371"/>
    </row>
    <row r="8744" spans="26:26">
      <c r="Z8744" s="371"/>
    </row>
    <row r="8745" spans="26:26">
      <c r="Z8745" s="371"/>
    </row>
    <row r="8746" spans="26:26">
      <c r="Z8746" s="371"/>
    </row>
    <row r="8747" spans="26:26">
      <c r="Z8747" s="371"/>
    </row>
    <row r="8748" spans="26:26">
      <c r="Z8748" s="371"/>
    </row>
    <row r="8749" spans="26:26">
      <c r="Z8749" s="371"/>
    </row>
    <row r="8750" spans="26:26">
      <c r="Z8750" s="371"/>
    </row>
    <row r="8751" spans="26:26">
      <c r="Z8751" s="371"/>
    </row>
    <row r="8752" spans="26:26">
      <c r="Z8752" s="371"/>
    </row>
    <row r="8753" spans="26:26">
      <c r="Z8753" s="371"/>
    </row>
    <row r="8754" spans="26:26">
      <c r="Z8754" s="371"/>
    </row>
    <row r="8755" spans="26:26">
      <c r="Z8755" s="371"/>
    </row>
    <row r="8756" spans="26:26">
      <c r="Z8756" s="371"/>
    </row>
    <row r="8757" spans="26:26">
      <c r="Z8757" s="371"/>
    </row>
    <row r="8758" spans="26:26">
      <c r="Z8758" s="371"/>
    </row>
    <row r="8759" spans="26:26">
      <c r="Z8759" s="371"/>
    </row>
    <row r="8760" spans="26:26">
      <c r="Z8760" s="371"/>
    </row>
    <row r="8761" spans="26:26">
      <c r="Z8761" s="371"/>
    </row>
    <row r="8762" spans="26:26">
      <c r="Z8762" s="371"/>
    </row>
    <row r="8763" spans="26:26">
      <c r="Z8763" s="371"/>
    </row>
    <row r="8764" spans="26:26">
      <c r="Z8764" s="371"/>
    </row>
    <row r="8765" spans="26:26">
      <c r="Z8765" s="371"/>
    </row>
    <row r="8766" spans="26:26">
      <c r="Z8766" s="371"/>
    </row>
    <row r="8767" spans="26:26">
      <c r="Z8767" s="371"/>
    </row>
    <row r="8768" spans="26:26">
      <c r="Z8768" s="371"/>
    </row>
    <row r="8769" spans="26:26">
      <c r="Z8769" s="371"/>
    </row>
    <row r="8770" spans="26:26">
      <c r="Z8770" s="371"/>
    </row>
    <row r="8771" spans="26:26">
      <c r="Z8771" s="371"/>
    </row>
    <row r="8772" spans="26:26">
      <c r="Z8772" s="371"/>
    </row>
    <row r="8773" spans="26:26">
      <c r="Z8773" s="371"/>
    </row>
    <row r="8774" spans="26:26">
      <c r="Z8774" s="371"/>
    </row>
    <row r="8775" spans="26:26">
      <c r="Z8775" s="371"/>
    </row>
    <row r="8776" spans="26:26">
      <c r="Z8776" s="371"/>
    </row>
    <row r="8777" spans="26:26">
      <c r="Z8777" s="371"/>
    </row>
    <row r="8778" spans="26:26">
      <c r="Z8778" s="371"/>
    </row>
    <row r="8779" spans="26:26">
      <c r="Z8779" s="371"/>
    </row>
    <row r="8780" spans="26:26">
      <c r="Z8780" s="371"/>
    </row>
    <row r="8781" spans="26:26">
      <c r="Z8781" s="371"/>
    </row>
    <row r="8782" spans="26:26">
      <c r="Z8782" s="371"/>
    </row>
    <row r="8783" spans="26:26">
      <c r="Z8783" s="371"/>
    </row>
    <row r="8784" spans="26:26">
      <c r="Z8784" s="371"/>
    </row>
    <row r="8785" spans="26:26">
      <c r="Z8785" s="371"/>
    </row>
    <row r="8786" spans="26:26">
      <c r="Z8786" s="371"/>
    </row>
    <row r="8787" spans="26:26">
      <c r="Z8787" s="371"/>
    </row>
    <row r="8788" spans="26:26">
      <c r="Z8788" s="371"/>
    </row>
    <row r="8789" spans="26:26">
      <c r="Z8789" s="371"/>
    </row>
    <row r="8790" spans="26:26">
      <c r="Z8790" s="371"/>
    </row>
    <row r="8791" spans="26:26">
      <c r="Z8791" s="371"/>
    </row>
    <row r="8792" spans="26:26">
      <c r="Z8792" s="371"/>
    </row>
    <row r="8793" spans="26:26">
      <c r="Z8793" s="371"/>
    </row>
    <row r="8794" spans="26:26">
      <c r="Z8794" s="371"/>
    </row>
    <row r="8795" spans="26:26">
      <c r="Z8795" s="371"/>
    </row>
    <row r="8796" spans="26:26">
      <c r="Z8796" s="371"/>
    </row>
    <row r="8797" spans="26:26">
      <c r="Z8797" s="371"/>
    </row>
    <row r="8798" spans="26:26">
      <c r="Z8798" s="371"/>
    </row>
    <row r="8799" spans="26:26">
      <c r="Z8799" s="371"/>
    </row>
    <row r="8800" spans="26:26">
      <c r="Z8800" s="371"/>
    </row>
    <row r="8801" spans="26:26">
      <c r="Z8801" s="371"/>
    </row>
    <row r="8802" spans="26:26">
      <c r="Z8802" s="371"/>
    </row>
    <row r="8803" spans="26:26">
      <c r="Z8803" s="371"/>
    </row>
    <row r="8804" spans="26:26">
      <c r="Z8804" s="371"/>
    </row>
    <row r="8805" spans="26:26">
      <c r="Z8805" s="371"/>
    </row>
    <row r="8806" spans="26:26">
      <c r="Z8806" s="371"/>
    </row>
    <row r="8807" spans="26:26">
      <c r="Z8807" s="371"/>
    </row>
    <row r="8808" spans="26:26">
      <c r="Z8808" s="371"/>
    </row>
    <row r="8809" spans="26:26">
      <c r="Z8809" s="371"/>
    </row>
    <row r="8810" spans="26:26">
      <c r="Z8810" s="371"/>
    </row>
    <row r="8811" spans="26:26">
      <c r="Z8811" s="371"/>
    </row>
    <row r="8812" spans="26:26">
      <c r="Z8812" s="371"/>
    </row>
    <row r="8813" spans="26:26">
      <c r="Z8813" s="371"/>
    </row>
    <row r="8814" spans="26:26">
      <c r="Z8814" s="371"/>
    </row>
    <row r="8815" spans="26:26">
      <c r="Z8815" s="371"/>
    </row>
    <row r="8816" spans="26:26">
      <c r="Z8816" s="371"/>
    </row>
    <row r="8817" spans="26:26">
      <c r="Z8817" s="371"/>
    </row>
    <row r="8818" spans="26:26">
      <c r="Z8818" s="371"/>
    </row>
    <row r="8819" spans="26:26">
      <c r="Z8819" s="371"/>
    </row>
    <row r="8820" spans="26:26">
      <c r="Z8820" s="371"/>
    </row>
    <row r="8821" spans="26:26">
      <c r="Z8821" s="371"/>
    </row>
    <row r="8822" spans="26:26">
      <c r="Z8822" s="371"/>
    </row>
    <row r="8823" spans="26:26">
      <c r="Z8823" s="371"/>
    </row>
    <row r="8824" spans="26:26">
      <c r="Z8824" s="371"/>
    </row>
    <row r="8825" spans="26:26">
      <c r="Z8825" s="371"/>
    </row>
    <row r="8826" spans="26:26">
      <c r="Z8826" s="371"/>
    </row>
    <row r="8827" spans="26:26">
      <c r="Z8827" s="371"/>
    </row>
    <row r="8828" spans="26:26">
      <c r="Z8828" s="371"/>
    </row>
    <row r="8829" spans="26:26">
      <c r="Z8829" s="371"/>
    </row>
    <row r="8830" spans="26:26">
      <c r="Z8830" s="371"/>
    </row>
    <row r="8831" spans="26:26">
      <c r="Z8831" s="371"/>
    </row>
    <row r="8832" spans="26:26">
      <c r="Z8832" s="371"/>
    </row>
    <row r="8833" spans="26:26">
      <c r="Z8833" s="371"/>
    </row>
    <row r="8834" spans="26:26">
      <c r="Z8834" s="371"/>
    </row>
    <row r="8835" spans="26:26">
      <c r="Z8835" s="371"/>
    </row>
    <row r="8836" spans="26:26">
      <c r="Z8836" s="371"/>
    </row>
    <row r="8837" spans="26:26">
      <c r="Z8837" s="371"/>
    </row>
    <row r="8838" spans="26:26">
      <c r="Z8838" s="371"/>
    </row>
    <row r="8839" spans="26:26">
      <c r="Z8839" s="371"/>
    </row>
    <row r="8840" spans="26:26">
      <c r="Z8840" s="371"/>
    </row>
    <row r="8841" spans="26:26">
      <c r="Z8841" s="371"/>
    </row>
    <row r="8842" spans="26:26">
      <c r="Z8842" s="371"/>
    </row>
    <row r="8843" spans="26:26">
      <c r="Z8843" s="371"/>
    </row>
    <row r="8844" spans="26:26">
      <c r="Z8844" s="371"/>
    </row>
    <row r="8845" spans="26:26">
      <c r="Z8845" s="371"/>
    </row>
    <row r="8846" spans="26:26">
      <c r="Z8846" s="371"/>
    </row>
    <row r="8847" spans="26:26">
      <c r="Z8847" s="371"/>
    </row>
    <row r="8848" spans="26:26">
      <c r="Z8848" s="371"/>
    </row>
    <row r="8849" spans="26:26">
      <c r="Z8849" s="371"/>
    </row>
    <row r="8850" spans="26:26">
      <c r="Z8850" s="371"/>
    </row>
    <row r="8851" spans="26:26">
      <c r="Z8851" s="371"/>
    </row>
    <row r="8852" spans="26:26">
      <c r="Z8852" s="371"/>
    </row>
    <row r="8853" spans="26:26">
      <c r="Z8853" s="371"/>
    </row>
    <row r="8854" spans="26:26">
      <c r="Z8854" s="371"/>
    </row>
    <row r="8855" spans="26:26">
      <c r="Z8855" s="371"/>
    </row>
    <row r="8856" spans="26:26">
      <c r="Z8856" s="371"/>
    </row>
    <row r="8857" spans="26:26">
      <c r="Z8857" s="371"/>
    </row>
    <row r="8858" spans="26:26">
      <c r="Z8858" s="371"/>
    </row>
    <row r="8859" spans="26:26">
      <c r="Z8859" s="371"/>
    </row>
    <row r="8860" spans="26:26">
      <c r="Z8860" s="371"/>
    </row>
    <row r="8861" spans="26:26">
      <c r="Z8861" s="371"/>
    </row>
    <row r="8862" spans="26:26">
      <c r="Z8862" s="371"/>
    </row>
    <row r="8863" spans="26:26">
      <c r="Z8863" s="371"/>
    </row>
    <row r="8864" spans="26:26">
      <c r="Z8864" s="371"/>
    </row>
    <row r="8865" spans="26:26">
      <c r="Z8865" s="371"/>
    </row>
    <row r="8866" spans="26:26">
      <c r="Z8866" s="371"/>
    </row>
    <row r="8867" spans="26:26">
      <c r="Z8867" s="371"/>
    </row>
    <row r="8868" spans="26:26">
      <c r="Z8868" s="371"/>
    </row>
    <row r="8869" spans="26:26">
      <c r="Z8869" s="371"/>
    </row>
    <row r="8870" spans="26:26">
      <c r="Z8870" s="371"/>
    </row>
    <row r="8871" spans="26:26">
      <c r="Z8871" s="371"/>
    </row>
    <row r="8872" spans="26:26">
      <c r="Z8872" s="371"/>
    </row>
    <row r="8873" spans="26:26">
      <c r="Z8873" s="371"/>
    </row>
    <row r="8874" spans="26:26">
      <c r="Z8874" s="371"/>
    </row>
    <row r="8875" spans="26:26">
      <c r="Z8875" s="371"/>
    </row>
    <row r="8876" spans="26:26">
      <c r="Z8876" s="371"/>
    </row>
    <row r="8877" spans="26:26">
      <c r="Z8877" s="371"/>
    </row>
    <row r="8878" spans="26:26">
      <c r="Z8878" s="371"/>
    </row>
    <row r="8879" spans="26:26">
      <c r="Z8879" s="371"/>
    </row>
    <row r="8880" spans="26:26">
      <c r="Z8880" s="371"/>
    </row>
    <row r="8881" spans="26:26">
      <c r="Z8881" s="371"/>
    </row>
    <row r="8882" spans="26:26">
      <c r="Z8882" s="371"/>
    </row>
    <row r="8883" spans="26:26">
      <c r="Z8883" s="371"/>
    </row>
    <row r="8884" spans="26:26">
      <c r="Z8884" s="371"/>
    </row>
    <row r="8885" spans="26:26">
      <c r="Z8885" s="371"/>
    </row>
    <row r="8886" spans="26:26">
      <c r="Z8886" s="371"/>
    </row>
    <row r="8887" spans="26:26">
      <c r="Z8887" s="371"/>
    </row>
    <row r="8888" spans="26:26">
      <c r="Z8888" s="371"/>
    </row>
    <row r="8889" spans="26:26">
      <c r="Z8889" s="371"/>
    </row>
    <row r="8890" spans="26:26">
      <c r="Z8890" s="371"/>
    </row>
    <row r="8891" spans="26:26">
      <c r="Z8891" s="371"/>
    </row>
    <row r="8892" spans="26:26">
      <c r="Z8892" s="371"/>
    </row>
    <row r="8893" spans="26:26">
      <c r="Z8893" s="371"/>
    </row>
    <row r="8894" spans="26:26">
      <c r="Z8894" s="371"/>
    </row>
    <row r="8895" spans="26:26">
      <c r="Z8895" s="371"/>
    </row>
    <row r="8896" spans="26:26">
      <c r="Z8896" s="371"/>
    </row>
    <row r="8897" spans="26:26">
      <c r="Z8897" s="371"/>
    </row>
    <row r="8898" spans="26:26">
      <c r="Z8898" s="371"/>
    </row>
    <row r="8899" spans="26:26">
      <c r="Z8899" s="371"/>
    </row>
    <row r="8900" spans="26:26">
      <c r="Z8900" s="371"/>
    </row>
    <row r="8901" spans="26:26">
      <c r="Z8901" s="371"/>
    </row>
    <row r="8902" spans="26:26">
      <c r="Z8902" s="371"/>
    </row>
    <row r="8903" spans="26:26">
      <c r="Z8903" s="371"/>
    </row>
    <row r="8904" spans="26:26">
      <c r="Z8904" s="371"/>
    </row>
    <row r="8905" spans="26:26">
      <c r="Z8905" s="371"/>
    </row>
    <row r="8906" spans="26:26">
      <c r="Z8906" s="371"/>
    </row>
    <row r="8907" spans="26:26">
      <c r="Z8907" s="371"/>
    </row>
    <row r="8908" spans="26:26">
      <c r="Z8908" s="371"/>
    </row>
    <row r="8909" spans="26:26">
      <c r="Z8909" s="371"/>
    </row>
    <row r="8910" spans="26:26">
      <c r="Z8910" s="371"/>
    </row>
    <row r="8911" spans="26:26">
      <c r="Z8911" s="371"/>
    </row>
    <row r="8912" spans="26:26">
      <c r="Z8912" s="371"/>
    </row>
    <row r="8913" spans="26:26">
      <c r="Z8913" s="371"/>
    </row>
    <row r="8914" spans="26:26">
      <c r="Z8914" s="371"/>
    </row>
    <row r="8915" spans="26:26">
      <c r="Z8915" s="371"/>
    </row>
    <row r="8916" spans="26:26">
      <c r="Z8916" s="371"/>
    </row>
    <row r="8917" spans="26:26">
      <c r="Z8917" s="371"/>
    </row>
    <row r="8918" spans="26:26">
      <c r="Z8918" s="371"/>
    </row>
    <row r="8919" spans="26:26">
      <c r="Z8919" s="371"/>
    </row>
    <row r="8920" spans="26:26">
      <c r="Z8920" s="371"/>
    </row>
    <row r="8921" spans="26:26">
      <c r="Z8921" s="371"/>
    </row>
    <row r="8922" spans="26:26">
      <c r="Z8922" s="371"/>
    </row>
    <row r="8923" spans="26:26">
      <c r="Z8923" s="371"/>
    </row>
    <row r="8924" spans="26:26">
      <c r="Z8924" s="371"/>
    </row>
    <row r="8925" spans="26:26">
      <c r="Z8925" s="371"/>
    </row>
    <row r="8926" spans="26:26">
      <c r="Z8926" s="371"/>
    </row>
    <row r="8927" spans="26:26">
      <c r="Z8927" s="371"/>
    </row>
    <row r="8928" spans="26:26">
      <c r="Z8928" s="371"/>
    </row>
    <row r="8929" spans="26:26">
      <c r="Z8929" s="371"/>
    </row>
    <row r="8930" spans="26:26">
      <c r="Z8930" s="371"/>
    </row>
    <row r="8931" spans="26:26">
      <c r="Z8931" s="371"/>
    </row>
    <row r="8932" spans="26:26">
      <c r="Z8932" s="371"/>
    </row>
    <row r="8933" spans="26:26">
      <c r="Z8933" s="371"/>
    </row>
    <row r="8934" spans="26:26">
      <c r="Z8934" s="371"/>
    </row>
    <row r="8935" spans="26:26">
      <c r="Z8935" s="371"/>
    </row>
    <row r="8936" spans="26:26">
      <c r="Z8936" s="371"/>
    </row>
    <row r="8937" spans="26:26">
      <c r="Z8937" s="371"/>
    </row>
    <row r="8938" spans="26:26">
      <c r="Z8938" s="371"/>
    </row>
    <row r="8939" spans="26:26">
      <c r="Z8939" s="371"/>
    </row>
    <row r="8940" spans="26:26">
      <c r="Z8940" s="371"/>
    </row>
    <row r="8941" spans="26:26">
      <c r="Z8941" s="371"/>
    </row>
    <row r="8942" spans="26:26">
      <c r="Z8942" s="371"/>
    </row>
    <row r="8943" spans="26:26">
      <c r="Z8943" s="371"/>
    </row>
    <row r="8944" spans="26:26">
      <c r="Z8944" s="371"/>
    </row>
    <row r="8945" spans="26:26">
      <c r="Z8945" s="371"/>
    </row>
    <row r="8946" spans="26:26">
      <c r="Z8946" s="371"/>
    </row>
    <row r="8947" spans="26:26">
      <c r="Z8947" s="371"/>
    </row>
    <row r="8948" spans="26:26">
      <c r="Z8948" s="371"/>
    </row>
    <row r="8949" spans="26:26">
      <c r="Z8949" s="371"/>
    </row>
    <row r="8950" spans="26:26">
      <c r="Z8950" s="371"/>
    </row>
    <row r="8951" spans="26:26">
      <c r="Z8951" s="371"/>
    </row>
    <row r="8952" spans="26:26">
      <c r="Z8952" s="371"/>
    </row>
    <row r="8953" spans="26:26">
      <c r="Z8953" s="371"/>
    </row>
    <row r="8954" spans="26:26">
      <c r="Z8954" s="371"/>
    </row>
    <row r="8955" spans="26:26">
      <c r="Z8955" s="371"/>
    </row>
    <row r="8956" spans="26:26">
      <c r="Z8956" s="371"/>
    </row>
    <row r="8957" spans="26:26">
      <c r="Z8957" s="371"/>
    </row>
    <row r="8958" spans="26:26">
      <c r="Z8958" s="371"/>
    </row>
    <row r="8959" spans="26:26">
      <c r="Z8959" s="371"/>
    </row>
    <row r="8960" spans="26:26">
      <c r="Z8960" s="371"/>
    </row>
    <row r="8961" spans="26:26">
      <c r="Z8961" s="371"/>
    </row>
    <row r="8962" spans="26:26">
      <c r="Z8962" s="371"/>
    </row>
    <row r="8963" spans="26:26">
      <c r="Z8963" s="371"/>
    </row>
    <row r="8964" spans="26:26">
      <c r="Z8964" s="371"/>
    </row>
    <row r="8965" spans="26:26">
      <c r="Z8965" s="371"/>
    </row>
    <row r="8966" spans="26:26">
      <c r="Z8966" s="371"/>
    </row>
    <row r="8967" spans="26:26">
      <c r="Z8967" s="371"/>
    </row>
    <row r="8968" spans="26:26">
      <c r="Z8968" s="371"/>
    </row>
    <row r="8969" spans="26:26">
      <c r="Z8969" s="371"/>
    </row>
    <row r="8970" spans="26:26">
      <c r="Z8970" s="371"/>
    </row>
    <row r="8971" spans="26:26">
      <c r="Z8971" s="371"/>
    </row>
    <row r="8972" spans="26:26">
      <c r="Z8972" s="371"/>
    </row>
    <row r="8973" spans="26:26">
      <c r="Z8973" s="371"/>
    </row>
    <row r="8974" spans="26:26">
      <c r="Z8974" s="371"/>
    </row>
    <row r="8975" spans="26:26">
      <c r="Z8975" s="371"/>
    </row>
    <row r="8976" spans="26:26">
      <c r="Z8976" s="371"/>
    </row>
    <row r="8977" spans="26:26">
      <c r="Z8977" s="371"/>
    </row>
    <row r="8978" spans="26:26">
      <c r="Z8978" s="371"/>
    </row>
    <row r="8979" spans="26:26">
      <c r="Z8979" s="371"/>
    </row>
    <row r="8980" spans="26:26">
      <c r="Z8980" s="371"/>
    </row>
    <row r="8981" spans="26:26">
      <c r="Z8981" s="371"/>
    </row>
    <row r="8982" spans="26:26">
      <c r="Z8982" s="371"/>
    </row>
    <row r="8983" spans="26:26">
      <c r="Z8983" s="371"/>
    </row>
    <row r="8984" spans="26:26">
      <c r="Z8984" s="371"/>
    </row>
    <row r="8985" spans="26:26">
      <c r="Z8985" s="371"/>
    </row>
    <row r="8986" spans="26:26">
      <c r="Z8986" s="371"/>
    </row>
    <row r="8987" spans="26:26">
      <c r="Z8987" s="371"/>
    </row>
    <row r="8988" spans="26:26">
      <c r="Z8988" s="371"/>
    </row>
    <row r="8989" spans="26:26">
      <c r="Z8989" s="371"/>
    </row>
    <row r="8990" spans="26:26">
      <c r="Z8990" s="371"/>
    </row>
    <row r="8991" spans="26:26">
      <c r="Z8991" s="371"/>
    </row>
    <row r="8992" spans="26:26">
      <c r="Z8992" s="371"/>
    </row>
    <row r="8993" spans="26:26">
      <c r="Z8993" s="371"/>
    </row>
    <row r="8994" spans="26:26">
      <c r="Z8994" s="371"/>
    </row>
    <row r="8995" spans="26:26">
      <c r="Z8995" s="371"/>
    </row>
    <row r="8996" spans="26:26">
      <c r="Z8996" s="371"/>
    </row>
    <row r="8997" spans="26:26">
      <c r="Z8997" s="371"/>
    </row>
    <row r="8998" spans="26:26">
      <c r="Z8998" s="371"/>
    </row>
    <row r="8999" spans="26:26">
      <c r="Z8999" s="371"/>
    </row>
    <row r="9000" spans="26:26">
      <c r="Z9000" s="371"/>
    </row>
    <row r="9001" spans="26:26">
      <c r="Z9001" s="371"/>
    </row>
    <row r="9002" spans="26:26">
      <c r="Z9002" s="371"/>
    </row>
    <row r="9003" spans="26:26">
      <c r="Z9003" s="371"/>
    </row>
    <row r="9004" spans="26:26">
      <c r="Z9004" s="371"/>
    </row>
    <row r="9005" spans="26:26">
      <c r="Z9005" s="371"/>
    </row>
    <row r="9006" spans="26:26">
      <c r="Z9006" s="371"/>
    </row>
    <row r="9007" spans="26:26">
      <c r="Z9007" s="371"/>
    </row>
    <row r="9008" spans="26:26">
      <c r="Z9008" s="371"/>
    </row>
    <row r="9009" spans="26:26">
      <c r="Z9009" s="371"/>
    </row>
    <row r="9010" spans="26:26">
      <c r="Z9010" s="371"/>
    </row>
    <row r="9011" spans="26:26">
      <c r="Z9011" s="371"/>
    </row>
    <row r="9012" spans="26:26">
      <c r="Z9012" s="371"/>
    </row>
    <row r="9013" spans="26:26">
      <c r="Z9013" s="371"/>
    </row>
    <row r="9014" spans="26:26">
      <c r="Z9014" s="371"/>
    </row>
    <row r="9015" spans="26:26">
      <c r="Z9015" s="371"/>
    </row>
    <row r="9016" spans="26:26">
      <c r="Z9016" s="371"/>
    </row>
    <row r="9017" spans="26:26">
      <c r="Z9017" s="371"/>
    </row>
    <row r="9018" spans="26:26">
      <c r="Z9018" s="371"/>
    </row>
    <row r="9019" spans="26:26">
      <c r="Z9019" s="371"/>
    </row>
    <row r="9020" spans="26:26">
      <c r="Z9020" s="371"/>
    </row>
    <row r="9021" spans="26:26">
      <c r="Z9021" s="371"/>
    </row>
    <row r="9022" spans="26:26">
      <c r="Z9022" s="371"/>
    </row>
    <row r="9023" spans="26:26">
      <c r="Z9023" s="371"/>
    </row>
    <row r="9024" spans="26:26">
      <c r="Z9024" s="371"/>
    </row>
    <row r="9025" spans="26:26">
      <c r="Z9025" s="371"/>
    </row>
    <row r="9026" spans="26:26">
      <c r="Z9026" s="371"/>
    </row>
    <row r="9027" spans="26:26">
      <c r="Z9027" s="371"/>
    </row>
    <row r="9028" spans="26:26">
      <c r="Z9028" s="371"/>
    </row>
    <row r="9029" spans="26:26">
      <c r="Z9029" s="371"/>
    </row>
    <row r="9030" spans="26:26">
      <c r="Z9030" s="371"/>
    </row>
    <row r="9031" spans="26:26">
      <c r="Z9031" s="371"/>
    </row>
    <row r="9032" spans="26:26">
      <c r="Z9032" s="371"/>
    </row>
    <row r="9033" spans="26:26">
      <c r="Z9033" s="371"/>
    </row>
    <row r="9034" spans="26:26">
      <c r="Z9034" s="371"/>
    </row>
    <row r="9035" spans="26:26">
      <c r="Z9035" s="371"/>
    </row>
    <row r="9036" spans="26:26">
      <c r="Z9036" s="371"/>
    </row>
    <row r="9037" spans="26:26">
      <c r="Z9037" s="371"/>
    </row>
    <row r="9038" spans="26:26">
      <c r="Z9038" s="371"/>
    </row>
    <row r="9039" spans="26:26">
      <c r="Z9039" s="371"/>
    </row>
    <row r="9040" spans="26:26">
      <c r="Z9040" s="371"/>
    </row>
    <row r="9041" spans="26:26">
      <c r="Z9041" s="371"/>
    </row>
    <row r="9042" spans="26:26">
      <c r="Z9042" s="371"/>
    </row>
    <row r="9043" spans="26:26">
      <c r="Z9043" s="371"/>
    </row>
    <row r="9044" spans="26:26">
      <c r="Z9044" s="371"/>
    </row>
    <row r="9045" spans="26:26">
      <c r="Z9045" s="371"/>
    </row>
    <row r="9046" spans="26:26">
      <c r="Z9046" s="371"/>
    </row>
    <row r="9047" spans="26:26">
      <c r="Z9047" s="371"/>
    </row>
    <row r="9048" spans="26:26">
      <c r="Z9048" s="371"/>
    </row>
    <row r="9049" spans="26:26">
      <c r="Z9049" s="371"/>
    </row>
    <row r="9050" spans="26:26">
      <c r="Z9050" s="371"/>
    </row>
    <row r="9051" spans="26:26">
      <c r="Z9051" s="371"/>
    </row>
    <row r="9052" spans="26:26">
      <c r="Z9052" s="371"/>
    </row>
    <row r="9053" spans="26:26">
      <c r="Z9053" s="371"/>
    </row>
    <row r="9054" spans="26:26">
      <c r="Z9054" s="371"/>
    </row>
    <row r="9055" spans="26:26">
      <c r="Z9055" s="371"/>
    </row>
    <row r="9056" spans="26:26">
      <c r="Z9056" s="371"/>
    </row>
    <row r="9057" spans="26:26">
      <c r="Z9057" s="371"/>
    </row>
    <row r="9058" spans="26:26">
      <c r="Z9058" s="371"/>
    </row>
    <row r="9059" spans="26:26">
      <c r="Z9059" s="371"/>
    </row>
    <row r="9060" spans="26:26">
      <c r="Z9060" s="371"/>
    </row>
    <row r="9061" spans="26:26">
      <c r="Z9061" s="371"/>
    </row>
    <row r="9062" spans="26:26">
      <c r="Z9062" s="371"/>
    </row>
    <row r="9063" spans="26:26">
      <c r="Z9063" s="371"/>
    </row>
    <row r="9064" spans="26:26">
      <c r="Z9064" s="371"/>
    </row>
    <row r="9065" spans="26:26">
      <c r="Z9065" s="371"/>
    </row>
    <row r="9066" spans="26:26">
      <c r="Z9066" s="371"/>
    </row>
    <row r="9067" spans="26:26">
      <c r="Z9067" s="371"/>
    </row>
    <row r="9068" spans="26:26">
      <c r="Z9068" s="371"/>
    </row>
    <row r="9069" spans="26:26">
      <c r="Z9069" s="371"/>
    </row>
    <row r="9070" spans="26:26">
      <c r="Z9070" s="371"/>
    </row>
    <row r="9071" spans="26:26">
      <c r="Z9071" s="371"/>
    </row>
    <row r="9072" spans="26:26">
      <c r="Z9072" s="371"/>
    </row>
    <row r="9073" spans="26:26">
      <c r="Z9073" s="371"/>
    </row>
    <row r="9074" spans="26:26">
      <c r="Z9074" s="371"/>
    </row>
    <row r="9075" spans="26:26">
      <c r="Z9075" s="371"/>
    </row>
    <row r="9076" spans="26:26">
      <c r="Z9076" s="371"/>
    </row>
    <row r="9077" spans="26:26">
      <c r="Z9077" s="371"/>
    </row>
    <row r="9078" spans="26:26">
      <c r="Z9078" s="371"/>
    </row>
    <row r="9079" spans="26:26">
      <c r="Z9079" s="371"/>
    </row>
    <row r="9080" spans="26:26">
      <c r="Z9080" s="371"/>
    </row>
    <row r="9081" spans="26:26">
      <c r="Z9081" s="371"/>
    </row>
    <row r="9082" spans="26:26">
      <c r="Z9082" s="371"/>
    </row>
    <row r="9083" spans="26:26">
      <c r="Z9083" s="371"/>
    </row>
    <row r="9084" spans="26:26">
      <c r="Z9084" s="371"/>
    </row>
    <row r="9085" spans="26:26">
      <c r="Z9085" s="371"/>
    </row>
    <row r="9086" spans="26:26">
      <c r="Z9086" s="371"/>
    </row>
    <row r="9087" spans="26:26">
      <c r="Z9087" s="371"/>
    </row>
    <row r="9088" spans="26:26">
      <c r="Z9088" s="371"/>
    </row>
    <row r="9089" spans="26:26">
      <c r="Z9089" s="371"/>
    </row>
    <row r="9090" spans="26:26">
      <c r="Z9090" s="371"/>
    </row>
    <row r="9091" spans="26:26">
      <c r="Z9091" s="371"/>
    </row>
    <row r="9092" spans="26:26">
      <c r="Z9092" s="371"/>
    </row>
    <row r="9093" spans="26:26">
      <c r="Z9093" s="371"/>
    </row>
    <row r="9094" spans="26:26">
      <c r="Z9094" s="371"/>
    </row>
    <row r="9095" spans="26:26">
      <c r="Z9095" s="371"/>
    </row>
    <row r="9096" spans="26:26">
      <c r="Z9096" s="371"/>
    </row>
    <row r="9097" spans="26:26">
      <c r="Z9097" s="371"/>
    </row>
    <row r="9098" spans="26:26">
      <c r="Z9098" s="371"/>
    </row>
    <row r="9099" spans="26:26">
      <c r="Z9099" s="371"/>
    </row>
    <row r="9100" spans="26:26">
      <c r="Z9100" s="371"/>
    </row>
    <row r="9101" spans="26:26">
      <c r="Z9101" s="371"/>
    </row>
    <row r="9102" spans="26:26">
      <c r="Z9102" s="371"/>
    </row>
    <row r="9103" spans="26:26">
      <c r="Z9103" s="371"/>
    </row>
    <row r="9104" spans="26:26">
      <c r="Z9104" s="371"/>
    </row>
    <row r="9105" spans="26:26">
      <c r="Z9105" s="371"/>
    </row>
    <row r="9106" spans="26:26">
      <c r="Z9106" s="371"/>
    </row>
    <row r="9107" spans="26:26">
      <c r="Z9107" s="371"/>
    </row>
    <row r="9108" spans="26:26">
      <c r="Z9108" s="371"/>
    </row>
    <row r="9109" spans="26:26">
      <c r="Z9109" s="371"/>
    </row>
    <row r="9110" spans="26:26">
      <c r="Z9110" s="371"/>
    </row>
    <row r="9111" spans="26:26">
      <c r="Z9111" s="371"/>
    </row>
    <row r="9112" spans="26:26">
      <c r="Z9112" s="371"/>
    </row>
    <row r="9113" spans="26:26">
      <c r="Z9113" s="371"/>
    </row>
    <row r="9114" spans="26:26">
      <c r="Z9114" s="371"/>
    </row>
    <row r="9115" spans="26:26">
      <c r="Z9115" s="371"/>
    </row>
    <row r="9116" spans="26:26">
      <c r="Z9116" s="371"/>
    </row>
    <row r="9117" spans="26:26">
      <c r="Z9117" s="371"/>
    </row>
    <row r="9118" spans="26:26">
      <c r="Z9118" s="371"/>
    </row>
    <row r="9119" spans="26:26">
      <c r="Z9119" s="371"/>
    </row>
    <row r="9120" spans="26:26">
      <c r="Z9120" s="371"/>
    </row>
    <row r="9121" spans="26:26">
      <c r="Z9121" s="371"/>
    </row>
    <row r="9122" spans="26:26">
      <c r="Z9122" s="371"/>
    </row>
    <row r="9123" spans="26:26">
      <c r="Z9123" s="371"/>
    </row>
    <row r="9124" spans="26:26">
      <c r="Z9124" s="371"/>
    </row>
    <row r="9125" spans="26:26">
      <c r="Z9125" s="371"/>
    </row>
    <row r="9126" spans="26:26">
      <c r="Z9126" s="371"/>
    </row>
    <row r="9127" spans="26:26">
      <c r="Z9127" s="371"/>
    </row>
    <row r="9128" spans="26:26">
      <c r="Z9128" s="371"/>
    </row>
    <row r="9129" spans="26:26">
      <c r="Z9129" s="371"/>
    </row>
    <row r="9130" spans="26:26">
      <c r="Z9130" s="371"/>
    </row>
    <row r="9131" spans="26:26">
      <c r="Z9131" s="371"/>
    </row>
    <row r="9132" spans="26:26">
      <c r="Z9132" s="371"/>
    </row>
    <row r="9133" spans="26:26">
      <c r="Z9133" s="371"/>
    </row>
    <row r="9134" spans="26:26">
      <c r="Z9134" s="371"/>
    </row>
    <row r="9135" spans="26:26">
      <c r="Z9135" s="371"/>
    </row>
    <row r="9136" spans="26:26">
      <c r="Z9136" s="371"/>
    </row>
    <row r="9137" spans="26:26">
      <c r="Z9137" s="371"/>
    </row>
    <row r="9138" spans="26:26">
      <c r="Z9138" s="371"/>
    </row>
    <row r="9139" spans="26:26">
      <c r="Z9139" s="371"/>
    </row>
    <row r="9140" spans="26:26">
      <c r="Z9140" s="371"/>
    </row>
    <row r="9141" spans="26:26">
      <c r="Z9141" s="371"/>
    </row>
    <row r="9142" spans="26:26">
      <c r="Z9142" s="371"/>
    </row>
    <row r="9143" spans="26:26">
      <c r="Z9143" s="371"/>
    </row>
    <row r="9144" spans="26:26">
      <c r="Z9144" s="371"/>
    </row>
    <row r="9145" spans="26:26">
      <c r="Z9145" s="371"/>
    </row>
    <row r="9146" spans="26:26">
      <c r="Z9146" s="371"/>
    </row>
    <row r="9147" spans="26:26">
      <c r="Z9147" s="371"/>
    </row>
    <row r="9148" spans="26:26">
      <c r="Z9148" s="371"/>
    </row>
    <row r="9149" spans="26:26">
      <c r="Z9149" s="371"/>
    </row>
    <row r="9150" spans="26:26">
      <c r="Z9150" s="371"/>
    </row>
    <row r="9151" spans="26:26">
      <c r="Z9151" s="371"/>
    </row>
    <row r="9152" spans="26:26">
      <c r="Z9152" s="371"/>
    </row>
    <row r="9153" spans="26:26">
      <c r="Z9153" s="371"/>
    </row>
    <row r="9154" spans="26:26">
      <c r="Z9154" s="371"/>
    </row>
    <row r="9155" spans="26:26">
      <c r="Z9155" s="371"/>
    </row>
    <row r="9156" spans="26:26">
      <c r="Z9156" s="371"/>
    </row>
    <row r="9157" spans="26:26">
      <c r="Z9157" s="371"/>
    </row>
    <row r="9158" spans="26:26">
      <c r="Z9158" s="371"/>
    </row>
    <row r="9159" spans="26:26">
      <c r="Z9159" s="371"/>
    </row>
    <row r="9160" spans="26:26">
      <c r="Z9160" s="371"/>
    </row>
    <row r="9161" spans="26:26">
      <c r="Z9161" s="371"/>
    </row>
    <row r="9162" spans="26:26">
      <c r="Z9162" s="371"/>
    </row>
    <row r="9163" spans="26:26">
      <c r="Z9163" s="371"/>
    </row>
    <row r="9164" spans="26:26">
      <c r="Z9164" s="371"/>
    </row>
    <row r="9165" spans="26:26">
      <c r="Z9165" s="371"/>
    </row>
    <row r="9166" spans="26:26">
      <c r="Z9166" s="371"/>
    </row>
    <row r="9167" spans="26:26">
      <c r="Z9167" s="371"/>
    </row>
    <row r="9168" spans="26:26">
      <c r="Z9168" s="371"/>
    </row>
    <row r="9169" spans="26:26">
      <c r="Z9169" s="371"/>
    </row>
    <row r="9170" spans="26:26">
      <c r="Z9170" s="371"/>
    </row>
    <row r="9171" spans="26:26">
      <c r="Z9171" s="371"/>
    </row>
    <row r="9172" spans="26:26">
      <c r="Z9172" s="371"/>
    </row>
    <row r="9173" spans="26:26">
      <c r="Z9173" s="371"/>
    </row>
    <row r="9174" spans="26:26">
      <c r="Z9174" s="371"/>
    </row>
    <row r="9175" spans="26:26">
      <c r="Z9175" s="371"/>
    </row>
    <row r="9176" spans="26:26">
      <c r="Z9176" s="371"/>
    </row>
    <row r="9177" spans="26:26">
      <c r="Z9177" s="371"/>
    </row>
    <row r="9178" spans="26:26">
      <c r="Z9178" s="371"/>
    </row>
    <row r="9179" spans="26:26">
      <c r="Z9179" s="371"/>
    </row>
    <row r="9180" spans="26:26">
      <c r="Z9180" s="371"/>
    </row>
    <row r="9181" spans="26:26">
      <c r="Z9181" s="371"/>
    </row>
    <row r="9182" spans="26:26">
      <c r="Z9182" s="371"/>
    </row>
    <row r="9183" spans="26:26">
      <c r="Z9183" s="371"/>
    </row>
    <row r="9184" spans="26:26">
      <c r="Z9184" s="371"/>
    </row>
    <row r="9185" spans="26:26">
      <c r="Z9185" s="371"/>
    </row>
    <row r="9186" spans="26:26">
      <c r="Z9186" s="371"/>
    </row>
    <row r="9187" spans="26:26">
      <c r="Z9187" s="371"/>
    </row>
    <row r="9188" spans="26:26">
      <c r="Z9188" s="371"/>
    </row>
    <row r="9189" spans="26:26">
      <c r="Z9189" s="371"/>
    </row>
    <row r="9190" spans="26:26">
      <c r="Z9190" s="371"/>
    </row>
    <row r="9191" spans="26:26">
      <c r="Z9191" s="371"/>
    </row>
    <row r="9192" spans="26:26">
      <c r="Z9192" s="371"/>
    </row>
    <row r="9193" spans="26:26">
      <c r="Z9193" s="371"/>
    </row>
    <row r="9194" spans="26:26">
      <c r="Z9194" s="371"/>
    </row>
    <row r="9195" spans="26:26">
      <c r="Z9195" s="371"/>
    </row>
    <row r="9196" spans="26:26">
      <c r="Z9196" s="371"/>
    </row>
    <row r="9197" spans="26:26">
      <c r="Z9197" s="371"/>
    </row>
    <row r="9198" spans="26:26">
      <c r="Z9198" s="371"/>
    </row>
    <row r="9199" spans="26:26">
      <c r="Z9199" s="371"/>
    </row>
    <row r="9200" spans="26:26">
      <c r="Z9200" s="371"/>
    </row>
    <row r="9201" spans="26:26">
      <c r="Z9201" s="371"/>
    </row>
    <row r="9202" spans="26:26">
      <c r="Z9202" s="371"/>
    </row>
    <row r="9203" spans="26:26">
      <c r="Z9203" s="371"/>
    </row>
    <row r="9204" spans="26:26">
      <c r="Z9204" s="371"/>
    </row>
    <row r="9205" spans="26:26">
      <c r="Z9205" s="371"/>
    </row>
    <row r="9206" spans="26:26">
      <c r="Z9206" s="371"/>
    </row>
    <row r="9207" spans="26:26">
      <c r="Z9207" s="371"/>
    </row>
    <row r="9208" spans="26:26">
      <c r="Z9208" s="371"/>
    </row>
    <row r="9209" spans="26:26">
      <c r="Z9209" s="371"/>
    </row>
    <row r="9210" spans="26:26">
      <c r="Z9210" s="371"/>
    </row>
    <row r="9211" spans="26:26">
      <c r="Z9211" s="371"/>
    </row>
    <row r="9212" spans="26:26">
      <c r="Z9212" s="371"/>
    </row>
    <row r="9213" spans="26:26">
      <c r="Z9213" s="371"/>
    </row>
    <row r="9214" spans="26:26">
      <c r="Z9214" s="371"/>
    </row>
    <row r="9215" spans="26:26">
      <c r="Z9215" s="371"/>
    </row>
    <row r="9216" spans="26:26">
      <c r="Z9216" s="371"/>
    </row>
    <row r="9217" spans="26:26">
      <c r="Z9217" s="371"/>
    </row>
    <row r="9218" spans="26:26">
      <c r="Z9218" s="371"/>
    </row>
    <row r="9219" spans="26:26">
      <c r="Z9219" s="371"/>
    </row>
    <row r="9220" spans="26:26">
      <c r="Z9220" s="371"/>
    </row>
    <row r="9221" spans="26:26">
      <c r="Z9221" s="371"/>
    </row>
    <row r="9222" spans="26:26">
      <c r="Z9222" s="371"/>
    </row>
    <row r="9223" spans="26:26">
      <c r="Z9223" s="371"/>
    </row>
    <row r="9224" spans="26:26">
      <c r="Z9224" s="371"/>
    </row>
    <row r="9225" spans="26:26">
      <c r="Z9225" s="371"/>
    </row>
    <row r="9226" spans="26:26">
      <c r="Z9226" s="371"/>
    </row>
    <row r="9227" spans="26:26">
      <c r="Z9227" s="371"/>
    </row>
    <row r="9228" spans="26:26">
      <c r="Z9228" s="371"/>
    </row>
    <row r="9229" spans="26:26">
      <c r="Z9229" s="371"/>
    </row>
    <row r="9230" spans="26:26">
      <c r="Z9230" s="371"/>
    </row>
    <row r="9231" spans="26:26">
      <c r="Z9231" s="371"/>
    </row>
    <row r="9232" spans="26:26">
      <c r="Z9232" s="371"/>
    </row>
    <row r="9233" spans="26:26">
      <c r="Z9233" s="371"/>
    </row>
    <row r="9234" spans="26:26">
      <c r="Z9234" s="371"/>
    </row>
    <row r="9235" spans="26:26">
      <c r="Z9235" s="371"/>
    </row>
    <row r="9236" spans="26:26">
      <c r="Z9236" s="371"/>
    </row>
    <row r="9237" spans="26:26">
      <c r="Z9237" s="371"/>
    </row>
    <row r="9238" spans="26:26">
      <c r="Z9238" s="371"/>
    </row>
    <row r="9239" spans="26:26">
      <c r="Z9239" s="371"/>
    </row>
    <row r="9240" spans="26:26">
      <c r="Z9240" s="371"/>
    </row>
    <row r="9241" spans="26:26">
      <c r="Z9241" s="371"/>
    </row>
    <row r="9242" spans="26:26">
      <c r="Z9242" s="371"/>
    </row>
    <row r="9243" spans="26:26">
      <c r="Z9243" s="371"/>
    </row>
    <row r="9244" spans="26:26">
      <c r="Z9244" s="371"/>
    </row>
    <row r="9245" spans="26:26">
      <c r="Z9245" s="371"/>
    </row>
    <row r="9246" spans="26:26">
      <c r="Z9246" s="371"/>
    </row>
    <row r="9247" spans="26:26">
      <c r="Z9247" s="371"/>
    </row>
    <row r="9248" spans="26:26">
      <c r="Z9248" s="371"/>
    </row>
    <row r="9249" spans="26:26">
      <c r="Z9249" s="371"/>
    </row>
    <row r="9250" spans="26:26">
      <c r="Z9250" s="371"/>
    </row>
    <row r="9251" spans="26:26">
      <c r="Z9251" s="371"/>
    </row>
    <row r="9252" spans="26:26">
      <c r="Z9252" s="371"/>
    </row>
    <row r="9253" spans="26:26">
      <c r="Z9253" s="371"/>
    </row>
    <row r="9254" spans="26:26">
      <c r="Z9254" s="371"/>
    </row>
    <row r="9255" spans="26:26">
      <c r="Z9255" s="371"/>
    </row>
    <row r="9256" spans="26:26">
      <c r="Z9256" s="371"/>
    </row>
    <row r="9257" spans="26:26">
      <c r="Z9257" s="371"/>
    </row>
    <row r="9258" spans="26:26">
      <c r="Z9258" s="371"/>
    </row>
    <row r="9259" spans="26:26">
      <c r="Z9259" s="371"/>
    </row>
    <row r="9260" spans="26:26">
      <c r="Z9260" s="371"/>
    </row>
    <row r="9261" spans="26:26">
      <c r="Z9261" s="371"/>
    </row>
    <row r="9262" spans="26:26">
      <c r="Z9262" s="371"/>
    </row>
    <row r="9263" spans="26:26">
      <c r="Z9263" s="371"/>
    </row>
    <row r="9264" spans="26:26">
      <c r="Z9264" s="371"/>
    </row>
    <row r="9265" spans="26:26">
      <c r="Z9265" s="371"/>
    </row>
    <row r="9266" spans="26:26">
      <c r="Z9266" s="371"/>
    </row>
    <row r="9267" spans="26:26">
      <c r="Z9267" s="371"/>
    </row>
    <row r="9268" spans="26:26">
      <c r="Z9268" s="371"/>
    </row>
    <row r="9269" spans="26:26">
      <c r="Z9269" s="371"/>
    </row>
    <row r="9270" spans="26:26">
      <c r="Z9270" s="371"/>
    </row>
    <row r="9271" spans="26:26">
      <c r="Z9271" s="371"/>
    </row>
    <row r="9272" spans="26:26">
      <c r="Z9272" s="371"/>
    </row>
    <row r="9273" spans="26:26">
      <c r="Z9273" s="371"/>
    </row>
    <row r="9274" spans="26:26">
      <c r="Z9274" s="371"/>
    </row>
    <row r="9275" spans="26:26">
      <c r="Z9275" s="371"/>
    </row>
    <row r="9276" spans="26:26">
      <c r="Z9276" s="371"/>
    </row>
    <row r="9277" spans="26:26">
      <c r="Z9277" s="371"/>
    </row>
    <row r="9278" spans="26:26">
      <c r="Z9278" s="371"/>
    </row>
    <row r="9279" spans="26:26">
      <c r="Z9279" s="371"/>
    </row>
    <row r="9280" spans="26:26">
      <c r="Z9280" s="371"/>
    </row>
    <row r="9281" spans="26:26">
      <c r="Z9281" s="371"/>
    </row>
    <row r="9282" spans="26:26">
      <c r="Z9282" s="371"/>
    </row>
    <row r="9283" spans="26:26">
      <c r="Z9283" s="371"/>
    </row>
    <row r="9284" spans="26:26">
      <c r="Z9284" s="371"/>
    </row>
    <row r="9285" spans="26:26">
      <c r="Z9285" s="371"/>
    </row>
    <row r="9286" spans="26:26">
      <c r="Z9286" s="371"/>
    </row>
    <row r="9287" spans="26:26">
      <c r="Z9287" s="371"/>
    </row>
    <row r="9288" spans="26:26">
      <c r="Z9288" s="371"/>
    </row>
    <row r="9289" spans="26:26">
      <c r="Z9289" s="371"/>
    </row>
    <row r="9290" spans="26:26">
      <c r="Z9290" s="371"/>
    </row>
    <row r="9291" spans="26:26">
      <c r="Z9291" s="371"/>
    </row>
    <row r="9292" spans="26:26">
      <c r="Z9292" s="371"/>
    </row>
    <row r="9293" spans="26:26">
      <c r="Z9293" s="371"/>
    </row>
    <row r="9294" spans="26:26">
      <c r="Z9294" s="371"/>
    </row>
    <row r="9295" spans="26:26">
      <c r="Z9295" s="371"/>
    </row>
    <row r="9296" spans="26:26">
      <c r="Z9296" s="371"/>
    </row>
    <row r="9297" spans="26:26">
      <c r="Z9297" s="371"/>
    </row>
    <row r="9298" spans="26:26">
      <c r="Z9298" s="371"/>
    </row>
    <row r="9299" spans="26:26">
      <c r="Z9299" s="371"/>
    </row>
    <row r="9300" spans="26:26">
      <c r="Z9300" s="371"/>
    </row>
    <row r="9301" spans="26:26">
      <c r="Z9301" s="371"/>
    </row>
    <row r="9302" spans="26:26">
      <c r="Z9302" s="371"/>
    </row>
    <row r="9303" spans="26:26">
      <c r="Z9303" s="371"/>
    </row>
    <row r="9304" spans="26:26">
      <c r="Z9304" s="371"/>
    </row>
    <row r="9305" spans="26:26">
      <c r="Z9305" s="371"/>
    </row>
    <row r="9306" spans="26:26">
      <c r="Z9306" s="371"/>
    </row>
    <row r="9307" spans="26:26">
      <c r="Z9307" s="371"/>
    </row>
    <row r="9308" spans="26:26">
      <c r="Z9308" s="371"/>
    </row>
    <row r="9309" spans="26:26">
      <c r="Z9309" s="371"/>
    </row>
    <row r="9310" spans="26:26">
      <c r="Z9310" s="371"/>
    </row>
    <row r="9311" spans="26:26">
      <c r="Z9311" s="371"/>
    </row>
    <row r="9312" spans="26:26">
      <c r="Z9312" s="371"/>
    </row>
    <row r="9313" spans="26:26">
      <c r="Z9313" s="371"/>
    </row>
    <row r="9314" spans="26:26">
      <c r="Z9314" s="371"/>
    </row>
    <row r="9315" spans="26:26">
      <c r="Z9315" s="371"/>
    </row>
    <row r="9316" spans="26:26">
      <c r="Z9316" s="371"/>
    </row>
    <row r="9317" spans="26:26">
      <c r="Z9317" s="371"/>
    </row>
    <row r="9318" spans="26:26">
      <c r="Z9318" s="371"/>
    </row>
    <row r="9319" spans="26:26">
      <c r="Z9319" s="371"/>
    </row>
    <row r="9320" spans="26:26">
      <c r="Z9320" s="371"/>
    </row>
    <row r="9321" spans="26:26">
      <c r="Z9321" s="371"/>
    </row>
    <row r="9322" spans="26:26">
      <c r="Z9322" s="371"/>
    </row>
    <row r="9323" spans="26:26">
      <c r="Z9323" s="371"/>
    </row>
    <row r="9324" spans="26:26">
      <c r="Z9324" s="371"/>
    </row>
    <row r="9325" spans="26:26">
      <c r="Z9325" s="371"/>
    </row>
    <row r="9326" spans="26:26">
      <c r="Z9326" s="371"/>
    </row>
    <row r="9327" spans="26:26">
      <c r="Z9327" s="371"/>
    </row>
    <row r="9328" spans="26:26">
      <c r="Z9328" s="371"/>
    </row>
    <row r="9329" spans="26:26">
      <c r="Z9329" s="371"/>
    </row>
    <row r="9330" spans="26:26">
      <c r="Z9330" s="371"/>
    </row>
    <row r="9331" spans="26:26">
      <c r="Z9331" s="371"/>
    </row>
    <row r="9332" spans="26:26">
      <c r="Z9332" s="371"/>
    </row>
    <row r="9333" spans="26:26">
      <c r="Z9333" s="371"/>
    </row>
    <row r="9334" spans="26:26">
      <c r="Z9334" s="371"/>
    </row>
    <row r="9335" spans="26:26">
      <c r="Z9335" s="371"/>
    </row>
    <row r="9336" spans="26:26">
      <c r="Z9336" s="371"/>
    </row>
    <row r="9337" spans="26:26">
      <c r="Z9337" s="371"/>
    </row>
    <row r="9338" spans="26:26">
      <c r="Z9338" s="371"/>
    </row>
    <row r="9339" spans="26:26">
      <c r="Z9339" s="371"/>
    </row>
    <row r="9340" spans="26:26">
      <c r="Z9340" s="371"/>
    </row>
    <row r="9341" spans="26:26">
      <c r="Z9341" s="371"/>
    </row>
    <row r="9342" spans="26:26">
      <c r="Z9342" s="371"/>
    </row>
    <row r="9343" spans="26:26">
      <c r="Z9343" s="371"/>
    </row>
    <row r="9344" spans="26:26">
      <c r="Z9344" s="371"/>
    </row>
    <row r="9345" spans="26:26">
      <c r="Z9345" s="371"/>
    </row>
    <row r="9346" spans="26:26">
      <c r="Z9346" s="371"/>
    </row>
    <row r="9347" spans="26:26">
      <c r="Z9347" s="371"/>
    </row>
    <row r="9348" spans="26:26">
      <c r="Z9348" s="371"/>
    </row>
    <row r="9349" spans="26:26">
      <c r="Z9349" s="371"/>
    </row>
    <row r="9350" spans="26:26">
      <c r="Z9350" s="371"/>
    </row>
    <row r="9351" spans="26:26">
      <c r="Z9351" s="371"/>
    </row>
    <row r="9352" spans="26:26">
      <c r="Z9352" s="371"/>
    </row>
    <row r="9353" spans="26:26">
      <c r="Z9353" s="371"/>
    </row>
    <row r="9354" spans="26:26">
      <c r="Z9354" s="371"/>
    </row>
    <row r="9355" spans="26:26">
      <c r="Z9355" s="371"/>
    </row>
    <row r="9356" spans="26:26">
      <c r="Z9356" s="371"/>
    </row>
    <row r="9357" spans="26:26">
      <c r="Z9357" s="371"/>
    </row>
    <row r="9358" spans="26:26">
      <c r="Z9358" s="371"/>
    </row>
    <row r="9359" spans="26:26">
      <c r="Z9359" s="371"/>
    </row>
    <row r="9360" spans="26:26">
      <c r="Z9360" s="371"/>
    </row>
    <row r="9361" spans="26:26">
      <c r="Z9361" s="371"/>
    </row>
    <row r="9362" spans="26:26">
      <c r="Z9362" s="371"/>
    </row>
    <row r="9363" spans="26:26">
      <c r="Z9363" s="371"/>
    </row>
    <row r="9364" spans="26:26">
      <c r="Z9364" s="371"/>
    </row>
    <row r="9365" spans="26:26">
      <c r="Z9365" s="371"/>
    </row>
    <row r="9366" spans="26:26">
      <c r="Z9366" s="371"/>
    </row>
    <row r="9367" spans="26:26">
      <c r="Z9367" s="371"/>
    </row>
    <row r="9368" spans="26:26">
      <c r="Z9368" s="371"/>
    </row>
    <row r="9369" spans="26:26">
      <c r="Z9369" s="371"/>
    </row>
    <row r="9370" spans="26:26">
      <c r="Z9370" s="371"/>
    </row>
    <row r="9371" spans="26:26">
      <c r="Z9371" s="371"/>
    </row>
    <row r="9372" spans="26:26">
      <c r="Z9372" s="371"/>
    </row>
    <row r="9373" spans="26:26">
      <c r="Z9373" s="371"/>
    </row>
    <row r="9374" spans="26:26">
      <c r="Z9374" s="371"/>
    </row>
    <row r="9375" spans="26:26">
      <c r="Z9375" s="371"/>
    </row>
    <row r="9376" spans="26:26">
      <c r="Z9376" s="371"/>
    </row>
    <row r="9377" spans="26:26">
      <c r="Z9377" s="371"/>
    </row>
    <row r="9378" spans="26:26">
      <c r="Z9378" s="371"/>
    </row>
    <row r="9379" spans="26:26">
      <c r="Z9379" s="371"/>
    </row>
    <row r="9380" spans="26:26">
      <c r="Z9380" s="371"/>
    </row>
    <row r="9381" spans="26:26">
      <c r="Z9381" s="371"/>
    </row>
    <row r="9382" spans="26:26">
      <c r="Z9382" s="371"/>
    </row>
    <row r="9383" spans="26:26">
      <c r="Z9383" s="371"/>
    </row>
    <row r="9384" spans="26:26">
      <c r="Z9384" s="371"/>
    </row>
    <row r="9385" spans="26:26">
      <c r="Z9385" s="371"/>
    </row>
    <row r="9386" spans="26:26">
      <c r="Z9386" s="371"/>
    </row>
    <row r="9387" spans="26:26">
      <c r="Z9387" s="371"/>
    </row>
    <row r="9388" spans="26:26">
      <c r="Z9388" s="371"/>
    </row>
    <row r="9389" spans="26:26">
      <c r="Z9389" s="371"/>
    </row>
    <row r="9390" spans="26:26">
      <c r="Z9390" s="371"/>
    </row>
    <row r="9391" spans="26:26">
      <c r="Z9391" s="371"/>
    </row>
    <row r="9392" spans="26:26">
      <c r="Z9392" s="371"/>
    </row>
    <row r="9393" spans="26:26">
      <c r="Z9393" s="371"/>
    </row>
    <row r="9394" spans="26:26">
      <c r="Z9394" s="371"/>
    </row>
    <row r="9395" spans="26:26">
      <c r="Z9395" s="371"/>
    </row>
    <row r="9396" spans="26:26">
      <c r="Z9396" s="371"/>
    </row>
    <row r="9397" spans="26:26">
      <c r="Z9397" s="371"/>
    </row>
    <row r="9398" spans="26:26">
      <c r="Z9398" s="371"/>
    </row>
    <row r="9399" spans="26:26">
      <c r="Z9399" s="371"/>
    </row>
    <row r="9400" spans="26:26">
      <c r="Z9400" s="371"/>
    </row>
    <row r="9401" spans="26:26">
      <c r="Z9401" s="371"/>
    </row>
    <row r="9402" spans="26:26">
      <c r="Z9402" s="371"/>
    </row>
    <row r="9403" spans="26:26">
      <c r="Z9403" s="371"/>
    </row>
    <row r="9404" spans="26:26">
      <c r="Z9404" s="371"/>
    </row>
    <row r="9405" spans="26:26">
      <c r="Z9405" s="371"/>
    </row>
    <row r="9406" spans="26:26">
      <c r="Z9406" s="371"/>
    </row>
    <row r="9407" spans="26:26">
      <c r="Z9407" s="371"/>
    </row>
    <row r="9408" spans="26:26">
      <c r="Z9408" s="371"/>
    </row>
    <row r="9409" spans="26:26">
      <c r="Z9409" s="371"/>
    </row>
    <row r="9410" spans="26:26">
      <c r="Z9410" s="371"/>
    </row>
    <row r="9411" spans="26:26">
      <c r="Z9411" s="371"/>
    </row>
    <row r="9412" spans="26:26">
      <c r="Z9412" s="371"/>
    </row>
    <row r="9413" spans="26:26">
      <c r="Z9413" s="371"/>
    </row>
    <row r="9414" spans="26:26">
      <c r="Z9414" s="371"/>
    </row>
    <row r="9415" spans="26:26">
      <c r="Z9415" s="371"/>
    </row>
    <row r="9416" spans="26:26">
      <c r="Z9416" s="371"/>
    </row>
    <row r="9417" spans="26:26">
      <c r="Z9417" s="371"/>
    </row>
    <row r="9418" spans="26:26">
      <c r="Z9418" s="371"/>
    </row>
    <row r="9419" spans="26:26">
      <c r="Z9419" s="371"/>
    </row>
    <row r="9420" spans="26:26">
      <c r="Z9420" s="371"/>
    </row>
    <row r="9421" spans="26:26">
      <c r="Z9421" s="371"/>
    </row>
    <row r="9422" spans="26:26">
      <c r="Z9422" s="371"/>
    </row>
    <row r="9423" spans="26:26">
      <c r="Z9423" s="371"/>
    </row>
    <row r="9424" spans="26:26">
      <c r="Z9424" s="371"/>
    </row>
    <row r="9425" spans="26:26">
      <c r="Z9425" s="371"/>
    </row>
    <row r="9426" spans="26:26">
      <c r="Z9426" s="371"/>
    </row>
    <row r="9427" spans="26:26">
      <c r="Z9427" s="371"/>
    </row>
    <row r="9428" spans="26:26">
      <c r="Z9428" s="371"/>
    </row>
    <row r="9429" spans="26:26">
      <c r="Z9429" s="371"/>
    </row>
    <row r="9430" spans="26:26">
      <c r="Z9430" s="371"/>
    </row>
    <row r="9431" spans="26:26">
      <c r="Z9431" s="371"/>
    </row>
    <row r="9432" spans="26:26">
      <c r="Z9432" s="371"/>
    </row>
    <row r="9433" spans="26:26">
      <c r="Z9433" s="371"/>
    </row>
    <row r="9434" spans="26:26">
      <c r="Z9434" s="371"/>
    </row>
    <row r="9435" spans="26:26">
      <c r="Z9435" s="371"/>
    </row>
    <row r="9436" spans="26:26">
      <c r="Z9436" s="371"/>
    </row>
    <row r="9437" spans="26:26">
      <c r="Z9437" s="371"/>
    </row>
    <row r="9438" spans="26:26">
      <c r="Z9438" s="371"/>
    </row>
    <row r="9439" spans="26:26">
      <c r="Z9439" s="371"/>
    </row>
    <row r="9440" spans="26:26">
      <c r="Z9440" s="371"/>
    </row>
    <row r="9441" spans="26:26">
      <c r="Z9441" s="371"/>
    </row>
    <row r="9442" spans="26:26">
      <c r="Z9442" s="371"/>
    </row>
    <row r="9443" spans="26:26">
      <c r="Z9443" s="371"/>
    </row>
    <row r="9444" spans="26:26">
      <c r="Z9444" s="371"/>
    </row>
    <row r="9445" spans="26:26">
      <c r="Z9445" s="371"/>
    </row>
    <row r="9446" spans="26:26">
      <c r="Z9446" s="371"/>
    </row>
    <row r="9447" spans="26:26">
      <c r="Z9447" s="371"/>
    </row>
    <row r="9448" spans="26:26">
      <c r="Z9448" s="371"/>
    </row>
    <row r="9449" spans="26:26">
      <c r="Z9449" s="371"/>
    </row>
    <row r="9450" spans="26:26">
      <c r="Z9450" s="371"/>
    </row>
    <row r="9451" spans="26:26">
      <c r="Z9451" s="371"/>
    </row>
    <row r="9452" spans="26:26">
      <c r="Z9452" s="371"/>
    </row>
    <row r="9453" spans="26:26">
      <c r="Z9453" s="371"/>
    </row>
    <row r="9454" spans="26:26">
      <c r="Z9454" s="371"/>
    </row>
    <row r="9455" spans="26:26">
      <c r="Z9455" s="371"/>
    </row>
    <row r="9456" spans="26:26">
      <c r="Z9456" s="371"/>
    </row>
    <row r="9457" spans="26:26">
      <c r="Z9457" s="371"/>
    </row>
    <row r="9458" spans="26:26">
      <c r="Z9458" s="371"/>
    </row>
    <row r="9459" spans="26:26">
      <c r="Z9459" s="371"/>
    </row>
    <row r="9460" spans="26:26">
      <c r="Z9460" s="371"/>
    </row>
    <row r="9461" spans="26:26">
      <c r="Z9461" s="371"/>
    </row>
    <row r="9462" spans="26:26">
      <c r="Z9462" s="371"/>
    </row>
    <row r="9463" spans="26:26">
      <c r="Z9463" s="371"/>
    </row>
    <row r="9464" spans="26:26">
      <c r="Z9464" s="371"/>
    </row>
    <row r="9465" spans="26:26">
      <c r="Z9465" s="371"/>
    </row>
    <row r="9466" spans="26:26">
      <c r="Z9466" s="371"/>
    </row>
    <row r="9467" spans="26:26">
      <c r="Z9467" s="371"/>
    </row>
    <row r="9468" spans="26:26">
      <c r="Z9468" s="371"/>
    </row>
    <row r="9469" spans="26:26">
      <c r="Z9469" s="371"/>
    </row>
    <row r="9470" spans="26:26">
      <c r="Z9470" s="371"/>
    </row>
    <row r="9471" spans="26:26">
      <c r="Z9471" s="371"/>
    </row>
    <row r="9472" spans="26:26">
      <c r="Z9472" s="371"/>
    </row>
    <row r="9473" spans="26:26">
      <c r="Z9473" s="371"/>
    </row>
    <row r="9474" spans="26:26">
      <c r="Z9474" s="371"/>
    </row>
    <row r="9475" spans="26:26">
      <c r="Z9475" s="371"/>
    </row>
    <row r="9476" spans="26:26">
      <c r="Z9476" s="371"/>
    </row>
    <row r="9477" spans="26:26">
      <c r="Z9477" s="371"/>
    </row>
    <row r="9478" spans="26:26">
      <c r="Z9478" s="371"/>
    </row>
    <row r="9479" spans="26:26">
      <c r="Z9479" s="371"/>
    </row>
    <row r="9480" spans="26:26">
      <c r="Z9480" s="371"/>
    </row>
    <row r="9481" spans="26:26">
      <c r="Z9481" s="371"/>
    </row>
    <row r="9482" spans="26:26">
      <c r="Z9482" s="371"/>
    </row>
    <row r="9483" spans="26:26">
      <c r="Z9483" s="371"/>
    </row>
    <row r="9484" spans="26:26">
      <c r="Z9484" s="371"/>
    </row>
    <row r="9485" spans="26:26">
      <c r="Z9485" s="371"/>
    </row>
    <row r="9486" spans="26:26">
      <c r="Z9486" s="371"/>
    </row>
    <row r="9487" spans="26:26">
      <c r="Z9487" s="371"/>
    </row>
    <row r="9488" spans="26:26">
      <c r="Z9488" s="371"/>
    </row>
    <row r="9489" spans="26:26">
      <c r="Z9489" s="371"/>
    </row>
    <row r="9490" spans="26:26">
      <c r="Z9490" s="371"/>
    </row>
    <row r="9491" spans="26:26">
      <c r="Z9491" s="371"/>
    </row>
    <row r="9492" spans="26:26">
      <c r="Z9492" s="371"/>
    </row>
    <row r="9493" spans="26:26">
      <c r="Z9493" s="371"/>
    </row>
    <row r="9494" spans="26:26">
      <c r="Z9494" s="371"/>
    </row>
    <row r="9495" spans="26:26">
      <c r="Z9495" s="371"/>
    </row>
    <row r="9496" spans="26:26">
      <c r="Z9496" s="371"/>
    </row>
    <row r="9497" spans="26:26">
      <c r="Z9497" s="371"/>
    </row>
    <row r="9498" spans="26:26">
      <c r="Z9498" s="371"/>
    </row>
    <row r="9499" spans="26:26">
      <c r="Z9499" s="371"/>
    </row>
    <row r="9500" spans="26:26">
      <c r="Z9500" s="371"/>
    </row>
    <row r="9501" spans="26:26">
      <c r="Z9501" s="371"/>
    </row>
    <row r="9502" spans="26:26">
      <c r="Z9502" s="371"/>
    </row>
    <row r="9503" spans="26:26">
      <c r="Z9503" s="371"/>
    </row>
    <row r="9504" spans="26:26">
      <c r="Z9504" s="371"/>
    </row>
    <row r="9505" spans="26:26">
      <c r="Z9505" s="371"/>
    </row>
    <row r="9506" spans="26:26">
      <c r="Z9506" s="371"/>
    </row>
    <row r="9507" spans="26:26">
      <c r="Z9507" s="371"/>
    </row>
    <row r="9508" spans="26:26">
      <c r="Z9508" s="371"/>
    </row>
    <row r="9509" spans="26:26">
      <c r="Z9509" s="371"/>
    </row>
    <row r="9510" spans="26:26">
      <c r="Z9510" s="371"/>
    </row>
    <row r="9511" spans="26:26">
      <c r="Z9511" s="371"/>
    </row>
    <row r="9512" spans="26:26">
      <c r="Z9512" s="371"/>
    </row>
    <row r="9513" spans="26:26">
      <c r="Z9513" s="371"/>
    </row>
    <row r="9514" spans="26:26">
      <c r="Z9514" s="371"/>
    </row>
    <row r="9515" spans="26:26">
      <c r="Z9515" s="371"/>
    </row>
    <row r="9516" spans="26:26">
      <c r="Z9516" s="371"/>
    </row>
    <row r="9517" spans="26:26">
      <c r="Z9517" s="371"/>
    </row>
    <row r="9518" spans="26:26">
      <c r="Z9518" s="371"/>
    </row>
    <row r="9519" spans="26:26">
      <c r="Z9519" s="371"/>
    </row>
    <row r="9520" spans="26:26">
      <c r="Z9520" s="371"/>
    </row>
    <row r="9521" spans="26:26">
      <c r="Z9521" s="371"/>
    </row>
    <row r="9522" spans="26:26">
      <c r="Z9522" s="371"/>
    </row>
    <row r="9523" spans="26:26">
      <c r="Z9523" s="371"/>
    </row>
    <row r="9524" spans="26:26">
      <c r="Z9524" s="371"/>
    </row>
    <row r="9525" spans="26:26">
      <c r="Z9525" s="371"/>
    </row>
    <row r="9526" spans="26:26">
      <c r="Z9526" s="371"/>
    </row>
    <row r="9527" spans="26:26">
      <c r="Z9527" s="371"/>
    </row>
    <row r="9528" spans="26:26">
      <c r="Z9528" s="371"/>
    </row>
    <row r="9529" spans="26:26">
      <c r="Z9529" s="371"/>
    </row>
    <row r="9530" spans="26:26">
      <c r="Z9530" s="371"/>
    </row>
    <row r="9531" spans="26:26">
      <c r="Z9531" s="371"/>
    </row>
    <row r="9532" spans="26:26">
      <c r="Z9532" s="371"/>
    </row>
    <row r="9533" spans="26:26">
      <c r="Z9533" s="371"/>
    </row>
    <row r="9534" spans="26:26">
      <c r="Z9534" s="371"/>
    </row>
    <row r="9535" spans="26:26">
      <c r="Z9535" s="371"/>
    </row>
    <row r="9536" spans="26:26">
      <c r="Z9536" s="371"/>
    </row>
    <row r="9537" spans="26:26">
      <c r="Z9537" s="371"/>
    </row>
    <row r="9538" spans="26:26">
      <c r="Z9538" s="371"/>
    </row>
    <row r="9539" spans="26:26">
      <c r="Z9539" s="371"/>
    </row>
    <row r="9540" spans="26:26">
      <c r="Z9540" s="371"/>
    </row>
    <row r="9541" spans="26:26">
      <c r="Z9541" s="371"/>
    </row>
    <row r="9542" spans="26:26">
      <c r="Z9542" s="371"/>
    </row>
    <row r="9543" spans="26:26">
      <c r="Z9543" s="371"/>
    </row>
    <row r="9544" spans="26:26">
      <c r="Z9544" s="371"/>
    </row>
    <row r="9545" spans="26:26">
      <c r="Z9545" s="371"/>
    </row>
    <row r="9546" spans="26:26">
      <c r="Z9546" s="371"/>
    </row>
    <row r="9547" spans="26:26">
      <c r="Z9547" s="371"/>
    </row>
    <row r="9548" spans="26:26">
      <c r="Z9548" s="371"/>
    </row>
    <row r="9549" spans="26:26">
      <c r="Z9549" s="371"/>
    </row>
    <row r="9550" spans="26:26">
      <c r="Z9550" s="371"/>
    </row>
    <row r="9551" spans="26:26">
      <c r="Z9551" s="371"/>
    </row>
    <row r="9552" spans="26:26">
      <c r="Z9552" s="371"/>
    </row>
    <row r="9553" spans="26:26">
      <c r="Z9553" s="371"/>
    </row>
    <row r="9554" spans="26:26">
      <c r="Z9554" s="371"/>
    </row>
    <row r="9555" spans="26:26">
      <c r="Z9555" s="371"/>
    </row>
    <row r="9556" spans="26:26">
      <c r="Z9556" s="371"/>
    </row>
    <row r="9557" spans="26:26">
      <c r="Z9557" s="371"/>
    </row>
    <row r="9558" spans="26:26">
      <c r="Z9558" s="371"/>
    </row>
    <row r="9559" spans="26:26">
      <c r="Z9559" s="371"/>
    </row>
    <row r="9560" spans="26:26">
      <c r="Z9560" s="371"/>
    </row>
    <row r="9561" spans="26:26">
      <c r="Z9561" s="371"/>
    </row>
    <row r="9562" spans="26:26">
      <c r="Z9562" s="371"/>
    </row>
    <row r="9563" spans="26:26">
      <c r="Z9563" s="371"/>
    </row>
    <row r="9564" spans="26:26">
      <c r="Z9564" s="371"/>
    </row>
    <row r="9565" spans="26:26">
      <c r="Z9565" s="371"/>
    </row>
    <row r="9566" spans="26:26">
      <c r="Z9566" s="371"/>
    </row>
    <row r="9567" spans="26:26">
      <c r="Z9567" s="371"/>
    </row>
    <row r="9568" spans="26:26">
      <c r="Z9568" s="371"/>
    </row>
    <row r="9569" spans="26:26">
      <c r="Z9569" s="371"/>
    </row>
    <row r="9570" spans="26:26">
      <c r="Z9570" s="371"/>
    </row>
    <row r="9571" spans="26:26">
      <c r="Z9571" s="371"/>
    </row>
    <row r="9572" spans="26:26">
      <c r="Z9572" s="371"/>
    </row>
    <row r="9573" spans="26:26">
      <c r="Z9573" s="371"/>
    </row>
    <row r="9574" spans="26:26">
      <c r="Z9574" s="371"/>
    </row>
    <row r="9575" spans="26:26">
      <c r="Z9575" s="371"/>
    </row>
    <row r="9576" spans="26:26">
      <c r="Z9576" s="371"/>
    </row>
    <row r="9577" spans="26:26">
      <c r="Z9577" s="371"/>
    </row>
    <row r="9578" spans="26:26">
      <c r="Z9578" s="371"/>
    </row>
    <row r="9579" spans="26:26">
      <c r="Z9579" s="371"/>
    </row>
    <row r="9580" spans="26:26">
      <c r="Z9580" s="371"/>
    </row>
    <row r="9581" spans="26:26">
      <c r="Z9581" s="371"/>
    </row>
    <row r="9582" spans="26:26">
      <c r="Z9582" s="371"/>
    </row>
    <row r="9583" spans="26:26">
      <c r="Z9583" s="371"/>
    </row>
    <row r="9584" spans="26:26">
      <c r="Z9584" s="371"/>
    </row>
    <row r="9585" spans="26:26">
      <c r="Z9585" s="371"/>
    </row>
    <row r="9586" spans="26:26">
      <c r="Z9586" s="371"/>
    </row>
    <row r="9587" spans="26:26">
      <c r="Z9587" s="371"/>
    </row>
    <row r="9588" spans="26:26">
      <c r="Z9588" s="371"/>
    </row>
    <row r="9589" spans="26:26">
      <c r="Z9589" s="371"/>
    </row>
    <row r="9590" spans="26:26">
      <c r="Z9590" s="371"/>
    </row>
    <row r="9591" spans="26:26">
      <c r="Z9591" s="371"/>
    </row>
    <row r="9592" spans="26:26">
      <c r="Z9592" s="371"/>
    </row>
    <row r="9593" spans="26:26">
      <c r="Z9593" s="371"/>
    </row>
    <row r="9594" spans="26:26">
      <c r="Z9594" s="371"/>
    </row>
    <row r="9595" spans="26:26">
      <c r="Z9595" s="371"/>
    </row>
    <row r="9596" spans="26:26">
      <c r="Z9596" s="371"/>
    </row>
    <row r="9597" spans="26:26">
      <c r="Z9597" s="371"/>
    </row>
    <row r="9598" spans="26:26">
      <c r="Z9598" s="371"/>
    </row>
    <row r="9599" spans="26:26">
      <c r="Z9599" s="371"/>
    </row>
    <row r="9600" spans="26:26">
      <c r="Z9600" s="371"/>
    </row>
    <row r="9601" spans="26:26">
      <c r="Z9601" s="371"/>
    </row>
    <row r="9602" spans="26:26">
      <c r="Z9602" s="371"/>
    </row>
    <row r="9603" spans="26:26">
      <c r="Z9603" s="371"/>
    </row>
    <row r="9604" spans="26:26">
      <c r="Z9604" s="371"/>
    </row>
    <row r="9605" spans="26:26">
      <c r="Z9605" s="371"/>
    </row>
    <row r="9606" spans="26:26">
      <c r="Z9606" s="371"/>
    </row>
    <row r="9607" spans="26:26">
      <c r="Z9607" s="371"/>
    </row>
    <row r="9608" spans="26:26">
      <c r="Z9608" s="371"/>
    </row>
    <row r="9609" spans="26:26">
      <c r="Z9609" s="371"/>
    </row>
    <row r="9610" spans="26:26">
      <c r="Z9610" s="371"/>
    </row>
    <row r="9611" spans="26:26">
      <c r="Z9611" s="371"/>
    </row>
    <row r="9612" spans="26:26">
      <c r="Z9612" s="371"/>
    </row>
    <row r="9613" spans="26:26">
      <c r="Z9613" s="371"/>
    </row>
    <row r="9614" spans="26:26">
      <c r="Z9614" s="371"/>
    </row>
    <row r="9615" spans="26:26">
      <c r="Z9615" s="371"/>
    </row>
    <row r="9616" spans="26:26">
      <c r="Z9616" s="371"/>
    </row>
    <row r="9617" spans="26:26">
      <c r="Z9617" s="371"/>
    </row>
    <row r="9618" spans="26:26">
      <c r="Z9618" s="371"/>
    </row>
    <row r="9619" spans="26:26">
      <c r="Z9619" s="371"/>
    </row>
    <row r="9620" spans="26:26">
      <c r="Z9620" s="371"/>
    </row>
    <row r="9621" spans="26:26">
      <c r="Z9621" s="371"/>
    </row>
    <row r="9622" spans="26:26">
      <c r="Z9622" s="371"/>
    </row>
    <row r="9623" spans="26:26">
      <c r="Z9623" s="371"/>
    </row>
    <row r="9624" spans="26:26">
      <c r="Z9624" s="371"/>
    </row>
    <row r="9625" spans="26:26">
      <c r="Z9625" s="371"/>
    </row>
    <row r="9626" spans="26:26">
      <c r="Z9626" s="371"/>
    </row>
    <row r="9627" spans="26:26">
      <c r="Z9627" s="371"/>
    </row>
    <row r="9628" spans="26:26">
      <c r="Z9628" s="371"/>
    </row>
    <row r="9629" spans="26:26">
      <c r="Z9629" s="371"/>
    </row>
    <row r="9630" spans="26:26">
      <c r="Z9630" s="371"/>
    </row>
    <row r="9631" spans="26:26">
      <c r="Z9631" s="371"/>
    </row>
    <row r="9632" spans="26:26">
      <c r="Z9632" s="371"/>
    </row>
    <row r="9633" spans="26:26">
      <c r="Z9633" s="371"/>
    </row>
    <row r="9634" spans="26:26">
      <c r="Z9634" s="371"/>
    </row>
    <row r="9635" spans="26:26">
      <c r="Z9635" s="371"/>
    </row>
    <row r="9636" spans="26:26">
      <c r="Z9636" s="371"/>
    </row>
    <row r="9637" spans="26:26">
      <c r="Z9637" s="371"/>
    </row>
    <row r="9638" spans="26:26">
      <c r="Z9638" s="371"/>
    </row>
    <row r="9639" spans="26:26">
      <c r="Z9639" s="371"/>
    </row>
    <row r="9640" spans="26:26">
      <c r="Z9640" s="371"/>
    </row>
    <row r="9641" spans="26:26">
      <c r="Z9641" s="371"/>
    </row>
    <row r="9642" spans="26:26">
      <c r="Z9642" s="371"/>
    </row>
    <row r="9643" spans="26:26">
      <c r="Z9643" s="371"/>
    </row>
    <row r="9644" spans="26:26">
      <c r="Z9644" s="371"/>
    </row>
    <row r="9645" spans="26:26">
      <c r="Z9645" s="371"/>
    </row>
    <row r="9646" spans="26:26">
      <c r="Z9646" s="371"/>
    </row>
    <row r="9647" spans="26:26">
      <c r="Z9647" s="371"/>
    </row>
    <row r="9648" spans="26:26">
      <c r="Z9648" s="371"/>
    </row>
    <row r="9649" spans="26:26">
      <c r="Z9649" s="371"/>
    </row>
    <row r="9650" spans="26:26">
      <c r="Z9650" s="371"/>
    </row>
    <row r="9651" spans="26:26">
      <c r="Z9651" s="371"/>
    </row>
    <row r="9652" spans="26:26">
      <c r="Z9652" s="371"/>
    </row>
    <row r="9653" spans="26:26">
      <c r="Z9653" s="371"/>
    </row>
    <row r="9654" spans="26:26">
      <c r="Z9654" s="371"/>
    </row>
    <row r="9655" spans="26:26">
      <c r="Z9655" s="371"/>
    </row>
    <row r="9656" spans="26:26">
      <c r="Z9656" s="371"/>
    </row>
    <row r="9657" spans="26:26">
      <c r="Z9657" s="371"/>
    </row>
    <row r="9658" spans="26:26">
      <c r="Z9658" s="371"/>
    </row>
    <row r="9659" spans="26:26">
      <c r="Z9659" s="371"/>
    </row>
    <row r="9660" spans="26:26">
      <c r="Z9660" s="371"/>
    </row>
    <row r="9661" spans="26:26">
      <c r="Z9661" s="371"/>
    </row>
    <row r="9662" spans="26:26">
      <c r="Z9662" s="371"/>
    </row>
    <row r="9663" spans="26:26">
      <c r="Z9663" s="371"/>
    </row>
    <row r="9664" spans="26:26">
      <c r="Z9664" s="371"/>
    </row>
    <row r="9665" spans="26:26">
      <c r="Z9665" s="371"/>
    </row>
    <row r="9666" spans="26:26">
      <c r="Z9666" s="371"/>
    </row>
    <row r="9667" spans="26:26">
      <c r="Z9667" s="371"/>
    </row>
    <row r="9668" spans="26:26">
      <c r="Z9668" s="371"/>
    </row>
    <row r="9669" spans="26:26">
      <c r="Z9669" s="371"/>
    </row>
    <row r="9670" spans="26:26">
      <c r="Z9670" s="371"/>
    </row>
    <row r="9671" spans="26:26">
      <c r="Z9671" s="371"/>
    </row>
    <row r="9672" spans="26:26">
      <c r="Z9672" s="371"/>
    </row>
    <row r="9673" spans="26:26">
      <c r="Z9673" s="371"/>
    </row>
    <row r="9674" spans="26:26">
      <c r="Z9674" s="371"/>
    </row>
    <row r="9675" spans="26:26">
      <c r="Z9675" s="371"/>
    </row>
    <row r="9676" spans="26:26">
      <c r="Z9676" s="371"/>
    </row>
    <row r="9677" spans="26:26">
      <c r="Z9677" s="371"/>
    </row>
    <row r="9678" spans="26:26">
      <c r="Z9678" s="371"/>
    </row>
    <row r="9679" spans="26:26">
      <c r="Z9679" s="371"/>
    </row>
    <row r="9680" spans="26:26">
      <c r="Z9680" s="371"/>
    </row>
    <row r="9681" spans="26:26">
      <c r="Z9681" s="371"/>
    </row>
    <row r="9682" spans="26:26">
      <c r="Z9682" s="371"/>
    </row>
    <row r="9683" spans="26:26">
      <c r="Z9683" s="371"/>
    </row>
    <row r="9684" spans="26:26">
      <c r="Z9684" s="371"/>
    </row>
    <row r="9685" spans="26:26">
      <c r="Z9685" s="371"/>
    </row>
    <row r="9686" spans="26:26">
      <c r="Z9686" s="371"/>
    </row>
    <row r="9687" spans="26:26">
      <c r="Z9687" s="371"/>
    </row>
    <row r="9688" spans="26:26">
      <c r="Z9688" s="371"/>
    </row>
    <row r="9689" spans="26:26">
      <c r="Z9689" s="371"/>
    </row>
    <row r="9690" spans="26:26">
      <c r="Z9690" s="371"/>
    </row>
    <row r="9691" spans="26:26">
      <c r="Z9691" s="371"/>
    </row>
    <row r="9692" spans="26:26">
      <c r="Z9692" s="371"/>
    </row>
    <row r="9693" spans="26:26">
      <c r="Z9693" s="371"/>
    </row>
    <row r="9694" spans="26:26">
      <c r="Z9694" s="371"/>
    </row>
    <row r="9695" spans="26:26">
      <c r="Z9695" s="371"/>
    </row>
    <row r="9696" spans="26:26">
      <c r="Z9696" s="371"/>
    </row>
    <row r="9697" spans="26:26">
      <c r="Z9697" s="371"/>
    </row>
    <row r="9698" spans="26:26">
      <c r="Z9698" s="371"/>
    </row>
    <row r="9699" spans="26:26">
      <c r="Z9699" s="371"/>
    </row>
    <row r="9700" spans="26:26">
      <c r="Z9700" s="371"/>
    </row>
    <row r="9701" spans="26:26">
      <c r="Z9701" s="371"/>
    </row>
    <row r="9702" spans="26:26">
      <c r="Z9702" s="371"/>
    </row>
    <row r="9703" spans="26:26">
      <c r="Z9703" s="371"/>
    </row>
    <row r="9704" spans="26:26">
      <c r="Z9704" s="371"/>
    </row>
    <row r="9705" spans="26:26">
      <c r="Z9705" s="371"/>
    </row>
    <row r="9706" spans="26:26">
      <c r="Z9706" s="371"/>
    </row>
    <row r="9707" spans="26:26">
      <c r="Z9707" s="371"/>
    </row>
    <row r="9708" spans="26:26">
      <c r="Z9708" s="371"/>
    </row>
    <row r="9709" spans="26:26">
      <c r="Z9709" s="371"/>
    </row>
    <row r="9710" spans="26:26">
      <c r="Z9710" s="371"/>
    </row>
    <row r="9711" spans="26:26">
      <c r="Z9711" s="371"/>
    </row>
    <row r="9712" spans="26:26">
      <c r="Z9712" s="371"/>
    </row>
    <row r="9713" spans="26:26">
      <c r="Z9713" s="371"/>
    </row>
    <row r="9714" spans="26:26">
      <c r="Z9714" s="371"/>
    </row>
    <row r="9715" spans="26:26">
      <c r="Z9715" s="371"/>
    </row>
    <row r="9716" spans="26:26">
      <c r="Z9716" s="371"/>
    </row>
    <row r="9717" spans="26:26">
      <c r="Z9717" s="371"/>
    </row>
    <row r="9718" spans="26:26">
      <c r="Z9718" s="371"/>
    </row>
    <row r="9719" spans="26:26">
      <c r="Z9719" s="371"/>
    </row>
    <row r="9720" spans="26:26">
      <c r="Z9720" s="371"/>
    </row>
    <row r="9721" spans="26:26">
      <c r="Z9721" s="371"/>
    </row>
    <row r="9722" spans="26:26">
      <c r="Z9722" s="371"/>
    </row>
    <row r="9723" spans="26:26">
      <c r="Z9723" s="371"/>
    </row>
    <row r="9724" spans="26:26">
      <c r="Z9724" s="371"/>
    </row>
    <row r="9725" spans="26:26">
      <c r="Z9725" s="371"/>
    </row>
    <row r="9726" spans="26:26">
      <c r="Z9726" s="371"/>
    </row>
    <row r="9727" spans="26:26">
      <c r="Z9727" s="371"/>
    </row>
    <row r="9728" spans="26:26">
      <c r="Z9728" s="371"/>
    </row>
    <row r="9729" spans="26:26">
      <c r="Z9729" s="371"/>
    </row>
    <row r="9730" spans="26:26">
      <c r="Z9730" s="371"/>
    </row>
    <row r="9731" spans="26:26">
      <c r="Z9731" s="371"/>
    </row>
    <row r="9732" spans="26:26">
      <c r="Z9732" s="371"/>
    </row>
    <row r="9733" spans="26:26">
      <c r="Z9733" s="371"/>
    </row>
    <row r="9734" spans="26:26">
      <c r="Z9734" s="371"/>
    </row>
    <row r="9735" spans="26:26">
      <c r="Z9735" s="371"/>
    </row>
    <row r="9736" spans="26:26">
      <c r="Z9736" s="371"/>
    </row>
    <row r="9737" spans="26:26">
      <c r="Z9737" s="371"/>
    </row>
    <row r="9738" spans="26:26">
      <c r="Z9738" s="371"/>
    </row>
    <row r="9739" spans="26:26">
      <c r="Z9739" s="371"/>
    </row>
    <row r="9740" spans="26:26">
      <c r="Z9740" s="371"/>
    </row>
    <row r="9741" spans="26:26">
      <c r="Z9741" s="371"/>
    </row>
    <row r="9742" spans="26:26">
      <c r="Z9742" s="371"/>
    </row>
    <row r="9743" spans="26:26">
      <c r="Z9743" s="371"/>
    </row>
    <row r="9744" spans="26:26">
      <c r="Z9744" s="371"/>
    </row>
    <row r="9745" spans="26:26">
      <c r="Z9745" s="371"/>
    </row>
    <row r="9746" spans="26:26">
      <c r="Z9746" s="371"/>
    </row>
    <row r="9747" spans="26:26">
      <c r="Z9747" s="371"/>
    </row>
    <row r="9748" spans="26:26">
      <c r="Z9748" s="371"/>
    </row>
    <row r="9749" spans="26:26">
      <c r="Z9749" s="371"/>
    </row>
    <row r="9750" spans="26:26">
      <c r="Z9750" s="371"/>
    </row>
    <row r="9751" spans="26:26">
      <c r="Z9751" s="371"/>
    </row>
    <row r="9752" spans="26:26">
      <c r="Z9752" s="371"/>
    </row>
    <row r="9753" spans="26:26">
      <c r="Z9753" s="371"/>
    </row>
    <row r="9754" spans="26:26">
      <c r="Z9754" s="371"/>
    </row>
    <row r="9755" spans="26:26">
      <c r="Z9755" s="371"/>
    </row>
    <row r="9756" spans="26:26">
      <c r="Z9756" s="371"/>
    </row>
    <row r="9757" spans="26:26">
      <c r="Z9757" s="371"/>
    </row>
    <row r="9758" spans="26:26">
      <c r="Z9758" s="371"/>
    </row>
    <row r="9759" spans="26:26">
      <c r="Z9759" s="371"/>
    </row>
    <row r="9760" spans="26:26">
      <c r="Z9760" s="371"/>
    </row>
    <row r="9761" spans="26:26">
      <c r="Z9761" s="371"/>
    </row>
    <row r="9762" spans="26:26">
      <c r="Z9762" s="371"/>
    </row>
    <row r="9763" spans="26:26">
      <c r="Z9763" s="371"/>
    </row>
    <row r="9764" spans="26:26">
      <c r="Z9764" s="371"/>
    </row>
    <row r="9765" spans="26:26">
      <c r="Z9765" s="371"/>
    </row>
    <row r="9766" spans="26:26">
      <c r="Z9766" s="371"/>
    </row>
    <row r="9767" spans="26:26">
      <c r="Z9767" s="371"/>
    </row>
    <row r="9768" spans="26:26">
      <c r="Z9768" s="371"/>
    </row>
    <row r="9769" spans="26:26">
      <c r="Z9769" s="371"/>
    </row>
    <row r="9770" spans="26:26">
      <c r="Z9770" s="371"/>
    </row>
    <row r="9771" spans="26:26">
      <c r="Z9771" s="371"/>
    </row>
    <row r="9772" spans="26:26">
      <c r="Z9772" s="371"/>
    </row>
    <row r="9773" spans="26:26">
      <c r="Z9773" s="371"/>
    </row>
    <row r="9774" spans="26:26">
      <c r="Z9774" s="371"/>
    </row>
    <row r="9775" spans="26:26">
      <c r="Z9775" s="371"/>
    </row>
    <row r="9776" spans="26:26">
      <c r="Z9776" s="371"/>
    </row>
    <row r="9777" spans="26:26">
      <c r="Z9777" s="371"/>
    </row>
    <row r="9778" spans="26:26">
      <c r="Z9778" s="371"/>
    </row>
    <row r="9779" spans="26:26">
      <c r="Z9779" s="371"/>
    </row>
    <row r="9780" spans="26:26">
      <c r="Z9780" s="371"/>
    </row>
    <row r="9781" spans="26:26">
      <c r="Z9781" s="371"/>
    </row>
    <row r="9782" spans="26:26">
      <c r="Z9782" s="371"/>
    </row>
    <row r="9783" spans="26:26">
      <c r="Z9783" s="371"/>
    </row>
    <row r="9784" spans="26:26">
      <c r="Z9784" s="371"/>
    </row>
    <row r="9785" spans="26:26">
      <c r="Z9785" s="371"/>
    </row>
    <row r="9786" spans="26:26">
      <c r="Z9786" s="371"/>
    </row>
    <row r="9787" spans="26:26">
      <c r="Z9787" s="371"/>
    </row>
    <row r="9788" spans="26:26">
      <c r="Z9788" s="371"/>
    </row>
    <row r="9789" spans="26:26">
      <c r="Z9789" s="371"/>
    </row>
    <row r="9790" spans="26:26">
      <c r="Z9790" s="371"/>
    </row>
    <row r="9791" spans="26:26">
      <c r="Z9791" s="371"/>
    </row>
    <row r="9792" spans="26:26">
      <c r="Z9792" s="371"/>
    </row>
    <row r="9793" spans="26:26">
      <c r="Z9793" s="371"/>
    </row>
    <row r="9794" spans="26:26">
      <c r="Z9794" s="371"/>
    </row>
    <row r="9795" spans="26:26">
      <c r="Z9795" s="371"/>
    </row>
    <row r="9796" spans="26:26">
      <c r="Z9796" s="371"/>
    </row>
    <row r="9797" spans="26:26">
      <c r="Z9797" s="371"/>
    </row>
    <row r="9798" spans="26:26">
      <c r="Z9798" s="371"/>
    </row>
    <row r="9799" spans="26:26">
      <c r="Z9799" s="371"/>
    </row>
    <row r="9800" spans="26:26">
      <c r="Z9800" s="371"/>
    </row>
    <row r="9801" spans="26:26">
      <c r="Z9801" s="371"/>
    </row>
    <row r="9802" spans="26:26">
      <c r="Z9802" s="371"/>
    </row>
    <row r="9803" spans="26:26">
      <c r="Z9803" s="371"/>
    </row>
    <row r="9804" spans="26:26">
      <c r="Z9804" s="371"/>
    </row>
    <row r="9805" spans="26:26">
      <c r="Z9805" s="371"/>
    </row>
    <row r="9806" spans="26:26">
      <c r="Z9806" s="371"/>
    </row>
    <row r="9807" spans="26:26">
      <c r="Z9807" s="371"/>
    </row>
    <row r="9808" spans="26:26">
      <c r="Z9808" s="371"/>
    </row>
    <row r="9809" spans="26:26">
      <c r="Z9809" s="371"/>
    </row>
    <row r="9810" spans="26:26">
      <c r="Z9810" s="371"/>
    </row>
    <row r="9811" spans="26:26">
      <c r="Z9811" s="371"/>
    </row>
    <row r="9812" spans="26:26">
      <c r="Z9812" s="371"/>
    </row>
    <row r="9813" spans="26:26">
      <c r="Z9813" s="371"/>
    </row>
    <row r="9814" spans="26:26">
      <c r="Z9814" s="371"/>
    </row>
    <row r="9815" spans="26:26">
      <c r="Z9815" s="371"/>
    </row>
    <row r="9816" spans="26:26">
      <c r="Z9816" s="371"/>
    </row>
    <row r="9817" spans="26:26">
      <c r="Z9817" s="371"/>
    </row>
    <row r="9818" spans="26:26">
      <c r="Z9818" s="371"/>
    </row>
    <row r="9819" spans="26:26">
      <c r="Z9819" s="371"/>
    </row>
    <row r="9820" spans="26:26">
      <c r="Z9820" s="371"/>
    </row>
    <row r="9821" spans="26:26">
      <c r="Z9821" s="371"/>
    </row>
    <row r="9822" spans="26:26">
      <c r="Z9822" s="371"/>
    </row>
    <row r="9823" spans="26:26">
      <c r="Z9823" s="371"/>
    </row>
    <row r="9824" spans="26:26">
      <c r="Z9824" s="371"/>
    </row>
    <row r="9825" spans="26:26">
      <c r="Z9825" s="371"/>
    </row>
    <row r="9826" spans="26:26">
      <c r="Z9826" s="371"/>
    </row>
    <row r="9827" spans="26:26">
      <c r="Z9827" s="371"/>
    </row>
    <row r="9828" spans="26:26">
      <c r="Z9828" s="371"/>
    </row>
    <row r="9829" spans="26:26">
      <c r="Z9829" s="371"/>
    </row>
    <row r="9830" spans="26:26">
      <c r="Z9830" s="371"/>
    </row>
    <row r="9831" spans="26:26">
      <c r="Z9831" s="371"/>
    </row>
    <row r="9832" spans="26:26">
      <c r="Z9832" s="371"/>
    </row>
    <row r="9833" spans="26:26">
      <c r="Z9833" s="371"/>
    </row>
    <row r="9834" spans="26:26">
      <c r="Z9834" s="371"/>
    </row>
    <row r="9835" spans="26:26">
      <c r="Z9835" s="371"/>
    </row>
    <row r="9836" spans="26:26">
      <c r="Z9836" s="371"/>
    </row>
    <row r="9837" spans="26:26">
      <c r="Z9837" s="371"/>
    </row>
    <row r="9838" spans="26:26">
      <c r="Z9838" s="371"/>
    </row>
    <row r="9839" spans="26:26">
      <c r="Z9839" s="371"/>
    </row>
    <row r="9840" spans="26:26">
      <c r="Z9840" s="371"/>
    </row>
    <row r="9841" spans="26:26">
      <c r="Z9841" s="371"/>
    </row>
    <row r="9842" spans="26:26">
      <c r="Z9842" s="371"/>
    </row>
    <row r="9843" spans="26:26">
      <c r="Z9843" s="371"/>
    </row>
    <row r="9844" spans="26:26">
      <c r="Z9844" s="371"/>
    </row>
    <row r="9845" spans="26:26">
      <c r="Z9845" s="371"/>
    </row>
    <row r="9846" spans="26:26">
      <c r="Z9846" s="371"/>
    </row>
    <row r="9847" spans="26:26">
      <c r="Z9847" s="371"/>
    </row>
    <row r="9848" spans="26:26">
      <c r="Z9848" s="371"/>
    </row>
    <row r="9849" spans="26:26">
      <c r="Z9849" s="371"/>
    </row>
    <row r="9850" spans="26:26">
      <c r="Z9850" s="371"/>
    </row>
    <row r="9851" spans="26:26">
      <c r="Z9851" s="371"/>
    </row>
    <row r="9852" spans="26:26">
      <c r="Z9852" s="371"/>
    </row>
    <row r="9853" spans="26:26">
      <c r="Z9853" s="371"/>
    </row>
    <row r="9854" spans="26:26">
      <c r="Z9854" s="371"/>
    </row>
    <row r="9855" spans="26:26">
      <c r="Z9855" s="371"/>
    </row>
    <row r="9856" spans="26:26">
      <c r="Z9856" s="371"/>
    </row>
    <row r="9857" spans="26:26">
      <c r="Z9857" s="371"/>
    </row>
    <row r="9858" spans="26:26">
      <c r="Z9858" s="371"/>
    </row>
    <row r="9859" spans="26:26">
      <c r="Z9859" s="371"/>
    </row>
    <row r="9860" spans="26:26">
      <c r="Z9860" s="371"/>
    </row>
    <row r="9861" spans="26:26">
      <c r="Z9861" s="371"/>
    </row>
    <row r="9862" spans="26:26">
      <c r="Z9862" s="371"/>
    </row>
    <row r="9863" spans="26:26">
      <c r="Z9863" s="371"/>
    </row>
    <row r="9864" spans="26:26">
      <c r="Z9864" s="371"/>
    </row>
    <row r="9865" spans="26:26">
      <c r="Z9865" s="371"/>
    </row>
    <row r="9866" spans="26:26">
      <c r="Z9866" s="371"/>
    </row>
    <row r="9867" spans="26:26">
      <c r="Z9867" s="371"/>
    </row>
    <row r="9868" spans="26:26">
      <c r="Z9868" s="371"/>
    </row>
    <row r="9869" spans="26:26">
      <c r="Z9869" s="371"/>
    </row>
    <row r="9870" spans="26:26">
      <c r="Z9870" s="371"/>
    </row>
    <row r="9871" spans="26:26">
      <c r="Z9871" s="371"/>
    </row>
    <row r="9872" spans="26:26">
      <c r="Z9872" s="371"/>
    </row>
    <row r="9873" spans="26:26">
      <c r="Z9873" s="371"/>
    </row>
    <row r="9874" spans="26:26">
      <c r="Z9874" s="371"/>
    </row>
    <row r="9875" spans="26:26">
      <c r="Z9875" s="371"/>
    </row>
    <row r="9876" spans="26:26">
      <c r="Z9876" s="371"/>
    </row>
    <row r="9877" spans="26:26">
      <c r="Z9877" s="371"/>
    </row>
    <row r="9878" spans="26:26">
      <c r="Z9878" s="371"/>
    </row>
    <row r="9879" spans="26:26">
      <c r="Z9879" s="371"/>
    </row>
    <row r="9880" spans="26:26">
      <c r="Z9880" s="371"/>
    </row>
    <row r="9881" spans="26:26">
      <c r="Z9881" s="371"/>
    </row>
    <row r="9882" spans="26:26">
      <c r="Z9882" s="371"/>
    </row>
    <row r="9883" spans="26:26">
      <c r="Z9883" s="371"/>
    </row>
    <row r="9884" spans="26:26">
      <c r="Z9884" s="371"/>
    </row>
    <row r="9885" spans="26:26">
      <c r="Z9885" s="371"/>
    </row>
    <row r="9886" spans="26:26">
      <c r="Z9886" s="371"/>
    </row>
    <row r="9887" spans="26:26">
      <c r="Z9887" s="371"/>
    </row>
    <row r="9888" spans="26:26">
      <c r="Z9888" s="371"/>
    </row>
    <row r="9889" spans="26:26">
      <c r="Z9889" s="371"/>
    </row>
    <row r="9890" spans="26:26">
      <c r="Z9890" s="371"/>
    </row>
    <row r="9891" spans="26:26">
      <c r="Z9891" s="371"/>
    </row>
    <row r="9892" spans="26:26">
      <c r="Z9892" s="371"/>
    </row>
    <row r="9893" spans="26:26">
      <c r="Z9893" s="371"/>
    </row>
    <row r="9894" spans="26:26">
      <c r="Z9894" s="371"/>
    </row>
    <row r="9895" spans="26:26">
      <c r="Z9895" s="371"/>
    </row>
    <row r="9896" spans="26:26">
      <c r="Z9896" s="371"/>
    </row>
    <row r="9897" spans="26:26">
      <c r="Z9897" s="371"/>
    </row>
    <row r="9898" spans="26:26">
      <c r="Z9898" s="371"/>
    </row>
    <row r="9899" spans="26:26">
      <c r="Z9899" s="371"/>
    </row>
    <row r="9900" spans="26:26">
      <c r="Z9900" s="371"/>
    </row>
    <row r="9901" spans="26:26">
      <c r="Z9901" s="371"/>
    </row>
    <row r="9902" spans="26:26">
      <c r="Z9902" s="371"/>
    </row>
    <row r="9903" spans="26:26">
      <c r="Z9903" s="371"/>
    </row>
    <row r="9904" spans="26:26">
      <c r="Z9904" s="371"/>
    </row>
    <row r="9905" spans="26:26">
      <c r="Z9905" s="371"/>
    </row>
    <row r="9906" spans="26:26">
      <c r="Z9906" s="371"/>
    </row>
    <row r="9907" spans="26:26">
      <c r="Z9907" s="371"/>
    </row>
    <row r="9908" spans="26:26">
      <c r="Z9908" s="371"/>
    </row>
    <row r="9909" spans="26:26">
      <c r="Z9909" s="371"/>
    </row>
    <row r="9910" spans="26:26">
      <c r="Z9910" s="371"/>
    </row>
    <row r="9911" spans="26:26">
      <c r="Z9911" s="371"/>
    </row>
    <row r="9912" spans="26:26">
      <c r="Z9912" s="371"/>
    </row>
    <row r="9913" spans="26:26">
      <c r="Z9913" s="371"/>
    </row>
    <row r="9914" spans="26:26">
      <c r="Z9914" s="371"/>
    </row>
    <row r="9915" spans="26:26">
      <c r="Z9915" s="371"/>
    </row>
    <row r="9916" spans="26:26">
      <c r="Z9916" s="371"/>
    </row>
    <row r="9917" spans="26:26">
      <c r="Z9917" s="371"/>
    </row>
    <row r="9918" spans="26:26">
      <c r="Z9918" s="371"/>
    </row>
    <row r="9919" spans="26:26">
      <c r="Z9919" s="371"/>
    </row>
    <row r="9920" spans="26:26">
      <c r="Z9920" s="371"/>
    </row>
    <row r="9921" spans="26:26">
      <c r="Z9921" s="371"/>
    </row>
    <row r="9922" spans="26:26">
      <c r="Z9922" s="371"/>
    </row>
    <row r="9923" spans="26:26">
      <c r="Z9923" s="371"/>
    </row>
    <row r="9924" spans="26:26">
      <c r="Z9924" s="371"/>
    </row>
    <row r="9925" spans="26:26">
      <c r="Z9925" s="371"/>
    </row>
    <row r="9926" spans="26:26">
      <c r="Z9926" s="371"/>
    </row>
    <row r="9927" spans="26:26">
      <c r="Z9927" s="371"/>
    </row>
    <row r="9928" spans="26:26">
      <c r="Z9928" s="371"/>
    </row>
    <row r="9929" spans="26:26">
      <c r="Z9929" s="371"/>
    </row>
    <row r="9930" spans="26:26">
      <c r="Z9930" s="371"/>
    </row>
    <row r="9931" spans="26:26">
      <c r="Z9931" s="371"/>
    </row>
    <row r="9932" spans="26:26">
      <c r="Z9932" s="371"/>
    </row>
    <row r="9933" spans="26:26">
      <c r="Z9933" s="371"/>
    </row>
    <row r="9934" spans="26:26">
      <c r="Z9934" s="371"/>
    </row>
    <row r="9935" spans="26:26">
      <c r="Z9935" s="371"/>
    </row>
    <row r="9936" spans="26:26">
      <c r="Z9936" s="371"/>
    </row>
    <row r="9937" spans="26:26">
      <c r="Z9937" s="371"/>
    </row>
    <row r="9938" spans="26:26">
      <c r="Z9938" s="371"/>
    </row>
    <row r="9939" spans="26:26">
      <c r="Z9939" s="371"/>
    </row>
    <row r="9940" spans="26:26">
      <c r="Z9940" s="371"/>
    </row>
    <row r="9941" spans="26:26">
      <c r="Z9941" s="371"/>
    </row>
    <row r="9942" spans="26:26">
      <c r="Z9942" s="371"/>
    </row>
    <row r="9943" spans="26:26">
      <c r="Z9943" s="371"/>
    </row>
    <row r="9944" spans="26:26">
      <c r="Z9944" s="371"/>
    </row>
    <row r="9945" spans="26:26">
      <c r="Z9945" s="371"/>
    </row>
    <row r="9946" spans="26:26">
      <c r="Z9946" s="371"/>
    </row>
    <row r="9947" spans="26:26">
      <c r="Z9947" s="371"/>
    </row>
    <row r="9948" spans="26:26">
      <c r="Z9948" s="371"/>
    </row>
    <row r="9949" spans="26:26">
      <c r="Z9949" s="371"/>
    </row>
    <row r="9950" spans="26:26">
      <c r="Z9950" s="371"/>
    </row>
    <row r="9951" spans="26:26">
      <c r="Z9951" s="371"/>
    </row>
    <row r="9952" spans="26:26">
      <c r="Z9952" s="371"/>
    </row>
    <row r="9953" spans="26:26">
      <c r="Z9953" s="371"/>
    </row>
    <row r="9954" spans="26:26">
      <c r="Z9954" s="371"/>
    </row>
    <row r="9955" spans="26:26">
      <c r="Z9955" s="371"/>
    </row>
    <row r="9956" spans="26:26">
      <c r="Z9956" s="371"/>
    </row>
    <row r="9957" spans="26:26">
      <c r="Z9957" s="371"/>
    </row>
    <row r="9958" spans="26:26">
      <c r="Z9958" s="371"/>
    </row>
    <row r="9959" spans="26:26">
      <c r="Z9959" s="371"/>
    </row>
    <row r="9960" spans="26:26">
      <c r="Z9960" s="371"/>
    </row>
    <row r="9961" spans="26:26">
      <c r="Z9961" s="371"/>
    </row>
    <row r="9962" spans="26:26">
      <c r="Z9962" s="371"/>
    </row>
    <row r="9963" spans="26:26">
      <c r="Z9963" s="371"/>
    </row>
    <row r="9964" spans="26:26">
      <c r="Z9964" s="371"/>
    </row>
    <row r="9965" spans="26:26">
      <c r="Z9965" s="371"/>
    </row>
    <row r="9966" spans="26:26">
      <c r="Z9966" s="371"/>
    </row>
    <row r="9967" spans="26:26">
      <c r="Z9967" s="371"/>
    </row>
    <row r="9968" spans="26:26">
      <c r="Z9968" s="371"/>
    </row>
    <row r="9969" spans="26:26">
      <c r="Z9969" s="371"/>
    </row>
    <row r="9970" spans="26:26">
      <c r="Z9970" s="371"/>
    </row>
    <row r="9971" spans="26:26">
      <c r="Z9971" s="371"/>
    </row>
    <row r="9972" spans="26:26">
      <c r="Z9972" s="371"/>
    </row>
    <row r="9973" spans="26:26">
      <c r="Z9973" s="371"/>
    </row>
    <row r="9974" spans="26:26">
      <c r="Z9974" s="371"/>
    </row>
    <row r="9975" spans="26:26">
      <c r="Z9975" s="371"/>
    </row>
    <row r="9976" spans="26:26">
      <c r="Z9976" s="371"/>
    </row>
    <row r="9977" spans="26:26">
      <c r="Z9977" s="371"/>
    </row>
    <row r="9978" spans="26:26">
      <c r="Z9978" s="371"/>
    </row>
    <row r="9979" spans="26:26">
      <c r="Z9979" s="371"/>
    </row>
    <row r="9980" spans="26:26">
      <c r="Z9980" s="371"/>
    </row>
    <row r="9981" spans="26:26">
      <c r="Z9981" s="371"/>
    </row>
    <row r="9982" spans="26:26">
      <c r="Z9982" s="371"/>
    </row>
    <row r="9983" spans="26:26">
      <c r="Z9983" s="371"/>
    </row>
    <row r="9984" spans="26:26">
      <c r="Z9984" s="371"/>
    </row>
    <row r="9985" spans="26:26">
      <c r="Z9985" s="371"/>
    </row>
    <row r="9986" spans="26:26">
      <c r="Z9986" s="371"/>
    </row>
    <row r="9987" spans="26:26">
      <c r="Z9987" s="371"/>
    </row>
    <row r="9988" spans="26:26">
      <c r="Z9988" s="371"/>
    </row>
    <row r="9989" spans="26:26">
      <c r="Z9989" s="371"/>
    </row>
    <row r="9990" spans="26:26">
      <c r="Z9990" s="371"/>
    </row>
    <row r="9991" spans="26:26">
      <c r="Z9991" s="371"/>
    </row>
    <row r="9992" spans="26:26">
      <c r="Z9992" s="371"/>
    </row>
    <row r="9993" spans="26:26">
      <c r="Z9993" s="371"/>
    </row>
    <row r="9994" spans="26:26">
      <c r="Z9994" s="371"/>
    </row>
    <row r="9995" spans="26:26">
      <c r="Z9995" s="371"/>
    </row>
    <row r="9996" spans="26:26">
      <c r="Z9996" s="371"/>
    </row>
    <row r="9997" spans="26:26">
      <c r="Z9997" s="371"/>
    </row>
    <row r="9998" spans="26:26">
      <c r="Z9998" s="371"/>
    </row>
    <row r="9999" spans="26:26">
      <c r="Z9999" s="371"/>
    </row>
    <row r="10000" spans="26:26">
      <c r="Z10000" s="371"/>
    </row>
    <row r="10001" spans="26:26">
      <c r="Z10001" s="371"/>
    </row>
    <row r="10002" spans="26:26">
      <c r="Z10002" s="371"/>
    </row>
    <row r="10003" spans="26:26">
      <c r="Z10003" s="371"/>
    </row>
    <row r="10004" spans="26:26">
      <c r="Z10004" s="371"/>
    </row>
    <row r="10005" spans="26:26">
      <c r="Z10005" s="371"/>
    </row>
    <row r="10006" spans="26:26">
      <c r="Z10006" s="371"/>
    </row>
    <row r="10007" spans="26:26">
      <c r="Z10007" s="371"/>
    </row>
    <row r="10008" spans="26:26">
      <c r="Z10008" s="371"/>
    </row>
    <row r="10009" spans="26:26">
      <c r="Z10009" s="371"/>
    </row>
    <row r="10010" spans="26:26">
      <c r="Z10010" s="371"/>
    </row>
    <row r="10011" spans="26:26">
      <c r="Z10011" s="371"/>
    </row>
    <row r="10012" spans="26:26">
      <c r="Z10012" s="371"/>
    </row>
    <row r="10013" spans="26:26">
      <c r="Z10013" s="371"/>
    </row>
    <row r="10014" spans="26:26">
      <c r="Z10014" s="371"/>
    </row>
    <row r="10015" spans="26:26">
      <c r="Z10015" s="371"/>
    </row>
    <row r="10016" spans="26:26">
      <c r="Z10016" s="371"/>
    </row>
    <row r="10017" spans="26:26">
      <c r="Z10017" s="371"/>
    </row>
    <row r="10018" spans="26:26">
      <c r="Z10018" s="371"/>
    </row>
    <row r="10019" spans="26:26">
      <c r="Z10019" s="371"/>
    </row>
    <row r="10020" spans="26:26">
      <c r="Z10020" s="371"/>
    </row>
    <row r="10021" spans="26:26">
      <c r="Z10021" s="371"/>
    </row>
    <row r="10022" spans="26:26">
      <c r="Z10022" s="371"/>
    </row>
    <row r="10023" spans="26:26">
      <c r="Z10023" s="371"/>
    </row>
    <row r="10024" spans="26:26">
      <c r="Z10024" s="371"/>
    </row>
    <row r="10025" spans="26:26">
      <c r="Z10025" s="371"/>
    </row>
    <row r="10026" spans="26:26">
      <c r="Z10026" s="371"/>
    </row>
    <row r="10027" spans="26:26">
      <c r="Z10027" s="371"/>
    </row>
    <row r="10028" spans="26:26">
      <c r="Z10028" s="371"/>
    </row>
    <row r="10029" spans="26:26">
      <c r="Z10029" s="371"/>
    </row>
    <row r="10030" spans="26:26">
      <c r="Z10030" s="371"/>
    </row>
    <row r="10031" spans="26:26">
      <c r="Z10031" s="371"/>
    </row>
    <row r="10032" spans="26:26">
      <c r="Z10032" s="371"/>
    </row>
    <row r="10033" spans="26:26">
      <c r="Z10033" s="371"/>
    </row>
    <row r="10034" spans="26:26">
      <c r="Z10034" s="371"/>
    </row>
    <row r="10035" spans="26:26">
      <c r="Z10035" s="371"/>
    </row>
    <row r="10036" spans="26:26">
      <c r="Z10036" s="371"/>
    </row>
    <row r="10037" spans="26:26">
      <c r="Z10037" s="371"/>
    </row>
    <row r="10038" spans="26:26">
      <c r="Z10038" s="371"/>
    </row>
    <row r="10039" spans="26:26">
      <c r="Z10039" s="371"/>
    </row>
    <row r="10040" spans="26:26">
      <c r="Z10040" s="371"/>
    </row>
    <row r="10041" spans="26:26">
      <c r="Z10041" s="371"/>
    </row>
    <row r="10042" spans="26:26">
      <c r="Z10042" s="371"/>
    </row>
    <row r="10043" spans="26:26">
      <c r="Z10043" s="371"/>
    </row>
    <row r="10044" spans="26:26">
      <c r="Z10044" s="371"/>
    </row>
    <row r="10045" spans="26:26">
      <c r="Z10045" s="371"/>
    </row>
    <row r="10046" spans="26:26">
      <c r="Z10046" s="371"/>
    </row>
    <row r="10047" spans="26:26">
      <c r="Z10047" s="371"/>
    </row>
    <row r="10048" spans="26:26">
      <c r="Z10048" s="371"/>
    </row>
    <row r="10049" spans="26:26">
      <c r="Z10049" s="371"/>
    </row>
    <row r="10050" spans="26:26">
      <c r="Z10050" s="371"/>
    </row>
    <row r="10051" spans="26:26">
      <c r="Z10051" s="371"/>
    </row>
    <row r="10052" spans="26:26">
      <c r="Z10052" s="371"/>
    </row>
    <row r="10053" spans="26:26">
      <c r="Z10053" s="371"/>
    </row>
    <row r="10054" spans="26:26">
      <c r="Z10054" s="371"/>
    </row>
    <row r="10055" spans="26:26">
      <c r="Z10055" s="371"/>
    </row>
    <row r="10056" spans="26:26">
      <c r="Z10056" s="371"/>
    </row>
    <row r="10057" spans="26:26">
      <c r="Z10057" s="371"/>
    </row>
    <row r="10058" spans="26:26">
      <c r="Z10058" s="371"/>
    </row>
    <row r="10059" spans="26:26">
      <c r="Z10059" s="371"/>
    </row>
    <row r="10060" spans="26:26">
      <c r="Z10060" s="371"/>
    </row>
    <row r="10061" spans="26:26">
      <c r="Z10061" s="371"/>
    </row>
    <row r="10062" spans="26:26">
      <c r="Z10062" s="371"/>
    </row>
    <row r="10063" spans="26:26">
      <c r="Z10063" s="371"/>
    </row>
    <row r="10064" spans="26:26">
      <c r="Z10064" s="371"/>
    </row>
    <row r="10065" spans="26:26">
      <c r="Z10065" s="371"/>
    </row>
    <row r="10066" spans="26:26">
      <c r="Z10066" s="371"/>
    </row>
    <row r="10067" spans="26:26">
      <c r="Z10067" s="371"/>
    </row>
    <row r="10068" spans="26:26">
      <c r="Z10068" s="371"/>
    </row>
    <row r="10069" spans="26:26">
      <c r="Z10069" s="371"/>
    </row>
    <row r="10070" spans="26:26">
      <c r="Z10070" s="371"/>
    </row>
    <row r="10071" spans="26:26">
      <c r="Z10071" s="371"/>
    </row>
    <row r="10072" spans="26:26">
      <c r="Z10072" s="371"/>
    </row>
    <row r="10073" spans="26:26">
      <c r="Z10073" s="371"/>
    </row>
    <row r="10074" spans="26:26">
      <c r="Z10074" s="371"/>
    </row>
    <row r="10075" spans="26:26">
      <c r="Z10075" s="371"/>
    </row>
    <row r="10076" spans="26:26">
      <c r="Z10076" s="371"/>
    </row>
    <row r="10077" spans="26:26">
      <c r="Z10077" s="371"/>
    </row>
    <row r="10078" spans="26:26">
      <c r="Z10078" s="371"/>
    </row>
    <row r="10079" spans="26:26">
      <c r="Z10079" s="371"/>
    </row>
    <row r="10080" spans="26:26">
      <c r="Z10080" s="371"/>
    </row>
    <row r="10081" spans="26:26">
      <c r="Z10081" s="371"/>
    </row>
    <row r="10082" spans="26:26">
      <c r="Z10082" s="371"/>
    </row>
    <row r="10083" spans="26:26">
      <c r="Z10083" s="371"/>
    </row>
    <row r="10084" spans="26:26">
      <c r="Z10084" s="371"/>
    </row>
    <row r="10085" spans="26:26">
      <c r="Z10085" s="371"/>
    </row>
    <row r="10086" spans="26:26">
      <c r="Z10086" s="371"/>
    </row>
    <row r="10087" spans="26:26">
      <c r="Z10087" s="371"/>
    </row>
    <row r="10088" spans="26:26">
      <c r="Z10088" s="371"/>
    </row>
    <row r="10089" spans="26:26">
      <c r="Z10089" s="371"/>
    </row>
    <row r="10090" spans="26:26">
      <c r="Z10090" s="371"/>
    </row>
    <row r="10091" spans="26:26">
      <c r="Z10091" s="371"/>
    </row>
    <row r="10092" spans="26:26">
      <c r="Z10092" s="371"/>
    </row>
    <row r="10093" spans="26:26">
      <c r="Z10093" s="371"/>
    </row>
    <row r="10094" spans="26:26">
      <c r="Z10094" s="371"/>
    </row>
    <row r="10095" spans="26:26">
      <c r="Z10095" s="371"/>
    </row>
    <row r="10096" spans="26:26">
      <c r="Z10096" s="371"/>
    </row>
    <row r="10097" spans="26:26">
      <c r="Z10097" s="371"/>
    </row>
    <row r="10098" spans="26:26">
      <c r="Z10098" s="371"/>
    </row>
    <row r="10099" spans="26:26">
      <c r="Z10099" s="371"/>
    </row>
    <row r="10100" spans="26:26">
      <c r="Z10100" s="371"/>
    </row>
    <row r="10101" spans="26:26">
      <c r="Z10101" s="371"/>
    </row>
    <row r="10102" spans="26:26">
      <c r="Z10102" s="371"/>
    </row>
    <row r="10103" spans="26:26">
      <c r="Z10103" s="371"/>
    </row>
    <row r="10104" spans="26:26">
      <c r="Z10104" s="371"/>
    </row>
    <row r="10105" spans="26:26">
      <c r="Z10105" s="371"/>
    </row>
    <row r="10106" spans="26:26">
      <c r="Z10106" s="371"/>
    </row>
    <row r="10107" spans="26:26">
      <c r="Z10107" s="371"/>
    </row>
    <row r="10108" spans="26:26">
      <c r="Z10108" s="371"/>
    </row>
    <row r="10109" spans="26:26">
      <c r="Z10109" s="371"/>
    </row>
    <row r="10110" spans="26:26">
      <c r="Z10110" s="371"/>
    </row>
    <row r="10111" spans="26:26">
      <c r="Z10111" s="371"/>
    </row>
    <row r="10112" spans="26:26">
      <c r="Z10112" s="371"/>
    </row>
    <row r="10113" spans="26:26">
      <c r="Z10113" s="371"/>
    </row>
    <row r="10114" spans="26:26">
      <c r="Z10114" s="371"/>
    </row>
    <row r="10115" spans="26:26">
      <c r="Z10115" s="371"/>
    </row>
    <row r="10116" spans="26:26">
      <c r="Z10116" s="371"/>
    </row>
    <row r="10117" spans="26:26">
      <c r="Z10117" s="371"/>
    </row>
    <row r="10118" spans="26:26">
      <c r="Z10118" s="371"/>
    </row>
    <row r="10119" spans="26:26">
      <c r="Z10119" s="371"/>
    </row>
    <row r="10120" spans="26:26">
      <c r="Z10120" s="371"/>
    </row>
    <row r="10121" spans="26:26">
      <c r="Z10121" s="371"/>
    </row>
    <row r="10122" spans="26:26">
      <c r="Z10122" s="371"/>
    </row>
    <row r="10123" spans="26:26">
      <c r="Z10123" s="371"/>
    </row>
    <row r="10124" spans="26:26">
      <c r="Z10124" s="371"/>
    </row>
    <row r="10125" spans="26:26">
      <c r="Z10125" s="371"/>
    </row>
    <row r="10126" spans="26:26">
      <c r="Z10126" s="371"/>
    </row>
    <row r="10127" spans="26:26">
      <c r="Z10127" s="371"/>
    </row>
    <row r="10128" spans="26:26">
      <c r="Z10128" s="371"/>
    </row>
    <row r="10129" spans="26:26">
      <c r="Z10129" s="371"/>
    </row>
    <row r="10130" spans="26:26">
      <c r="Z10130" s="371"/>
    </row>
    <row r="10131" spans="26:26">
      <c r="Z10131" s="371"/>
    </row>
    <row r="10132" spans="26:26">
      <c r="Z10132" s="371"/>
    </row>
    <row r="10133" spans="26:26">
      <c r="Z10133" s="371"/>
    </row>
    <row r="10134" spans="26:26">
      <c r="Z10134" s="371"/>
    </row>
    <row r="10135" spans="26:26">
      <c r="Z10135" s="371"/>
    </row>
    <row r="10136" spans="26:26">
      <c r="Z10136" s="371"/>
    </row>
    <row r="10137" spans="26:26">
      <c r="Z10137" s="371"/>
    </row>
    <row r="10138" spans="26:26">
      <c r="Z10138" s="371"/>
    </row>
    <row r="10139" spans="26:26">
      <c r="Z10139" s="371"/>
    </row>
    <row r="10140" spans="26:26">
      <c r="Z10140" s="371"/>
    </row>
    <row r="10141" spans="26:26">
      <c r="Z10141" s="371"/>
    </row>
    <row r="10142" spans="26:26">
      <c r="Z10142" s="371"/>
    </row>
    <row r="10143" spans="26:26">
      <c r="Z10143" s="371"/>
    </row>
    <row r="10144" spans="26:26">
      <c r="Z10144" s="371"/>
    </row>
    <row r="10145" spans="26:26">
      <c r="Z10145" s="371"/>
    </row>
    <row r="10146" spans="26:26">
      <c r="Z10146" s="371"/>
    </row>
    <row r="10147" spans="26:26">
      <c r="Z10147" s="371"/>
    </row>
    <row r="10148" spans="26:26">
      <c r="Z10148" s="371"/>
    </row>
    <row r="10149" spans="26:26">
      <c r="Z10149" s="371"/>
    </row>
    <row r="10150" spans="26:26">
      <c r="Z10150" s="371"/>
    </row>
    <row r="10151" spans="26:26">
      <c r="Z10151" s="371"/>
    </row>
    <row r="10152" spans="26:26">
      <c r="Z10152" s="371"/>
    </row>
    <row r="10153" spans="26:26">
      <c r="Z10153" s="371"/>
    </row>
    <row r="10154" spans="26:26">
      <c r="Z10154" s="371"/>
    </row>
    <row r="10155" spans="26:26">
      <c r="Z10155" s="371"/>
    </row>
    <row r="10156" spans="26:26">
      <c r="Z10156" s="371"/>
    </row>
    <row r="10157" spans="26:26">
      <c r="Z10157" s="371"/>
    </row>
    <row r="10158" spans="26:26">
      <c r="Z10158" s="371"/>
    </row>
    <row r="10159" spans="26:26">
      <c r="Z10159" s="371"/>
    </row>
    <row r="10160" spans="26:26">
      <c r="Z10160" s="371"/>
    </row>
    <row r="10161" spans="26:26">
      <c r="Z10161" s="371"/>
    </row>
    <row r="10162" spans="26:26">
      <c r="Z10162" s="371"/>
    </row>
    <row r="10163" spans="26:26">
      <c r="Z10163" s="371"/>
    </row>
    <row r="10164" spans="26:26">
      <c r="Z10164" s="371"/>
    </row>
    <row r="10165" spans="26:26">
      <c r="Z10165" s="371"/>
    </row>
    <row r="10166" spans="26:26">
      <c r="Z10166" s="371"/>
    </row>
    <row r="10167" spans="26:26">
      <c r="Z10167" s="371"/>
    </row>
    <row r="10168" spans="26:26">
      <c r="Z10168" s="371"/>
    </row>
    <row r="10169" spans="26:26">
      <c r="Z10169" s="371"/>
    </row>
    <row r="10170" spans="26:26">
      <c r="Z10170" s="371"/>
    </row>
    <row r="10171" spans="26:26">
      <c r="Z10171" s="371"/>
    </row>
    <row r="10172" spans="26:26">
      <c r="Z10172" s="371"/>
    </row>
    <row r="10173" spans="26:26">
      <c r="Z10173" s="371"/>
    </row>
    <row r="10174" spans="26:26">
      <c r="Z10174" s="371"/>
    </row>
    <row r="10175" spans="26:26">
      <c r="Z10175" s="371"/>
    </row>
    <row r="10176" spans="26:26">
      <c r="Z10176" s="371"/>
    </row>
    <row r="10177" spans="26:26">
      <c r="Z10177" s="371"/>
    </row>
    <row r="10178" spans="26:26">
      <c r="Z10178" s="371"/>
    </row>
    <row r="10179" spans="26:26">
      <c r="Z10179" s="371"/>
    </row>
    <row r="10180" spans="26:26">
      <c r="Z10180" s="371"/>
    </row>
    <row r="10181" spans="26:26">
      <c r="Z10181" s="371"/>
    </row>
    <row r="10182" spans="26:26">
      <c r="Z10182" s="371"/>
    </row>
    <row r="10183" spans="26:26">
      <c r="Z10183" s="371"/>
    </row>
    <row r="10184" spans="26:26">
      <c r="Z10184" s="371"/>
    </row>
    <row r="10185" spans="26:26">
      <c r="Z10185" s="371"/>
    </row>
    <row r="10186" spans="26:26">
      <c r="Z10186" s="371"/>
    </row>
    <row r="10187" spans="26:26">
      <c r="Z10187" s="371"/>
    </row>
    <row r="10188" spans="26:26">
      <c r="Z10188" s="371"/>
    </row>
    <row r="10189" spans="26:26">
      <c r="Z10189" s="371"/>
    </row>
    <row r="10190" spans="26:26">
      <c r="Z10190" s="371"/>
    </row>
    <row r="10191" spans="26:26">
      <c r="Z10191" s="371"/>
    </row>
    <row r="10192" spans="26:26">
      <c r="Z10192" s="371"/>
    </row>
    <row r="10193" spans="26:26">
      <c r="Z10193" s="371"/>
    </row>
    <row r="10194" spans="26:26">
      <c r="Z10194" s="371"/>
    </row>
    <row r="10195" spans="26:26">
      <c r="Z10195" s="371"/>
    </row>
    <row r="10196" spans="26:26">
      <c r="Z10196" s="371"/>
    </row>
    <row r="10197" spans="26:26">
      <c r="Z10197" s="371"/>
    </row>
    <row r="10198" spans="26:26">
      <c r="Z10198" s="371"/>
    </row>
    <row r="10199" spans="26:26">
      <c r="Z10199" s="371"/>
    </row>
    <row r="10200" spans="26:26">
      <c r="Z10200" s="371"/>
    </row>
    <row r="10201" spans="26:26">
      <c r="Z10201" s="371"/>
    </row>
    <row r="10202" spans="26:26">
      <c r="Z10202" s="371"/>
    </row>
    <row r="10203" spans="26:26">
      <c r="Z10203" s="371"/>
    </row>
    <row r="10204" spans="26:26">
      <c r="Z10204" s="371"/>
    </row>
    <row r="10205" spans="26:26">
      <c r="Z10205" s="371"/>
    </row>
    <row r="10206" spans="26:26">
      <c r="Z10206" s="371"/>
    </row>
    <row r="10207" spans="26:26">
      <c r="Z10207" s="371"/>
    </row>
    <row r="10208" spans="26:26">
      <c r="Z10208" s="371"/>
    </row>
    <row r="10209" spans="26:26">
      <c r="Z10209" s="371"/>
    </row>
    <row r="10210" spans="26:26">
      <c r="Z10210" s="371"/>
    </row>
    <row r="10211" spans="26:26">
      <c r="Z10211" s="371"/>
    </row>
    <row r="10212" spans="26:26">
      <c r="Z10212" s="371"/>
    </row>
    <row r="10213" spans="26:26">
      <c r="Z10213" s="371"/>
    </row>
    <row r="10214" spans="26:26">
      <c r="Z10214" s="371"/>
    </row>
    <row r="10215" spans="26:26">
      <c r="Z10215" s="371"/>
    </row>
    <row r="10216" spans="26:26">
      <c r="Z10216" s="371"/>
    </row>
    <row r="10217" spans="26:26">
      <c r="Z10217" s="371"/>
    </row>
    <row r="10218" spans="26:26">
      <c r="Z10218" s="371"/>
    </row>
    <row r="10219" spans="26:26">
      <c r="Z10219" s="371"/>
    </row>
    <row r="10220" spans="26:26">
      <c r="Z10220" s="371"/>
    </row>
    <row r="10221" spans="26:26">
      <c r="Z10221" s="371"/>
    </row>
    <row r="10222" spans="26:26">
      <c r="Z10222" s="371"/>
    </row>
    <row r="10223" spans="26:26">
      <c r="Z10223" s="371"/>
    </row>
    <row r="10224" spans="26:26">
      <c r="Z10224" s="371"/>
    </row>
    <row r="10225" spans="26:26">
      <c r="Z10225" s="371"/>
    </row>
    <row r="10226" spans="26:26">
      <c r="Z10226" s="371"/>
    </row>
    <row r="10227" spans="26:26">
      <c r="Z10227" s="371"/>
    </row>
    <row r="10228" spans="26:26">
      <c r="Z10228" s="371"/>
    </row>
    <row r="10229" spans="26:26">
      <c r="Z10229" s="371"/>
    </row>
    <row r="10230" spans="26:26">
      <c r="Z10230" s="371"/>
    </row>
    <row r="10231" spans="26:26">
      <c r="Z10231" s="371"/>
    </row>
    <row r="10232" spans="26:26">
      <c r="Z10232" s="371"/>
    </row>
    <row r="10233" spans="26:26">
      <c r="Z10233" s="371"/>
    </row>
    <row r="10234" spans="26:26">
      <c r="Z10234" s="371"/>
    </row>
    <row r="10235" spans="26:26">
      <c r="Z10235" s="371"/>
    </row>
    <row r="10236" spans="26:26">
      <c r="Z10236" s="371"/>
    </row>
    <row r="10237" spans="26:26">
      <c r="Z10237" s="371"/>
    </row>
    <row r="10238" spans="26:26">
      <c r="Z10238" s="371"/>
    </row>
    <row r="10239" spans="26:26">
      <c r="Z10239" s="371"/>
    </row>
    <row r="10240" spans="26:26">
      <c r="Z10240" s="371"/>
    </row>
    <row r="10241" spans="26:26">
      <c r="Z10241" s="371"/>
    </row>
    <row r="10242" spans="26:26">
      <c r="Z10242" s="371"/>
    </row>
    <row r="10243" spans="26:26">
      <c r="Z10243" s="371"/>
    </row>
    <row r="10244" spans="26:26">
      <c r="Z10244" s="371"/>
    </row>
    <row r="10245" spans="26:26">
      <c r="Z10245" s="371"/>
    </row>
    <row r="10246" spans="26:26">
      <c r="Z10246" s="371"/>
    </row>
    <row r="10247" spans="26:26">
      <c r="Z10247" s="371"/>
    </row>
    <row r="10248" spans="26:26">
      <c r="Z10248" s="371"/>
    </row>
    <row r="10249" spans="26:26">
      <c r="Z10249" s="371"/>
    </row>
    <row r="10250" spans="26:26">
      <c r="Z10250" s="371"/>
    </row>
    <row r="10251" spans="26:26">
      <c r="Z10251" s="371"/>
    </row>
    <row r="10252" spans="26:26">
      <c r="Z10252" s="371"/>
    </row>
    <row r="10253" spans="26:26">
      <c r="Z10253" s="371"/>
    </row>
    <row r="10254" spans="26:26">
      <c r="Z10254" s="371"/>
    </row>
    <row r="10255" spans="26:26">
      <c r="Z10255" s="371"/>
    </row>
    <row r="10256" spans="26:26">
      <c r="Z10256" s="371"/>
    </row>
    <row r="10257" spans="26:26">
      <c r="Z10257" s="371"/>
    </row>
    <row r="10258" spans="26:26">
      <c r="Z10258" s="371"/>
    </row>
    <row r="10259" spans="26:26">
      <c r="Z10259" s="371"/>
    </row>
    <row r="10260" spans="26:26">
      <c r="Z10260" s="371"/>
    </row>
    <row r="10261" spans="26:26">
      <c r="Z10261" s="371"/>
    </row>
    <row r="10262" spans="26:26">
      <c r="Z10262" s="371"/>
    </row>
    <row r="10263" spans="26:26">
      <c r="Z10263" s="371"/>
    </row>
    <row r="10264" spans="26:26">
      <c r="Z10264" s="371"/>
    </row>
    <row r="10265" spans="26:26">
      <c r="Z10265" s="371"/>
    </row>
    <row r="10266" spans="26:26">
      <c r="Z10266" s="371"/>
    </row>
    <row r="10267" spans="26:26">
      <c r="Z10267" s="371"/>
    </row>
    <row r="10268" spans="26:26">
      <c r="Z10268" s="371"/>
    </row>
    <row r="10269" spans="26:26">
      <c r="Z10269" s="371"/>
    </row>
    <row r="10270" spans="26:26">
      <c r="Z10270" s="371"/>
    </row>
    <row r="10271" spans="26:26">
      <c r="Z10271" s="371"/>
    </row>
    <row r="10272" spans="26:26">
      <c r="Z10272" s="371"/>
    </row>
    <row r="10273" spans="26:26">
      <c r="Z10273" s="371"/>
    </row>
    <row r="10274" spans="26:26">
      <c r="Z10274" s="371"/>
    </row>
    <row r="10275" spans="26:26">
      <c r="Z10275" s="371"/>
    </row>
    <row r="10276" spans="26:26">
      <c r="Z10276" s="371"/>
    </row>
    <row r="10277" spans="26:26">
      <c r="Z10277" s="371"/>
    </row>
    <row r="10278" spans="26:26">
      <c r="Z10278" s="371"/>
    </row>
    <row r="10279" spans="26:26">
      <c r="Z10279" s="371"/>
    </row>
    <row r="10280" spans="26:26">
      <c r="Z10280" s="371"/>
    </row>
    <row r="10281" spans="26:26">
      <c r="Z10281" s="371"/>
    </row>
    <row r="10282" spans="26:26">
      <c r="Z10282" s="371"/>
    </row>
    <row r="10283" spans="26:26">
      <c r="Z10283" s="371"/>
    </row>
    <row r="10284" spans="26:26">
      <c r="Z10284" s="371"/>
    </row>
    <row r="10285" spans="26:26">
      <c r="Z10285" s="371"/>
    </row>
    <row r="10286" spans="26:26">
      <c r="Z10286" s="371"/>
    </row>
    <row r="10287" spans="26:26">
      <c r="Z10287" s="371"/>
    </row>
    <row r="10288" spans="26:26">
      <c r="Z10288" s="371"/>
    </row>
    <row r="10289" spans="26:26">
      <c r="Z10289" s="371"/>
    </row>
    <row r="10290" spans="26:26">
      <c r="Z10290" s="371"/>
    </row>
    <row r="10291" spans="26:26">
      <c r="Z10291" s="371"/>
    </row>
    <row r="10292" spans="26:26">
      <c r="Z10292" s="371"/>
    </row>
    <row r="10293" spans="26:26">
      <c r="Z10293" s="371"/>
    </row>
    <row r="10294" spans="26:26">
      <c r="Z10294" s="371"/>
    </row>
    <row r="10295" spans="26:26">
      <c r="Z10295" s="371"/>
    </row>
    <row r="10296" spans="26:26">
      <c r="Z10296" s="371"/>
    </row>
    <row r="10297" spans="26:26">
      <c r="Z10297" s="371"/>
    </row>
    <row r="10298" spans="26:26">
      <c r="Z10298" s="371"/>
    </row>
    <row r="10299" spans="26:26">
      <c r="Z10299" s="371"/>
    </row>
    <row r="10300" spans="26:26">
      <c r="Z10300" s="371"/>
    </row>
    <row r="10301" spans="26:26">
      <c r="Z10301" s="371"/>
    </row>
    <row r="10302" spans="26:26">
      <c r="Z10302" s="371"/>
    </row>
    <row r="10303" spans="26:26">
      <c r="Z10303" s="371"/>
    </row>
    <row r="10304" spans="26:26">
      <c r="Z10304" s="371"/>
    </row>
    <row r="10305" spans="26:26">
      <c r="Z10305" s="371"/>
    </row>
    <row r="10306" spans="26:26">
      <c r="Z10306" s="371"/>
    </row>
    <row r="10307" spans="26:26">
      <c r="Z10307" s="371"/>
    </row>
    <row r="10308" spans="26:26">
      <c r="Z10308" s="371"/>
    </row>
    <row r="10309" spans="26:26">
      <c r="Z10309" s="371"/>
    </row>
    <row r="10310" spans="26:26">
      <c r="Z10310" s="371"/>
    </row>
    <row r="10311" spans="26:26">
      <c r="Z10311" s="371"/>
    </row>
    <row r="10312" spans="26:26">
      <c r="Z10312" s="371"/>
    </row>
    <row r="10313" spans="26:26">
      <c r="Z10313" s="371"/>
    </row>
    <row r="10314" spans="26:26">
      <c r="Z10314" s="371"/>
    </row>
    <row r="10315" spans="26:26">
      <c r="Z10315" s="371"/>
    </row>
    <row r="10316" spans="26:26">
      <c r="Z10316" s="371"/>
    </row>
    <row r="10317" spans="26:26">
      <c r="Z10317" s="371"/>
    </row>
    <row r="10318" spans="26:26">
      <c r="Z10318" s="371"/>
    </row>
    <row r="10319" spans="26:26">
      <c r="Z10319" s="371"/>
    </row>
    <row r="10320" spans="26:26">
      <c r="Z10320" s="371"/>
    </row>
    <row r="10321" spans="26:26">
      <c r="Z10321" s="371"/>
    </row>
    <row r="10322" spans="26:26">
      <c r="Z10322" s="371"/>
    </row>
    <row r="10323" spans="26:26">
      <c r="Z10323" s="371"/>
    </row>
    <row r="10324" spans="26:26">
      <c r="Z10324" s="371"/>
    </row>
    <row r="10325" spans="26:26">
      <c r="Z10325" s="371"/>
    </row>
    <row r="10326" spans="26:26">
      <c r="Z10326" s="371"/>
    </row>
    <row r="10327" spans="26:26">
      <c r="Z10327" s="371"/>
    </row>
    <row r="10328" spans="26:26">
      <c r="Z10328" s="371"/>
    </row>
    <row r="10329" spans="26:26">
      <c r="Z10329" s="371"/>
    </row>
    <row r="10330" spans="26:26">
      <c r="Z10330" s="371"/>
    </row>
    <row r="10331" spans="26:26">
      <c r="Z10331" s="371"/>
    </row>
    <row r="10332" spans="26:26">
      <c r="Z10332" s="371"/>
    </row>
    <row r="10333" spans="26:26">
      <c r="Z10333" s="371"/>
    </row>
    <row r="10334" spans="26:26">
      <c r="Z10334" s="371"/>
    </row>
    <row r="10335" spans="26:26">
      <c r="Z10335" s="371"/>
    </row>
    <row r="10336" spans="26:26">
      <c r="Z10336" s="371"/>
    </row>
    <row r="10337" spans="26:26">
      <c r="Z10337" s="371"/>
    </row>
    <row r="10338" spans="26:26">
      <c r="Z10338" s="371"/>
    </row>
    <row r="10339" spans="26:26">
      <c r="Z10339" s="371"/>
    </row>
    <row r="10340" spans="26:26">
      <c r="Z10340" s="371"/>
    </row>
    <row r="10341" spans="26:26">
      <c r="Z10341" s="371"/>
    </row>
    <row r="10342" spans="26:26">
      <c r="Z10342" s="371"/>
    </row>
    <row r="10343" spans="26:26">
      <c r="Z10343" s="371"/>
    </row>
    <row r="10344" spans="26:26">
      <c r="Z10344" s="371"/>
    </row>
    <row r="10345" spans="26:26">
      <c r="Z10345" s="371"/>
    </row>
    <row r="10346" spans="26:26">
      <c r="Z10346" s="371"/>
    </row>
    <row r="10347" spans="26:26">
      <c r="Z10347" s="371"/>
    </row>
    <row r="10348" spans="26:26">
      <c r="Z10348" s="371"/>
    </row>
    <row r="10349" spans="26:26">
      <c r="Z10349" s="371"/>
    </row>
    <row r="10350" spans="26:26">
      <c r="Z10350" s="371"/>
    </row>
    <row r="10351" spans="26:26">
      <c r="Z10351" s="371"/>
    </row>
    <row r="10352" spans="26:26">
      <c r="Z10352" s="371"/>
    </row>
    <row r="10353" spans="26:26">
      <c r="Z10353" s="371"/>
    </row>
    <row r="10354" spans="26:26">
      <c r="Z10354" s="371"/>
    </row>
    <row r="10355" spans="26:26">
      <c r="Z10355" s="371"/>
    </row>
    <row r="10356" spans="26:26">
      <c r="Z10356" s="371"/>
    </row>
    <row r="10357" spans="26:26">
      <c r="Z10357" s="371"/>
    </row>
    <row r="10358" spans="26:26">
      <c r="Z10358" s="371"/>
    </row>
    <row r="10359" spans="26:26">
      <c r="Z10359" s="371"/>
    </row>
    <row r="10360" spans="26:26">
      <c r="Z10360" s="371"/>
    </row>
    <row r="10361" spans="26:26">
      <c r="Z10361" s="371"/>
    </row>
    <row r="10362" spans="26:26">
      <c r="Z10362" s="371"/>
    </row>
    <row r="10363" spans="26:26">
      <c r="Z10363" s="371"/>
    </row>
    <row r="10364" spans="26:26">
      <c r="Z10364" s="371"/>
    </row>
    <row r="10365" spans="26:26">
      <c r="Z10365" s="371"/>
    </row>
    <row r="10366" spans="26:26">
      <c r="Z10366" s="371"/>
    </row>
    <row r="10367" spans="26:26">
      <c r="Z10367" s="371"/>
    </row>
    <row r="10368" spans="26:26">
      <c r="Z10368" s="371"/>
    </row>
    <row r="10369" spans="26:26">
      <c r="Z10369" s="371"/>
    </row>
    <row r="10370" spans="26:26">
      <c r="Z10370" s="371"/>
    </row>
    <row r="10371" spans="26:26">
      <c r="Z10371" s="371"/>
    </row>
    <row r="10372" spans="26:26">
      <c r="Z10372" s="371"/>
    </row>
    <row r="10373" spans="26:26">
      <c r="Z10373" s="371"/>
    </row>
    <row r="10374" spans="26:26">
      <c r="Z10374" s="371"/>
    </row>
    <row r="10375" spans="26:26">
      <c r="Z10375" s="371"/>
    </row>
    <row r="10376" spans="26:26">
      <c r="Z10376" s="371"/>
    </row>
    <row r="10377" spans="26:26">
      <c r="Z10377" s="371"/>
    </row>
    <row r="10378" spans="26:26">
      <c r="Z10378" s="371"/>
    </row>
    <row r="10379" spans="26:26">
      <c r="Z10379" s="371"/>
    </row>
    <row r="10380" spans="26:26">
      <c r="Z10380" s="371"/>
    </row>
    <row r="10381" spans="26:26">
      <c r="Z10381" s="371"/>
    </row>
    <row r="10382" spans="26:26">
      <c r="Z10382" s="371"/>
    </row>
    <row r="10383" spans="26:26">
      <c r="Z10383" s="371"/>
    </row>
    <row r="10384" spans="26:26">
      <c r="Z10384" s="371"/>
    </row>
    <row r="10385" spans="26:26">
      <c r="Z10385" s="371"/>
    </row>
    <row r="10386" spans="26:26">
      <c r="Z10386" s="371"/>
    </row>
    <row r="10387" spans="26:26">
      <c r="Z10387" s="371"/>
    </row>
    <row r="10388" spans="26:26">
      <c r="Z10388" s="371"/>
    </row>
    <row r="10389" spans="26:26">
      <c r="Z10389" s="371"/>
    </row>
    <row r="10390" spans="26:26">
      <c r="Z10390" s="371"/>
    </row>
    <row r="10391" spans="26:26">
      <c r="Z10391" s="371"/>
    </row>
    <row r="10392" spans="26:26">
      <c r="Z10392" s="371"/>
    </row>
    <row r="10393" spans="26:26">
      <c r="Z10393" s="371"/>
    </row>
    <row r="10394" spans="26:26">
      <c r="Z10394" s="371"/>
    </row>
    <row r="10395" spans="26:26">
      <c r="Z10395" s="371"/>
    </row>
    <row r="10396" spans="26:26">
      <c r="Z10396" s="371"/>
    </row>
    <row r="10397" spans="26:26">
      <c r="Z10397" s="371"/>
    </row>
    <row r="10398" spans="26:26">
      <c r="Z10398" s="371"/>
    </row>
    <row r="10399" spans="26:26">
      <c r="Z10399" s="371"/>
    </row>
    <row r="10400" spans="26:26">
      <c r="Z10400" s="371"/>
    </row>
    <row r="10401" spans="26:26">
      <c r="Z10401" s="371"/>
    </row>
    <row r="10402" spans="26:26">
      <c r="Z10402" s="371"/>
    </row>
    <row r="10403" spans="26:26">
      <c r="Z10403" s="371"/>
    </row>
    <row r="10404" spans="26:26">
      <c r="Z10404" s="371"/>
    </row>
    <row r="10405" spans="26:26">
      <c r="Z10405" s="371"/>
    </row>
    <row r="10406" spans="26:26">
      <c r="Z10406" s="371"/>
    </row>
    <row r="10407" spans="26:26">
      <c r="Z10407" s="371"/>
    </row>
    <row r="10408" spans="26:26">
      <c r="Z10408" s="371"/>
    </row>
    <row r="10409" spans="26:26">
      <c r="Z10409" s="371"/>
    </row>
    <row r="10410" spans="26:26">
      <c r="Z10410" s="371"/>
    </row>
    <row r="10411" spans="26:26">
      <c r="Z10411" s="371"/>
    </row>
    <row r="10412" spans="26:26">
      <c r="Z10412" s="371"/>
    </row>
    <row r="10413" spans="26:26">
      <c r="Z10413" s="371"/>
    </row>
    <row r="10414" spans="26:26">
      <c r="Z10414" s="371"/>
    </row>
    <row r="10415" spans="26:26">
      <c r="Z10415" s="371"/>
    </row>
    <row r="10416" spans="26:26">
      <c r="Z10416" s="371"/>
    </row>
    <row r="10417" spans="26:26">
      <c r="Z10417" s="371"/>
    </row>
    <row r="10418" spans="26:26">
      <c r="Z10418" s="371"/>
    </row>
    <row r="10419" spans="26:26">
      <c r="Z10419" s="371"/>
    </row>
    <row r="10420" spans="26:26">
      <c r="Z10420" s="371"/>
    </row>
    <row r="10421" spans="26:26">
      <c r="Z10421" s="371"/>
    </row>
    <row r="10422" spans="26:26">
      <c r="Z10422" s="371"/>
    </row>
    <row r="10423" spans="26:26">
      <c r="Z10423" s="371"/>
    </row>
    <row r="10424" spans="26:26">
      <c r="Z10424" s="371"/>
    </row>
    <row r="10425" spans="26:26">
      <c r="Z10425" s="371"/>
    </row>
    <row r="10426" spans="26:26">
      <c r="Z10426" s="371"/>
    </row>
    <row r="10427" spans="26:26">
      <c r="Z10427" s="371"/>
    </row>
    <row r="10428" spans="26:26">
      <c r="Z10428" s="371"/>
    </row>
    <row r="10429" spans="26:26">
      <c r="Z10429" s="371"/>
    </row>
    <row r="10430" spans="26:26">
      <c r="Z10430" s="371"/>
    </row>
    <row r="10431" spans="26:26">
      <c r="Z10431" s="371"/>
    </row>
    <row r="10432" spans="26:26">
      <c r="Z10432" s="371"/>
    </row>
    <row r="10433" spans="26:26">
      <c r="Z10433" s="371"/>
    </row>
    <row r="10434" spans="26:26">
      <c r="Z10434" s="371"/>
    </row>
    <row r="10435" spans="26:26">
      <c r="Z10435" s="371"/>
    </row>
    <row r="10436" spans="26:26">
      <c r="Z10436" s="371"/>
    </row>
    <row r="10437" spans="26:26">
      <c r="Z10437" s="371"/>
    </row>
    <row r="10438" spans="26:26">
      <c r="Z10438" s="371"/>
    </row>
    <row r="10439" spans="26:26">
      <c r="Z10439" s="371"/>
    </row>
    <row r="10440" spans="26:26">
      <c r="Z10440" s="371"/>
    </row>
    <row r="10441" spans="26:26">
      <c r="Z10441" s="371"/>
    </row>
    <row r="10442" spans="26:26">
      <c r="Z10442" s="371"/>
    </row>
    <row r="10443" spans="26:26">
      <c r="Z10443" s="371"/>
    </row>
    <row r="10444" spans="26:26">
      <c r="Z10444" s="371"/>
    </row>
    <row r="10445" spans="26:26">
      <c r="Z10445" s="371"/>
    </row>
    <row r="10446" spans="26:26">
      <c r="Z10446" s="371"/>
    </row>
    <row r="10447" spans="26:26">
      <c r="Z10447" s="371"/>
    </row>
    <row r="10448" spans="26:26">
      <c r="Z10448" s="371"/>
    </row>
    <row r="10449" spans="26:26">
      <c r="Z10449" s="371"/>
    </row>
    <row r="10450" spans="26:26">
      <c r="Z10450" s="371"/>
    </row>
    <row r="10451" spans="26:26">
      <c r="Z10451" s="371"/>
    </row>
    <row r="10452" spans="26:26">
      <c r="Z10452" s="371"/>
    </row>
    <row r="10453" spans="26:26">
      <c r="Z10453" s="371"/>
    </row>
    <row r="10454" spans="26:26">
      <c r="Z10454" s="371"/>
    </row>
    <row r="10455" spans="26:26">
      <c r="Z10455" s="371"/>
    </row>
    <row r="10456" spans="26:26">
      <c r="Z10456" s="371"/>
    </row>
    <row r="10457" spans="26:26">
      <c r="Z10457" s="371"/>
    </row>
    <row r="10458" spans="26:26">
      <c r="Z10458" s="371"/>
    </row>
    <row r="10459" spans="26:26">
      <c r="Z10459" s="371"/>
    </row>
    <row r="10460" spans="26:26">
      <c r="Z10460" s="371"/>
    </row>
    <row r="10461" spans="26:26">
      <c r="Z10461" s="371"/>
    </row>
    <row r="10462" spans="26:26">
      <c r="Z10462" s="371"/>
    </row>
    <row r="10463" spans="26:26">
      <c r="Z10463" s="371"/>
    </row>
    <row r="10464" spans="26:26">
      <c r="Z10464" s="371"/>
    </row>
    <row r="10465" spans="26:26">
      <c r="Z10465" s="371"/>
    </row>
    <row r="10466" spans="26:26">
      <c r="Z10466" s="371"/>
    </row>
    <row r="10467" spans="26:26">
      <c r="Z10467" s="371"/>
    </row>
    <row r="10468" spans="26:26">
      <c r="Z10468" s="371"/>
    </row>
    <row r="10469" spans="26:26">
      <c r="Z10469" s="371"/>
    </row>
    <row r="10470" spans="26:26">
      <c r="Z10470" s="371"/>
    </row>
    <row r="10471" spans="26:26">
      <c r="Z10471" s="371"/>
    </row>
    <row r="10472" spans="26:26">
      <c r="Z10472" s="371"/>
    </row>
    <row r="10473" spans="26:26">
      <c r="Z10473" s="371"/>
    </row>
    <row r="10474" spans="26:26">
      <c r="Z10474" s="371"/>
    </row>
    <row r="10475" spans="26:26">
      <c r="Z10475" s="371"/>
    </row>
    <row r="10476" spans="26:26">
      <c r="Z10476" s="371"/>
    </row>
    <row r="10477" spans="26:26">
      <c r="Z10477" s="371"/>
    </row>
    <row r="10478" spans="26:26">
      <c r="Z10478" s="371"/>
    </row>
    <row r="10479" spans="26:26">
      <c r="Z10479" s="371"/>
    </row>
    <row r="10480" spans="26:26">
      <c r="Z10480" s="371"/>
    </row>
    <row r="10481" spans="26:26">
      <c r="Z10481" s="371"/>
    </row>
    <row r="10482" spans="26:26">
      <c r="Z10482" s="371"/>
    </row>
    <row r="10483" spans="26:26">
      <c r="Z10483" s="371"/>
    </row>
    <row r="10484" spans="26:26">
      <c r="Z10484" s="371"/>
    </row>
    <row r="10485" spans="26:26">
      <c r="Z10485" s="371"/>
    </row>
    <row r="10486" spans="26:26">
      <c r="Z10486" s="371"/>
    </row>
    <row r="10487" spans="26:26">
      <c r="Z10487" s="371"/>
    </row>
    <row r="10488" spans="26:26">
      <c r="Z10488" s="371"/>
    </row>
    <row r="10489" spans="26:26">
      <c r="Z10489" s="371"/>
    </row>
    <row r="10490" spans="26:26">
      <c r="Z10490" s="371"/>
    </row>
    <row r="10491" spans="26:26">
      <c r="Z10491" s="371"/>
    </row>
    <row r="10492" spans="26:26">
      <c r="Z10492" s="371"/>
    </row>
    <row r="10493" spans="26:26">
      <c r="Z10493" s="371"/>
    </row>
    <row r="10494" spans="26:26">
      <c r="Z10494" s="371"/>
    </row>
    <row r="10495" spans="26:26">
      <c r="Z10495" s="371"/>
    </row>
    <row r="10496" spans="26:26">
      <c r="Z10496" s="371"/>
    </row>
    <row r="10497" spans="26:26">
      <c r="Z10497" s="371"/>
    </row>
    <row r="10498" spans="26:26">
      <c r="Z10498" s="371"/>
    </row>
    <row r="10499" spans="26:26">
      <c r="Z10499" s="371"/>
    </row>
    <row r="10500" spans="26:26">
      <c r="Z10500" s="371"/>
    </row>
    <row r="10501" spans="26:26">
      <c r="Z10501" s="371"/>
    </row>
    <row r="10502" spans="26:26">
      <c r="Z10502" s="371"/>
    </row>
    <row r="10503" spans="26:26">
      <c r="Z10503" s="371"/>
    </row>
    <row r="10504" spans="26:26">
      <c r="Z10504" s="371"/>
    </row>
    <row r="10505" spans="26:26">
      <c r="Z10505" s="371"/>
    </row>
    <row r="10506" spans="26:26">
      <c r="Z10506" s="371"/>
    </row>
    <row r="10507" spans="26:26">
      <c r="Z10507" s="371"/>
    </row>
    <row r="10508" spans="26:26">
      <c r="Z10508" s="371"/>
    </row>
    <row r="10509" spans="26:26">
      <c r="Z10509" s="371"/>
    </row>
    <row r="10510" spans="26:26">
      <c r="Z10510" s="371"/>
    </row>
    <row r="10511" spans="26:26">
      <c r="Z10511" s="371"/>
    </row>
    <row r="10512" spans="26:26">
      <c r="Z10512" s="371"/>
    </row>
    <row r="10513" spans="26:26">
      <c r="Z10513" s="371"/>
    </row>
    <row r="10514" spans="26:26">
      <c r="Z10514" s="371"/>
    </row>
    <row r="10515" spans="26:26">
      <c r="Z10515" s="371"/>
    </row>
    <row r="10516" spans="26:26">
      <c r="Z10516" s="371"/>
    </row>
    <row r="10517" spans="26:26">
      <c r="Z10517" s="371"/>
    </row>
    <row r="10518" spans="26:26">
      <c r="Z10518" s="371"/>
    </row>
    <row r="10519" spans="26:26">
      <c r="Z10519" s="371"/>
    </row>
    <row r="10520" spans="26:26">
      <c r="Z10520" s="371"/>
    </row>
    <row r="10521" spans="26:26">
      <c r="Z10521" s="371"/>
    </row>
    <row r="10522" spans="26:26">
      <c r="Z10522" s="371"/>
    </row>
    <row r="10523" spans="26:26">
      <c r="Z10523" s="371"/>
    </row>
    <row r="10524" spans="26:26">
      <c r="Z10524" s="371"/>
    </row>
    <row r="10525" spans="26:26">
      <c r="Z10525" s="371"/>
    </row>
    <row r="10526" spans="26:26">
      <c r="Z10526" s="371"/>
    </row>
    <row r="10527" spans="26:26">
      <c r="Z10527" s="371"/>
    </row>
    <row r="10528" spans="26:26">
      <c r="Z10528" s="371"/>
    </row>
    <row r="10529" spans="26:26">
      <c r="Z10529" s="371"/>
    </row>
    <row r="10530" spans="26:26">
      <c r="Z10530" s="371"/>
    </row>
    <row r="10531" spans="26:26">
      <c r="Z10531" s="371"/>
    </row>
    <row r="10532" spans="26:26">
      <c r="Z10532" s="371"/>
    </row>
    <row r="10533" spans="26:26">
      <c r="Z10533" s="371"/>
    </row>
    <row r="10534" spans="26:26">
      <c r="Z10534" s="371"/>
    </row>
    <row r="10535" spans="26:26">
      <c r="Z10535" s="371"/>
    </row>
    <row r="10536" spans="26:26">
      <c r="Z10536" s="371"/>
    </row>
    <row r="10537" spans="26:26">
      <c r="Z10537" s="371"/>
    </row>
    <row r="10538" spans="26:26">
      <c r="Z10538" s="371"/>
    </row>
    <row r="10539" spans="26:26">
      <c r="Z10539" s="371"/>
    </row>
    <row r="10540" spans="26:26">
      <c r="Z10540" s="371"/>
    </row>
    <row r="10541" spans="26:26">
      <c r="Z10541" s="371"/>
    </row>
    <row r="10542" spans="26:26">
      <c r="Z10542" s="371"/>
    </row>
    <row r="10543" spans="26:26">
      <c r="Z10543" s="371"/>
    </row>
    <row r="10544" spans="26:26">
      <c r="Z10544" s="371"/>
    </row>
    <row r="10545" spans="26:26">
      <c r="Z10545" s="371"/>
    </row>
    <row r="10546" spans="26:26">
      <c r="Z10546" s="371"/>
    </row>
    <row r="10547" spans="26:26">
      <c r="Z10547" s="371"/>
    </row>
    <row r="10548" spans="26:26">
      <c r="Z10548" s="371"/>
    </row>
    <row r="10549" spans="26:26">
      <c r="Z10549" s="371"/>
    </row>
    <row r="10550" spans="26:26">
      <c r="Z10550" s="371"/>
    </row>
    <row r="10551" spans="26:26">
      <c r="Z10551" s="371"/>
    </row>
    <row r="10552" spans="26:26">
      <c r="Z10552" s="371"/>
    </row>
    <row r="10553" spans="26:26">
      <c r="Z10553" s="371"/>
    </row>
    <row r="10554" spans="26:26">
      <c r="Z10554" s="371"/>
    </row>
    <row r="10555" spans="26:26">
      <c r="Z10555" s="371"/>
    </row>
    <row r="10556" spans="26:26">
      <c r="Z10556" s="371"/>
    </row>
    <row r="10557" spans="26:26">
      <c r="Z10557" s="371"/>
    </row>
    <row r="10558" spans="26:26">
      <c r="Z10558" s="371"/>
    </row>
    <row r="10559" spans="26:26">
      <c r="Z10559" s="371"/>
    </row>
    <row r="10560" spans="26:26">
      <c r="Z10560" s="371"/>
    </row>
    <row r="10561" spans="26:26">
      <c r="Z10561" s="371"/>
    </row>
    <row r="10562" spans="26:26">
      <c r="Z10562" s="371"/>
    </row>
    <row r="10563" spans="26:26">
      <c r="Z10563" s="371"/>
    </row>
    <row r="10564" spans="26:26">
      <c r="Z10564" s="371"/>
    </row>
    <row r="10565" spans="26:26">
      <c r="Z10565" s="371"/>
    </row>
    <row r="10566" spans="26:26">
      <c r="Z10566" s="371"/>
    </row>
    <row r="10567" spans="26:26">
      <c r="Z10567" s="371"/>
    </row>
    <row r="10568" spans="26:26">
      <c r="Z10568" s="371"/>
    </row>
    <row r="10569" spans="26:26">
      <c r="Z10569" s="371"/>
    </row>
    <row r="10570" spans="26:26">
      <c r="Z10570" s="371"/>
    </row>
    <row r="10571" spans="26:26">
      <c r="Z10571" s="371"/>
    </row>
    <row r="10572" spans="26:26">
      <c r="Z10572" s="371"/>
    </row>
    <row r="10573" spans="26:26">
      <c r="Z10573" s="371"/>
    </row>
    <row r="10574" spans="26:26">
      <c r="Z10574" s="371"/>
    </row>
    <row r="10575" spans="26:26">
      <c r="Z10575" s="371"/>
    </row>
    <row r="10576" spans="26:26">
      <c r="Z10576" s="371"/>
    </row>
    <row r="10577" spans="26:26">
      <c r="Z10577" s="371"/>
    </row>
    <row r="10578" spans="26:26">
      <c r="Z10578" s="371"/>
    </row>
    <row r="10579" spans="26:26">
      <c r="Z10579" s="371"/>
    </row>
    <row r="10580" spans="26:26">
      <c r="Z10580" s="371"/>
    </row>
    <row r="10581" spans="26:26">
      <c r="Z10581" s="371"/>
    </row>
    <row r="10582" spans="26:26">
      <c r="Z10582" s="371"/>
    </row>
    <row r="10583" spans="26:26">
      <c r="Z10583" s="371"/>
    </row>
    <row r="10584" spans="26:26">
      <c r="Z10584" s="371"/>
    </row>
    <row r="10585" spans="26:26">
      <c r="Z10585" s="371"/>
    </row>
    <row r="10586" spans="26:26">
      <c r="Z10586" s="371"/>
    </row>
    <row r="10587" spans="26:26">
      <c r="Z10587" s="371"/>
    </row>
    <row r="10588" spans="26:26">
      <c r="Z10588" s="371"/>
    </row>
    <row r="10589" spans="26:26">
      <c r="Z10589" s="371"/>
    </row>
    <row r="10590" spans="26:26">
      <c r="Z10590" s="371"/>
    </row>
    <row r="10591" spans="26:26">
      <c r="Z10591" s="371"/>
    </row>
    <row r="10592" spans="26:26">
      <c r="Z10592" s="371"/>
    </row>
    <row r="10593" spans="26:26">
      <c r="Z10593" s="371"/>
    </row>
    <row r="10594" spans="26:26">
      <c r="Z10594" s="371"/>
    </row>
    <row r="10595" spans="26:26">
      <c r="Z10595" s="371"/>
    </row>
    <row r="10596" spans="26:26">
      <c r="Z10596" s="371"/>
    </row>
    <row r="10597" spans="26:26">
      <c r="Z10597" s="371"/>
    </row>
    <row r="10598" spans="26:26">
      <c r="Z10598" s="371"/>
    </row>
    <row r="10599" spans="26:26">
      <c r="Z10599" s="371"/>
    </row>
    <row r="10600" spans="26:26">
      <c r="Z10600" s="371"/>
    </row>
    <row r="10601" spans="26:26">
      <c r="Z10601" s="371"/>
    </row>
    <row r="10602" spans="26:26">
      <c r="Z10602" s="371"/>
    </row>
    <row r="10603" spans="26:26">
      <c r="Z10603" s="371"/>
    </row>
    <row r="10604" spans="26:26">
      <c r="Z10604" s="371"/>
    </row>
    <row r="10605" spans="26:26">
      <c r="Z10605" s="371"/>
    </row>
    <row r="10606" spans="26:26">
      <c r="Z10606" s="371"/>
    </row>
    <row r="10607" spans="26:26">
      <c r="Z10607" s="371"/>
    </row>
    <row r="10608" spans="26:26">
      <c r="Z10608" s="371"/>
    </row>
    <row r="10609" spans="26:26">
      <c r="Z10609" s="371"/>
    </row>
    <row r="10610" spans="26:26">
      <c r="Z10610" s="371"/>
    </row>
    <row r="10611" spans="26:26">
      <c r="Z10611" s="371"/>
    </row>
    <row r="10612" spans="26:26">
      <c r="Z10612" s="371"/>
    </row>
    <row r="10613" spans="26:26">
      <c r="Z10613" s="371"/>
    </row>
    <row r="10614" spans="26:26">
      <c r="Z10614" s="371"/>
    </row>
    <row r="10615" spans="26:26">
      <c r="Z10615" s="371"/>
    </row>
    <row r="10616" spans="26:26">
      <c r="Z10616" s="371"/>
    </row>
    <row r="10617" spans="26:26">
      <c r="Z10617" s="371"/>
    </row>
    <row r="10618" spans="26:26">
      <c r="Z10618" s="371"/>
    </row>
    <row r="10619" spans="26:26">
      <c r="Z10619" s="371"/>
    </row>
    <row r="10620" spans="26:26">
      <c r="Z10620" s="371"/>
    </row>
    <row r="10621" spans="26:26">
      <c r="Z10621" s="371"/>
    </row>
    <row r="10622" spans="26:26">
      <c r="Z10622" s="371"/>
    </row>
    <row r="10623" spans="26:26">
      <c r="Z10623" s="371"/>
    </row>
    <row r="10624" spans="26:26">
      <c r="Z10624" s="371"/>
    </row>
    <row r="10625" spans="26:26">
      <c r="Z10625" s="371"/>
    </row>
    <row r="10626" spans="26:26">
      <c r="Z10626" s="371"/>
    </row>
    <row r="10627" spans="26:26">
      <c r="Z10627" s="371"/>
    </row>
    <row r="10628" spans="26:26">
      <c r="Z10628" s="371"/>
    </row>
    <row r="10629" spans="26:26">
      <c r="Z10629" s="371"/>
    </row>
    <row r="10630" spans="26:26">
      <c r="Z10630" s="371"/>
    </row>
    <row r="10631" spans="26:26">
      <c r="Z10631" s="371"/>
    </row>
    <row r="10632" spans="26:26">
      <c r="Z10632" s="371"/>
    </row>
    <row r="10633" spans="26:26">
      <c r="Z10633" s="371"/>
    </row>
    <row r="10634" spans="26:26">
      <c r="Z10634" s="371"/>
    </row>
    <row r="10635" spans="26:26">
      <c r="Z10635" s="371"/>
    </row>
    <row r="10636" spans="26:26">
      <c r="Z10636" s="371"/>
    </row>
    <row r="10637" spans="26:26">
      <c r="Z10637" s="371"/>
    </row>
    <row r="10638" spans="26:26">
      <c r="Z10638" s="371"/>
    </row>
    <row r="10639" spans="26:26">
      <c r="Z10639" s="371"/>
    </row>
    <row r="10640" spans="26:26">
      <c r="Z10640" s="371"/>
    </row>
    <row r="10641" spans="26:26">
      <c r="Z10641" s="371"/>
    </row>
    <row r="10642" spans="26:26">
      <c r="Z10642" s="371"/>
    </row>
    <row r="10643" spans="26:26">
      <c r="Z10643" s="371"/>
    </row>
    <row r="10644" spans="26:26">
      <c r="Z10644" s="371"/>
    </row>
    <row r="10645" spans="26:26">
      <c r="Z10645" s="371"/>
    </row>
    <row r="10646" spans="26:26">
      <c r="Z10646" s="371"/>
    </row>
    <row r="10647" spans="26:26">
      <c r="Z10647" s="371"/>
    </row>
    <row r="10648" spans="26:26">
      <c r="Z10648" s="371"/>
    </row>
    <row r="10649" spans="26:26">
      <c r="Z10649" s="371"/>
    </row>
    <row r="10650" spans="26:26">
      <c r="Z10650" s="371"/>
    </row>
    <row r="10651" spans="26:26">
      <c r="Z10651" s="371"/>
    </row>
    <row r="10652" spans="26:26">
      <c r="Z10652" s="371"/>
    </row>
    <row r="10653" spans="26:26">
      <c r="Z10653" s="371"/>
    </row>
    <row r="10654" spans="26:26">
      <c r="Z10654" s="371"/>
    </row>
    <row r="10655" spans="26:26">
      <c r="Z10655" s="371"/>
    </row>
    <row r="10656" spans="26:26">
      <c r="Z10656" s="371"/>
    </row>
    <row r="10657" spans="26:26">
      <c r="Z10657" s="371"/>
    </row>
    <row r="10658" spans="26:26">
      <c r="Z10658" s="371"/>
    </row>
    <row r="10659" spans="26:26">
      <c r="Z10659" s="371"/>
    </row>
    <row r="10660" spans="26:26">
      <c r="Z10660" s="371"/>
    </row>
    <row r="10661" spans="26:26">
      <c r="Z10661" s="371"/>
    </row>
    <row r="10662" spans="26:26">
      <c r="Z10662" s="371"/>
    </row>
    <row r="10663" spans="26:26">
      <c r="Z10663" s="371"/>
    </row>
    <row r="10664" spans="26:26">
      <c r="Z10664" s="371"/>
    </row>
    <row r="10665" spans="26:26">
      <c r="Z10665" s="371"/>
    </row>
    <row r="10666" spans="26:26">
      <c r="Z10666" s="371"/>
    </row>
    <row r="10667" spans="26:26">
      <c r="Z10667" s="371"/>
    </row>
    <row r="10668" spans="26:26">
      <c r="Z10668" s="371"/>
    </row>
    <row r="10669" spans="26:26">
      <c r="Z10669" s="371"/>
    </row>
    <row r="10670" spans="26:26">
      <c r="Z10670" s="371"/>
    </row>
    <row r="10671" spans="26:26">
      <c r="Z10671" s="371"/>
    </row>
    <row r="10672" spans="26:26">
      <c r="Z10672" s="371"/>
    </row>
    <row r="10673" spans="26:26">
      <c r="Z10673" s="371"/>
    </row>
    <row r="10674" spans="26:26">
      <c r="Z10674" s="371"/>
    </row>
    <row r="10675" spans="26:26">
      <c r="Z10675" s="371"/>
    </row>
    <row r="10676" spans="26:26">
      <c r="Z10676" s="371"/>
    </row>
    <row r="10677" spans="26:26">
      <c r="Z10677" s="371"/>
    </row>
    <row r="10678" spans="26:26">
      <c r="Z10678" s="371"/>
    </row>
    <row r="10679" spans="26:26">
      <c r="Z10679" s="371"/>
    </row>
    <row r="10680" spans="26:26">
      <c r="Z10680" s="371"/>
    </row>
    <row r="10681" spans="26:26">
      <c r="Z10681" s="371"/>
    </row>
    <row r="10682" spans="26:26">
      <c r="Z10682" s="371"/>
    </row>
    <row r="10683" spans="26:26">
      <c r="Z10683" s="371"/>
    </row>
    <row r="10684" spans="26:26">
      <c r="Z10684" s="371"/>
    </row>
    <row r="10685" spans="26:26">
      <c r="Z10685" s="371"/>
    </row>
    <row r="10686" spans="26:26">
      <c r="Z10686" s="371"/>
    </row>
    <row r="10687" spans="26:26">
      <c r="Z10687" s="371"/>
    </row>
    <row r="10688" spans="26:26">
      <c r="Z10688" s="371"/>
    </row>
    <row r="10689" spans="26:26">
      <c r="Z10689" s="371"/>
    </row>
    <row r="10690" spans="26:26">
      <c r="Z10690" s="371"/>
    </row>
    <row r="10691" spans="26:26">
      <c r="Z10691" s="371"/>
    </row>
    <row r="10692" spans="26:26">
      <c r="Z10692" s="371"/>
    </row>
    <row r="10693" spans="26:26">
      <c r="Z10693" s="371"/>
    </row>
    <row r="10694" spans="26:26">
      <c r="Z10694" s="371"/>
    </row>
    <row r="10695" spans="26:26">
      <c r="Z10695" s="371"/>
    </row>
    <row r="10696" spans="26:26">
      <c r="Z10696" s="371"/>
    </row>
    <row r="10697" spans="26:26">
      <c r="Z10697" s="371"/>
    </row>
    <row r="10698" spans="26:26">
      <c r="Z10698" s="371"/>
    </row>
    <row r="10699" spans="26:26">
      <c r="Z10699" s="371"/>
    </row>
    <row r="10700" spans="26:26">
      <c r="Z10700" s="371"/>
    </row>
    <row r="10701" spans="26:26">
      <c r="Z10701" s="371"/>
    </row>
    <row r="10702" spans="26:26">
      <c r="Z10702" s="371"/>
    </row>
    <row r="10703" spans="26:26">
      <c r="Z10703" s="371"/>
    </row>
    <row r="10704" spans="26:26">
      <c r="Z10704" s="371"/>
    </row>
    <row r="10705" spans="26:26">
      <c r="Z10705" s="371"/>
    </row>
    <row r="10706" spans="26:26">
      <c r="Z10706" s="371"/>
    </row>
    <row r="10707" spans="26:26">
      <c r="Z10707" s="371"/>
    </row>
    <row r="10708" spans="26:26">
      <c r="Z10708" s="371"/>
    </row>
    <row r="10709" spans="26:26">
      <c r="Z10709" s="371"/>
    </row>
    <row r="10710" spans="26:26">
      <c r="Z10710" s="371"/>
    </row>
    <row r="10711" spans="26:26">
      <c r="Z10711" s="371"/>
    </row>
    <row r="10712" spans="26:26">
      <c r="Z10712" s="371"/>
    </row>
    <row r="10713" spans="26:26">
      <c r="Z10713" s="371"/>
    </row>
    <row r="10714" spans="26:26">
      <c r="Z10714" s="371"/>
    </row>
    <row r="10715" spans="26:26">
      <c r="Z10715" s="371"/>
    </row>
    <row r="10716" spans="26:26">
      <c r="Z10716" s="371"/>
    </row>
    <row r="10717" spans="26:26">
      <c r="Z10717" s="371"/>
    </row>
    <row r="10718" spans="26:26">
      <c r="Z10718" s="371"/>
    </row>
    <row r="10719" spans="26:26">
      <c r="Z10719" s="371"/>
    </row>
    <row r="10720" spans="26:26">
      <c r="Z10720" s="371"/>
    </row>
    <row r="10721" spans="26:26">
      <c r="Z10721" s="371"/>
    </row>
    <row r="10722" spans="26:26">
      <c r="Z10722" s="371"/>
    </row>
    <row r="10723" spans="26:26">
      <c r="Z10723" s="371"/>
    </row>
    <row r="10724" spans="26:26">
      <c r="Z10724" s="371"/>
    </row>
    <row r="10725" spans="26:26">
      <c r="Z10725" s="371"/>
    </row>
    <row r="10726" spans="26:26">
      <c r="Z10726" s="371"/>
    </row>
    <row r="10727" spans="26:26">
      <c r="Z10727" s="371"/>
    </row>
    <row r="10728" spans="26:26">
      <c r="Z10728" s="371"/>
    </row>
    <row r="10729" spans="26:26">
      <c r="Z10729" s="371"/>
    </row>
    <row r="10730" spans="26:26">
      <c r="Z10730" s="371"/>
    </row>
    <row r="10731" spans="26:26">
      <c r="Z10731" s="371"/>
    </row>
    <row r="10732" spans="26:26">
      <c r="Z10732" s="371"/>
    </row>
    <row r="10733" spans="26:26">
      <c r="Z10733" s="371"/>
    </row>
    <row r="10734" spans="26:26">
      <c r="Z10734" s="371"/>
    </row>
    <row r="10735" spans="26:26">
      <c r="Z10735" s="371"/>
    </row>
    <row r="10736" spans="26:26">
      <c r="Z10736" s="371"/>
    </row>
    <row r="10737" spans="26:26">
      <c r="Z10737" s="371"/>
    </row>
    <row r="10738" spans="26:26">
      <c r="Z10738" s="371"/>
    </row>
    <row r="10739" spans="26:26">
      <c r="Z10739" s="371"/>
    </row>
    <row r="10740" spans="26:26">
      <c r="Z10740" s="371"/>
    </row>
    <row r="10741" spans="26:26">
      <c r="Z10741" s="371"/>
    </row>
    <row r="10742" spans="26:26">
      <c r="Z10742" s="371"/>
    </row>
    <row r="10743" spans="26:26">
      <c r="Z10743" s="371"/>
    </row>
    <row r="10744" spans="26:26">
      <c r="Z10744" s="371"/>
    </row>
    <row r="10745" spans="26:26">
      <c r="Z10745" s="371"/>
    </row>
    <row r="10746" spans="26:26">
      <c r="Z10746" s="371"/>
    </row>
    <row r="10747" spans="26:26">
      <c r="Z10747" s="371"/>
    </row>
    <row r="10748" spans="26:26">
      <c r="Z10748" s="371"/>
    </row>
    <row r="10749" spans="26:26">
      <c r="Z10749" s="371"/>
    </row>
    <row r="10750" spans="26:26">
      <c r="Z10750" s="371"/>
    </row>
    <row r="10751" spans="26:26">
      <c r="Z10751" s="371"/>
    </row>
    <row r="10752" spans="26:26">
      <c r="Z10752" s="371"/>
    </row>
    <row r="10753" spans="26:26">
      <c r="Z10753" s="371"/>
    </row>
    <row r="10754" spans="26:26">
      <c r="Z10754" s="371"/>
    </row>
    <row r="10755" spans="26:26">
      <c r="Z10755" s="371"/>
    </row>
    <row r="10756" spans="26:26">
      <c r="Z10756" s="371"/>
    </row>
    <row r="10757" spans="26:26">
      <c r="Z10757" s="371"/>
    </row>
    <row r="10758" spans="26:26">
      <c r="Z10758" s="371"/>
    </row>
    <row r="10759" spans="26:26">
      <c r="Z10759" s="371"/>
    </row>
    <row r="10760" spans="26:26">
      <c r="Z10760" s="371"/>
    </row>
    <row r="10761" spans="26:26">
      <c r="Z10761" s="371"/>
    </row>
    <row r="10762" spans="26:26">
      <c r="Z10762" s="371"/>
    </row>
    <row r="10763" spans="26:26">
      <c r="Z10763" s="371"/>
    </row>
    <row r="10764" spans="26:26">
      <c r="Z10764" s="371"/>
    </row>
    <row r="10765" spans="26:26">
      <c r="Z10765" s="371"/>
    </row>
    <row r="10766" spans="26:26">
      <c r="Z10766" s="371"/>
    </row>
    <row r="10767" spans="26:26">
      <c r="Z10767" s="371"/>
    </row>
    <row r="10768" spans="26:26">
      <c r="Z10768" s="371"/>
    </row>
    <row r="10769" spans="26:26">
      <c r="Z10769" s="371"/>
    </row>
    <row r="10770" spans="26:26">
      <c r="Z10770" s="371"/>
    </row>
    <row r="10771" spans="26:26">
      <c r="Z10771" s="371"/>
    </row>
    <row r="10772" spans="26:26">
      <c r="Z10772" s="371"/>
    </row>
    <row r="10773" spans="26:26">
      <c r="Z10773" s="371"/>
    </row>
    <row r="10774" spans="26:26">
      <c r="Z10774" s="371"/>
    </row>
    <row r="10775" spans="26:26">
      <c r="Z10775" s="371"/>
    </row>
    <row r="10776" spans="26:26">
      <c r="Z10776" s="371"/>
    </row>
    <row r="10777" spans="26:26">
      <c r="Z10777" s="371"/>
    </row>
    <row r="10778" spans="26:26">
      <c r="Z10778" s="371"/>
    </row>
    <row r="10779" spans="26:26">
      <c r="Z10779" s="371"/>
    </row>
    <row r="10780" spans="26:26">
      <c r="Z10780" s="371"/>
    </row>
    <row r="10781" spans="26:26">
      <c r="Z10781" s="371"/>
    </row>
    <row r="10782" spans="26:26">
      <c r="Z10782" s="371"/>
    </row>
    <row r="10783" spans="26:26">
      <c r="Z10783" s="371"/>
    </row>
    <row r="10784" spans="26:26">
      <c r="Z10784" s="371"/>
    </row>
    <row r="10785" spans="26:26">
      <c r="Z10785" s="371"/>
    </row>
    <row r="10786" spans="26:26">
      <c r="Z10786" s="371"/>
    </row>
    <row r="10787" spans="26:26">
      <c r="Z10787" s="371"/>
    </row>
    <row r="10788" spans="26:26">
      <c r="Z10788" s="371"/>
    </row>
    <row r="10789" spans="26:26">
      <c r="Z10789" s="371"/>
    </row>
    <row r="10790" spans="26:26">
      <c r="Z10790" s="371"/>
    </row>
    <row r="10791" spans="26:26">
      <c r="Z10791" s="371"/>
    </row>
    <row r="10792" spans="26:26">
      <c r="Z10792" s="371"/>
    </row>
    <row r="10793" spans="26:26">
      <c r="Z10793" s="371"/>
    </row>
    <row r="10794" spans="26:26">
      <c r="Z10794" s="371"/>
    </row>
    <row r="10795" spans="26:26">
      <c r="Z10795" s="371"/>
    </row>
    <row r="10796" spans="26:26">
      <c r="Z10796" s="371"/>
    </row>
    <row r="10797" spans="26:26">
      <c r="Z10797" s="371"/>
    </row>
    <row r="10798" spans="26:26">
      <c r="Z10798" s="371"/>
    </row>
    <row r="10799" spans="26:26">
      <c r="Z10799" s="371"/>
    </row>
    <row r="10800" spans="26:26">
      <c r="Z10800" s="371"/>
    </row>
    <row r="10801" spans="26:26">
      <c r="Z10801" s="371"/>
    </row>
    <row r="10802" spans="26:26">
      <c r="Z10802" s="371"/>
    </row>
    <row r="10803" spans="26:26">
      <c r="Z10803" s="371"/>
    </row>
    <row r="10804" spans="26:26">
      <c r="Z10804" s="371"/>
    </row>
    <row r="10805" spans="26:26">
      <c r="Z10805" s="371"/>
    </row>
    <row r="10806" spans="26:26">
      <c r="Z10806" s="371"/>
    </row>
    <row r="10807" spans="26:26">
      <c r="Z10807" s="371"/>
    </row>
    <row r="10808" spans="26:26">
      <c r="Z10808" s="371"/>
    </row>
    <row r="10809" spans="26:26">
      <c r="Z10809" s="371"/>
    </row>
    <row r="10810" spans="26:26">
      <c r="Z10810" s="371"/>
    </row>
    <row r="10811" spans="26:26">
      <c r="Z10811" s="371"/>
    </row>
    <row r="10812" spans="26:26">
      <c r="Z10812" s="371"/>
    </row>
    <row r="10813" spans="26:26">
      <c r="Z10813" s="371"/>
    </row>
    <row r="10814" spans="26:26">
      <c r="Z10814" s="371"/>
    </row>
    <row r="10815" spans="26:26">
      <c r="Z10815" s="371"/>
    </row>
    <row r="10816" spans="26:26">
      <c r="Z10816" s="371"/>
    </row>
    <row r="10817" spans="26:26">
      <c r="Z10817" s="371"/>
    </row>
    <row r="10818" spans="26:26">
      <c r="Z10818" s="371"/>
    </row>
    <row r="10819" spans="26:26">
      <c r="Z10819" s="371"/>
    </row>
    <row r="10820" spans="26:26">
      <c r="Z10820" s="371"/>
    </row>
    <row r="10821" spans="26:26">
      <c r="Z10821" s="371"/>
    </row>
    <row r="10822" spans="26:26">
      <c r="Z10822" s="371"/>
    </row>
    <row r="10823" spans="26:26">
      <c r="Z10823" s="371"/>
    </row>
    <row r="10824" spans="26:26">
      <c r="Z10824" s="371"/>
    </row>
    <row r="10825" spans="26:26">
      <c r="Z10825" s="371"/>
    </row>
    <row r="10826" spans="26:26">
      <c r="Z10826" s="371"/>
    </row>
    <row r="10827" spans="26:26">
      <c r="Z10827" s="371"/>
    </row>
    <row r="10828" spans="26:26">
      <c r="Z10828" s="371"/>
    </row>
    <row r="10829" spans="26:26">
      <c r="Z10829" s="371"/>
    </row>
    <row r="10830" spans="26:26">
      <c r="Z10830" s="371"/>
    </row>
    <row r="10831" spans="26:26">
      <c r="Z10831" s="371"/>
    </row>
    <row r="10832" spans="26:26">
      <c r="Z10832" s="371"/>
    </row>
    <row r="10833" spans="26:26">
      <c r="Z10833" s="371"/>
    </row>
    <row r="10834" spans="26:26">
      <c r="Z10834" s="371"/>
    </row>
    <row r="10835" spans="26:26">
      <c r="Z10835" s="371"/>
    </row>
    <row r="10836" spans="26:26">
      <c r="Z10836" s="371"/>
    </row>
    <row r="10837" spans="26:26">
      <c r="Z10837" s="371"/>
    </row>
    <row r="10838" spans="26:26">
      <c r="Z10838" s="371"/>
    </row>
    <row r="10839" spans="26:26">
      <c r="Z10839" s="371"/>
    </row>
    <row r="10840" spans="26:26">
      <c r="Z10840" s="371"/>
    </row>
    <row r="10841" spans="26:26">
      <c r="Z10841" s="371"/>
    </row>
    <row r="10842" spans="26:26">
      <c r="Z10842" s="371"/>
    </row>
    <row r="10843" spans="26:26">
      <c r="Z10843" s="371"/>
    </row>
    <row r="10844" spans="26:26">
      <c r="Z10844" s="371"/>
    </row>
    <row r="10845" spans="26:26">
      <c r="Z10845" s="371"/>
    </row>
    <row r="10846" spans="26:26">
      <c r="Z10846" s="371"/>
    </row>
    <row r="10847" spans="26:26">
      <c r="Z10847" s="371"/>
    </row>
    <row r="10848" spans="26:26">
      <c r="Z10848" s="371"/>
    </row>
    <row r="10849" spans="26:26">
      <c r="Z10849" s="371"/>
    </row>
    <row r="10850" spans="26:26">
      <c r="Z10850" s="371"/>
    </row>
    <row r="10851" spans="26:26">
      <c r="Z10851" s="371"/>
    </row>
    <row r="10852" spans="26:26">
      <c r="Z10852" s="371"/>
    </row>
    <row r="10853" spans="26:26">
      <c r="Z10853" s="371"/>
    </row>
    <row r="10854" spans="26:26">
      <c r="Z10854" s="371"/>
    </row>
    <row r="10855" spans="26:26">
      <c r="Z10855" s="371"/>
    </row>
    <row r="10856" spans="26:26">
      <c r="Z10856" s="371"/>
    </row>
    <row r="10857" spans="26:26">
      <c r="Z10857" s="371"/>
    </row>
    <row r="10858" spans="26:26">
      <c r="Z10858" s="371"/>
    </row>
    <row r="10859" spans="26:26">
      <c r="Z10859" s="371"/>
    </row>
    <row r="10860" spans="26:26">
      <c r="Z10860" s="371"/>
    </row>
    <row r="10861" spans="26:26">
      <c r="Z10861" s="371"/>
    </row>
    <row r="10862" spans="26:26">
      <c r="Z10862" s="371"/>
    </row>
    <row r="10863" spans="26:26">
      <c r="Z10863" s="371"/>
    </row>
    <row r="10864" spans="26:26">
      <c r="Z10864" s="371"/>
    </row>
    <row r="10865" spans="26:26">
      <c r="Z10865" s="371"/>
    </row>
    <row r="10866" spans="26:26">
      <c r="Z10866" s="371"/>
    </row>
    <row r="10867" spans="26:26">
      <c r="Z10867" s="371"/>
    </row>
    <row r="10868" spans="26:26">
      <c r="Z10868" s="371"/>
    </row>
    <row r="10869" spans="26:26">
      <c r="Z10869" s="371"/>
    </row>
    <row r="10870" spans="26:26">
      <c r="Z10870" s="371"/>
    </row>
    <row r="10871" spans="26:26">
      <c r="Z10871" s="371"/>
    </row>
    <row r="10872" spans="26:26">
      <c r="Z10872" s="371"/>
    </row>
    <row r="10873" spans="26:26">
      <c r="Z10873" s="371"/>
    </row>
    <row r="10874" spans="26:26">
      <c r="Z10874" s="371"/>
    </row>
    <row r="10875" spans="26:26">
      <c r="Z10875" s="371"/>
    </row>
    <row r="10876" spans="26:26">
      <c r="Z10876" s="371"/>
    </row>
    <row r="10877" spans="26:26">
      <c r="Z10877" s="371"/>
    </row>
    <row r="10878" spans="26:26">
      <c r="Z10878" s="371"/>
    </row>
    <row r="10879" spans="26:26">
      <c r="Z10879" s="371"/>
    </row>
    <row r="10880" spans="26:26">
      <c r="Z10880" s="371"/>
    </row>
    <row r="10881" spans="26:26">
      <c r="Z10881" s="371"/>
    </row>
    <row r="10882" spans="26:26">
      <c r="Z10882" s="371"/>
    </row>
    <row r="10883" spans="26:26">
      <c r="Z10883" s="371"/>
    </row>
    <row r="10884" spans="26:26">
      <c r="Z10884" s="371"/>
    </row>
    <row r="10885" spans="26:26">
      <c r="Z10885" s="371"/>
    </row>
    <row r="10886" spans="26:26">
      <c r="Z10886" s="371"/>
    </row>
    <row r="10887" spans="26:26">
      <c r="Z10887" s="371"/>
    </row>
    <row r="10888" spans="26:26">
      <c r="Z10888" s="371"/>
    </row>
    <row r="10889" spans="26:26">
      <c r="Z10889" s="371"/>
    </row>
    <row r="10890" spans="26:26">
      <c r="Z10890" s="371"/>
    </row>
    <row r="10891" spans="26:26">
      <c r="Z10891" s="371"/>
    </row>
    <row r="10892" spans="26:26">
      <c r="Z10892" s="371"/>
    </row>
    <row r="10893" spans="26:26">
      <c r="Z10893" s="371"/>
    </row>
    <row r="10894" spans="26:26">
      <c r="Z10894" s="371"/>
    </row>
    <row r="10895" spans="26:26">
      <c r="Z10895" s="371"/>
    </row>
    <row r="10896" spans="26:26">
      <c r="Z10896" s="371"/>
    </row>
    <row r="10897" spans="26:26">
      <c r="Z10897" s="371"/>
    </row>
    <row r="10898" spans="26:26">
      <c r="Z10898" s="371"/>
    </row>
    <row r="10899" spans="26:26">
      <c r="Z10899" s="371"/>
    </row>
    <row r="10900" spans="26:26">
      <c r="Z10900" s="371"/>
    </row>
    <row r="10901" spans="26:26">
      <c r="Z10901" s="371"/>
    </row>
    <row r="10902" spans="26:26">
      <c r="Z10902" s="371"/>
    </row>
    <row r="10903" spans="26:26">
      <c r="Z10903" s="371"/>
    </row>
    <row r="10904" spans="26:26">
      <c r="Z10904" s="371"/>
    </row>
    <row r="10905" spans="26:26">
      <c r="Z10905" s="371"/>
    </row>
    <row r="10906" spans="26:26">
      <c r="Z10906" s="371"/>
    </row>
    <row r="10907" spans="26:26">
      <c r="Z10907" s="371"/>
    </row>
    <row r="10908" spans="26:26">
      <c r="Z10908" s="371"/>
    </row>
    <row r="10909" spans="26:26">
      <c r="Z10909" s="371"/>
    </row>
    <row r="10910" spans="26:26">
      <c r="Z10910" s="371"/>
    </row>
    <row r="10911" spans="26:26">
      <c r="Z10911" s="371"/>
    </row>
    <row r="10912" spans="26:26">
      <c r="Z10912" s="371"/>
    </row>
    <row r="10913" spans="26:26">
      <c r="Z10913" s="371"/>
    </row>
    <row r="10914" spans="26:26">
      <c r="Z10914" s="371"/>
    </row>
    <row r="10915" spans="26:26">
      <c r="Z10915" s="371"/>
    </row>
    <row r="10916" spans="26:26">
      <c r="Z10916" s="371"/>
    </row>
    <row r="10917" spans="26:26">
      <c r="Z10917" s="371"/>
    </row>
    <row r="10918" spans="26:26">
      <c r="Z10918" s="371"/>
    </row>
    <row r="10919" spans="26:26">
      <c r="Z10919" s="371"/>
    </row>
    <row r="10920" spans="26:26">
      <c r="Z10920" s="371"/>
    </row>
    <row r="10921" spans="26:26">
      <c r="Z10921" s="371"/>
    </row>
    <row r="10922" spans="26:26">
      <c r="Z10922" s="371"/>
    </row>
    <row r="10923" spans="26:26">
      <c r="Z10923" s="371"/>
    </row>
    <row r="10924" spans="26:26">
      <c r="Z10924" s="371"/>
    </row>
    <row r="10925" spans="26:26">
      <c r="Z10925" s="371"/>
    </row>
    <row r="10926" spans="26:26">
      <c r="Z10926" s="371"/>
    </row>
    <row r="10927" spans="26:26">
      <c r="Z10927" s="371"/>
    </row>
    <row r="10928" spans="26:26">
      <c r="Z10928" s="371"/>
    </row>
    <row r="10929" spans="26:26">
      <c r="Z10929" s="371"/>
    </row>
    <row r="10930" spans="26:26">
      <c r="Z10930" s="371"/>
    </row>
    <row r="10931" spans="26:26">
      <c r="Z10931" s="371"/>
    </row>
    <row r="10932" spans="26:26">
      <c r="Z10932" s="371"/>
    </row>
    <row r="10933" spans="26:26">
      <c r="Z10933" s="371"/>
    </row>
    <row r="10934" spans="26:26">
      <c r="Z10934" s="371"/>
    </row>
    <row r="10935" spans="26:26">
      <c r="Z10935" s="371"/>
    </row>
    <row r="10936" spans="26:26">
      <c r="Z10936" s="371"/>
    </row>
    <row r="10937" spans="26:26">
      <c r="Z10937" s="371"/>
    </row>
    <row r="10938" spans="26:26">
      <c r="Z10938" s="371"/>
    </row>
    <row r="10939" spans="26:26">
      <c r="Z10939" s="371"/>
    </row>
    <row r="10940" spans="26:26">
      <c r="Z10940" s="371"/>
    </row>
    <row r="10941" spans="26:26">
      <c r="Z10941" s="371"/>
    </row>
    <row r="10942" spans="26:26">
      <c r="Z10942" s="371"/>
    </row>
    <row r="10943" spans="26:26">
      <c r="Z10943" s="371"/>
    </row>
    <row r="10944" spans="26:26">
      <c r="Z10944" s="371"/>
    </row>
    <row r="10945" spans="26:26">
      <c r="Z10945" s="371"/>
    </row>
    <row r="10946" spans="26:26">
      <c r="Z10946" s="371"/>
    </row>
    <row r="10947" spans="26:26">
      <c r="Z10947" s="371"/>
    </row>
    <row r="10948" spans="26:26">
      <c r="Z10948" s="371"/>
    </row>
    <row r="10949" spans="26:26">
      <c r="Z10949" s="371"/>
    </row>
    <row r="10950" spans="26:26">
      <c r="Z10950" s="371"/>
    </row>
    <row r="10951" spans="26:26">
      <c r="Z10951" s="371"/>
    </row>
    <row r="10952" spans="26:26">
      <c r="Z10952" s="371"/>
    </row>
    <row r="10953" spans="26:26">
      <c r="Z10953" s="371"/>
    </row>
    <row r="10954" spans="26:26">
      <c r="Z10954" s="371"/>
    </row>
    <row r="10955" spans="26:26">
      <c r="Z10955" s="371"/>
    </row>
    <row r="10956" spans="26:26">
      <c r="Z10956" s="371"/>
    </row>
    <row r="10957" spans="26:26">
      <c r="Z10957" s="371"/>
    </row>
    <row r="10958" spans="26:26">
      <c r="Z10958" s="371"/>
    </row>
    <row r="10959" spans="26:26">
      <c r="Z10959" s="371"/>
    </row>
    <row r="10960" spans="26:26">
      <c r="Z10960" s="371"/>
    </row>
    <row r="10961" spans="26:26">
      <c r="Z10961" s="371"/>
    </row>
    <row r="10962" spans="26:26">
      <c r="Z10962" s="371"/>
    </row>
    <row r="10963" spans="26:26">
      <c r="Z10963" s="371"/>
    </row>
    <row r="10964" spans="26:26">
      <c r="Z10964" s="371"/>
    </row>
    <row r="10965" spans="26:26">
      <c r="Z10965" s="371"/>
    </row>
    <row r="10966" spans="26:26">
      <c r="Z10966" s="371"/>
    </row>
    <row r="10967" spans="26:26">
      <c r="Z10967" s="371"/>
    </row>
    <row r="10968" spans="26:26">
      <c r="Z10968" s="371"/>
    </row>
    <row r="10969" spans="26:26">
      <c r="Z10969" s="371"/>
    </row>
    <row r="10970" spans="26:26">
      <c r="Z10970" s="371"/>
    </row>
    <row r="10971" spans="26:26">
      <c r="Z10971" s="371"/>
    </row>
    <row r="10972" spans="26:26">
      <c r="Z10972" s="371"/>
    </row>
    <row r="10973" spans="26:26">
      <c r="Z10973" s="371"/>
    </row>
    <row r="10974" spans="26:26">
      <c r="Z10974" s="371"/>
    </row>
    <row r="10975" spans="26:26">
      <c r="Z10975" s="371"/>
    </row>
    <row r="10976" spans="26:26">
      <c r="Z10976" s="371"/>
    </row>
    <row r="10977" spans="26:26">
      <c r="Z10977" s="371"/>
    </row>
    <row r="10978" spans="26:26">
      <c r="Z10978" s="371"/>
    </row>
    <row r="10979" spans="26:26">
      <c r="Z10979" s="371"/>
    </row>
    <row r="10980" spans="26:26">
      <c r="Z10980" s="371"/>
    </row>
    <row r="10981" spans="26:26">
      <c r="Z10981" s="371"/>
    </row>
    <row r="10982" spans="26:26">
      <c r="Z10982" s="371"/>
    </row>
    <row r="10983" spans="26:26">
      <c r="Z10983" s="371"/>
    </row>
    <row r="10984" spans="26:26">
      <c r="Z10984" s="371"/>
    </row>
    <row r="10985" spans="26:26">
      <c r="Z10985" s="371"/>
    </row>
    <row r="10986" spans="26:26">
      <c r="Z10986" s="371"/>
    </row>
    <row r="10987" spans="26:26">
      <c r="Z10987" s="371"/>
    </row>
    <row r="10988" spans="26:26">
      <c r="Z10988" s="371"/>
    </row>
    <row r="10989" spans="26:26">
      <c r="Z10989" s="371"/>
    </row>
    <row r="10990" spans="26:26">
      <c r="Z10990" s="371"/>
    </row>
    <row r="10991" spans="26:26">
      <c r="Z10991" s="371"/>
    </row>
    <row r="10992" spans="26:26">
      <c r="Z10992" s="371"/>
    </row>
    <row r="10993" spans="26:26">
      <c r="Z10993" s="371"/>
    </row>
    <row r="10994" spans="26:26">
      <c r="Z10994" s="371"/>
    </row>
    <row r="10995" spans="26:26">
      <c r="Z10995" s="371"/>
    </row>
    <row r="10996" spans="26:26">
      <c r="Z10996" s="371"/>
    </row>
    <row r="10997" spans="26:26">
      <c r="Z10997" s="371"/>
    </row>
    <row r="10998" spans="26:26">
      <c r="Z10998" s="371"/>
    </row>
    <row r="10999" spans="26:26">
      <c r="Z10999" s="371"/>
    </row>
    <row r="11000" spans="26:26">
      <c r="Z11000" s="371"/>
    </row>
    <row r="11001" spans="26:26">
      <c r="Z11001" s="371"/>
    </row>
    <row r="11002" spans="26:26">
      <c r="Z11002" s="371"/>
    </row>
    <row r="11003" spans="26:26">
      <c r="Z11003" s="371"/>
    </row>
    <row r="11004" spans="26:26">
      <c r="Z11004" s="371"/>
    </row>
    <row r="11005" spans="26:26">
      <c r="Z11005" s="371"/>
    </row>
    <row r="11006" spans="26:26">
      <c r="Z11006" s="371"/>
    </row>
    <row r="11007" spans="26:26">
      <c r="Z11007" s="371"/>
    </row>
    <row r="11008" spans="26:26">
      <c r="Z11008" s="371"/>
    </row>
    <row r="11009" spans="26:26">
      <c r="Z11009" s="371"/>
    </row>
    <row r="11010" spans="26:26">
      <c r="Z11010" s="371"/>
    </row>
    <row r="11011" spans="26:26">
      <c r="Z11011" s="371"/>
    </row>
    <row r="11012" spans="26:26">
      <c r="Z11012" s="371"/>
    </row>
    <row r="11013" spans="26:26">
      <c r="Z11013" s="371"/>
    </row>
    <row r="11014" spans="26:26">
      <c r="Z11014" s="371"/>
    </row>
    <row r="11015" spans="26:26">
      <c r="Z11015" s="371"/>
    </row>
    <row r="11016" spans="26:26">
      <c r="Z11016" s="371"/>
    </row>
    <row r="11017" spans="26:26">
      <c r="Z11017" s="371"/>
    </row>
    <row r="11018" spans="26:26">
      <c r="Z11018" s="371"/>
    </row>
    <row r="11019" spans="26:26">
      <c r="Z11019" s="371"/>
    </row>
    <row r="11020" spans="26:26">
      <c r="Z11020" s="371"/>
    </row>
    <row r="11021" spans="26:26">
      <c r="Z11021" s="371"/>
    </row>
    <row r="11022" spans="26:26">
      <c r="Z11022" s="371"/>
    </row>
    <row r="11023" spans="26:26">
      <c r="Z11023" s="371"/>
    </row>
    <row r="11024" spans="26:26">
      <c r="Z11024" s="371"/>
    </row>
    <row r="11025" spans="26:26">
      <c r="Z11025" s="371"/>
    </row>
    <row r="11026" spans="26:26">
      <c r="Z11026" s="371"/>
    </row>
    <row r="11027" spans="26:26">
      <c r="Z11027" s="371"/>
    </row>
    <row r="11028" spans="26:26">
      <c r="Z11028" s="371"/>
    </row>
    <row r="11029" spans="26:26">
      <c r="Z11029" s="371"/>
    </row>
    <row r="11030" spans="26:26">
      <c r="Z11030" s="371"/>
    </row>
    <row r="11031" spans="26:26">
      <c r="Z11031" s="371"/>
    </row>
    <row r="11032" spans="26:26">
      <c r="Z11032" s="371"/>
    </row>
    <row r="11033" spans="26:26">
      <c r="Z11033" s="371"/>
    </row>
    <row r="11034" spans="26:26">
      <c r="Z11034" s="371"/>
    </row>
    <row r="11035" spans="26:26">
      <c r="Z11035" s="371"/>
    </row>
    <row r="11036" spans="26:26">
      <c r="Z11036" s="371"/>
    </row>
    <row r="11037" spans="26:26">
      <c r="Z11037" s="371"/>
    </row>
    <row r="11038" spans="26:26">
      <c r="Z11038" s="371"/>
    </row>
    <row r="11039" spans="26:26">
      <c r="Z11039" s="371"/>
    </row>
    <row r="11040" spans="26:26">
      <c r="Z11040" s="371"/>
    </row>
    <row r="11041" spans="26:26">
      <c r="Z11041" s="371"/>
    </row>
    <row r="11042" spans="26:26">
      <c r="Z11042" s="371"/>
    </row>
    <row r="11043" spans="26:26">
      <c r="Z11043" s="371"/>
    </row>
    <row r="11044" spans="26:26">
      <c r="Z11044" s="371"/>
    </row>
    <row r="11045" spans="26:26">
      <c r="Z11045" s="371"/>
    </row>
    <row r="11046" spans="26:26">
      <c r="Z11046" s="371"/>
    </row>
    <row r="11047" spans="26:26">
      <c r="Z11047" s="371"/>
    </row>
    <row r="11048" spans="26:26">
      <c r="Z11048" s="371"/>
    </row>
    <row r="11049" spans="26:26">
      <c r="Z11049" s="371"/>
    </row>
    <row r="11050" spans="26:26">
      <c r="Z11050" s="371"/>
    </row>
    <row r="11051" spans="26:26">
      <c r="Z11051" s="371"/>
    </row>
    <row r="11052" spans="26:26">
      <c r="Z11052" s="371"/>
    </row>
    <row r="11053" spans="26:26">
      <c r="Z11053" s="371"/>
    </row>
    <row r="11054" spans="26:26">
      <c r="Z11054" s="371"/>
    </row>
    <row r="11055" spans="26:26">
      <c r="Z11055" s="371"/>
    </row>
    <row r="11056" spans="26:26">
      <c r="Z11056" s="371"/>
    </row>
    <row r="11057" spans="26:26">
      <c r="Z11057" s="371"/>
    </row>
    <row r="11058" spans="26:26">
      <c r="Z11058" s="371"/>
    </row>
    <row r="11059" spans="26:26">
      <c r="Z11059" s="371"/>
    </row>
    <row r="11060" spans="26:26">
      <c r="Z11060" s="371"/>
    </row>
    <row r="11061" spans="26:26">
      <c r="Z11061" s="371"/>
    </row>
    <row r="11062" spans="26:26">
      <c r="Z11062" s="371"/>
    </row>
    <row r="11063" spans="26:26">
      <c r="Z11063" s="371"/>
    </row>
    <row r="11064" spans="26:26">
      <c r="Z11064" s="371"/>
    </row>
    <row r="11065" spans="26:26">
      <c r="Z11065" s="371"/>
    </row>
    <row r="11066" spans="26:26">
      <c r="Z11066" s="371"/>
    </row>
    <row r="11067" spans="26:26">
      <c r="Z11067" s="371"/>
    </row>
    <row r="11068" spans="26:26">
      <c r="Z11068" s="371"/>
    </row>
    <row r="11069" spans="26:26">
      <c r="Z11069" s="371"/>
    </row>
    <row r="11070" spans="26:26">
      <c r="Z11070" s="371"/>
    </row>
    <row r="11071" spans="26:26">
      <c r="Z11071" s="371"/>
    </row>
    <row r="11072" spans="26:26">
      <c r="Z11072" s="371"/>
    </row>
    <row r="11073" spans="26:26">
      <c r="Z11073" s="371"/>
    </row>
    <row r="11074" spans="26:26">
      <c r="Z11074" s="371"/>
    </row>
    <row r="11075" spans="26:26">
      <c r="Z11075" s="371"/>
    </row>
    <row r="11076" spans="26:26">
      <c r="Z11076" s="371"/>
    </row>
    <row r="11077" spans="26:26">
      <c r="Z11077" s="371"/>
    </row>
    <row r="11078" spans="26:26">
      <c r="Z11078" s="371"/>
    </row>
    <row r="11079" spans="26:26">
      <c r="Z11079" s="371"/>
    </row>
    <row r="11080" spans="26:26">
      <c r="Z11080" s="371"/>
    </row>
    <row r="11081" spans="26:26">
      <c r="Z11081" s="371"/>
    </row>
    <row r="11082" spans="26:26">
      <c r="Z11082" s="371"/>
    </row>
    <row r="11083" spans="26:26">
      <c r="Z11083" s="371"/>
    </row>
    <row r="11084" spans="26:26">
      <c r="Z11084" s="371"/>
    </row>
    <row r="11085" spans="26:26">
      <c r="Z11085" s="371"/>
    </row>
    <row r="11086" spans="26:26">
      <c r="Z11086" s="371"/>
    </row>
    <row r="11087" spans="26:26">
      <c r="Z11087" s="371"/>
    </row>
    <row r="11088" spans="26:26">
      <c r="Z11088" s="371"/>
    </row>
    <row r="11089" spans="26:26">
      <c r="Z11089" s="371"/>
    </row>
    <row r="11090" spans="26:26">
      <c r="Z11090" s="371"/>
    </row>
    <row r="11091" spans="26:26">
      <c r="Z11091" s="371"/>
    </row>
    <row r="11092" spans="26:26">
      <c r="Z11092" s="371"/>
    </row>
    <row r="11093" spans="26:26">
      <c r="Z11093" s="371"/>
    </row>
    <row r="11094" spans="26:26">
      <c r="Z11094" s="371"/>
    </row>
    <row r="11095" spans="26:26">
      <c r="Z11095" s="371"/>
    </row>
    <row r="11096" spans="26:26">
      <c r="Z11096" s="371"/>
    </row>
    <row r="11097" spans="26:26">
      <c r="Z11097" s="371"/>
    </row>
    <row r="11098" spans="26:26">
      <c r="Z11098" s="371"/>
    </row>
    <row r="11099" spans="26:26">
      <c r="Z11099" s="371"/>
    </row>
    <row r="11100" spans="26:26">
      <c r="Z11100" s="371"/>
    </row>
    <row r="11101" spans="26:26">
      <c r="Z11101" s="371"/>
    </row>
    <row r="11102" spans="26:26">
      <c r="Z11102" s="371"/>
    </row>
    <row r="11103" spans="26:26">
      <c r="Z11103" s="371"/>
    </row>
    <row r="11104" spans="26:26">
      <c r="Z11104" s="371"/>
    </row>
    <row r="11105" spans="26:26">
      <c r="Z11105" s="371"/>
    </row>
    <row r="11106" spans="26:26">
      <c r="Z11106" s="371"/>
    </row>
    <row r="11107" spans="26:26">
      <c r="Z11107" s="371"/>
    </row>
    <row r="11108" spans="26:26">
      <c r="Z11108" s="371"/>
    </row>
    <row r="11109" spans="26:26">
      <c r="Z11109" s="371"/>
    </row>
    <row r="11110" spans="26:26">
      <c r="Z11110" s="371"/>
    </row>
    <row r="11111" spans="26:26">
      <c r="Z11111" s="371"/>
    </row>
    <row r="11112" spans="26:26">
      <c r="Z11112" s="371"/>
    </row>
    <row r="11113" spans="26:26">
      <c r="Z11113" s="371"/>
    </row>
    <row r="11114" spans="26:26">
      <c r="Z11114" s="371"/>
    </row>
    <row r="11115" spans="26:26">
      <c r="Z11115" s="371"/>
    </row>
    <row r="11116" spans="26:26">
      <c r="Z11116" s="371"/>
    </row>
    <row r="11117" spans="26:26">
      <c r="Z11117" s="371"/>
    </row>
    <row r="11118" spans="26:26">
      <c r="Z11118" s="371"/>
    </row>
    <row r="11119" spans="26:26">
      <c r="Z11119" s="371"/>
    </row>
    <row r="11120" spans="26:26">
      <c r="Z11120" s="371"/>
    </row>
    <row r="11121" spans="26:26">
      <c r="Z11121" s="371"/>
    </row>
    <row r="11122" spans="26:26">
      <c r="Z11122" s="371"/>
    </row>
    <row r="11123" spans="26:26">
      <c r="Z11123" s="371"/>
    </row>
    <row r="11124" spans="26:26">
      <c r="Z11124" s="371"/>
    </row>
    <row r="11125" spans="26:26">
      <c r="Z11125" s="371"/>
    </row>
    <row r="11126" spans="26:26">
      <c r="Z11126" s="371"/>
    </row>
    <row r="11127" spans="26:26">
      <c r="Z11127" s="371"/>
    </row>
    <row r="11128" spans="26:26">
      <c r="Z11128" s="371"/>
    </row>
    <row r="11129" spans="26:26">
      <c r="Z11129" s="371"/>
    </row>
    <row r="11130" spans="26:26">
      <c r="Z11130" s="371"/>
    </row>
    <row r="11131" spans="26:26">
      <c r="Z11131" s="371"/>
    </row>
    <row r="11132" spans="26:26">
      <c r="Z11132" s="371"/>
    </row>
    <row r="11133" spans="26:26">
      <c r="Z11133" s="371"/>
    </row>
    <row r="11134" spans="26:26">
      <c r="Z11134" s="371"/>
    </row>
    <row r="11135" spans="26:26">
      <c r="Z11135" s="371"/>
    </row>
    <row r="11136" spans="26:26">
      <c r="Z11136" s="371"/>
    </row>
    <row r="11137" spans="26:26">
      <c r="Z11137" s="371"/>
    </row>
    <row r="11138" spans="26:26">
      <c r="Z11138" s="371"/>
    </row>
    <row r="11139" spans="26:26">
      <c r="Z11139" s="371"/>
    </row>
    <row r="11140" spans="26:26">
      <c r="Z11140" s="371"/>
    </row>
    <row r="11141" spans="26:26">
      <c r="Z11141" s="371"/>
    </row>
    <row r="11142" spans="26:26">
      <c r="Z11142" s="371"/>
    </row>
    <row r="11143" spans="26:26">
      <c r="Z11143" s="371"/>
    </row>
    <row r="11144" spans="26:26">
      <c r="Z11144" s="371"/>
    </row>
    <row r="11145" spans="26:26">
      <c r="Z11145" s="371"/>
    </row>
    <row r="11146" spans="26:26">
      <c r="Z11146" s="371"/>
    </row>
    <row r="11147" spans="26:26">
      <c r="Z11147" s="371"/>
    </row>
    <row r="11148" spans="26:26">
      <c r="Z11148" s="371"/>
    </row>
    <row r="11149" spans="26:26">
      <c r="Z11149" s="371"/>
    </row>
    <row r="11150" spans="26:26">
      <c r="Z11150" s="371"/>
    </row>
    <row r="11151" spans="26:26">
      <c r="Z11151" s="371"/>
    </row>
    <row r="11152" spans="26:26">
      <c r="Z11152" s="371"/>
    </row>
    <row r="11153" spans="26:26">
      <c r="Z11153" s="371"/>
    </row>
    <row r="11154" spans="26:26">
      <c r="Z11154" s="371"/>
    </row>
    <row r="11155" spans="26:26">
      <c r="Z11155" s="371"/>
    </row>
    <row r="11156" spans="26:26">
      <c r="Z11156" s="371"/>
    </row>
    <row r="11157" spans="26:26">
      <c r="Z11157" s="371"/>
    </row>
    <row r="11158" spans="26:26">
      <c r="Z11158" s="371"/>
    </row>
    <row r="11159" spans="26:26">
      <c r="Z11159" s="371"/>
    </row>
    <row r="11160" spans="26:26">
      <c r="Z11160" s="371"/>
    </row>
    <row r="11161" spans="26:26">
      <c r="Z11161" s="371"/>
    </row>
    <row r="11162" spans="26:26">
      <c r="Z11162" s="371"/>
    </row>
    <row r="11163" spans="26:26">
      <c r="Z11163" s="371"/>
    </row>
    <row r="11164" spans="26:26">
      <c r="Z11164" s="371"/>
    </row>
    <row r="11165" spans="26:26">
      <c r="Z11165" s="371"/>
    </row>
    <row r="11166" spans="26:26">
      <c r="Z11166" s="371"/>
    </row>
    <row r="11167" spans="26:26">
      <c r="Z11167" s="371"/>
    </row>
    <row r="11168" spans="26:26">
      <c r="Z11168" s="371"/>
    </row>
    <row r="11169" spans="26:26">
      <c r="Z11169" s="371"/>
    </row>
    <row r="11170" spans="26:26">
      <c r="Z11170" s="371"/>
    </row>
    <row r="11171" spans="26:26">
      <c r="Z11171" s="371"/>
    </row>
    <row r="11172" spans="26:26">
      <c r="Z11172" s="371"/>
    </row>
    <row r="11173" spans="26:26">
      <c r="Z11173" s="371"/>
    </row>
    <row r="11174" spans="26:26">
      <c r="Z11174" s="371"/>
    </row>
    <row r="11175" spans="26:26">
      <c r="Z11175" s="371"/>
    </row>
    <row r="11176" spans="26:26">
      <c r="Z11176" s="371"/>
    </row>
    <row r="11177" spans="26:26">
      <c r="Z11177" s="371"/>
    </row>
    <row r="11178" spans="26:26">
      <c r="Z11178" s="371"/>
    </row>
    <row r="11179" spans="26:26">
      <c r="Z11179" s="371"/>
    </row>
    <row r="11180" spans="26:26">
      <c r="Z11180" s="371"/>
    </row>
    <row r="11181" spans="26:26">
      <c r="Z11181" s="371"/>
    </row>
    <row r="11182" spans="26:26">
      <c r="Z11182" s="371"/>
    </row>
    <row r="11183" spans="26:26">
      <c r="Z11183" s="371"/>
    </row>
    <row r="11184" spans="26:26">
      <c r="Z11184" s="371"/>
    </row>
    <row r="11185" spans="26:26">
      <c r="Z11185" s="371"/>
    </row>
    <row r="11186" spans="26:26">
      <c r="Z11186" s="371"/>
    </row>
    <row r="11187" spans="26:26">
      <c r="Z11187" s="371"/>
    </row>
    <row r="11188" spans="26:26">
      <c r="Z11188" s="371"/>
    </row>
    <row r="11189" spans="26:26">
      <c r="Z11189" s="371"/>
    </row>
    <row r="11190" spans="26:26">
      <c r="Z11190" s="371"/>
    </row>
    <row r="11191" spans="26:26">
      <c r="Z11191" s="371"/>
    </row>
    <row r="11192" spans="26:26">
      <c r="Z11192" s="371"/>
    </row>
    <row r="11193" spans="26:26">
      <c r="Z11193" s="371"/>
    </row>
    <row r="11194" spans="26:26">
      <c r="Z11194" s="371"/>
    </row>
    <row r="11195" spans="26:26">
      <c r="Z11195" s="371"/>
    </row>
    <row r="11196" spans="26:26">
      <c r="Z11196" s="371"/>
    </row>
    <row r="11197" spans="26:26">
      <c r="Z11197" s="371"/>
    </row>
    <row r="11198" spans="26:26">
      <c r="Z11198" s="371"/>
    </row>
    <row r="11199" spans="26:26">
      <c r="Z11199" s="371"/>
    </row>
    <row r="11200" spans="26:26">
      <c r="Z11200" s="371"/>
    </row>
    <row r="11201" spans="26:26">
      <c r="Z11201" s="371"/>
    </row>
    <row r="11202" spans="26:26">
      <c r="Z11202" s="371"/>
    </row>
    <row r="11203" spans="26:26">
      <c r="Z11203" s="371"/>
    </row>
    <row r="11204" spans="26:26">
      <c r="Z11204" s="371"/>
    </row>
    <row r="11205" spans="26:26">
      <c r="Z11205" s="371"/>
    </row>
    <row r="11206" spans="26:26">
      <c r="Z11206" s="371"/>
    </row>
    <row r="11207" spans="26:26">
      <c r="Z11207" s="371"/>
    </row>
    <row r="11208" spans="26:26">
      <c r="Z11208" s="371"/>
    </row>
    <row r="11209" spans="26:26">
      <c r="Z11209" s="371"/>
    </row>
    <row r="11210" spans="26:26">
      <c r="Z11210" s="371"/>
    </row>
    <row r="11211" spans="26:26">
      <c r="Z11211" s="371"/>
    </row>
    <row r="11212" spans="26:26">
      <c r="Z11212" s="371"/>
    </row>
    <row r="11213" spans="26:26">
      <c r="Z11213" s="371"/>
    </row>
    <row r="11214" spans="26:26">
      <c r="Z11214" s="371"/>
    </row>
    <row r="11215" spans="26:26">
      <c r="Z11215" s="371"/>
    </row>
    <row r="11216" spans="26:26">
      <c r="Z11216" s="371"/>
    </row>
    <row r="11217" spans="26:26">
      <c r="Z11217" s="371"/>
    </row>
    <row r="11218" spans="26:26">
      <c r="Z11218" s="371"/>
    </row>
    <row r="11219" spans="26:26">
      <c r="Z11219" s="371"/>
    </row>
    <row r="11220" spans="26:26">
      <c r="Z11220" s="371"/>
    </row>
    <row r="11221" spans="26:26">
      <c r="Z11221" s="371"/>
    </row>
    <row r="11222" spans="26:26">
      <c r="Z11222" s="371"/>
    </row>
    <row r="11223" spans="26:26">
      <c r="Z11223" s="371"/>
    </row>
    <row r="11224" spans="26:26">
      <c r="Z11224" s="371"/>
    </row>
    <row r="11225" spans="26:26">
      <c r="Z11225" s="371"/>
    </row>
    <row r="11226" spans="26:26">
      <c r="Z11226" s="371"/>
    </row>
    <row r="11227" spans="26:26">
      <c r="Z11227" s="371"/>
    </row>
    <row r="11228" spans="26:26">
      <c r="Z11228" s="371"/>
    </row>
    <row r="11229" spans="26:26">
      <c r="Z11229" s="371"/>
    </row>
    <row r="11230" spans="26:26">
      <c r="Z11230" s="371"/>
    </row>
    <row r="11231" spans="26:26">
      <c r="Z11231" s="371"/>
    </row>
    <row r="11232" spans="26:26">
      <c r="Z11232" s="371"/>
    </row>
    <row r="11233" spans="26:26">
      <c r="Z11233" s="371"/>
    </row>
    <row r="11234" spans="26:26">
      <c r="Z11234" s="371"/>
    </row>
    <row r="11235" spans="26:26">
      <c r="Z11235" s="371"/>
    </row>
    <row r="11236" spans="26:26">
      <c r="Z11236" s="371"/>
    </row>
    <row r="11237" spans="26:26">
      <c r="Z11237" s="371"/>
    </row>
    <row r="11238" spans="26:26">
      <c r="Z11238" s="371"/>
    </row>
    <row r="11239" spans="26:26">
      <c r="Z11239" s="371"/>
    </row>
    <row r="11240" spans="26:26">
      <c r="Z11240" s="371"/>
    </row>
    <row r="11241" spans="26:26">
      <c r="Z11241" s="371"/>
    </row>
    <row r="11242" spans="26:26">
      <c r="Z11242" s="371"/>
    </row>
    <row r="11243" spans="26:26">
      <c r="Z11243" s="371"/>
    </row>
    <row r="11244" spans="26:26">
      <c r="Z11244" s="371"/>
    </row>
    <row r="11245" spans="26:26">
      <c r="Z11245" s="371"/>
    </row>
    <row r="11246" spans="26:26">
      <c r="Z11246" s="371"/>
    </row>
    <row r="11247" spans="26:26">
      <c r="Z11247" s="371"/>
    </row>
    <row r="11248" spans="26:26">
      <c r="Z11248" s="371"/>
    </row>
    <row r="11249" spans="26:26">
      <c r="Z11249" s="371"/>
    </row>
    <row r="11250" spans="26:26">
      <c r="Z11250" s="371"/>
    </row>
    <row r="11251" spans="26:26">
      <c r="Z11251" s="371"/>
    </row>
    <row r="11252" spans="26:26">
      <c r="Z11252" s="371"/>
    </row>
    <row r="11253" spans="26:26">
      <c r="Z11253" s="371"/>
    </row>
    <row r="11254" spans="26:26">
      <c r="Z11254" s="371"/>
    </row>
    <row r="11255" spans="26:26">
      <c r="Z11255" s="371"/>
    </row>
    <row r="11256" spans="26:26">
      <c r="Z11256" s="371"/>
    </row>
    <row r="11257" spans="26:26">
      <c r="Z11257" s="371"/>
    </row>
    <row r="11258" spans="26:26">
      <c r="Z11258" s="371"/>
    </row>
    <row r="11259" spans="26:26">
      <c r="Z11259" s="371"/>
    </row>
    <row r="11260" spans="26:26">
      <c r="Z11260" s="371"/>
    </row>
    <row r="11261" spans="26:26">
      <c r="Z11261" s="371"/>
    </row>
    <row r="11262" spans="26:26">
      <c r="Z11262" s="371"/>
    </row>
    <row r="11263" spans="26:26">
      <c r="Z11263" s="371"/>
    </row>
    <row r="11264" spans="26:26">
      <c r="Z11264" s="371"/>
    </row>
    <row r="11265" spans="26:26">
      <c r="Z11265" s="371"/>
    </row>
    <row r="11266" spans="26:26">
      <c r="Z11266" s="371"/>
    </row>
    <row r="11267" spans="26:26">
      <c r="Z11267" s="371"/>
    </row>
    <row r="11268" spans="26:26">
      <c r="Z11268" s="371"/>
    </row>
    <row r="11269" spans="26:26">
      <c r="Z11269" s="371"/>
    </row>
    <row r="11270" spans="26:26">
      <c r="Z11270" s="371"/>
    </row>
    <row r="11271" spans="26:26">
      <c r="Z11271" s="371"/>
    </row>
    <row r="11272" spans="26:26">
      <c r="Z11272" s="371"/>
    </row>
    <row r="11273" spans="26:26">
      <c r="Z11273" s="371"/>
    </row>
    <row r="11274" spans="26:26">
      <c r="Z11274" s="371"/>
    </row>
    <row r="11275" spans="26:26">
      <c r="Z11275" s="371"/>
    </row>
    <row r="11276" spans="26:26">
      <c r="Z11276" s="371"/>
    </row>
    <row r="11277" spans="26:26">
      <c r="Z11277" s="371"/>
    </row>
    <row r="11278" spans="26:26">
      <c r="Z11278" s="371"/>
    </row>
    <row r="11279" spans="26:26">
      <c r="Z11279" s="371"/>
    </row>
    <row r="11280" spans="26:26">
      <c r="Z11280" s="371"/>
    </row>
    <row r="11281" spans="26:26">
      <c r="Z11281" s="371"/>
    </row>
    <row r="11282" spans="26:26">
      <c r="Z11282" s="371"/>
    </row>
    <row r="11283" spans="26:26">
      <c r="Z11283" s="371"/>
    </row>
    <row r="11284" spans="26:26">
      <c r="Z11284" s="371"/>
    </row>
    <row r="11285" spans="26:26">
      <c r="Z11285" s="371"/>
    </row>
    <row r="11286" spans="26:26">
      <c r="Z11286" s="371"/>
    </row>
    <row r="11287" spans="26:26">
      <c r="Z11287" s="371"/>
    </row>
    <row r="11288" spans="26:26">
      <c r="Z11288" s="371"/>
    </row>
    <row r="11289" spans="26:26">
      <c r="Z11289" s="371"/>
    </row>
    <row r="11290" spans="26:26">
      <c r="Z11290" s="371"/>
    </row>
    <row r="11291" spans="26:26">
      <c r="Z11291" s="371"/>
    </row>
    <row r="11292" spans="26:26">
      <c r="Z11292" s="371"/>
    </row>
    <row r="11293" spans="26:26">
      <c r="Z11293" s="371"/>
    </row>
    <row r="11294" spans="26:26">
      <c r="Z11294" s="371"/>
    </row>
    <row r="11295" spans="26:26">
      <c r="Z11295" s="371"/>
    </row>
    <row r="11296" spans="26:26">
      <c r="Z11296" s="371"/>
    </row>
    <row r="11297" spans="26:26">
      <c r="Z11297" s="371"/>
    </row>
    <row r="11298" spans="26:26">
      <c r="Z11298" s="371"/>
    </row>
    <row r="11299" spans="26:26">
      <c r="Z11299" s="371"/>
    </row>
    <row r="11300" spans="26:26">
      <c r="Z11300" s="371"/>
    </row>
    <row r="11301" spans="26:26">
      <c r="Z11301" s="371"/>
    </row>
    <row r="11302" spans="26:26">
      <c r="Z11302" s="371"/>
    </row>
    <row r="11303" spans="26:26">
      <c r="Z11303" s="371"/>
    </row>
    <row r="11304" spans="26:26">
      <c r="Z11304" s="371"/>
    </row>
    <row r="11305" spans="26:26">
      <c r="Z11305" s="371"/>
    </row>
    <row r="11306" spans="26:26">
      <c r="Z11306" s="371"/>
    </row>
    <row r="11307" spans="26:26">
      <c r="Z11307" s="371"/>
    </row>
    <row r="11308" spans="26:26">
      <c r="Z11308" s="371"/>
    </row>
    <row r="11309" spans="26:26">
      <c r="Z11309" s="371"/>
    </row>
    <row r="11310" spans="26:26">
      <c r="Z11310" s="371"/>
    </row>
    <row r="11311" spans="26:26">
      <c r="Z11311" s="371"/>
    </row>
    <row r="11312" spans="26:26">
      <c r="Z11312" s="371"/>
    </row>
    <row r="11313" spans="26:26">
      <c r="Z11313" s="371"/>
    </row>
    <row r="11314" spans="26:26">
      <c r="Z11314" s="371"/>
    </row>
    <row r="11315" spans="26:26">
      <c r="Z11315" s="371"/>
    </row>
    <row r="11316" spans="26:26">
      <c r="Z11316" s="371"/>
    </row>
    <row r="11317" spans="26:26">
      <c r="Z11317" s="371"/>
    </row>
    <row r="11318" spans="26:26">
      <c r="Z11318" s="371"/>
    </row>
    <row r="11319" spans="26:26">
      <c r="Z11319" s="371"/>
    </row>
    <row r="11320" spans="26:26">
      <c r="Z11320" s="371"/>
    </row>
    <row r="11321" spans="26:26">
      <c r="Z11321" s="371"/>
    </row>
    <row r="11322" spans="26:26">
      <c r="Z11322" s="371"/>
    </row>
    <row r="11323" spans="26:26">
      <c r="Z11323" s="371"/>
    </row>
    <row r="11324" spans="26:26">
      <c r="Z11324" s="371"/>
    </row>
    <row r="11325" spans="26:26">
      <c r="Z11325" s="371"/>
    </row>
    <row r="11326" spans="26:26">
      <c r="Z11326" s="371"/>
    </row>
    <row r="11327" spans="26:26">
      <c r="Z11327" s="371"/>
    </row>
    <row r="11328" spans="26:26">
      <c r="Z11328" s="371"/>
    </row>
    <row r="11329" spans="26:26">
      <c r="Z11329" s="371"/>
    </row>
    <row r="11330" spans="26:26">
      <c r="Z11330" s="371"/>
    </row>
    <row r="11331" spans="26:26">
      <c r="Z11331" s="371"/>
    </row>
    <row r="11332" spans="26:26">
      <c r="Z11332" s="371"/>
    </row>
    <row r="11333" spans="26:26">
      <c r="Z11333" s="371"/>
    </row>
    <row r="11334" spans="26:26">
      <c r="Z11334" s="371"/>
    </row>
    <row r="11335" spans="26:26">
      <c r="Z11335" s="371"/>
    </row>
    <row r="11336" spans="26:26">
      <c r="Z11336" s="371"/>
    </row>
    <row r="11337" spans="26:26">
      <c r="Z11337" s="371"/>
    </row>
    <row r="11338" spans="26:26">
      <c r="Z11338" s="371"/>
    </row>
    <row r="11339" spans="26:26">
      <c r="Z11339" s="371"/>
    </row>
    <row r="11340" spans="26:26">
      <c r="Z11340" s="371"/>
    </row>
    <row r="11341" spans="26:26">
      <c r="Z11341" s="371"/>
    </row>
    <row r="11342" spans="26:26">
      <c r="Z11342" s="371"/>
    </row>
    <row r="11343" spans="26:26">
      <c r="Z11343" s="371"/>
    </row>
    <row r="11344" spans="26:26">
      <c r="Z11344" s="371"/>
    </row>
    <row r="11345" spans="26:26">
      <c r="Z11345" s="371"/>
    </row>
    <row r="11346" spans="26:26">
      <c r="Z11346" s="371"/>
    </row>
    <row r="11347" spans="26:26">
      <c r="Z11347" s="371"/>
    </row>
    <row r="11348" spans="26:26">
      <c r="Z11348" s="371"/>
    </row>
    <row r="11349" spans="26:26">
      <c r="Z11349" s="371"/>
    </row>
    <row r="11350" spans="26:26">
      <c r="Z11350" s="371"/>
    </row>
    <row r="11351" spans="26:26">
      <c r="Z11351" s="371"/>
    </row>
    <row r="11352" spans="26:26">
      <c r="Z11352" s="371"/>
    </row>
    <row r="11353" spans="26:26">
      <c r="Z11353" s="371"/>
    </row>
    <row r="11354" spans="26:26">
      <c r="Z11354" s="371"/>
    </row>
    <row r="11355" spans="26:26">
      <c r="Z11355" s="371"/>
    </row>
    <row r="11356" spans="26:26">
      <c r="Z11356" s="371"/>
    </row>
    <row r="11357" spans="26:26">
      <c r="Z11357" s="371"/>
    </row>
    <row r="11358" spans="26:26">
      <c r="Z11358" s="371"/>
    </row>
    <row r="11359" spans="26:26">
      <c r="Z11359" s="371"/>
    </row>
    <row r="11360" spans="26:26">
      <c r="Z11360" s="371"/>
    </row>
    <row r="11361" spans="26:26">
      <c r="Z11361" s="371"/>
    </row>
    <row r="11362" spans="26:26">
      <c r="Z11362" s="371"/>
    </row>
    <row r="11363" spans="26:26">
      <c r="Z11363" s="371"/>
    </row>
    <row r="11364" spans="26:26">
      <c r="Z11364" s="371"/>
    </row>
    <row r="11365" spans="26:26">
      <c r="Z11365" s="371"/>
    </row>
    <row r="11366" spans="26:26">
      <c r="Z11366" s="371"/>
    </row>
    <row r="11367" spans="26:26">
      <c r="Z11367" s="371"/>
    </row>
    <row r="11368" spans="26:26">
      <c r="Z11368" s="371"/>
    </row>
    <row r="11369" spans="26:26">
      <c r="Z11369" s="371"/>
    </row>
    <row r="11370" spans="26:26">
      <c r="Z11370" s="371"/>
    </row>
    <row r="11371" spans="26:26">
      <c r="Z11371" s="371"/>
    </row>
    <row r="11372" spans="26:26">
      <c r="Z11372" s="371"/>
    </row>
    <row r="11373" spans="26:26">
      <c r="Z11373" s="371"/>
    </row>
    <row r="11374" spans="26:26">
      <c r="Z11374" s="371"/>
    </row>
    <row r="11375" spans="26:26">
      <c r="Z11375" s="371"/>
    </row>
    <row r="11376" spans="26:26">
      <c r="Z11376" s="371"/>
    </row>
    <row r="11377" spans="26:26">
      <c r="Z11377" s="371"/>
    </row>
    <row r="11378" spans="26:26">
      <c r="Z11378" s="371"/>
    </row>
    <row r="11379" spans="26:26">
      <c r="Z11379" s="371"/>
    </row>
    <row r="11380" spans="26:26">
      <c r="Z11380" s="371"/>
    </row>
    <row r="11381" spans="26:26">
      <c r="Z11381" s="371"/>
    </row>
    <row r="11382" spans="26:26">
      <c r="Z11382" s="371"/>
    </row>
    <row r="11383" spans="26:26">
      <c r="Z11383" s="371"/>
    </row>
    <row r="11384" spans="26:26">
      <c r="Z11384" s="371"/>
    </row>
    <row r="11385" spans="26:26">
      <c r="Z11385" s="371"/>
    </row>
    <row r="11386" spans="26:26">
      <c r="Z11386" s="371"/>
    </row>
    <row r="11387" spans="26:26">
      <c r="Z11387" s="371"/>
    </row>
    <row r="11388" spans="26:26">
      <c r="Z11388" s="371"/>
    </row>
    <row r="11389" spans="26:26">
      <c r="Z11389" s="371"/>
    </row>
    <row r="11390" spans="26:26">
      <c r="Z11390" s="371"/>
    </row>
    <row r="11391" spans="26:26">
      <c r="Z11391" s="371"/>
    </row>
    <row r="11392" spans="26:26">
      <c r="Z11392" s="371"/>
    </row>
    <row r="11393" spans="26:26">
      <c r="Z11393" s="371"/>
    </row>
    <row r="11394" spans="26:26">
      <c r="Z11394" s="371"/>
    </row>
    <row r="11395" spans="26:26">
      <c r="Z11395" s="371"/>
    </row>
    <row r="11396" spans="26:26">
      <c r="Z11396" s="371"/>
    </row>
    <row r="11397" spans="26:26">
      <c r="Z11397" s="371"/>
    </row>
    <row r="11398" spans="26:26">
      <c r="Z11398" s="371"/>
    </row>
    <row r="11399" spans="26:26">
      <c r="Z11399" s="371"/>
    </row>
    <row r="11400" spans="26:26">
      <c r="Z11400" s="371"/>
    </row>
    <row r="11401" spans="26:26">
      <c r="Z11401" s="371"/>
    </row>
    <row r="11402" spans="26:26">
      <c r="Z11402" s="371"/>
    </row>
    <row r="11403" spans="26:26">
      <c r="Z11403" s="371"/>
    </row>
    <row r="11404" spans="26:26">
      <c r="Z11404" s="371"/>
    </row>
    <row r="11405" spans="26:26">
      <c r="Z11405" s="371"/>
    </row>
    <row r="11406" spans="26:26">
      <c r="Z11406" s="371"/>
    </row>
    <row r="11407" spans="26:26">
      <c r="Z11407" s="371"/>
    </row>
    <row r="11408" spans="26:26">
      <c r="Z11408" s="371"/>
    </row>
    <row r="11409" spans="26:26">
      <c r="Z11409" s="371"/>
    </row>
    <row r="11410" spans="26:26">
      <c r="Z11410" s="371"/>
    </row>
    <row r="11411" spans="26:26">
      <c r="Z11411" s="371"/>
    </row>
    <row r="11412" spans="26:26">
      <c r="Z11412" s="371"/>
    </row>
    <row r="11413" spans="26:26">
      <c r="Z11413" s="371"/>
    </row>
    <row r="11414" spans="26:26">
      <c r="Z11414" s="371"/>
    </row>
    <row r="11415" spans="26:26">
      <c r="Z11415" s="371"/>
    </row>
    <row r="11416" spans="26:26">
      <c r="Z11416" s="371"/>
    </row>
    <row r="11417" spans="26:26">
      <c r="Z11417" s="371"/>
    </row>
    <row r="11418" spans="26:26">
      <c r="Z11418" s="371"/>
    </row>
    <row r="11419" spans="26:26">
      <c r="Z11419" s="371"/>
    </row>
    <row r="11420" spans="26:26">
      <c r="Z11420" s="371"/>
    </row>
    <row r="11421" spans="26:26">
      <c r="Z11421" s="371"/>
    </row>
    <row r="11422" spans="26:26">
      <c r="Z11422" s="371"/>
    </row>
    <row r="11423" spans="26:26">
      <c r="Z11423" s="371"/>
    </row>
    <row r="11424" spans="26:26">
      <c r="Z11424" s="371"/>
    </row>
    <row r="11425" spans="26:26">
      <c r="Z11425" s="371"/>
    </row>
    <row r="11426" spans="26:26">
      <c r="Z11426" s="371"/>
    </row>
    <row r="11427" spans="26:26">
      <c r="Z11427" s="371"/>
    </row>
    <row r="11428" spans="26:26">
      <c r="Z11428" s="371"/>
    </row>
    <row r="11429" spans="26:26">
      <c r="Z11429" s="371"/>
    </row>
    <row r="11430" spans="26:26">
      <c r="Z11430" s="371"/>
    </row>
    <row r="11431" spans="26:26">
      <c r="Z11431" s="371"/>
    </row>
    <row r="11432" spans="26:26">
      <c r="Z11432" s="371"/>
    </row>
    <row r="11433" spans="26:26">
      <c r="Z11433" s="371"/>
    </row>
    <row r="11434" spans="26:26">
      <c r="Z11434" s="371"/>
    </row>
    <row r="11435" spans="26:26">
      <c r="Z11435" s="371"/>
    </row>
    <row r="11436" spans="26:26">
      <c r="Z11436" s="371"/>
    </row>
    <row r="11437" spans="26:26">
      <c r="Z11437" s="371"/>
    </row>
    <row r="11438" spans="26:26">
      <c r="Z11438" s="371"/>
    </row>
    <row r="11439" spans="26:26">
      <c r="Z11439" s="371"/>
    </row>
    <row r="11440" spans="26:26">
      <c r="Z11440" s="371"/>
    </row>
    <row r="11441" spans="26:26">
      <c r="Z11441" s="371"/>
    </row>
    <row r="11442" spans="26:26">
      <c r="Z11442" s="371"/>
    </row>
    <row r="11443" spans="26:26">
      <c r="Z11443" s="371"/>
    </row>
    <row r="11444" spans="26:26">
      <c r="Z11444" s="371"/>
    </row>
    <row r="11445" spans="26:26">
      <c r="Z11445" s="371"/>
    </row>
    <row r="11446" spans="26:26">
      <c r="Z11446" s="371"/>
    </row>
    <row r="11447" spans="26:26">
      <c r="Z11447" s="371"/>
    </row>
    <row r="11448" spans="26:26">
      <c r="Z11448" s="371"/>
    </row>
    <row r="11449" spans="26:26">
      <c r="Z11449" s="371"/>
    </row>
    <row r="11450" spans="26:26">
      <c r="Z11450" s="371"/>
    </row>
    <row r="11451" spans="26:26">
      <c r="Z11451" s="371"/>
    </row>
    <row r="11452" spans="26:26">
      <c r="Z11452" s="371"/>
    </row>
    <row r="11453" spans="26:26">
      <c r="Z11453" s="371"/>
    </row>
    <row r="11454" spans="26:26">
      <c r="Z11454" s="371"/>
    </row>
    <row r="11455" spans="26:26">
      <c r="Z11455" s="371"/>
    </row>
    <row r="11456" spans="26:26">
      <c r="Z11456" s="371"/>
    </row>
    <row r="11457" spans="26:26">
      <c r="Z11457" s="371"/>
    </row>
    <row r="11458" spans="26:26">
      <c r="Z11458" s="371"/>
    </row>
    <row r="11459" spans="26:26">
      <c r="Z11459" s="371"/>
    </row>
    <row r="11460" spans="26:26">
      <c r="Z11460" s="371"/>
    </row>
    <row r="11461" spans="26:26">
      <c r="Z11461" s="371"/>
    </row>
    <row r="11462" spans="26:26">
      <c r="Z11462" s="371"/>
    </row>
    <row r="11463" spans="26:26">
      <c r="Z11463" s="371"/>
    </row>
    <row r="11464" spans="26:26">
      <c r="Z11464" s="371"/>
    </row>
    <row r="11465" spans="26:26">
      <c r="Z11465" s="371"/>
    </row>
    <row r="11466" spans="26:26">
      <c r="Z11466" s="371"/>
    </row>
    <row r="11467" spans="26:26">
      <c r="Z11467" s="371"/>
    </row>
    <row r="11468" spans="26:26">
      <c r="Z11468" s="371"/>
    </row>
    <row r="11469" spans="26:26">
      <c r="Z11469" s="371"/>
    </row>
    <row r="11470" spans="26:26">
      <c r="Z11470" s="371"/>
    </row>
    <row r="11471" spans="26:26">
      <c r="Z11471" s="371"/>
    </row>
    <row r="11472" spans="26:26">
      <c r="Z11472" s="371"/>
    </row>
    <row r="11473" spans="26:26">
      <c r="Z11473" s="371"/>
    </row>
    <row r="11474" spans="26:26">
      <c r="Z11474" s="371"/>
    </row>
    <row r="11475" spans="26:26">
      <c r="Z11475" s="371"/>
    </row>
    <row r="11476" spans="26:26">
      <c r="Z11476" s="371"/>
    </row>
    <row r="11477" spans="26:26">
      <c r="Z11477" s="371"/>
    </row>
    <row r="11478" spans="26:26">
      <c r="Z11478" s="371"/>
    </row>
    <row r="11479" spans="26:26">
      <c r="Z11479" s="371"/>
    </row>
    <row r="11480" spans="26:26">
      <c r="Z11480" s="371"/>
    </row>
    <row r="11481" spans="26:26">
      <c r="Z11481" s="371"/>
    </row>
    <row r="11482" spans="26:26">
      <c r="Z11482" s="371"/>
    </row>
    <row r="11483" spans="26:26">
      <c r="Z11483" s="371"/>
    </row>
    <row r="11484" spans="26:26">
      <c r="Z11484" s="371"/>
    </row>
    <row r="11485" spans="26:26">
      <c r="Z11485" s="371"/>
    </row>
    <row r="11486" spans="26:26">
      <c r="Z11486" s="371"/>
    </row>
    <row r="11487" spans="26:26">
      <c r="Z11487" s="371"/>
    </row>
    <row r="11488" spans="26:26">
      <c r="Z11488" s="371"/>
    </row>
    <row r="11489" spans="26:26">
      <c r="Z11489" s="371"/>
    </row>
    <row r="11490" spans="26:26">
      <c r="Z11490" s="371"/>
    </row>
    <row r="11491" spans="26:26">
      <c r="Z11491" s="371"/>
    </row>
    <row r="11492" spans="26:26">
      <c r="Z11492" s="371"/>
    </row>
    <row r="11493" spans="26:26">
      <c r="Z11493" s="371"/>
    </row>
    <row r="11494" spans="26:26">
      <c r="Z11494" s="371"/>
    </row>
    <row r="11495" spans="26:26">
      <c r="Z11495" s="371"/>
    </row>
    <row r="11496" spans="26:26">
      <c r="Z11496" s="371"/>
    </row>
    <row r="11497" spans="26:26">
      <c r="Z11497" s="371"/>
    </row>
    <row r="11498" spans="26:26">
      <c r="Z11498" s="371"/>
    </row>
    <row r="11499" spans="26:26">
      <c r="Z11499" s="371"/>
    </row>
    <row r="11500" spans="26:26">
      <c r="Z11500" s="371"/>
    </row>
    <row r="11501" spans="26:26">
      <c r="Z11501" s="371"/>
    </row>
    <row r="11502" spans="26:26">
      <c r="Z11502" s="371"/>
    </row>
    <row r="11503" spans="26:26">
      <c r="Z11503" s="371"/>
    </row>
    <row r="11504" spans="26:26">
      <c r="Z11504" s="371"/>
    </row>
    <row r="11505" spans="26:26">
      <c r="Z11505" s="371"/>
    </row>
    <row r="11506" spans="26:26">
      <c r="Z11506" s="371"/>
    </row>
    <row r="11507" spans="26:26">
      <c r="Z11507" s="371"/>
    </row>
    <row r="11508" spans="26:26">
      <c r="Z11508" s="371"/>
    </row>
    <row r="11509" spans="26:26">
      <c r="Z11509" s="371"/>
    </row>
    <row r="11510" spans="26:26">
      <c r="Z11510" s="371"/>
    </row>
    <row r="11511" spans="26:26">
      <c r="Z11511" s="371"/>
    </row>
    <row r="11512" spans="26:26">
      <c r="Z11512" s="371"/>
    </row>
    <row r="11513" spans="26:26">
      <c r="Z11513" s="371"/>
    </row>
    <row r="11514" spans="26:26">
      <c r="Z11514" s="371"/>
    </row>
    <row r="11515" spans="26:26">
      <c r="Z11515" s="371"/>
    </row>
    <row r="11516" spans="26:26">
      <c r="Z11516" s="371"/>
    </row>
    <row r="11517" spans="26:26">
      <c r="Z11517" s="371"/>
    </row>
    <row r="11518" spans="26:26">
      <c r="Z11518" s="371"/>
    </row>
    <row r="11519" spans="26:26">
      <c r="Z11519" s="371"/>
    </row>
    <row r="11520" spans="26:26">
      <c r="Z11520" s="371"/>
    </row>
    <row r="11521" spans="26:26">
      <c r="Z11521" s="371"/>
    </row>
    <row r="11522" spans="26:26">
      <c r="Z11522" s="371"/>
    </row>
    <row r="11523" spans="26:26">
      <c r="Z11523" s="371"/>
    </row>
    <row r="11524" spans="26:26">
      <c r="Z11524" s="371"/>
    </row>
    <row r="11525" spans="26:26">
      <c r="Z11525" s="371"/>
    </row>
  </sheetData>
  <mergeCells count="5">
    <mergeCell ref="E1:P1"/>
    <mergeCell ref="Q1:V1"/>
    <mergeCell ref="W1:Y1"/>
    <mergeCell ref="AA1:AD1"/>
    <mergeCell ref="C1:D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'[2]liste deroulante'!#REF!</xm:f>
          </x14:formula1>
          <xm:sqref>E48 AA3:AA18 AA21:AA120</xm:sqref>
        </x14:dataValidation>
        <x14:dataValidation type="list" allowBlank="1" showInputMessage="1" showErrorMessage="1">
          <x14:formula1>
            <xm:f>'liste deroulante'!$D$12:$D$13</xm:f>
          </x14:formula1>
          <xm:sqref>Q3:Q120 U3:V120 X3:X120 Y3:Y104 Y106:Y120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XEZ237"/>
  <sheetViews>
    <sheetView topLeftCell="A85" workbookViewId="0">
      <selection activeCell="A89" sqref="A89:XFD89"/>
    </sheetView>
  </sheetViews>
  <sheetFormatPr baseColWidth="10" defaultRowHeight="15"/>
  <cols>
    <col min="1" max="1" width="26.7109375" bestFit="1" customWidth="1"/>
    <col min="2" max="2" width="13.42578125" bestFit="1" customWidth="1"/>
    <col min="9" max="9" width="17.42578125" style="231" customWidth="1"/>
    <col min="10" max="10" width="11.5703125" style="231"/>
    <col min="11" max="11" width="14" style="231" customWidth="1"/>
    <col min="18" max="18" width="12.28515625" style="231" customWidth="1"/>
    <col min="19" max="19" width="17.5703125" style="231" customWidth="1"/>
  </cols>
  <sheetData>
    <row r="1" spans="1:19 16380:16380">
      <c r="I1" s="221"/>
      <c r="J1" s="221"/>
      <c r="K1" s="221"/>
      <c r="R1" s="221"/>
      <c r="S1" s="221"/>
    </row>
    <row r="2" spans="1:19 16380:16380">
      <c r="C2" s="616" t="s">
        <v>736</v>
      </c>
      <c r="D2" s="617"/>
      <c r="E2" s="617"/>
      <c r="F2" s="617"/>
      <c r="G2" s="617"/>
      <c r="H2" s="618"/>
      <c r="I2" s="619" t="s">
        <v>737</v>
      </c>
      <c r="J2" s="619"/>
      <c r="K2" s="619"/>
      <c r="L2" s="616" t="s">
        <v>736</v>
      </c>
      <c r="M2" s="617"/>
      <c r="N2" s="617"/>
      <c r="O2" s="617"/>
      <c r="P2" s="617"/>
      <c r="Q2" s="617"/>
      <c r="R2" s="620" t="s">
        <v>738</v>
      </c>
      <c r="S2" s="620"/>
    </row>
    <row r="3" spans="1:19 16380:16380" s="154" customFormat="1" ht="31.9" customHeight="1">
      <c r="A3" s="222" t="s">
        <v>739</v>
      </c>
      <c r="B3" s="222" t="s">
        <v>740</v>
      </c>
      <c r="C3" s="223" t="s">
        <v>710</v>
      </c>
      <c r="D3" s="223" t="s">
        <v>711</v>
      </c>
      <c r="E3" s="223" t="s">
        <v>712</v>
      </c>
      <c r="F3" s="223" t="s">
        <v>713</v>
      </c>
      <c r="G3" s="223" t="s">
        <v>714</v>
      </c>
      <c r="H3" s="223" t="s">
        <v>715</v>
      </c>
      <c r="I3" s="224" t="s">
        <v>741</v>
      </c>
      <c r="J3" s="224" t="s">
        <v>742</v>
      </c>
      <c r="K3" s="224" t="s">
        <v>743</v>
      </c>
      <c r="L3" s="223" t="s">
        <v>717</v>
      </c>
      <c r="M3" s="223" t="s">
        <v>718</v>
      </c>
      <c r="N3" s="223" t="s">
        <v>719</v>
      </c>
      <c r="O3" s="223" t="s">
        <v>720</v>
      </c>
      <c r="P3" s="223" t="s">
        <v>721</v>
      </c>
      <c r="Q3" s="223" t="s">
        <v>744</v>
      </c>
      <c r="R3" s="224" t="s">
        <v>745</v>
      </c>
      <c r="S3" s="224" t="s">
        <v>746</v>
      </c>
    </row>
    <row r="4" spans="1:19 16380:16380">
      <c r="A4" s="199" t="str">
        <f>'BRSA Sorties '!C154</f>
        <v>AKHMAL</v>
      </c>
      <c r="B4" s="199" t="str">
        <f>'BRSA Sorties '!D154</f>
        <v>Najat</v>
      </c>
      <c r="C4" s="199"/>
      <c r="D4" s="199"/>
      <c r="E4" s="199"/>
      <c r="F4" s="199"/>
      <c r="G4" s="199"/>
      <c r="H4" s="199"/>
      <c r="I4" s="225" t="s">
        <v>743</v>
      </c>
      <c r="J4" s="227">
        <v>46101</v>
      </c>
      <c r="K4" s="226"/>
      <c r="L4" s="232"/>
      <c r="M4" s="232"/>
      <c r="N4" s="232"/>
      <c r="O4" s="232"/>
      <c r="P4" s="232"/>
      <c r="Q4" s="232"/>
      <c r="R4" s="232"/>
      <c r="S4" s="232"/>
    </row>
    <row r="5" spans="1:19 16380:16380">
      <c r="A5" s="199" t="str">
        <f>'OYONNAX NANTUA'!C13</f>
        <v>AL-RIHEMAWEE</v>
      </c>
      <c r="B5" s="199" t="str">
        <f>'OYONNAX NANTUA'!D13</f>
        <v>Qays</v>
      </c>
      <c r="C5" s="199"/>
      <c r="D5" s="199"/>
      <c r="E5" s="199"/>
      <c r="F5" s="199"/>
      <c r="G5" s="199"/>
      <c r="H5" s="199"/>
      <c r="I5" s="225"/>
      <c r="J5" s="227"/>
      <c r="K5" s="226"/>
      <c r="L5" s="232"/>
      <c r="M5" s="232"/>
      <c r="N5" s="232"/>
      <c r="O5" s="232"/>
      <c r="P5" s="232"/>
      <c r="Q5" s="232"/>
      <c r="R5" s="232"/>
      <c r="S5" s="232"/>
    </row>
    <row r="6" spans="1:19 16380:16380">
      <c r="A6" s="199" t="str">
        <f>'OYONNAX NANTUA'!C14</f>
        <v>ARBINOT</v>
      </c>
      <c r="B6" s="199" t="str">
        <f>'OYONNAX NANTUA'!D14</f>
        <v>Alexandre</v>
      </c>
      <c r="C6" s="199"/>
      <c r="D6" s="199"/>
      <c r="E6" s="199"/>
      <c r="F6" s="199"/>
      <c r="G6" s="199"/>
      <c r="H6" s="199"/>
      <c r="I6" s="225" t="s">
        <v>743</v>
      </c>
      <c r="J6" s="227">
        <v>46064</v>
      </c>
      <c r="K6" s="226">
        <v>1</v>
      </c>
      <c r="L6" s="232"/>
      <c r="M6" s="232"/>
      <c r="N6" s="232"/>
      <c r="O6" s="232"/>
      <c r="P6" s="232"/>
      <c r="Q6" s="232"/>
      <c r="R6" s="232"/>
      <c r="S6" s="232"/>
    </row>
    <row r="7" spans="1:19 16380:16380">
      <c r="A7" s="199" t="str">
        <f>'BRSA Sorties '!C98</f>
        <v>BASSI</v>
      </c>
      <c r="B7" s="199" t="str">
        <f>'BRSA Sorties '!D98</f>
        <v>Stephanie</v>
      </c>
      <c r="C7" s="199"/>
      <c r="D7" s="199"/>
      <c r="E7" s="199"/>
      <c r="F7" s="199"/>
      <c r="G7" s="199"/>
      <c r="H7" s="199"/>
      <c r="I7" s="225"/>
      <c r="J7" s="226"/>
      <c r="K7" s="226"/>
      <c r="L7" s="232"/>
      <c r="M7" s="232"/>
      <c r="N7" s="232"/>
      <c r="O7" s="232"/>
      <c r="P7" s="232"/>
      <c r="Q7" s="232"/>
      <c r="R7" s="232"/>
      <c r="S7" s="232"/>
    </row>
    <row r="8" spans="1:19 16380:16380">
      <c r="A8" s="199" t="str">
        <f>'BRSA Sorties '!C132</f>
        <v>BAYIRTEPE</v>
      </c>
      <c r="B8" s="199" t="str">
        <f>'BRSA Sorties '!D132</f>
        <v>Gulsah</v>
      </c>
      <c r="C8" s="199"/>
      <c r="D8" s="199"/>
      <c r="E8" s="199"/>
      <c r="F8" s="199"/>
      <c r="G8" s="199"/>
      <c r="H8" s="199"/>
      <c r="I8" s="225"/>
      <c r="J8" s="228"/>
      <c r="K8" s="226"/>
      <c r="L8" s="232"/>
      <c r="M8" s="232"/>
      <c r="N8" s="232"/>
      <c r="O8" s="232"/>
      <c r="P8" s="232"/>
      <c r="Q8" s="232"/>
      <c r="R8" s="232"/>
      <c r="S8" s="232"/>
    </row>
    <row r="9" spans="1:19 16380:16380">
      <c r="A9" s="199" t="str">
        <f>'BRSA Sorties '!C121</f>
        <v>BERTHET-BONDET</v>
      </c>
      <c r="B9" s="199" t="str">
        <f>'BRSA Sorties '!D121</f>
        <v>Franck</v>
      </c>
      <c r="C9" s="199"/>
      <c r="D9" s="199"/>
      <c r="E9" s="199"/>
      <c r="F9" s="199"/>
      <c r="G9" s="199"/>
      <c r="H9" s="199"/>
      <c r="I9" s="225"/>
      <c r="J9" s="226"/>
      <c r="K9" s="226"/>
      <c r="L9" s="232"/>
      <c r="M9" s="232"/>
      <c r="N9" s="232"/>
      <c r="O9" s="232"/>
      <c r="P9" s="232"/>
      <c r="Q9" s="232"/>
      <c r="R9" s="232"/>
      <c r="S9" s="232"/>
    </row>
    <row r="10" spans="1:19 16380:16380">
      <c r="A10" s="199" t="str">
        <f>'BRSA Sorties '!C97</f>
        <v>BOSCHMANS</v>
      </c>
      <c r="B10" s="199" t="str">
        <f>'BRSA Sorties '!D97</f>
        <v>Franck</v>
      </c>
      <c r="C10" s="199"/>
      <c r="D10" s="199"/>
      <c r="E10" s="199"/>
      <c r="F10" s="199"/>
      <c r="G10" s="199"/>
      <c r="H10" s="199"/>
      <c r="I10" s="225"/>
      <c r="J10" s="226"/>
      <c r="K10" s="226"/>
      <c r="L10" s="232"/>
      <c r="M10" s="232"/>
      <c r="N10" s="232"/>
      <c r="O10" s="232"/>
      <c r="P10" s="232"/>
      <c r="Q10" s="232"/>
      <c r="R10" s="232"/>
      <c r="S10" s="232"/>
    </row>
    <row r="11" spans="1:19 16380:16380">
      <c r="A11" s="199" t="str">
        <f>'BRSA Sorties '!C153</f>
        <v>BRAHIMI</v>
      </c>
      <c r="B11" s="199" t="str">
        <f>'BRSA Sorties '!D153</f>
        <v>Farida</v>
      </c>
      <c r="C11" s="199"/>
      <c r="D11" s="199"/>
      <c r="E11" s="199"/>
      <c r="F11" s="199"/>
      <c r="G11" s="199"/>
      <c r="H11" s="199"/>
      <c r="I11" s="225"/>
      <c r="J11" s="226"/>
      <c r="K11" s="226"/>
      <c r="L11" s="232"/>
      <c r="M11" s="232"/>
      <c r="N11" s="232"/>
      <c r="O11" s="232"/>
      <c r="P11" s="232"/>
      <c r="Q11" s="232"/>
      <c r="R11" s="232"/>
      <c r="S11" s="232"/>
    </row>
    <row r="12" spans="1:19 16380:16380">
      <c r="A12" s="199" t="str">
        <f>'BRSA Sorties '!C123</f>
        <v>BRASSART</v>
      </c>
      <c r="B12" s="199" t="str">
        <f>'BRSA Sorties '!D123</f>
        <v>Cindy</v>
      </c>
      <c r="C12" s="199"/>
      <c r="D12" s="199"/>
      <c r="E12" s="199"/>
      <c r="F12" s="199"/>
      <c r="G12" s="199"/>
      <c r="H12" s="199"/>
      <c r="I12" s="225"/>
      <c r="J12" s="226"/>
      <c r="K12" s="226"/>
      <c r="L12" s="232"/>
      <c r="M12" s="232"/>
      <c r="N12" s="232"/>
      <c r="O12" s="232"/>
      <c r="P12" s="232"/>
      <c r="Q12" s="232"/>
      <c r="R12" s="232"/>
      <c r="S12" s="232"/>
      <c r="XEZ12" t="s">
        <v>747</v>
      </c>
    </row>
    <row r="13" spans="1:19 16380:16380">
      <c r="A13" s="199" t="str">
        <f>'OYONNAX NANTUA'!C15</f>
        <v>CAVDAR</v>
      </c>
      <c r="B13" s="199" t="str">
        <f>'OYONNAX NANTUA'!D15</f>
        <v>Tugay</v>
      </c>
      <c r="C13" s="199"/>
      <c r="D13" s="199"/>
      <c r="E13" s="199"/>
      <c r="F13" s="199"/>
      <c r="G13" s="199"/>
      <c r="H13" s="199"/>
      <c r="I13" s="225"/>
      <c r="J13" s="226"/>
      <c r="K13" s="226"/>
      <c r="L13" s="232"/>
      <c r="M13" s="232"/>
      <c r="N13" s="232"/>
      <c r="O13" s="232"/>
      <c r="P13" s="232"/>
      <c r="Q13" s="232"/>
      <c r="R13" s="232"/>
      <c r="S13" s="232"/>
    </row>
    <row r="14" spans="1:19 16380:16380">
      <c r="A14" s="199" t="str">
        <f>'BRSA Sorties '!C84</f>
        <v>CHHUN</v>
      </c>
      <c r="B14" s="199" t="str">
        <f>'BRSA Sorties '!D84</f>
        <v>Sophanna</v>
      </c>
      <c r="C14" s="199"/>
      <c r="D14" s="199"/>
      <c r="E14" s="199"/>
      <c r="F14" s="199"/>
      <c r="G14" s="199"/>
      <c r="H14" s="199"/>
      <c r="I14" s="225" t="s">
        <v>743</v>
      </c>
      <c r="J14" s="227">
        <v>46090</v>
      </c>
      <c r="K14" s="226">
        <v>0</v>
      </c>
      <c r="L14" s="232"/>
      <c r="M14" s="232"/>
      <c r="N14" s="232"/>
      <c r="O14" s="232"/>
      <c r="P14" s="232"/>
      <c r="Q14" s="232"/>
      <c r="R14" s="232"/>
      <c r="S14" s="232"/>
    </row>
    <row r="15" spans="1:19 16380:16380">
      <c r="A15" s="199" t="str">
        <f>'OYONNAX NANTUA'!C16</f>
        <v>CIMEN</v>
      </c>
      <c r="B15" s="199" t="str">
        <f>'OYONNAX NANTUA'!D16</f>
        <v>Mehmet</v>
      </c>
      <c r="C15" s="199"/>
      <c r="D15" s="199"/>
      <c r="E15" s="199"/>
      <c r="F15" s="199"/>
      <c r="G15" s="199"/>
      <c r="H15" s="199"/>
      <c r="I15" s="225"/>
      <c r="J15" s="226"/>
      <c r="K15" s="226"/>
      <c r="L15" s="232"/>
      <c r="M15" s="232"/>
      <c r="N15" s="232"/>
      <c r="O15" s="232"/>
      <c r="P15" s="232"/>
      <c r="Q15" s="232"/>
      <c r="R15" s="232"/>
      <c r="S15" s="232"/>
    </row>
    <row r="16" spans="1:19 16380:16380">
      <c r="A16" s="199" t="e">
        <f>'OYONNAX NANTUA'!#REF!</f>
        <v>#REF!</v>
      </c>
      <c r="B16" s="199" t="e">
        <f>'OYONNAX NANTUA'!#REF!</f>
        <v>#REF!</v>
      </c>
      <c r="C16" s="199"/>
      <c r="D16" s="199"/>
      <c r="E16" s="199"/>
      <c r="F16" s="199"/>
      <c r="G16" s="199"/>
      <c r="H16" s="199"/>
      <c r="I16" s="225"/>
      <c r="J16" s="227"/>
      <c r="K16" s="226"/>
      <c r="L16" s="232"/>
      <c r="M16" s="232"/>
      <c r="N16" s="232"/>
      <c r="O16" s="232"/>
      <c r="P16" s="232"/>
      <c r="Q16" s="232"/>
      <c r="R16" s="232"/>
      <c r="S16" s="232"/>
    </row>
    <row r="17" spans="1:19">
      <c r="A17" s="199" t="str">
        <f>'OYONNAX NANTUA'!C17</f>
        <v>DESSAINTJEAN</v>
      </c>
      <c r="B17" s="199" t="str">
        <f>'OYONNAX NANTUA'!D17</f>
        <v>Amandine</v>
      </c>
      <c r="C17" s="199"/>
      <c r="D17" s="199"/>
      <c r="E17" s="199"/>
      <c r="F17" s="199"/>
      <c r="G17" s="199"/>
      <c r="H17" s="199"/>
      <c r="I17" s="225" t="s">
        <v>743</v>
      </c>
      <c r="J17" s="227">
        <v>46114</v>
      </c>
      <c r="K17" s="226"/>
      <c r="L17" s="232">
        <v>3</v>
      </c>
      <c r="M17" s="232"/>
      <c r="N17" s="232"/>
      <c r="O17" s="232"/>
      <c r="P17" s="232"/>
      <c r="Q17" s="232"/>
      <c r="R17" s="232"/>
      <c r="S17" s="232"/>
    </row>
    <row r="18" spans="1:19">
      <c r="A18" s="199" t="str">
        <f>'BRSA Sorties '!C124</f>
        <v>DUBOT</v>
      </c>
      <c r="B18" s="199" t="str">
        <f>'BRSA Sorties '!D124</f>
        <v>Sébastien</v>
      </c>
      <c r="C18" s="199"/>
      <c r="D18" s="199"/>
      <c r="E18" s="199"/>
      <c r="F18" s="199"/>
      <c r="G18" s="199"/>
      <c r="H18" s="199"/>
      <c r="I18" s="225"/>
      <c r="J18" s="227"/>
      <c r="K18" s="226"/>
      <c r="L18" s="232"/>
      <c r="M18" s="232"/>
      <c r="N18" s="232"/>
      <c r="O18" s="232"/>
      <c r="P18" s="232"/>
      <c r="Q18" s="232"/>
      <c r="R18" s="232"/>
      <c r="S18" s="232"/>
    </row>
    <row r="19" spans="1:19">
      <c r="A19" s="199" t="str">
        <f>'BRSA Sorties '!C125</f>
        <v>EL JABBAR</v>
      </c>
      <c r="B19" s="199" t="str">
        <f>'BRSA Sorties '!D125</f>
        <v>Anass</v>
      </c>
      <c r="C19" s="199"/>
      <c r="D19" s="199"/>
      <c r="E19" s="199"/>
      <c r="F19" s="199"/>
      <c r="G19" s="199"/>
      <c r="H19" s="199"/>
      <c r="I19" s="225"/>
      <c r="J19" s="226"/>
      <c r="K19" s="226"/>
      <c r="L19" s="232"/>
      <c r="M19" s="232"/>
      <c r="N19" s="232"/>
      <c r="O19" s="232"/>
      <c r="P19" s="232"/>
      <c r="Q19" s="232"/>
      <c r="R19" s="232"/>
      <c r="S19" s="232"/>
    </row>
    <row r="20" spans="1:19">
      <c r="A20" s="199" t="str">
        <f>'BRSA Sorties '!C113</f>
        <v>EL-HAMDI</v>
      </c>
      <c r="B20" s="199" t="str">
        <f>'BRSA Sorties '!D113</f>
        <v>Mourad</v>
      </c>
      <c r="C20" s="199"/>
      <c r="D20" s="199"/>
      <c r="E20" s="199"/>
      <c r="F20" s="199"/>
      <c r="G20" s="199"/>
      <c r="H20" s="199"/>
      <c r="I20" s="225"/>
      <c r="J20" s="229"/>
      <c r="K20" s="226"/>
      <c r="L20" s="211"/>
      <c r="M20" s="211"/>
      <c r="N20" s="211"/>
      <c r="O20" s="211"/>
      <c r="P20" s="211"/>
      <c r="Q20" s="211"/>
      <c r="R20" s="211"/>
      <c r="S20" s="232"/>
    </row>
    <row r="21" spans="1:19">
      <c r="A21" s="199" t="str">
        <f>'OYONNAX NANTUA'!C18</f>
        <v>ERAMIL</v>
      </c>
      <c r="B21" s="199" t="str">
        <f>'OYONNAX NANTUA'!D18</f>
        <v>Erhan</v>
      </c>
      <c r="C21" s="199"/>
      <c r="D21" s="199"/>
      <c r="E21" s="199"/>
      <c r="F21" s="199"/>
      <c r="G21" s="199"/>
      <c r="H21" s="199"/>
      <c r="I21" s="225"/>
      <c r="J21" s="226"/>
      <c r="K21" s="226"/>
      <c r="L21" s="232"/>
      <c r="M21" s="232"/>
      <c r="N21" s="232"/>
      <c r="O21" s="232"/>
      <c r="P21" s="232"/>
      <c r="Q21" s="232"/>
      <c r="R21" s="232"/>
      <c r="S21" s="232"/>
    </row>
    <row r="22" spans="1:19">
      <c r="A22" s="199" t="str">
        <f>'BRSA Sorties '!C96</f>
        <v>ERSOY</v>
      </c>
      <c r="B22" s="199" t="str">
        <f>'BRSA Sorties '!D96</f>
        <v>Salih</v>
      </c>
      <c r="C22" s="199"/>
      <c r="D22" s="199"/>
      <c r="E22" s="199"/>
      <c r="F22" s="199"/>
      <c r="G22" s="199"/>
      <c r="H22" s="199"/>
      <c r="I22" s="225"/>
      <c r="J22" s="226"/>
      <c r="K22" s="226"/>
      <c r="L22" s="232"/>
      <c r="M22" s="232"/>
      <c r="N22" s="232"/>
      <c r="O22" s="232"/>
      <c r="P22" s="232"/>
      <c r="Q22" s="232"/>
      <c r="R22" s="232"/>
      <c r="S22" s="232"/>
    </row>
    <row r="23" spans="1:19">
      <c r="A23" s="199" t="str">
        <f>'BRSA Sorties '!C83</f>
        <v>EZZARHOUNI</v>
      </c>
      <c r="B23" s="199" t="str">
        <f>'BRSA Sorties '!D83</f>
        <v>Nesrdine</v>
      </c>
      <c r="C23" s="199"/>
      <c r="D23" s="199"/>
      <c r="E23" s="199"/>
      <c r="F23" s="199"/>
      <c r="G23" s="199"/>
      <c r="H23" s="199"/>
      <c r="I23" s="225" t="s">
        <v>749</v>
      </c>
      <c r="J23" s="227">
        <v>46098</v>
      </c>
      <c r="K23" s="226"/>
      <c r="L23" s="232"/>
      <c r="M23" s="232"/>
      <c r="N23" s="232"/>
      <c r="O23" s="232"/>
      <c r="P23" s="232"/>
      <c r="Q23" s="232"/>
      <c r="R23" s="232"/>
      <c r="S23" s="232"/>
    </row>
    <row r="24" spans="1:19">
      <c r="A24" s="199" t="str">
        <f>'BRSA Sorties '!C155</f>
        <v>GAYNUTDINOV</v>
      </c>
      <c r="B24" s="199" t="str">
        <f>'BRSA Sorties '!D155</f>
        <v>Rafael</v>
      </c>
      <c r="C24" s="199"/>
      <c r="D24" s="199"/>
      <c r="E24" s="199"/>
      <c r="F24" s="199"/>
      <c r="G24" s="199"/>
      <c r="H24" s="199"/>
      <c r="I24" s="225"/>
      <c r="J24" s="229"/>
      <c r="K24" s="226"/>
      <c r="L24" s="211"/>
      <c r="M24" s="211"/>
      <c r="N24" s="211"/>
      <c r="O24" s="211"/>
      <c r="P24" s="211"/>
      <c r="Q24" s="211"/>
      <c r="R24" s="211"/>
      <c r="S24" s="232"/>
    </row>
    <row r="25" spans="1:19">
      <c r="A25" s="199" t="str">
        <f>'OYONNAX NANTUA'!C19</f>
        <v>JUILLARD</v>
      </c>
      <c r="B25" s="199" t="str">
        <f>'OYONNAX NANTUA'!D19</f>
        <v>Frédéric</v>
      </c>
      <c r="C25" s="199"/>
      <c r="D25" s="199"/>
      <c r="E25" s="199"/>
      <c r="F25" s="199"/>
      <c r="G25" s="199"/>
      <c r="H25" s="199"/>
      <c r="I25" s="225" t="s">
        <v>743</v>
      </c>
      <c r="J25" s="227">
        <v>46094</v>
      </c>
      <c r="K25" s="226">
        <v>1</v>
      </c>
      <c r="L25" s="232"/>
      <c r="M25" s="232"/>
      <c r="N25" s="232"/>
      <c r="O25" s="232"/>
      <c r="P25" s="232"/>
      <c r="Q25" s="232"/>
      <c r="R25" s="232"/>
      <c r="S25" s="232"/>
    </row>
    <row r="26" spans="1:19">
      <c r="A26" s="199" t="str">
        <f>'BRSA Sorties '!C151</f>
        <v>KAMENICA</v>
      </c>
      <c r="B26" s="199" t="str">
        <f>'BRSA Sorties '!D151</f>
        <v>Ardit</v>
      </c>
      <c r="C26" s="199"/>
      <c r="D26" s="199"/>
      <c r="E26" s="199"/>
      <c r="F26" s="199"/>
      <c r="G26" s="199"/>
      <c r="H26" s="199"/>
      <c r="I26" s="225"/>
      <c r="J26" s="229"/>
      <c r="K26" s="226"/>
      <c r="L26" s="211"/>
      <c r="M26" s="211"/>
      <c r="N26" s="211"/>
      <c r="O26" s="211"/>
      <c r="P26" s="211"/>
      <c r="Q26" s="211"/>
      <c r="R26" s="211"/>
      <c r="S26" s="232"/>
    </row>
    <row r="27" spans="1:19">
      <c r="A27" s="199" t="str">
        <f>'OYONNAX NANTUA'!C20</f>
        <v>KANBOUI</v>
      </c>
      <c r="B27" s="199" t="str">
        <f>'OYONNAX NANTUA'!D20</f>
        <v>Zineb</v>
      </c>
      <c r="C27" s="199"/>
      <c r="D27" s="199"/>
      <c r="E27" s="199"/>
      <c r="F27" s="199"/>
      <c r="G27" s="199"/>
      <c r="H27" s="199"/>
      <c r="I27" s="225" t="s">
        <v>743</v>
      </c>
      <c r="J27" s="227">
        <v>46125</v>
      </c>
      <c r="K27" s="226"/>
      <c r="L27" s="232"/>
      <c r="M27" s="232"/>
      <c r="N27" s="232"/>
      <c r="O27" s="232"/>
      <c r="P27" s="232"/>
      <c r="Q27" s="232"/>
      <c r="R27" s="232"/>
      <c r="S27" s="232"/>
    </row>
    <row r="28" spans="1:19">
      <c r="A28" s="199" t="str">
        <f>'BRSA Sorties '!C128</f>
        <v>KARIAM</v>
      </c>
      <c r="B28" s="199" t="str">
        <f>'BRSA Sorties '!D128</f>
        <v>Omar</v>
      </c>
      <c r="C28" s="199"/>
      <c r="D28" s="199"/>
      <c r="E28" s="199"/>
      <c r="F28" s="199"/>
      <c r="G28" s="199"/>
      <c r="H28" s="199"/>
      <c r="I28" s="225"/>
      <c r="J28" s="226"/>
      <c r="K28" s="226"/>
      <c r="L28" s="232"/>
      <c r="M28" s="232"/>
      <c r="N28" s="232"/>
      <c r="O28" s="232"/>
      <c r="P28" s="232"/>
      <c r="Q28" s="232"/>
      <c r="R28" s="232"/>
      <c r="S28" s="232"/>
    </row>
    <row r="29" spans="1:19">
      <c r="A29" s="199" t="str">
        <f>'OYONNAX NANTUA'!C21</f>
        <v>KONMAZ</v>
      </c>
      <c r="B29" s="199" t="str">
        <f>'OYONNAX NANTUA'!D21</f>
        <v>Ayse</v>
      </c>
      <c r="C29" s="199"/>
      <c r="D29" s="199"/>
      <c r="E29" s="199"/>
      <c r="F29" s="199"/>
      <c r="G29" s="199"/>
      <c r="H29" s="199"/>
      <c r="I29" s="225" t="s">
        <v>743</v>
      </c>
      <c r="J29" s="227">
        <v>46125</v>
      </c>
      <c r="K29" s="226"/>
      <c r="L29" s="232"/>
      <c r="M29" s="232"/>
      <c r="N29" s="232"/>
      <c r="O29" s="232"/>
      <c r="P29" s="232"/>
      <c r="Q29" s="232"/>
      <c r="R29" s="232"/>
      <c r="S29" s="232"/>
    </row>
    <row r="30" spans="1:19">
      <c r="A30" s="199" t="str">
        <f>'OYONNAX NANTUA'!C22</f>
        <v>LAOUFI</v>
      </c>
      <c r="B30" s="199" t="str">
        <f>'OYONNAX NANTUA'!D22</f>
        <v>Hamza</v>
      </c>
      <c r="C30" s="199"/>
      <c r="D30" s="199"/>
      <c r="E30" s="199"/>
      <c r="F30" s="199"/>
      <c r="G30" s="199"/>
      <c r="H30" s="199"/>
      <c r="I30" s="225"/>
      <c r="J30" s="227"/>
      <c r="K30" s="226"/>
      <c r="L30" s="232"/>
      <c r="M30" s="232"/>
      <c r="N30" s="232"/>
      <c r="O30" s="232"/>
      <c r="P30" s="232"/>
      <c r="Q30" s="232"/>
      <c r="R30" s="232"/>
      <c r="S30" s="232"/>
    </row>
    <row r="31" spans="1:19">
      <c r="A31" s="199" t="str">
        <f>'BRSA Sorties '!C134</f>
        <v>LEANG DATH</v>
      </c>
      <c r="B31" s="199" t="str">
        <f>'BRSA Sorties '!D134</f>
        <v>Benoît</v>
      </c>
      <c r="C31" s="199"/>
      <c r="D31" s="199"/>
      <c r="E31" s="199"/>
      <c r="F31" s="199"/>
      <c r="G31" s="199"/>
      <c r="H31" s="199"/>
      <c r="I31" s="225" t="s">
        <v>743</v>
      </c>
      <c r="J31" s="230">
        <v>46043</v>
      </c>
      <c r="K31" s="226">
        <v>1</v>
      </c>
      <c r="L31" s="211"/>
      <c r="M31" s="211"/>
      <c r="N31" s="211"/>
      <c r="O31" s="211"/>
      <c r="P31" s="211"/>
      <c r="Q31" s="211"/>
      <c r="R31" s="211"/>
      <c r="S31" s="232"/>
    </row>
    <row r="32" spans="1:19">
      <c r="A32" s="199" t="str">
        <f>'BRSA Sorties '!C112</f>
        <v>LIEU</v>
      </c>
      <c r="B32" s="199" t="str">
        <f>'BRSA Sorties '!D112</f>
        <v>Ophelie-kim</v>
      </c>
      <c r="C32" s="199"/>
      <c r="D32" s="199"/>
      <c r="E32" s="199"/>
      <c r="F32" s="199"/>
      <c r="G32" s="199"/>
      <c r="H32" s="199"/>
      <c r="I32" s="225"/>
      <c r="J32" s="226"/>
      <c r="K32" s="226"/>
      <c r="L32" s="232"/>
      <c r="M32" s="232"/>
      <c r="N32" s="232"/>
      <c r="O32" s="232"/>
      <c r="P32" s="232"/>
      <c r="Q32" s="232"/>
      <c r="R32" s="232"/>
      <c r="S32" s="232"/>
    </row>
    <row r="33" spans="1:19">
      <c r="A33" s="199" t="str">
        <f>'BRSA Sorties '!C131</f>
        <v>MAADOUR</v>
      </c>
      <c r="B33" s="199" t="str">
        <f>'BRSA Sorties '!D131</f>
        <v>Anas</v>
      </c>
      <c r="C33" s="199"/>
      <c r="D33" s="199"/>
      <c r="E33" s="199"/>
      <c r="F33" s="199"/>
      <c r="G33" s="199"/>
      <c r="H33" s="199"/>
      <c r="I33" s="225"/>
      <c r="J33" s="226"/>
      <c r="K33" s="226"/>
      <c r="L33" s="232"/>
      <c r="M33" s="232"/>
      <c r="N33" s="232"/>
      <c r="O33" s="232"/>
      <c r="P33" s="232"/>
      <c r="Q33" s="232"/>
      <c r="R33" s="232"/>
      <c r="S33" s="232"/>
    </row>
    <row r="34" spans="1:19">
      <c r="A34" s="199" t="str">
        <f>'BRSA Sorties '!C107</f>
        <v>MEHALLEL</v>
      </c>
      <c r="B34" s="199" t="str">
        <f>'BRSA Sorties '!D107</f>
        <v>Salim</v>
      </c>
      <c r="C34" s="199"/>
      <c r="D34" s="199"/>
      <c r="E34" s="199"/>
      <c r="F34" s="199"/>
      <c r="G34" s="199"/>
      <c r="H34" s="199"/>
      <c r="I34" s="225" t="s">
        <v>743</v>
      </c>
      <c r="J34" s="227">
        <v>46076</v>
      </c>
      <c r="K34" s="226">
        <v>1</v>
      </c>
      <c r="L34" s="232"/>
      <c r="M34" s="232"/>
      <c r="N34" s="232"/>
      <c r="O34" s="232"/>
      <c r="P34" s="232"/>
      <c r="Q34" s="232"/>
      <c r="R34" s="232"/>
      <c r="S34" s="232"/>
    </row>
    <row r="35" spans="1:19">
      <c r="A35" s="199" t="str">
        <f>'OYONNAX NANTUA'!C24</f>
        <v>MOHAMMAD</v>
      </c>
      <c r="B35" s="199" t="str">
        <f>'OYONNAX NANTUA'!D24</f>
        <v>Sania</v>
      </c>
      <c r="C35" s="199"/>
      <c r="D35" s="199"/>
      <c r="E35" s="199"/>
      <c r="F35" s="199"/>
      <c r="G35" s="199"/>
      <c r="H35" s="199"/>
      <c r="I35" s="225"/>
      <c r="J35" s="226"/>
      <c r="K35" s="226"/>
      <c r="L35" s="232"/>
      <c r="M35" s="232"/>
      <c r="N35" s="232"/>
      <c r="O35" s="232"/>
      <c r="P35" s="232"/>
      <c r="Q35" s="232"/>
      <c r="R35" s="232"/>
      <c r="S35" s="232"/>
    </row>
    <row r="36" spans="1:19">
      <c r="A36" s="199" t="str">
        <f>'BRSA Sorties '!C140</f>
        <v>MUTLU</v>
      </c>
      <c r="B36" s="199" t="str">
        <f>'BRSA Sorties '!D140</f>
        <v>Mualla</v>
      </c>
      <c r="C36" s="199"/>
      <c r="D36" s="199"/>
      <c r="E36" s="199"/>
      <c r="F36" s="199"/>
      <c r="G36" s="199"/>
      <c r="H36" s="199"/>
      <c r="I36" s="225" t="s">
        <v>743</v>
      </c>
      <c r="J36" s="227">
        <v>46126</v>
      </c>
      <c r="K36" s="226"/>
      <c r="L36" s="232"/>
      <c r="M36" s="232"/>
      <c r="N36" s="232"/>
      <c r="O36" s="232"/>
      <c r="P36" s="232"/>
      <c r="Q36" s="232"/>
      <c r="R36" s="232"/>
      <c r="S36" s="232"/>
    </row>
    <row r="37" spans="1:19">
      <c r="A37" s="199" t="str">
        <f>'OYONNAX NANTUA'!C25</f>
        <v>NACIRY</v>
      </c>
      <c r="B37" s="199" t="str">
        <f>'OYONNAX NANTUA'!D25</f>
        <v>Moussa</v>
      </c>
      <c r="C37" s="199"/>
      <c r="D37" s="199"/>
      <c r="E37" s="199"/>
      <c r="F37" s="199"/>
      <c r="G37" s="199"/>
      <c r="H37" s="199"/>
      <c r="I37" s="225" t="s">
        <v>743</v>
      </c>
      <c r="J37" s="229">
        <v>46113</v>
      </c>
      <c r="K37" s="226"/>
      <c r="L37" s="211"/>
      <c r="M37" s="211"/>
      <c r="N37" s="211"/>
      <c r="O37" s="211"/>
      <c r="P37" s="211"/>
      <c r="Q37" s="211"/>
      <c r="R37" s="211"/>
      <c r="S37" s="232"/>
    </row>
    <row r="38" spans="1:19">
      <c r="A38" s="199" t="str">
        <f>'BRSA Sorties '!C136</f>
        <v>OULAKBIR</v>
      </c>
      <c r="B38" s="199" t="str">
        <f>'BRSA Sorties '!D136</f>
        <v>Touria</v>
      </c>
      <c r="C38" s="199"/>
      <c r="D38" s="199"/>
      <c r="E38" s="199"/>
      <c r="F38" s="199"/>
      <c r="G38" s="199"/>
      <c r="H38" s="199"/>
      <c r="I38" s="225" t="s">
        <v>749</v>
      </c>
      <c r="J38" s="227">
        <v>46169</v>
      </c>
      <c r="K38" s="226"/>
      <c r="L38" s="232"/>
      <c r="M38" s="232"/>
      <c r="N38" s="232"/>
      <c r="O38" s="232"/>
      <c r="P38" s="232"/>
      <c r="Q38" s="232"/>
      <c r="R38" s="232"/>
      <c r="S38" s="232"/>
    </row>
    <row r="39" spans="1:19">
      <c r="A39" s="199" t="str">
        <f>'BRSA Sorties '!C90</f>
        <v>OZCAN</v>
      </c>
      <c r="B39" s="199" t="str">
        <f>'BRSA Sorties '!D90</f>
        <v>Okan</v>
      </c>
      <c r="C39" s="199"/>
      <c r="D39" s="199"/>
      <c r="E39" s="199"/>
      <c r="F39" s="199"/>
      <c r="G39" s="199"/>
      <c r="H39" s="199"/>
      <c r="I39" s="225"/>
      <c r="J39" s="226"/>
      <c r="K39" s="226"/>
      <c r="L39" s="232"/>
      <c r="M39" s="232"/>
      <c r="N39" s="232"/>
      <c r="O39" s="232"/>
      <c r="P39" s="232"/>
      <c r="Q39" s="232"/>
      <c r="R39" s="232"/>
      <c r="S39" s="232"/>
    </row>
    <row r="40" spans="1:19">
      <c r="A40" s="199" t="str">
        <f>'BRSA Sorties '!C119</f>
        <v>OZCAN</v>
      </c>
      <c r="B40" s="199" t="str">
        <f>'BRSA Sorties '!D119</f>
        <v>Kamile</v>
      </c>
      <c r="C40" s="199"/>
      <c r="D40" s="199"/>
      <c r="E40" s="199"/>
      <c r="F40" s="199"/>
      <c r="G40" s="199"/>
      <c r="H40" s="199"/>
      <c r="I40" s="225"/>
      <c r="J40" s="226"/>
      <c r="K40" s="226"/>
      <c r="L40" s="232"/>
      <c r="M40" s="232"/>
      <c r="N40" s="232"/>
      <c r="O40" s="232"/>
      <c r="P40" s="232"/>
      <c r="Q40" s="232"/>
      <c r="R40" s="232"/>
      <c r="S40" s="232"/>
    </row>
    <row r="41" spans="1:19">
      <c r="A41" s="199" t="str">
        <f>'OYONNAX NANTUA'!C26</f>
        <v>OZDEMIR</v>
      </c>
      <c r="B41" s="199" t="str">
        <f>'OYONNAX NANTUA'!D26</f>
        <v>Songul</v>
      </c>
      <c r="C41" s="199"/>
      <c r="D41" s="199"/>
      <c r="E41" s="199"/>
      <c r="F41" s="199"/>
      <c r="G41" s="199"/>
      <c r="H41" s="199"/>
      <c r="I41" s="225" t="s">
        <v>743</v>
      </c>
      <c r="J41" s="227">
        <v>46134</v>
      </c>
      <c r="K41" s="226"/>
      <c r="L41" s="232"/>
      <c r="M41" s="232"/>
      <c r="N41" s="232"/>
      <c r="O41" s="232"/>
      <c r="P41" s="232"/>
      <c r="Q41" s="232"/>
      <c r="R41" s="232"/>
      <c r="S41" s="232"/>
    </row>
    <row r="42" spans="1:19">
      <c r="A42" s="199" t="str">
        <f>'BRSA Sorties '!C108</f>
        <v>OZDEMIR</v>
      </c>
      <c r="B42" s="199" t="str">
        <f>'BRSA Sorties '!D108</f>
        <v>Emine</v>
      </c>
      <c r="C42" s="199"/>
      <c r="D42" s="199"/>
      <c r="E42" s="199"/>
      <c r="F42" s="199"/>
      <c r="G42" s="199"/>
      <c r="H42" s="199"/>
      <c r="I42" s="225"/>
      <c r="J42" s="226"/>
      <c r="K42" s="226"/>
      <c r="L42" s="232"/>
      <c r="M42" s="232"/>
      <c r="N42" s="232"/>
      <c r="O42" s="232"/>
      <c r="P42" s="232"/>
      <c r="Q42" s="232"/>
      <c r="R42" s="232"/>
      <c r="S42" s="232"/>
    </row>
    <row r="43" spans="1:19">
      <c r="A43" s="199" t="str">
        <f>'BRSA Sorties '!C130</f>
        <v>OZER</v>
      </c>
      <c r="B43" s="199" t="str">
        <f>'BRSA Sorties '!D130</f>
        <v>Ismaïl</v>
      </c>
      <c r="C43" s="199"/>
      <c r="D43" s="199"/>
      <c r="E43" s="199"/>
      <c r="F43" s="199"/>
      <c r="G43" s="199"/>
      <c r="H43" s="199"/>
      <c r="I43" s="225"/>
      <c r="J43" s="226"/>
      <c r="K43" s="226"/>
      <c r="L43" s="232"/>
      <c r="M43" s="232"/>
      <c r="N43" s="232"/>
      <c r="O43" s="232"/>
      <c r="P43" s="232"/>
      <c r="Q43" s="232"/>
      <c r="R43" s="232"/>
      <c r="S43" s="232"/>
    </row>
    <row r="44" spans="1:19">
      <c r="A44" s="199" t="str">
        <f>'OYONNAX NANTUA'!C27</f>
        <v>OZKAN</v>
      </c>
      <c r="B44" s="199" t="str">
        <f>'OYONNAX NANTUA'!D27</f>
        <v>Nezahat</v>
      </c>
      <c r="C44" s="199"/>
      <c r="D44" s="199"/>
      <c r="E44" s="199"/>
      <c r="F44" s="199"/>
      <c r="G44" s="199"/>
      <c r="H44" s="199"/>
      <c r="I44" s="225" t="s">
        <v>743</v>
      </c>
      <c r="J44" s="227">
        <v>46125</v>
      </c>
      <c r="K44" s="226"/>
      <c r="L44" s="232"/>
      <c r="M44" s="232"/>
      <c r="N44" s="232"/>
      <c r="O44" s="232"/>
      <c r="P44" s="232"/>
      <c r="Q44" s="232"/>
      <c r="R44" s="232"/>
      <c r="S44" s="232"/>
    </row>
    <row r="45" spans="1:19">
      <c r="A45" s="199" t="str">
        <f>'OYONNAX NANTUA'!C28</f>
        <v>OZTURK</v>
      </c>
      <c r="B45" s="199" t="str">
        <f>'OYONNAX NANTUA'!D28</f>
        <v>Fatma</v>
      </c>
      <c r="C45" s="199"/>
      <c r="D45" s="199"/>
      <c r="E45" s="199"/>
      <c r="F45" s="199"/>
      <c r="G45" s="199"/>
      <c r="H45" s="199"/>
      <c r="I45" s="225" t="s">
        <v>743</v>
      </c>
      <c r="J45" s="227">
        <v>46115</v>
      </c>
      <c r="K45" s="226"/>
      <c r="L45" s="232"/>
      <c r="M45" s="232"/>
      <c r="N45" s="232"/>
      <c r="O45" s="232"/>
      <c r="P45" s="232"/>
      <c r="Q45" s="232"/>
      <c r="R45" s="232"/>
      <c r="S45" s="232"/>
    </row>
    <row r="46" spans="1:19">
      <c r="A46" s="199" t="str">
        <f>'BRSA Sorties '!C87</f>
        <v>POPRAWA</v>
      </c>
      <c r="B46" s="199" t="str">
        <f>'BRSA Sorties '!D87</f>
        <v>Renata</v>
      </c>
      <c r="C46" s="199"/>
      <c r="D46" s="199"/>
      <c r="E46" s="199"/>
      <c r="F46" s="199"/>
      <c r="G46" s="199"/>
      <c r="H46" s="199"/>
      <c r="I46" s="225"/>
      <c r="J46" s="226"/>
      <c r="K46" s="226"/>
      <c r="L46" s="232"/>
      <c r="M46" s="232"/>
      <c r="N46" s="232"/>
      <c r="O46" s="232"/>
      <c r="P46" s="232"/>
      <c r="Q46" s="232"/>
      <c r="R46" s="232"/>
      <c r="S46" s="232"/>
    </row>
    <row r="47" spans="1:19">
      <c r="A47" s="199" t="str">
        <f>'BRSA Sorties '!C105</f>
        <v>ROSELL</v>
      </c>
      <c r="B47" s="199" t="str">
        <f>'BRSA Sorties '!D105</f>
        <v>Thibault</v>
      </c>
      <c r="C47" s="199"/>
      <c r="D47" s="199"/>
      <c r="E47" s="199"/>
      <c r="F47" s="199"/>
      <c r="G47" s="199"/>
      <c r="H47" s="199"/>
      <c r="I47" s="225"/>
      <c r="J47" s="226"/>
      <c r="K47" s="226"/>
      <c r="L47" s="232"/>
      <c r="M47" s="232"/>
      <c r="N47" s="232"/>
      <c r="O47" s="232"/>
      <c r="P47" s="232"/>
      <c r="Q47" s="232"/>
      <c r="R47" s="232"/>
      <c r="S47" s="232"/>
    </row>
    <row r="48" spans="1:19">
      <c r="A48" s="199" t="str">
        <f>'OYONNAX NANTUA'!C29</f>
        <v>SAFI</v>
      </c>
      <c r="B48" s="199" t="str">
        <f>'OYONNAX NANTUA'!D29</f>
        <v>Abdul</v>
      </c>
      <c r="C48" s="199"/>
      <c r="D48" s="199"/>
      <c r="E48" s="199"/>
      <c r="F48" s="199"/>
      <c r="G48" s="199"/>
      <c r="H48" s="199"/>
      <c r="I48" s="225"/>
      <c r="J48" s="226"/>
      <c r="K48" s="226"/>
      <c r="L48" s="232"/>
      <c r="M48" s="232"/>
      <c r="N48" s="232"/>
      <c r="O48" s="232"/>
      <c r="P48" s="232"/>
      <c r="Q48" s="232"/>
      <c r="R48" s="232"/>
      <c r="S48" s="232"/>
    </row>
    <row r="49" spans="1:19">
      <c r="A49" s="199" t="str">
        <f>'OYONNAX NANTUA'!C30</f>
        <v>SARROUKH</v>
      </c>
      <c r="B49" s="199" t="str">
        <f>'OYONNAX NANTUA'!D30</f>
        <v>Mohcine</v>
      </c>
      <c r="C49" s="199"/>
      <c r="D49" s="199"/>
      <c r="E49" s="199"/>
      <c r="F49" s="199"/>
      <c r="G49" s="199"/>
      <c r="H49" s="199"/>
      <c r="I49" s="225"/>
      <c r="J49" s="226"/>
      <c r="K49" s="226"/>
      <c r="L49" s="232"/>
      <c r="M49" s="232"/>
      <c r="N49" s="232"/>
      <c r="O49" s="232"/>
      <c r="P49" s="232"/>
      <c r="Q49" s="232"/>
      <c r="R49" s="232"/>
      <c r="S49" s="232"/>
    </row>
    <row r="50" spans="1:19">
      <c r="A50" s="199" t="str">
        <f>'BRSA Sorties '!C133</f>
        <v>SMAAL</v>
      </c>
      <c r="B50" s="199" t="str">
        <f>'BRSA Sorties '!D133</f>
        <v>Samir</v>
      </c>
      <c r="C50" s="199"/>
      <c r="D50" s="199"/>
      <c r="E50" s="199"/>
      <c r="F50" s="199"/>
      <c r="G50" s="199"/>
      <c r="H50" s="199"/>
      <c r="I50" s="225"/>
      <c r="J50" s="226"/>
      <c r="K50" s="226"/>
      <c r="L50" s="232"/>
      <c r="M50" s="232"/>
      <c r="N50" s="232"/>
      <c r="O50" s="232"/>
      <c r="P50" s="232"/>
      <c r="Q50" s="232"/>
      <c r="R50" s="232"/>
      <c r="S50" s="232"/>
    </row>
    <row r="51" spans="1:19">
      <c r="A51" s="199" t="str">
        <f>'OYONNAX NANTUA'!C31</f>
        <v>TARDY</v>
      </c>
      <c r="B51" s="199" t="str">
        <f>'OYONNAX NANTUA'!D31</f>
        <v>Anaïs</v>
      </c>
      <c r="C51" s="199"/>
      <c r="D51" s="199"/>
      <c r="E51" s="199"/>
      <c r="F51" s="199"/>
      <c r="G51" s="199"/>
      <c r="H51" s="199"/>
      <c r="I51" s="225"/>
      <c r="J51" s="227">
        <v>46129</v>
      </c>
      <c r="K51" s="226"/>
      <c r="L51" s="232"/>
      <c r="M51" s="232"/>
      <c r="N51" s="232"/>
      <c r="O51" s="232"/>
      <c r="P51" s="232"/>
      <c r="Q51" s="232"/>
      <c r="R51" s="232"/>
      <c r="S51" s="232"/>
    </row>
    <row r="52" spans="1:19">
      <c r="A52" s="199" t="str">
        <f>'BRSA Sorties '!C159</f>
        <v>TECHER</v>
      </c>
      <c r="B52" s="199" t="str">
        <f>'BRSA Sorties '!D159</f>
        <v>Anaelle</v>
      </c>
      <c r="C52" s="199"/>
      <c r="D52" s="199"/>
      <c r="E52" s="199"/>
      <c r="F52" s="199"/>
      <c r="G52" s="199"/>
      <c r="H52" s="199">
        <v>1</v>
      </c>
      <c r="I52" s="225" t="s">
        <v>743</v>
      </c>
      <c r="J52" s="227">
        <v>46125</v>
      </c>
      <c r="K52" s="226"/>
      <c r="L52" s="232"/>
      <c r="M52" s="232"/>
      <c r="N52" s="232"/>
      <c r="O52" s="232"/>
      <c r="P52" s="232"/>
      <c r="Q52" s="232"/>
      <c r="R52" s="232"/>
      <c r="S52" s="232"/>
    </row>
    <row r="53" spans="1:19">
      <c r="A53" s="199" t="str">
        <f>'BRSA Sorties '!C86</f>
        <v>TORRES</v>
      </c>
      <c r="B53" s="199" t="str">
        <f>'BRSA Sorties '!D86</f>
        <v>Vicente</v>
      </c>
      <c r="C53" s="199"/>
      <c r="D53" s="199"/>
      <c r="E53" s="199"/>
      <c r="F53" s="199"/>
      <c r="G53" s="199"/>
      <c r="H53" s="199"/>
      <c r="I53" s="225" t="s">
        <v>33</v>
      </c>
      <c r="J53" s="227">
        <v>46113</v>
      </c>
      <c r="K53" s="226"/>
      <c r="L53" s="232"/>
      <c r="M53" s="232"/>
      <c r="N53" s="232"/>
      <c r="O53" s="232"/>
      <c r="P53" s="232"/>
      <c r="Q53" s="232"/>
      <c r="R53" s="232"/>
      <c r="S53" s="232"/>
    </row>
    <row r="54" spans="1:19">
      <c r="A54" s="199" t="str">
        <f>'BRSA Sorties '!C129</f>
        <v>BEN EMBARECK</v>
      </c>
      <c r="B54" s="199" t="str">
        <f>'BRSA Sorties '!D129</f>
        <v>Wassila</v>
      </c>
      <c r="C54" s="199"/>
      <c r="D54" s="199"/>
      <c r="E54" s="199"/>
      <c r="F54" s="199"/>
      <c r="G54" s="199"/>
      <c r="H54" s="199"/>
      <c r="I54" s="225"/>
      <c r="J54" s="226"/>
      <c r="K54" s="226"/>
      <c r="L54" s="232"/>
      <c r="M54" s="232"/>
      <c r="N54" s="232"/>
      <c r="O54" s="232"/>
      <c r="P54" s="232"/>
      <c r="Q54" s="232"/>
      <c r="R54" s="232"/>
      <c r="S54" s="232"/>
    </row>
    <row r="55" spans="1:19">
      <c r="A55" s="199" t="str">
        <f>'OYONNAX NANTUA'!C32</f>
        <v>URCEL</v>
      </c>
      <c r="B55" s="199" t="str">
        <f>'OYONNAX NANTUA'!D32</f>
        <v>Steve</v>
      </c>
      <c r="C55" s="199"/>
      <c r="D55" s="199"/>
      <c r="E55" s="199"/>
      <c r="F55" s="199"/>
      <c r="G55" s="199"/>
      <c r="H55" s="199"/>
      <c r="I55" s="225"/>
      <c r="J55" s="226"/>
      <c r="K55" s="226"/>
      <c r="L55" s="232"/>
      <c r="M55" s="232"/>
      <c r="N55" s="232"/>
      <c r="O55" s="232"/>
      <c r="P55" s="232"/>
      <c r="Q55" s="232"/>
      <c r="R55" s="232"/>
      <c r="S55" s="232"/>
    </row>
    <row r="56" spans="1:19">
      <c r="A56" s="199" t="str">
        <f>'BRSA Sorties '!C116</f>
        <v>VENOT</v>
      </c>
      <c r="B56" s="199" t="str">
        <f>'BRSA Sorties '!D116</f>
        <v>Emilie</v>
      </c>
      <c r="C56" s="199"/>
      <c r="D56" s="199"/>
      <c r="E56" s="199"/>
      <c r="F56" s="199"/>
      <c r="G56" s="199"/>
      <c r="H56" s="199"/>
      <c r="I56" s="225"/>
      <c r="J56" s="226"/>
      <c r="K56" s="226"/>
      <c r="L56" s="232"/>
      <c r="M56" s="232"/>
      <c r="N56" s="232"/>
      <c r="O56" s="232"/>
      <c r="P56" s="232"/>
      <c r="Q56" s="232"/>
      <c r="R56" s="232"/>
      <c r="S56" s="232"/>
    </row>
    <row r="57" spans="1:19">
      <c r="A57" s="199" t="str">
        <f>'OYONNAX NANTUA'!C23</f>
        <v>LAMBREZ</v>
      </c>
      <c r="B57" s="199" t="str">
        <f>'OYONNAX NANTUA'!D23</f>
        <v>Angélique</v>
      </c>
      <c r="C57" s="199"/>
      <c r="D57" s="199"/>
      <c r="E57" s="199"/>
      <c r="F57" s="199"/>
      <c r="G57" s="199"/>
      <c r="H57" s="199"/>
      <c r="I57" s="225" t="s">
        <v>743</v>
      </c>
      <c r="J57" s="227">
        <v>46126</v>
      </c>
      <c r="K57" s="226"/>
      <c r="L57" s="232"/>
      <c r="M57" s="232"/>
      <c r="N57" s="232"/>
      <c r="O57" s="232"/>
      <c r="P57" s="232"/>
      <c r="Q57" s="232"/>
      <c r="R57" s="232"/>
      <c r="S57" s="232"/>
    </row>
    <row r="58" spans="1:19">
      <c r="A58" s="199" t="str">
        <f>'BRSA Sorties '!C138</f>
        <v>HASANI</v>
      </c>
      <c r="B58" s="199" t="str">
        <f>'BRSA Sorties '!D138</f>
        <v>Gazmend</v>
      </c>
      <c r="C58" s="199"/>
      <c r="D58" s="199"/>
      <c r="E58" s="199"/>
      <c r="F58" s="199"/>
      <c r="G58" s="199"/>
      <c r="H58" s="199"/>
      <c r="I58" s="225"/>
      <c r="J58" s="226"/>
      <c r="K58" s="226"/>
      <c r="L58" s="232"/>
      <c r="M58" s="232"/>
      <c r="N58" s="232"/>
      <c r="O58" s="232"/>
      <c r="P58" s="232"/>
      <c r="Q58" s="232"/>
      <c r="R58" s="232"/>
      <c r="S58" s="232"/>
    </row>
    <row r="59" spans="1:19">
      <c r="A59" s="199" t="str">
        <f>'BRSA Sorties '!C109</f>
        <v>ONCUL</v>
      </c>
      <c r="B59" s="199" t="str">
        <f>'BRSA Sorties '!D109</f>
        <v>Samet</v>
      </c>
      <c r="C59" s="199"/>
      <c r="D59" s="199"/>
      <c r="E59" s="199"/>
      <c r="F59" s="199"/>
      <c r="G59" s="199"/>
      <c r="H59" s="199"/>
      <c r="I59" s="225"/>
      <c r="J59" s="226"/>
      <c r="K59" s="226"/>
      <c r="L59" s="232"/>
      <c r="M59" s="232"/>
      <c r="N59" s="232"/>
      <c r="O59" s="232"/>
      <c r="P59" s="232"/>
      <c r="Q59" s="232"/>
      <c r="R59" s="232"/>
      <c r="S59" s="232"/>
    </row>
    <row r="60" spans="1:19">
      <c r="A60" s="199" t="str">
        <f>'OYONNAX NANTUA'!C33</f>
        <v>AKAKHIL</v>
      </c>
      <c r="B60" s="199" t="str">
        <f>'OYONNAX NANTUA'!D33</f>
        <v>Mohammed</v>
      </c>
      <c r="C60" s="199"/>
      <c r="D60" s="199"/>
      <c r="E60" s="199"/>
      <c r="F60" s="199"/>
      <c r="G60" s="199"/>
      <c r="H60" s="199"/>
      <c r="I60" s="225"/>
      <c r="J60" s="226"/>
      <c r="K60" s="226"/>
      <c r="L60" s="232"/>
      <c r="M60" s="232"/>
      <c r="N60" s="232"/>
      <c r="O60" s="232"/>
      <c r="P60" s="232"/>
      <c r="Q60" s="232"/>
      <c r="R60" s="232"/>
      <c r="S60" s="232"/>
    </row>
    <row r="61" spans="1:19">
      <c r="A61" s="199" t="str">
        <f>'BRSA Sorties '!C118</f>
        <v>KHAROUNI</v>
      </c>
      <c r="B61" s="199" t="str">
        <f>'BRSA Sorties '!D118</f>
        <v>Kaïna</v>
      </c>
      <c r="C61" s="199"/>
      <c r="D61" s="199"/>
      <c r="E61" s="199"/>
      <c r="F61" s="199"/>
      <c r="G61" s="199"/>
      <c r="H61" s="199"/>
      <c r="I61" s="225" t="s">
        <v>749</v>
      </c>
      <c r="J61" s="226"/>
      <c r="K61" s="226"/>
      <c r="L61" s="232"/>
      <c r="M61" s="232"/>
      <c r="N61" s="232"/>
      <c r="O61" s="232"/>
      <c r="P61" s="232"/>
      <c r="Q61" s="232"/>
      <c r="R61" s="232"/>
      <c r="S61" s="232"/>
    </row>
    <row r="62" spans="1:19">
      <c r="A62" s="199" t="str">
        <f>'OYONNAX NANTUA'!C34</f>
        <v>GUERIAUD</v>
      </c>
      <c r="B62" s="199" t="str">
        <f>'OYONNAX NANTUA'!D34</f>
        <v>Sabrina</v>
      </c>
      <c r="C62" s="199"/>
      <c r="D62" s="199"/>
      <c r="E62" s="199"/>
      <c r="F62" s="199"/>
      <c r="G62" s="199"/>
      <c r="H62" s="199">
        <v>1</v>
      </c>
      <c r="I62" s="225" t="s">
        <v>743</v>
      </c>
      <c r="J62" s="227">
        <v>46164</v>
      </c>
      <c r="K62" s="226"/>
      <c r="L62" s="232"/>
      <c r="M62" s="232"/>
      <c r="N62" s="232"/>
      <c r="O62" s="232"/>
      <c r="P62" s="232"/>
      <c r="Q62" s="232"/>
      <c r="R62" s="232"/>
      <c r="S62" s="232"/>
    </row>
    <row r="63" spans="1:19">
      <c r="A63" s="199" t="str">
        <f>'OYONNAX NANTUA'!C35</f>
        <v>BELHASSAN</v>
      </c>
      <c r="B63" s="199" t="str">
        <f>'OYONNAX NANTUA'!D35</f>
        <v>Ilham</v>
      </c>
      <c r="C63" s="199"/>
      <c r="D63" s="199"/>
      <c r="E63" s="199"/>
      <c r="F63" s="199"/>
      <c r="G63" s="199"/>
      <c r="H63" s="199"/>
      <c r="I63" s="225"/>
      <c r="J63" s="226"/>
      <c r="K63" s="226"/>
      <c r="L63" s="232"/>
      <c r="M63" s="232"/>
      <c r="N63" s="232"/>
      <c r="O63" s="232"/>
      <c r="P63" s="232"/>
      <c r="Q63" s="232"/>
      <c r="R63" s="232"/>
      <c r="S63" s="232"/>
    </row>
    <row r="64" spans="1:19">
      <c r="A64" s="199" t="str">
        <f>'BRSA Sorties '!C100</f>
        <v>TEKELI</v>
      </c>
      <c r="B64" s="199" t="str">
        <f>'BRSA Sorties '!D100</f>
        <v>Atilyahan</v>
      </c>
      <c r="C64" s="199"/>
      <c r="D64" s="199"/>
      <c r="E64" s="199"/>
      <c r="F64" s="199"/>
      <c r="G64" s="199"/>
      <c r="H64" s="199"/>
      <c r="I64" s="225"/>
      <c r="J64" s="226"/>
      <c r="K64" s="226"/>
      <c r="L64" s="232"/>
      <c r="M64" s="232"/>
      <c r="N64" s="232"/>
      <c r="O64" s="232"/>
      <c r="P64" s="232"/>
      <c r="Q64" s="232"/>
      <c r="R64" s="232"/>
      <c r="S64" s="232"/>
    </row>
    <row r="65" spans="1:19">
      <c r="A65" s="199" t="str">
        <f>'BRSA Sorties '!C102</f>
        <v>GELAJ</v>
      </c>
      <c r="B65" s="199" t="str">
        <f>'BRSA Sorties '!D102</f>
        <v>Bekim</v>
      </c>
      <c r="C65" s="199"/>
      <c r="D65" s="199"/>
      <c r="E65" s="199"/>
      <c r="F65" s="199"/>
      <c r="G65" s="199"/>
      <c r="H65" s="199"/>
      <c r="I65" s="225"/>
      <c r="J65" s="226"/>
      <c r="K65" s="226"/>
      <c r="L65" s="232"/>
      <c r="M65" s="232"/>
      <c r="N65" s="232"/>
      <c r="O65" s="232"/>
      <c r="P65" s="232"/>
      <c r="Q65" s="232"/>
      <c r="R65" s="232"/>
      <c r="S65" s="232"/>
    </row>
    <row r="66" spans="1:19">
      <c r="A66" s="199" t="str">
        <f>'BRSA Sorties '!C117</f>
        <v>RIVIERE</v>
      </c>
      <c r="B66" s="199" t="str">
        <f>'BRSA Sorties '!D117</f>
        <v>Cindy</v>
      </c>
      <c r="C66" s="199"/>
      <c r="D66" s="199"/>
      <c r="E66" s="199"/>
      <c r="F66" s="199"/>
      <c r="G66" s="199"/>
      <c r="H66" s="199"/>
      <c r="I66" s="225" t="s">
        <v>743</v>
      </c>
      <c r="J66" s="227">
        <v>46122</v>
      </c>
      <c r="K66" s="226"/>
      <c r="L66" s="232"/>
      <c r="M66" s="232"/>
      <c r="N66" s="232"/>
      <c r="O66" s="232"/>
      <c r="P66" s="232"/>
      <c r="Q66" s="232"/>
      <c r="R66" s="232"/>
      <c r="S66" s="232"/>
    </row>
    <row r="67" spans="1:19">
      <c r="A67" s="199" t="str">
        <f>'BRSA Sorties '!C82</f>
        <v xml:space="preserve">NEUVILLE </v>
      </c>
      <c r="B67" s="199" t="str">
        <f>'BRSA Sorties '!D82</f>
        <v>ALLAN</v>
      </c>
      <c r="C67" s="199"/>
      <c r="D67" s="199"/>
      <c r="E67" s="199"/>
      <c r="F67" s="199"/>
      <c r="G67" s="199"/>
      <c r="H67" s="199"/>
      <c r="I67" s="225"/>
      <c r="J67" s="226"/>
      <c r="K67" s="226"/>
      <c r="L67" s="232"/>
      <c r="M67" s="232"/>
      <c r="N67" s="232"/>
      <c r="O67" s="232"/>
      <c r="P67" s="232"/>
      <c r="Q67" s="232"/>
      <c r="R67" s="232"/>
      <c r="S67" s="232"/>
    </row>
    <row r="68" spans="1:19">
      <c r="A68" s="199" t="str">
        <f>'BRSA Sorties '!C145</f>
        <v>KAPTAN</v>
      </c>
      <c r="B68" s="199" t="str">
        <f>'BRSA Sorties '!D145</f>
        <v>Ridvan</v>
      </c>
      <c r="C68" s="199"/>
      <c r="D68" s="199"/>
      <c r="E68" s="199"/>
      <c r="F68" s="199"/>
      <c r="G68" s="199"/>
      <c r="H68" s="199"/>
      <c r="I68" s="225"/>
      <c r="J68" s="226"/>
      <c r="K68" s="226"/>
      <c r="L68" s="232"/>
      <c r="M68" s="232"/>
      <c r="N68" s="232"/>
      <c r="O68" s="232"/>
      <c r="P68" s="232"/>
      <c r="Q68" s="232"/>
      <c r="R68" s="232"/>
      <c r="S68" s="232"/>
    </row>
    <row r="69" spans="1:19">
      <c r="A69" s="199" t="str">
        <f>'BRSA Sorties '!C103</f>
        <v>ONCU</v>
      </c>
      <c r="B69" s="199" t="str">
        <f>'BRSA Sorties '!D103</f>
        <v>ONDER</v>
      </c>
      <c r="C69" s="199"/>
      <c r="D69" s="199"/>
      <c r="E69" s="199"/>
      <c r="F69" s="199"/>
      <c r="G69" s="199"/>
      <c r="H69" s="199"/>
      <c r="I69" s="225"/>
      <c r="J69" s="226"/>
      <c r="K69" s="226"/>
      <c r="L69" s="232"/>
      <c r="M69" s="232"/>
      <c r="N69" s="232"/>
      <c r="O69" s="232"/>
      <c r="P69" s="232"/>
      <c r="Q69" s="232"/>
      <c r="R69" s="232"/>
      <c r="S69" s="232"/>
    </row>
    <row r="70" spans="1:19">
      <c r="A70" s="199" t="str">
        <f>'BRSA Sorties '!C104</f>
        <v>SULTANKHEL</v>
      </c>
      <c r="B70" s="199" t="str">
        <f>'BRSA Sorties '!D104</f>
        <v>SAMIULLAH</v>
      </c>
      <c r="C70" s="199"/>
      <c r="D70" s="199"/>
      <c r="E70" s="199"/>
      <c r="F70" s="199"/>
      <c r="G70" s="199"/>
      <c r="H70" s="199"/>
      <c r="I70" s="225"/>
      <c r="J70" s="226"/>
      <c r="K70" s="226"/>
      <c r="L70" s="232"/>
      <c r="M70" s="232"/>
      <c r="N70" s="232"/>
      <c r="O70" s="232"/>
      <c r="P70" s="232"/>
      <c r="Q70" s="232"/>
      <c r="R70" s="232"/>
      <c r="S70" s="232"/>
    </row>
    <row r="71" spans="1:19">
      <c r="A71" s="199" t="str">
        <f>'BRSA Sorties '!C120</f>
        <v>ROCHELLE</v>
      </c>
      <c r="B71" s="199" t="str">
        <f>'BRSA Sorties '!D120</f>
        <v>PATRICIA</v>
      </c>
      <c r="C71" s="199"/>
      <c r="D71" s="199"/>
      <c r="E71" s="199"/>
      <c r="F71" s="199"/>
      <c r="G71" s="199"/>
      <c r="H71" s="199"/>
      <c r="I71" s="225"/>
      <c r="J71" s="226"/>
      <c r="K71" s="226"/>
      <c r="L71" s="232"/>
      <c r="M71" s="232"/>
      <c r="N71" s="232"/>
      <c r="O71" s="232"/>
      <c r="P71" s="232"/>
      <c r="Q71" s="232"/>
      <c r="R71" s="232"/>
      <c r="S71" s="232"/>
    </row>
    <row r="72" spans="1:19">
      <c r="A72" s="199" t="str">
        <f>'BRSA Sorties '!C101</f>
        <v>CLERMONT</v>
      </c>
      <c r="B72" s="199" t="str">
        <f>'BRSA Sorties '!D101</f>
        <v>CHRISTIAN</v>
      </c>
      <c r="C72" s="199"/>
      <c r="D72" s="199"/>
      <c r="E72" s="199"/>
      <c r="F72" s="199"/>
      <c r="G72" s="199"/>
      <c r="H72" s="199"/>
      <c r="I72" s="225"/>
      <c r="J72" s="226"/>
      <c r="K72" s="226"/>
      <c r="L72" s="232"/>
      <c r="M72" s="232"/>
      <c r="N72" s="232"/>
      <c r="O72" s="232"/>
      <c r="P72" s="232"/>
      <c r="Q72" s="232"/>
      <c r="R72" s="232"/>
      <c r="S72" s="232"/>
    </row>
    <row r="73" spans="1:19">
      <c r="A73" s="199" t="str">
        <f>'BRSA Sorties '!C110</f>
        <v xml:space="preserve">ANNOUR ALI// ABDALLAH  ABDRAMANE </v>
      </c>
      <c r="B73" s="199" t="str">
        <f>'BRSA Sorties '!D110</f>
        <v>MARIAM</v>
      </c>
      <c r="C73" s="199"/>
      <c r="D73" s="199"/>
      <c r="E73" s="199"/>
      <c r="F73" s="199"/>
      <c r="G73" s="199"/>
      <c r="H73" s="199"/>
      <c r="I73" s="225"/>
      <c r="J73" s="226"/>
      <c r="K73" s="226"/>
      <c r="L73" s="232"/>
      <c r="M73" s="232"/>
      <c r="N73" s="232"/>
      <c r="O73" s="232"/>
      <c r="P73" s="232"/>
      <c r="Q73" s="232"/>
      <c r="R73" s="232"/>
      <c r="S73" s="232"/>
    </row>
    <row r="74" spans="1:19">
      <c r="A74" s="199" t="str">
        <f>'BRSA Sorties '!C139</f>
        <v xml:space="preserve">CHERIFI </v>
      </c>
      <c r="B74" s="199" t="str">
        <f>'BRSA Sorties '!D139</f>
        <v>HAMZA</v>
      </c>
      <c r="C74" s="199"/>
      <c r="D74" s="199"/>
      <c r="E74" s="199"/>
      <c r="F74" s="199"/>
      <c r="G74" s="199"/>
      <c r="H74" s="199"/>
      <c r="I74" s="225"/>
      <c r="J74" s="226"/>
      <c r="K74" s="226"/>
      <c r="L74" s="232"/>
      <c r="M74" s="232"/>
      <c r="N74" s="232"/>
      <c r="O74" s="232"/>
      <c r="P74" s="232"/>
      <c r="Q74" s="232"/>
      <c r="R74" s="232"/>
      <c r="S74" s="232"/>
    </row>
    <row r="75" spans="1:19">
      <c r="A75" s="199" t="str">
        <f>'OYONNAX NANTUA'!C36</f>
        <v>LEGGUI</v>
      </c>
      <c r="B75" s="199" t="str">
        <f>'OYONNAX NANTUA'!D36</f>
        <v>HAFIDA</v>
      </c>
      <c r="C75" s="199"/>
      <c r="D75" s="199"/>
      <c r="E75" s="199"/>
      <c r="F75" s="199"/>
      <c r="G75" s="199"/>
      <c r="H75" s="199"/>
      <c r="I75" s="225"/>
      <c r="J75" s="226"/>
      <c r="K75" s="226"/>
      <c r="L75" s="232"/>
      <c r="M75" s="232"/>
      <c r="N75" s="232"/>
      <c r="O75" s="232"/>
      <c r="P75" s="232"/>
      <c r="Q75" s="232"/>
      <c r="R75" s="232"/>
      <c r="S75" s="232"/>
    </row>
    <row r="76" spans="1:19">
      <c r="A76" s="199" t="str">
        <f>'BRSA Sorties '!C106</f>
        <v>NUNES GOUVEIA</v>
      </c>
      <c r="B76" s="199" t="str">
        <f>'BRSA Sorties '!D106</f>
        <v>SABRINA</v>
      </c>
      <c r="C76" s="199"/>
      <c r="D76" s="199"/>
      <c r="E76" s="199"/>
      <c r="F76" s="199"/>
      <c r="G76" s="199"/>
      <c r="H76" s="199"/>
      <c r="I76" s="225"/>
      <c r="J76" s="226"/>
      <c r="K76" s="226"/>
      <c r="L76" s="232"/>
      <c r="M76" s="232"/>
      <c r="N76" s="232"/>
      <c r="O76" s="232"/>
      <c r="P76" s="232"/>
      <c r="Q76" s="232"/>
      <c r="R76" s="232"/>
      <c r="S76" s="232"/>
    </row>
    <row r="77" spans="1:19">
      <c r="A77" s="199" t="str">
        <f>'BRSA Sorties '!C111</f>
        <v>GONNETAN</v>
      </c>
      <c r="B77" s="199" t="str">
        <f>'BRSA Sorties '!D111</f>
        <v>PIERRE</v>
      </c>
      <c r="C77" s="199"/>
      <c r="D77" s="199"/>
      <c r="E77" s="199"/>
      <c r="F77" s="199"/>
      <c r="G77" s="199"/>
      <c r="H77" s="199"/>
      <c r="I77" s="225"/>
      <c r="J77" s="226"/>
      <c r="K77" s="226"/>
      <c r="L77" s="232"/>
      <c r="M77" s="232"/>
      <c r="N77" s="232"/>
      <c r="O77" s="232"/>
      <c r="P77" s="232"/>
      <c r="Q77" s="232"/>
      <c r="R77" s="232"/>
      <c r="S77" s="232"/>
    </row>
    <row r="78" spans="1:19">
      <c r="A78" s="199" t="str">
        <f>'BRSA Sorties '!C115</f>
        <v>BANDATIA</v>
      </c>
      <c r="B78" s="199" t="str">
        <f>'BRSA Sorties '!D115</f>
        <v>ULRICH</v>
      </c>
      <c r="C78" s="199"/>
      <c r="D78" s="199"/>
      <c r="E78" s="199"/>
      <c r="F78" s="199"/>
      <c r="G78" s="199"/>
      <c r="H78" s="199"/>
      <c r="I78" s="225"/>
      <c r="J78" s="226"/>
      <c r="K78" s="226"/>
      <c r="L78" s="232"/>
      <c r="M78" s="232"/>
      <c r="N78" s="232"/>
      <c r="O78" s="232"/>
      <c r="P78" s="232"/>
      <c r="Q78" s="232"/>
      <c r="R78" s="232"/>
      <c r="S78" s="232"/>
    </row>
    <row r="79" spans="1:19">
      <c r="A79" s="199" t="str">
        <f>'OYONNAX NANTUA'!C37</f>
        <v>BENHAMED</v>
      </c>
      <c r="B79" s="199" t="str">
        <f>'OYONNAX NANTUA'!D37</f>
        <v>ZIED</v>
      </c>
      <c r="C79" s="199"/>
      <c r="D79" s="199"/>
      <c r="E79" s="199"/>
      <c r="F79" s="199"/>
      <c r="G79" s="199"/>
      <c r="H79" s="199"/>
      <c r="I79" s="225"/>
      <c r="J79" s="226"/>
      <c r="K79" s="226"/>
      <c r="L79" s="232"/>
      <c r="M79" s="232"/>
      <c r="N79" s="232"/>
      <c r="O79" s="232"/>
      <c r="P79" s="232"/>
      <c r="Q79" s="232"/>
      <c r="R79" s="232"/>
      <c r="S79" s="232"/>
    </row>
    <row r="80" spans="1:19">
      <c r="A80" s="199" t="str">
        <f>'BRSA Sorties '!C122</f>
        <v>DERRIEN</v>
      </c>
      <c r="B80" s="199" t="str">
        <f>'BRSA Sorties '!D122</f>
        <v>BRYCE</v>
      </c>
      <c r="C80" s="199"/>
      <c r="D80" s="199"/>
      <c r="E80" s="199"/>
      <c r="F80" s="199"/>
      <c r="G80" s="199"/>
      <c r="H80" s="199"/>
      <c r="I80" s="225"/>
      <c r="J80" s="226"/>
      <c r="K80" s="226"/>
      <c r="L80" s="232"/>
      <c r="M80" s="232"/>
      <c r="N80" s="232"/>
      <c r="O80" s="232"/>
      <c r="P80" s="232"/>
      <c r="Q80" s="232"/>
      <c r="R80" s="232"/>
      <c r="S80" s="232"/>
    </row>
    <row r="81" spans="1:19" s="371" customFormat="1">
      <c r="A81" s="366" t="str">
        <f>'OYONNAX NANTUA'!C38</f>
        <v>SIOUDA</v>
      </c>
      <c r="B81" s="366" t="str">
        <f>'OYONNAX NANTUA'!D38</f>
        <v>OUSSAMA</v>
      </c>
      <c r="C81" s="366"/>
      <c r="D81" s="366"/>
      <c r="E81" s="366"/>
      <c r="F81" s="366" t="s">
        <v>849</v>
      </c>
      <c r="G81" s="366"/>
      <c r="H81" s="366"/>
      <c r="I81" s="396"/>
      <c r="J81" s="366"/>
      <c r="K81" s="366"/>
      <c r="L81" s="366"/>
      <c r="M81" s="366"/>
      <c r="N81" s="366"/>
      <c r="O81" s="366"/>
      <c r="P81" s="366"/>
      <c r="Q81" s="366"/>
      <c r="R81" s="366"/>
      <c r="S81" s="366"/>
    </row>
    <row r="82" spans="1:19">
      <c r="A82" s="199" t="str">
        <f>'BRSA Sorties '!C143</f>
        <v>NEUVILLE</v>
      </c>
      <c r="B82" s="199" t="str">
        <f>'BRSA Sorties '!D143</f>
        <v>Mickael </v>
      </c>
      <c r="C82" s="199"/>
      <c r="D82" s="199"/>
      <c r="E82" s="199"/>
      <c r="F82" s="199"/>
      <c r="G82" s="199"/>
      <c r="H82" s="199"/>
      <c r="I82" s="225"/>
      <c r="J82" s="226"/>
      <c r="K82" s="226"/>
      <c r="L82" s="232"/>
      <c r="M82" s="232"/>
      <c r="N82" s="232"/>
      <c r="O82" s="232"/>
      <c r="P82" s="232"/>
      <c r="Q82" s="232"/>
      <c r="R82" s="232"/>
      <c r="S82" s="232"/>
    </row>
    <row r="83" spans="1:19">
      <c r="A83" s="199" t="str">
        <f>'BRSA Sorties '!C89</f>
        <v>TOURNERY</v>
      </c>
      <c r="B83" s="199" t="str">
        <f>'BRSA Sorties '!D89</f>
        <v>PIERRE-LOU</v>
      </c>
      <c r="C83" s="199"/>
      <c r="D83" s="199"/>
      <c r="E83" s="199"/>
      <c r="F83" s="199"/>
      <c r="G83" s="199"/>
      <c r="H83" s="199"/>
      <c r="I83" s="225"/>
      <c r="J83" s="226"/>
      <c r="K83" s="226"/>
      <c r="L83" s="232"/>
      <c r="M83" s="232"/>
      <c r="N83" s="232"/>
      <c r="O83" s="232"/>
      <c r="P83" s="232"/>
      <c r="Q83" s="232"/>
      <c r="R83" s="232"/>
      <c r="S83" s="232"/>
    </row>
    <row r="84" spans="1:19">
      <c r="A84" s="199" t="str">
        <f>'BRSA Sorties '!C156</f>
        <v>MARCHAND/BOUAKKAZ</v>
      </c>
      <c r="B84" s="199" t="str">
        <f>'BRSA Sorties '!D156</f>
        <v>DJIDA</v>
      </c>
      <c r="C84" s="199"/>
      <c r="D84" s="199"/>
      <c r="E84" s="199"/>
      <c r="F84" s="199"/>
      <c r="G84" s="199"/>
      <c r="H84" s="199"/>
      <c r="I84" s="225"/>
      <c r="J84" s="226"/>
      <c r="K84" s="226"/>
      <c r="L84" s="232"/>
      <c r="M84" s="232"/>
      <c r="N84" s="232"/>
      <c r="O84" s="232"/>
      <c r="P84" s="232"/>
      <c r="Q84" s="232"/>
      <c r="R84" s="232"/>
      <c r="S84" s="232"/>
    </row>
    <row r="85" spans="1:19">
      <c r="A85" s="199" t="str">
        <f>'BRSA Sorties '!C85</f>
        <v>YILDIRIM</v>
      </c>
      <c r="B85" s="199" t="str">
        <f>'BRSA Sorties '!D85</f>
        <v>AMINA</v>
      </c>
      <c r="C85" s="199"/>
      <c r="D85" s="199"/>
      <c r="E85" s="199"/>
      <c r="F85" s="199"/>
      <c r="G85" s="199"/>
      <c r="H85" s="199"/>
      <c r="I85" s="225"/>
      <c r="J85" s="229"/>
      <c r="K85" s="226"/>
      <c r="L85" s="211"/>
      <c r="M85" s="211"/>
      <c r="N85" s="211"/>
      <c r="O85" s="211"/>
      <c r="P85" s="211"/>
      <c r="Q85" s="211"/>
      <c r="R85" s="211"/>
      <c r="S85" s="232"/>
    </row>
    <row r="86" spans="1:19">
      <c r="A86" s="199" t="str">
        <f>'BRSA Sorties '!C137</f>
        <v>GOUROUVIN</v>
      </c>
      <c r="B86" s="199" t="str">
        <f>'BRSA Sorties '!D137</f>
        <v>Gabriel</v>
      </c>
      <c r="C86" s="199"/>
      <c r="D86" s="199"/>
      <c r="E86" s="199"/>
      <c r="F86" s="199"/>
      <c r="G86" s="199"/>
      <c r="H86" s="199"/>
      <c r="I86" s="225"/>
      <c r="J86" s="226"/>
      <c r="K86" s="226"/>
      <c r="L86" s="232"/>
      <c r="M86" s="232"/>
      <c r="N86" s="232"/>
      <c r="O86" s="232"/>
      <c r="P86" s="232"/>
      <c r="Q86" s="232"/>
      <c r="R86" s="232"/>
      <c r="S86" s="232"/>
    </row>
    <row r="87" spans="1:19">
      <c r="A87" s="199" t="str">
        <f>'BRSA Sorties '!C95</f>
        <v>YENI /OCAL</v>
      </c>
      <c r="B87" s="199" t="str">
        <f>'BRSA Sorties '!D95</f>
        <v>Serife</v>
      </c>
      <c r="C87" s="199"/>
      <c r="D87" s="199"/>
      <c r="E87" s="199"/>
      <c r="F87" s="199"/>
      <c r="G87" s="199"/>
      <c r="H87" s="199"/>
      <c r="I87" s="225"/>
      <c r="J87" s="226"/>
      <c r="K87" s="226"/>
      <c r="L87" s="232"/>
      <c r="M87" s="232"/>
      <c r="N87" s="232"/>
      <c r="O87" s="232"/>
      <c r="P87" s="232"/>
      <c r="Q87" s="232"/>
      <c r="R87" s="232"/>
      <c r="S87" s="232"/>
    </row>
    <row r="88" spans="1:19">
      <c r="A88" s="199" t="str">
        <f>'BRSA Sorties '!C135</f>
        <v>DIABY</v>
      </c>
      <c r="B88" s="199" t="str">
        <f>'BRSA Sorties '!D135</f>
        <v xml:space="preserve"> MAMADOU</v>
      </c>
      <c r="C88" s="199"/>
      <c r="D88" s="199"/>
      <c r="E88" s="199"/>
      <c r="F88" s="199"/>
      <c r="G88" s="199"/>
      <c r="H88" s="199"/>
      <c r="I88" s="225"/>
      <c r="J88" s="226"/>
      <c r="K88" s="226"/>
      <c r="L88" s="232"/>
      <c r="M88" s="232"/>
      <c r="N88" s="232"/>
      <c r="O88" s="232"/>
      <c r="P88" s="232"/>
      <c r="Q88" s="232"/>
      <c r="R88" s="232"/>
      <c r="S88" s="232"/>
    </row>
    <row r="89" spans="1:19">
      <c r="A89" s="199" t="str">
        <f>'BRSA Sorties '!C144</f>
        <v>TIMSILINE</v>
      </c>
      <c r="B89" s="199" t="str">
        <f>'BRSA Sorties '!D144</f>
        <v>DJAFFAR</v>
      </c>
      <c r="C89" s="199"/>
      <c r="D89" s="199"/>
      <c r="E89" s="199"/>
      <c r="F89" s="199"/>
      <c r="G89" s="199"/>
      <c r="H89" s="199"/>
      <c r="I89" s="225"/>
      <c r="J89" s="226"/>
      <c r="K89" s="226"/>
      <c r="L89" s="232"/>
      <c r="M89" s="232"/>
      <c r="N89" s="232"/>
      <c r="O89" s="232"/>
      <c r="P89" s="232"/>
      <c r="Q89" s="232"/>
      <c r="R89" s="232"/>
      <c r="S89" s="232"/>
    </row>
    <row r="90" spans="1:19">
      <c r="A90" s="199" t="str">
        <f>'BRSA Sorties '!C93</f>
        <v>SADA</v>
      </c>
      <c r="B90" s="199" t="str">
        <f>'BRSA Sorties '!D93</f>
        <v>THIERRY</v>
      </c>
      <c r="C90" s="199"/>
      <c r="D90" s="199"/>
      <c r="E90" s="199"/>
      <c r="F90" s="199"/>
      <c r="G90" s="199"/>
      <c r="H90" s="199"/>
      <c r="I90" s="225"/>
      <c r="J90" s="226"/>
      <c r="K90" s="226"/>
      <c r="L90" s="232"/>
      <c r="M90" s="232"/>
      <c r="N90" s="232"/>
      <c r="O90" s="232"/>
      <c r="P90" s="232"/>
      <c r="Q90" s="232"/>
      <c r="R90" s="232"/>
      <c r="S90" s="232"/>
    </row>
    <row r="91" spans="1:19">
      <c r="A91" s="199" t="str">
        <f>'BRSA Sorties '!C94</f>
        <v xml:space="preserve">BALLEIN </v>
      </c>
      <c r="B91" s="199" t="str">
        <f>'BRSA Sorties '!D94</f>
        <v>JEROME</v>
      </c>
      <c r="C91" s="199"/>
      <c r="D91" s="199"/>
      <c r="E91" s="199"/>
      <c r="F91" s="199"/>
      <c r="G91" s="199"/>
      <c r="H91" s="199"/>
      <c r="I91" s="225" t="s">
        <v>749</v>
      </c>
      <c r="J91" s="227">
        <v>46113</v>
      </c>
      <c r="K91" s="226"/>
      <c r="L91" s="232"/>
      <c r="M91" s="232"/>
      <c r="N91" s="232"/>
      <c r="O91" s="232"/>
      <c r="P91" s="232"/>
      <c r="Q91" s="232"/>
      <c r="R91" s="232"/>
      <c r="S91" s="232"/>
    </row>
    <row r="92" spans="1:19">
      <c r="A92" s="199" t="str">
        <f>'BRSA Sorties '!C88</f>
        <v>ERGOC /ERDOGAN</v>
      </c>
      <c r="B92" s="199" t="str">
        <f>'BRSA Sorties '!D88</f>
        <v>MEYREM</v>
      </c>
      <c r="C92" s="199"/>
      <c r="D92" s="199"/>
      <c r="E92" s="199"/>
      <c r="F92" s="199"/>
      <c r="G92" s="199"/>
      <c r="H92" s="199"/>
      <c r="I92" s="225"/>
      <c r="J92" s="226"/>
      <c r="K92" s="226"/>
      <c r="L92" s="232"/>
      <c r="M92" s="232"/>
      <c r="N92" s="232"/>
      <c r="O92" s="232"/>
      <c r="P92" s="232"/>
      <c r="Q92" s="232"/>
      <c r="R92" s="232"/>
      <c r="S92" s="232"/>
    </row>
    <row r="93" spans="1:19">
      <c r="A93" s="199" t="str">
        <f>'BRSA Sorties '!C91</f>
        <v>TRAORE</v>
      </c>
      <c r="B93" s="199" t="str">
        <f>'BRSA Sorties '!D91</f>
        <v>ISSA</v>
      </c>
      <c r="C93" s="199"/>
      <c r="D93" s="199"/>
      <c r="E93" s="199"/>
      <c r="F93" s="199"/>
      <c r="G93" s="199"/>
      <c r="H93" s="199"/>
      <c r="I93" s="225"/>
      <c r="J93" s="226"/>
      <c r="K93" s="226"/>
      <c r="L93" s="232"/>
      <c r="M93" s="232"/>
      <c r="N93" s="232"/>
      <c r="O93" s="232"/>
      <c r="P93" s="232"/>
      <c r="Q93" s="232"/>
      <c r="R93" s="232"/>
      <c r="S93" s="232"/>
    </row>
    <row r="94" spans="1:19">
      <c r="A94" s="199" t="str">
        <f>'BRSA Sorties '!C158</f>
        <v>PONSON</v>
      </c>
      <c r="B94" s="199" t="str">
        <f>'BRSA Sorties '!D158</f>
        <v>FRANCOISE</v>
      </c>
      <c r="C94" s="199"/>
      <c r="D94" s="199"/>
      <c r="E94" s="199"/>
      <c r="F94" s="199"/>
      <c r="G94" s="199"/>
      <c r="H94" s="199"/>
      <c r="I94" s="225"/>
      <c r="J94" s="226"/>
      <c r="K94" s="226"/>
      <c r="L94" s="232"/>
      <c r="M94" s="232"/>
      <c r="N94" s="232"/>
      <c r="O94" s="232"/>
      <c r="P94" s="232"/>
      <c r="Q94" s="232"/>
      <c r="R94" s="232"/>
      <c r="S94" s="232"/>
    </row>
    <row r="95" spans="1:19">
      <c r="A95" s="199" t="str">
        <f>'OYONNAX NANTUA'!C39</f>
        <v xml:space="preserve">NAOUMI </v>
      </c>
      <c r="B95" s="199" t="str">
        <f>'OYONNAX NANTUA'!D39</f>
        <v>MILOUDA</v>
      </c>
      <c r="C95" s="199"/>
      <c r="D95" s="199"/>
      <c r="E95" s="199"/>
      <c r="F95" s="199"/>
      <c r="G95" s="199"/>
      <c r="H95" s="199"/>
      <c r="I95" s="225"/>
      <c r="J95" s="226"/>
      <c r="K95" s="226"/>
      <c r="L95" s="232"/>
      <c r="M95" s="232"/>
      <c r="N95" s="232"/>
      <c r="O95" s="232"/>
      <c r="P95" s="232"/>
      <c r="Q95" s="232"/>
      <c r="R95" s="232"/>
      <c r="S95" s="232"/>
    </row>
    <row r="96" spans="1:19">
      <c r="A96" s="354" t="s">
        <v>651</v>
      </c>
      <c r="B96" s="263" t="s">
        <v>800</v>
      </c>
      <c r="C96" s="199"/>
      <c r="D96" s="199"/>
      <c r="E96" s="199"/>
      <c r="F96" s="199"/>
      <c r="G96" s="199"/>
      <c r="H96" s="199"/>
      <c r="I96" s="225"/>
      <c r="J96" s="229"/>
      <c r="K96" s="226"/>
      <c r="L96" s="211"/>
      <c r="M96" s="211"/>
      <c r="N96" s="211"/>
      <c r="O96" s="211"/>
      <c r="P96" s="211"/>
      <c r="Q96" s="211"/>
      <c r="R96" s="211"/>
      <c r="S96" s="232"/>
    </row>
    <row r="97" spans="1:19">
      <c r="A97" s="354" t="s">
        <v>806</v>
      </c>
      <c r="B97" s="263" t="s">
        <v>807</v>
      </c>
      <c r="C97" s="199"/>
      <c r="D97" s="199"/>
      <c r="E97" s="199"/>
      <c r="F97" s="199"/>
      <c r="G97" s="199"/>
      <c r="H97" s="199"/>
      <c r="I97" s="225"/>
      <c r="J97" s="226"/>
      <c r="K97" s="226"/>
      <c r="L97" s="232"/>
      <c r="M97" s="232"/>
      <c r="N97" s="232"/>
      <c r="O97" s="232"/>
      <c r="P97" s="232"/>
      <c r="Q97" s="232"/>
      <c r="R97" s="232"/>
      <c r="S97" s="232"/>
    </row>
    <row r="98" spans="1:19">
      <c r="A98" s="355" t="s">
        <v>817</v>
      </c>
      <c r="B98" s="76" t="s">
        <v>818</v>
      </c>
      <c r="C98" s="199"/>
      <c r="D98" s="199"/>
      <c r="E98" s="199"/>
      <c r="F98" s="199"/>
      <c r="G98" s="199"/>
      <c r="H98" s="199"/>
      <c r="I98" s="225"/>
      <c r="J98" s="229"/>
      <c r="K98" s="226"/>
      <c r="L98" s="211"/>
      <c r="M98" s="211"/>
      <c r="N98" s="211"/>
      <c r="O98" s="211"/>
      <c r="P98" s="211"/>
      <c r="Q98" s="211"/>
      <c r="R98" s="211"/>
      <c r="S98" s="232"/>
    </row>
    <row r="99" spans="1:19">
      <c r="A99" s="199"/>
      <c r="B99" s="199"/>
      <c r="C99" s="199"/>
      <c r="D99" s="199"/>
      <c r="E99" s="199"/>
      <c r="F99" s="199"/>
      <c r="G99" s="199"/>
      <c r="H99" s="199"/>
      <c r="I99" s="225"/>
      <c r="J99" s="226"/>
      <c r="K99" s="226"/>
      <c r="L99" s="232"/>
      <c r="M99" s="232"/>
      <c r="N99" s="232"/>
      <c r="O99" s="232"/>
      <c r="P99" s="232"/>
      <c r="Q99" s="232"/>
      <c r="R99" s="232"/>
      <c r="S99" s="232"/>
    </row>
    <row r="100" spans="1:19">
      <c r="A100" s="199"/>
      <c r="B100" s="199"/>
      <c r="C100" s="199"/>
      <c r="D100" s="199"/>
      <c r="E100" s="199"/>
      <c r="F100" s="199"/>
      <c r="G100" s="199"/>
      <c r="H100" s="199"/>
      <c r="I100" s="225"/>
      <c r="J100" s="226"/>
      <c r="K100" s="226"/>
      <c r="L100" s="232"/>
      <c r="M100" s="232"/>
      <c r="N100" s="232"/>
      <c r="O100" s="232"/>
      <c r="P100" s="232"/>
      <c r="Q100" s="232"/>
      <c r="R100" s="232"/>
      <c r="S100" s="232"/>
    </row>
    <row r="101" spans="1:19">
      <c r="A101" s="199"/>
      <c r="B101" s="199"/>
      <c r="C101" s="199"/>
      <c r="D101" s="199"/>
      <c r="E101" s="199"/>
      <c r="F101" s="199"/>
      <c r="G101" s="199"/>
      <c r="H101" s="199"/>
      <c r="I101" s="225"/>
      <c r="J101" s="226"/>
      <c r="K101" s="226"/>
      <c r="L101" s="232"/>
      <c r="M101" s="232"/>
      <c r="N101" s="232"/>
      <c r="O101" s="232"/>
      <c r="P101" s="232"/>
      <c r="Q101" s="232"/>
      <c r="R101" s="232"/>
      <c r="S101" s="232"/>
    </row>
    <row r="102" spans="1:19">
      <c r="A102" s="199"/>
      <c r="B102" s="199"/>
      <c r="C102" s="199"/>
      <c r="D102" s="199"/>
      <c r="E102" s="199"/>
      <c r="F102" s="199"/>
      <c r="G102" s="199"/>
      <c r="H102" s="199"/>
      <c r="I102" s="225"/>
      <c r="J102" s="226"/>
      <c r="K102" s="226"/>
      <c r="L102" s="232"/>
      <c r="M102" s="232"/>
      <c r="N102" s="232"/>
      <c r="O102" s="232"/>
      <c r="P102" s="232"/>
      <c r="Q102" s="232"/>
      <c r="R102" s="232"/>
      <c r="S102" s="232"/>
    </row>
    <row r="103" spans="1:19">
      <c r="A103" s="199"/>
      <c r="B103" s="199"/>
      <c r="C103" s="199"/>
      <c r="D103" s="199"/>
      <c r="E103" s="199"/>
      <c r="F103" s="199"/>
      <c r="G103" s="199"/>
      <c r="H103" s="199"/>
      <c r="I103" s="225"/>
      <c r="J103" s="226"/>
      <c r="K103" s="226"/>
      <c r="L103" s="232"/>
      <c r="M103" s="232"/>
      <c r="N103" s="232"/>
      <c r="O103" s="232"/>
      <c r="P103" s="232"/>
      <c r="Q103" s="232"/>
      <c r="R103" s="232"/>
      <c r="S103" s="232"/>
    </row>
    <row r="104" spans="1:19">
      <c r="A104" s="199"/>
      <c r="B104" s="199"/>
      <c r="C104" s="199"/>
      <c r="D104" s="199"/>
      <c r="E104" s="199"/>
      <c r="F104" s="199"/>
      <c r="G104" s="199"/>
      <c r="H104" s="199"/>
      <c r="I104" s="225"/>
      <c r="J104" s="226"/>
      <c r="K104" s="226"/>
      <c r="L104" s="232"/>
      <c r="M104" s="232"/>
      <c r="N104" s="232"/>
      <c r="O104" s="232"/>
      <c r="P104" s="232"/>
      <c r="Q104" s="232"/>
      <c r="R104" s="232"/>
      <c r="S104" s="232"/>
    </row>
    <row r="105" spans="1:19">
      <c r="A105" s="199"/>
      <c r="B105" s="199"/>
      <c r="C105" s="199"/>
      <c r="D105" s="199"/>
      <c r="E105" s="199"/>
      <c r="F105" s="199"/>
      <c r="G105" s="199"/>
      <c r="H105" s="199"/>
      <c r="I105" s="225"/>
      <c r="J105" s="226"/>
      <c r="K105" s="226"/>
      <c r="L105" s="232"/>
      <c r="M105" s="232"/>
      <c r="N105" s="232"/>
      <c r="O105" s="232"/>
      <c r="P105" s="232"/>
      <c r="Q105" s="232"/>
      <c r="R105" s="232"/>
      <c r="S105" s="232"/>
    </row>
    <row r="106" spans="1:19">
      <c r="A106" s="199"/>
      <c r="B106" s="199"/>
      <c r="C106" s="199"/>
      <c r="D106" s="199"/>
      <c r="E106" s="199"/>
      <c r="F106" s="199"/>
      <c r="G106" s="199"/>
      <c r="H106" s="199"/>
      <c r="I106" s="225"/>
      <c r="J106" s="226"/>
      <c r="K106" s="226"/>
      <c r="L106" s="232"/>
      <c r="M106" s="232"/>
      <c r="N106" s="232"/>
      <c r="O106" s="232"/>
      <c r="P106" s="232"/>
      <c r="Q106" s="232"/>
      <c r="R106" s="232"/>
      <c r="S106" s="232"/>
    </row>
    <row r="107" spans="1:19">
      <c r="A107" s="199"/>
      <c r="B107" s="199"/>
      <c r="C107" s="199"/>
      <c r="D107" s="199"/>
      <c r="E107" s="199"/>
      <c r="F107" s="199"/>
      <c r="G107" s="199"/>
      <c r="H107" s="199"/>
      <c r="I107" s="225"/>
      <c r="J107" s="226"/>
      <c r="K107" s="226"/>
      <c r="L107" s="232"/>
      <c r="M107" s="232"/>
      <c r="N107" s="232"/>
      <c r="O107" s="232"/>
      <c r="P107" s="232"/>
      <c r="Q107" s="232"/>
      <c r="R107" s="232"/>
      <c r="S107" s="232"/>
    </row>
    <row r="108" spans="1:19">
      <c r="A108" s="199"/>
      <c r="B108" s="199"/>
      <c r="C108" s="199"/>
      <c r="D108" s="199"/>
      <c r="E108" s="199"/>
      <c r="F108" s="199"/>
      <c r="G108" s="199"/>
      <c r="H108" s="199"/>
      <c r="I108" s="225"/>
      <c r="J108" s="226"/>
      <c r="K108" s="226"/>
      <c r="L108" s="232"/>
      <c r="M108" s="232"/>
      <c r="N108" s="232"/>
      <c r="O108" s="232"/>
      <c r="P108" s="232"/>
      <c r="Q108" s="232"/>
      <c r="R108" s="232"/>
      <c r="S108" s="232"/>
    </row>
    <row r="109" spans="1:19">
      <c r="A109" s="199"/>
      <c r="B109" s="199"/>
      <c r="C109" s="199"/>
      <c r="D109" s="199"/>
      <c r="E109" s="199"/>
      <c r="F109" s="199"/>
      <c r="G109" s="199"/>
      <c r="H109" s="199"/>
      <c r="I109" s="225"/>
      <c r="J109" s="226"/>
      <c r="K109" s="226"/>
      <c r="L109" s="232"/>
      <c r="M109" s="232"/>
      <c r="N109" s="232"/>
      <c r="O109" s="232"/>
      <c r="P109" s="232"/>
      <c r="Q109" s="232"/>
      <c r="R109" s="232"/>
      <c r="S109" s="232"/>
    </row>
    <row r="110" spans="1:19">
      <c r="A110" s="199"/>
      <c r="B110" s="199"/>
      <c r="C110" s="199"/>
      <c r="D110" s="199"/>
      <c r="E110" s="199"/>
      <c r="F110" s="199"/>
      <c r="G110" s="199"/>
      <c r="H110" s="199"/>
      <c r="I110" s="225"/>
      <c r="J110" s="226"/>
      <c r="K110" s="226"/>
      <c r="L110" s="232"/>
      <c r="M110" s="232"/>
      <c r="N110" s="232"/>
      <c r="O110" s="232"/>
      <c r="P110" s="232"/>
      <c r="Q110" s="232"/>
      <c r="R110" s="232"/>
      <c r="S110" s="232"/>
    </row>
    <row r="111" spans="1:19">
      <c r="A111" s="199"/>
      <c r="B111" s="199"/>
      <c r="C111" s="199"/>
      <c r="D111" s="199"/>
      <c r="E111" s="199"/>
      <c r="F111" s="199"/>
      <c r="G111" s="199"/>
      <c r="H111" s="199"/>
      <c r="I111" s="225"/>
      <c r="J111" s="226"/>
      <c r="K111" s="226"/>
      <c r="L111" s="232"/>
      <c r="M111" s="232"/>
      <c r="N111" s="232"/>
      <c r="O111" s="232"/>
      <c r="P111" s="232"/>
      <c r="Q111" s="232"/>
      <c r="R111" s="232"/>
      <c r="S111" s="232"/>
    </row>
    <row r="112" spans="1:19">
      <c r="A112" s="199"/>
      <c r="B112" s="199"/>
      <c r="C112" s="199"/>
      <c r="D112" s="199"/>
      <c r="E112" s="199"/>
      <c r="F112" s="199"/>
      <c r="G112" s="199"/>
      <c r="H112" s="199"/>
      <c r="I112" s="225"/>
      <c r="J112" s="226"/>
      <c r="K112" s="226"/>
      <c r="L112" s="232"/>
      <c r="M112" s="232"/>
      <c r="N112" s="232"/>
      <c r="O112" s="232"/>
      <c r="P112" s="232"/>
      <c r="Q112" s="232"/>
      <c r="R112" s="232"/>
      <c r="S112" s="232"/>
    </row>
    <row r="113" spans="1:19">
      <c r="A113" s="199"/>
      <c r="B113" s="199"/>
      <c r="C113" s="199"/>
      <c r="D113" s="199"/>
      <c r="E113" s="199"/>
      <c r="F113" s="199"/>
      <c r="G113" s="199"/>
      <c r="H113" s="199"/>
      <c r="I113" s="225"/>
      <c r="J113" s="226"/>
      <c r="K113" s="226"/>
      <c r="L113" s="232"/>
      <c r="M113" s="232"/>
      <c r="N113" s="232"/>
      <c r="O113" s="232"/>
      <c r="P113" s="232"/>
      <c r="Q113" s="232"/>
      <c r="R113" s="232"/>
      <c r="S113" s="232"/>
    </row>
    <row r="114" spans="1:19">
      <c r="A114" s="199"/>
      <c r="B114" s="199"/>
      <c r="C114" s="199"/>
      <c r="D114" s="199"/>
      <c r="E114" s="199"/>
      <c r="F114" s="199"/>
      <c r="G114" s="199"/>
      <c r="H114" s="199"/>
      <c r="I114" s="225"/>
      <c r="J114" s="226"/>
      <c r="K114" s="226"/>
      <c r="L114" s="232"/>
      <c r="M114" s="232"/>
      <c r="N114" s="232"/>
      <c r="O114" s="232"/>
      <c r="P114" s="232"/>
      <c r="Q114" s="232"/>
      <c r="R114" s="232"/>
      <c r="S114" s="232"/>
    </row>
    <row r="115" spans="1:19">
      <c r="A115" s="199"/>
      <c r="B115" s="199"/>
      <c r="C115" s="199"/>
      <c r="D115" s="199"/>
      <c r="E115" s="199"/>
      <c r="F115" s="199"/>
      <c r="G115" s="199"/>
      <c r="H115" s="199"/>
      <c r="I115" s="225"/>
      <c r="J115" s="226"/>
      <c r="K115" s="226"/>
      <c r="L115" s="232"/>
      <c r="M115" s="232"/>
      <c r="N115" s="232"/>
      <c r="O115" s="232"/>
      <c r="P115" s="232"/>
      <c r="Q115" s="232"/>
      <c r="R115" s="232"/>
      <c r="S115" s="232"/>
    </row>
    <row r="116" spans="1:19">
      <c r="A116" s="199"/>
      <c r="B116" s="199"/>
      <c r="C116" s="199"/>
      <c r="D116" s="199"/>
      <c r="E116" s="199"/>
      <c r="F116" s="199"/>
      <c r="G116" s="199"/>
      <c r="H116" s="199"/>
      <c r="I116" s="225"/>
      <c r="J116" s="226"/>
      <c r="K116" s="226"/>
      <c r="L116" s="232"/>
      <c r="M116" s="232"/>
      <c r="N116" s="232"/>
      <c r="O116" s="232"/>
      <c r="P116" s="232"/>
      <c r="Q116" s="232"/>
      <c r="R116" s="232"/>
      <c r="S116" s="232"/>
    </row>
    <row r="117" spans="1:19">
      <c r="A117" s="199"/>
      <c r="B117" s="199"/>
      <c r="C117" s="199"/>
      <c r="D117" s="199"/>
      <c r="E117" s="199"/>
      <c r="F117" s="199"/>
      <c r="G117" s="199"/>
      <c r="H117" s="199"/>
      <c r="I117" s="225"/>
      <c r="J117" s="226"/>
      <c r="K117" s="226"/>
      <c r="L117" s="232"/>
      <c r="M117" s="232"/>
      <c r="N117" s="232"/>
      <c r="O117" s="232"/>
      <c r="P117" s="232"/>
      <c r="Q117" s="232"/>
      <c r="R117" s="232"/>
      <c r="S117" s="232"/>
    </row>
    <row r="118" spans="1:19">
      <c r="A118" s="199"/>
      <c r="B118" s="199"/>
      <c r="C118" s="199"/>
      <c r="D118" s="199"/>
      <c r="E118" s="199"/>
      <c r="F118" s="199"/>
      <c r="G118" s="199"/>
      <c r="H118" s="199"/>
      <c r="I118" s="225"/>
      <c r="J118" s="226"/>
      <c r="K118" s="226"/>
      <c r="L118" s="232"/>
      <c r="M118" s="232"/>
      <c r="N118" s="232"/>
      <c r="O118" s="232"/>
      <c r="P118" s="232"/>
      <c r="Q118" s="232"/>
      <c r="R118" s="232"/>
      <c r="S118" s="232"/>
    </row>
    <row r="119" spans="1:19">
      <c r="A119" s="199"/>
      <c r="B119" s="199"/>
      <c r="C119" s="199"/>
      <c r="D119" s="199"/>
      <c r="E119" s="199"/>
      <c r="F119" s="199"/>
      <c r="G119" s="199"/>
      <c r="H119" s="199"/>
      <c r="I119" s="225"/>
      <c r="J119" s="226"/>
      <c r="K119" s="226"/>
      <c r="L119" s="232"/>
      <c r="M119" s="232"/>
      <c r="N119" s="232"/>
      <c r="O119" s="232"/>
      <c r="P119" s="232"/>
      <c r="Q119" s="232"/>
      <c r="R119" s="232"/>
      <c r="S119" s="232"/>
    </row>
    <row r="120" spans="1:19">
      <c r="A120" s="199"/>
      <c r="B120" s="199"/>
      <c r="C120" s="199"/>
      <c r="D120" s="199"/>
      <c r="E120" s="199"/>
      <c r="F120" s="199"/>
      <c r="G120" s="199"/>
      <c r="H120" s="199"/>
      <c r="I120" s="225"/>
      <c r="J120" s="226"/>
      <c r="K120" s="226"/>
      <c r="L120" s="232"/>
      <c r="M120" s="232"/>
      <c r="N120" s="232"/>
      <c r="O120" s="232"/>
      <c r="P120" s="232"/>
      <c r="Q120" s="232"/>
      <c r="R120" s="232"/>
      <c r="S120" s="232"/>
    </row>
    <row r="121" spans="1:19">
      <c r="A121" s="199"/>
      <c r="B121" s="199"/>
      <c r="C121" s="199"/>
      <c r="D121" s="199"/>
      <c r="E121" s="199"/>
      <c r="F121" s="199"/>
      <c r="G121" s="199"/>
      <c r="H121" s="199"/>
      <c r="I121" s="225"/>
      <c r="J121" s="226"/>
      <c r="K121" s="226"/>
      <c r="L121" s="232"/>
      <c r="M121" s="232"/>
      <c r="N121" s="232"/>
      <c r="O121" s="232"/>
      <c r="P121" s="232"/>
      <c r="Q121" s="232"/>
      <c r="R121" s="232"/>
      <c r="S121" s="232"/>
    </row>
    <row r="122" spans="1:19">
      <c r="A122" s="199"/>
      <c r="B122" s="199"/>
      <c r="C122" s="199"/>
      <c r="D122" s="199"/>
      <c r="E122" s="199"/>
      <c r="F122" s="199"/>
      <c r="G122" s="199"/>
      <c r="H122" s="199"/>
      <c r="I122" s="225"/>
      <c r="J122" s="226"/>
      <c r="K122" s="226"/>
      <c r="L122" s="232"/>
      <c r="M122" s="232"/>
      <c r="N122" s="232"/>
      <c r="O122" s="232"/>
      <c r="P122" s="232"/>
      <c r="Q122" s="232"/>
      <c r="R122" s="232"/>
      <c r="S122" s="232"/>
    </row>
    <row r="123" spans="1:19">
      <c r="A123" s="199"/>
      <c r="B123" s="199"/>
      <c r="C123" s="199"/>
      <c r="D123" s="199"/>
      <c r="E123" s="199"/>
      <c r="F123" s="199"/>
      <c r="G123" s="199"/>
      <c r="H123" s="199"/>
      <c r="I123" s="225"/>
      <c r="J123" s="226"/>
      <c r="K123" s="226"/>
      <c r="L123" s="232"/>
      <c r="M123" s="232"/>
      <c r="N123" s="232"/>
      <c r="O123" s="232"/>
      <c r="P123" s="232"/>
      <c r="Q123" s="232"/>
      <c r="R123" s="232"/>
      <c r="S123" s="232"/>
    </row>
    <row r="124" spans="1:19">
      <c r="A124" s="199"/>
      <c r="B124" s="199"/>
      <c r="C124" s="199"/>
      <c r="D124" s="199"/>
      <c r="E124" s="199"/>
      <c r="F124" s="199"/>
      <c r="G124" s="199"/>
      <c r="H124" s="199"/>
      <c r="I124" s="225"/>
      <c r="J124" s="226"/>
      <c r="K124" s="226"/>
      <c r="L124" s="232"/>
      <c r="M124" s="232"/>
      <c r="N124" s="232"/>
      <c r="O124" s="232"/>
      <c r="P124" s="232"/>
      <c r="Q124" s="232"/>
      <c r="R124" s="232"/>
      <c r="S124" s="232"/>
    </row>
    <row r="125" spans="1:19">
      <c r="A125" s="199"/>
      <c r="B125" s="199"/>
      <c r="C125" s="199"/>
      <c r="D125" s="199"/>
      <c r="E125" s="199"/>
      <c r="F125" s="199"/>
      <c r="G125" s="199"/>
      <c r="H125" s="199"/>
      <c r="I125" s="225"/>
      <c r="J125" s="226"/>
      <c r="K125" s="226"/>
      <c r="L125" s="232"/>
      <c r="M125" s="232"/>
      <c r="N125" s="232"/>
      <c r="O125" s="232"/>
      <c r="P125" s="232"/>
      <c r="Q125" s="232"/>
      <c r="R125" s="232"/>
      <c r="S125" s="232"/>
    </row>
    <row r="126" spans="1:19">
      <c r="A126" s="199"/>
      <c r="B126" s="199"/>
      <c r="C126" s="199"/>
      <c r="D126" s="199"/>
      <c r="E126" s="199"/>
      <c r="F126" s="199"/>
      <c r="G126" s="199"/>
      <c r="H126" s="199"/>
      <c r="I126" s="225"/>
      <c r="J126" s="226"/>
      <c r="K126" s="226"/>
      <c r="L126" s="232"/>
      <c r="M126" s="232"/>
      <c r="N126" s="232"/>
      <c r="O126" s="232"/>
      <c r="P126" s="232"/>
      <c r="Q126" s="232"/>
      <c r="R126" s="232"/>
      <c r="S126" s="232"/>
    </row>
    <row r="127" spans="1:19">
      <c r="A127" s="199"/>
      <c r="B127" s="199"/>
      <c r="C127" s="199"/>
      <c r="D127" s="199"/>
      <c r="E127" s="199"/>
      <c r="F127" s="199"/>
      <c r="G127" s="199"/>
      <c r="H127" s="199"/>
      <c r="I127" s="225"/>
      <c r="J127" s="226"/>
      <c r="K127" s="226"/>
      <c r="L127" s="232"/>
      <c r="M127" s="232"/>
      <c r="N127" s="232"/>
      <c r="O127" s="232"/>
      <c r="P127" s="232"/>
      <c r="Q127" s="232"/>
      <c r="R127" s="232"/>
      <c r="S127" s="232"/>
    </row>
    <row r="128" spans="1:19">
      <c r="A128" s="199"/>
      <c r="B128" s="199"/>
      <c r="C128" s="199"/>
      <c r="D128" s="199"/>
      <c r="E128" s="199"/>
      <c r="F128" s="199"/>
      <c r="G128" s="199"/>
      <c r="H128" s="199"/>
      <c r="I128" s="225"/>
      <c r="J128" s="226"/>
      <c r="K128" s="226"/>
      <c r="L128" s="232"/>
      <c r="M128" s="232"/>
      <c r="N128" s="232"/>
      <c r="O128" s="232"/>
      <c r="P128" s="232"/>
      <c r="Q128" s="232"/>
      <c r="R128" s="232"/>
      <c r="S128" s="232"/>
    </row>
    <row r="129" spans="1:19">
      <c r="A129" s="199"/>
      <c r="B129" s="199"/>
      <c r="C129" s="199"/>
      <c r="D129" s="199"/>
      <c r="E129" s="199"/>
      <c r="F129" s="199"/>
      <c r="G129" s="199"/>
      <c r="H129" s="199"/>
      <c r="I129" s="225"/>
      <c r="J129" s="226"/>
      <c r="K129" s="226"/>
      <c r="L129" s="232"/>
      <c r="M129" s="232"/>
      <c r="N129" s="232"/>
      <c r="O129" s="232"/>
      <c r="P129" s="232"/>
      <c r="Q129" s="232"/>
      <c r="R129" s="232"/>
      <c r="S129" s="232"/>
    </row>
    <row r="130" spans="1:19">
      <c r="A130" s="199"/>
      <c r="B130" s="199"/>
      <c r="C130" s="199"/>
      <c r="D130" s="199"/>
      <c r="E130" s="199"/>
      <c r="F130" s="199"/>
      <c r="G130" s="199"/>
      <c r="H130" s="199"/>
      <c r="I130" s="225"/>
      <c r="J130" s="226"/>
      <c r="K130" s="226"/>
      <c r="L130" s="232"/>
      <c r="M130" s="232"/>
      <c r="N130" s="232"/>
      <c r="O130" s="232"/>
      <c r="P130" s="232"/>
      <c r="Q130" s="232"/>
      <c r="R130" s="232"/>
      <c r="S130" s="232"/>
    </row>
    <row r="131" spans="1:19">
      <c r="A131" s="199"/>
      <c r="B131" s="199"/>
      <c r="C131" s="199"/>
      <c r="D131" s="199"/>
      <c r="E131" s="199"/>
      <c r="F131" s="199"/>
      <c r="G131" s="199"/>
      <c r="H131" s="199"/>
      <c r="I131" s="225"/>
      <c r="J131" s="226"/>
      <c r="K131" s="226"/>
      <c r="L131" s="232"/>
      <c r="M131" s="232"/>
      <c r="N131" s="232"/>
      <c r="O131" s="232"/>
      <c r="P131" s="232"/>
      <c r="Q131" s="232"/>
      <c r="R131" s="232"/>
      <c r="S131" s="232"/>
    </row>
    <row r="132" spans="1:19">
      <c r="A132" s="199"/>
      <c r="B132" s="199"/>
      <c r="C132" s="199"/>
      <c r="D132" s="199"/>
      <c r="E132" s="199"/>
      <c r="F132" s="199"/>
      <c r="G132" s="199"/>
      <c r="H132" s="199"/>
      <c r="I132" s="225"/>
      <c r="J132" s="226"/>
      <c r="K132" s="226"/>
      <c r="L132" s="232"/>
      <c r="M132" s="232"/>
      <c r="N132" s="232"/>
      <c r="O132" s="232"/>
      <c r="P132" s="232"/>
      <c r="Q132" s="232"/>
      <c r="R132" s="232"/>
      <c r="S132" s="232"/>
    </row>
    <row r="133" spans="1:19">
      <c r="A133" s="199"/>
      <c r="B133" s="199"/>
      <c r="C133" s="199"/>
      <c r="D133" s="199"/>
      <c r="E133" s="199"/>
      <c r="F133" s="199"/>
      <c r="G133" s="199"/>
      <c r="H133" s="199"/>
      <c r="I133" s="225"/>
      <c r="J133" s="226"/>
      <c r="K133" s="226"/>
      <c r="L133" s="232"/>
      <c r="M133" s="232"/>
      <c r="N133" s="232"/>
      <c r="O133" s="232"/>
      <c r="P133" s="232"/>
      <c r="Q133" s="232"/>
      <c r="R133" s="232"/>
      <c r="S133" s="232"/>
    </row>
    <row r="134" spans="1:19">
      <c r="A134" s="199"/>
      <c r="B134" s="199"/>
      <c r="C134" s="199"/>
      <c r="D134" s="199"/>
      <c r="E134" s="199"/>
      <c r="F134" s="199"/>
      <c r="G134" s="199"/>
      <c r="H134" s="199"/>
      <c r="I134" s="225"/>
      <c r="J134" s="226"/>
      <c r="K134" s="226"/>
      <c r="L134" s="232"/>
      <c r="M134" s="232"/>
      <c r="N134" s="232"/>
      <c r="O134" s="232"/>
      <c r="P134" s="232"/>
      <c r="Q134" s="232"/>
      <c r="R134" s="232"/>
      <c r="S134" s="232"/>
    </row>
    <row r="135" spans="1:19">
      <c r="A135" s="199"/>
      <c r="B135" s="199"/>
      <c r="C135" s="199"/>
      <c r="D135" s="199"/>
      <c r="E135" s="199"/>
      <c r="F135" s="199"/>
      <c r="G135" s="199"/>
      <c r="H135" s="199"/>
      <c r="I135" s="225"/>
      <c r="J135" s="226"/>
      <c r="K135" s="226"/>
      <c r="L135" s="232"/>
      <c r="M135" s="232"/>
      <c r="N135" s="232"/>
      <c r="O135" s="232"/>
      <c r="P135" s="232"/>
      <c r="Q135" s="232"/>
      <c r="R135" s="232"/>
      <c r="S135" s="232"/>
    </row>
    <row r="136" spans="1:19">
      <c r="A136" s="199"/>
      <c r="B136" s="199"/>
      <c r="C136" s="199"/>
      <c r="D136" s="199"/>
      <c r="E136" s="199"/>
      <c r="F136" s="199"/>
      <c r="G136" s="199"/>
      <c r="H136" s="199"/>
      <c r="I136" s="225"/>
      <c r="J136" s="226"/>
      <c r="K136" s="226"/>
      <c r="L136" s="232"/>
      <c r="M136" s="232"/>
      <c r="N136" s="232"/>
      <c r="O136" s="232"/>
      <c r="P136" s="232"/>
      <c r="Q136" s="232"/>
      <c r="R136" s="232"/>
      <c r="S136" s="232"/>
    </row>
    <row r="137" spans="1:19">
      <c r="A137" s="199"/>
      <c r="B137" s="199"/>
      <c r="C137" s="199"/>
      <c r="D137" s="199"/>
      <c r="E137" s="199"/>
      <c r="F137" s="199"/>
      <c r="G137" s="199"/>
      <c r="H137" s="199"/>
      <c r="I137" s="225"/>
      <c r="J137" s="226"/>
      <c r="K137" s="226"/>
      <c r="L137" s="232"/>
      <c r="M137" s="232"/>
      <c r="N137" s="232"/>
      <c r="O137" s="232"/>
      <c r="P137" s="232"/>
      <c r="Q137" s="232"/>
      <c r="R137" s="232"/>
      <c r="S137" s="232"/>
    </row>
    <row r="138" spans="1:19">
      <c r="A138" s="199"/>
      <c r="B138" s="199"/>
      <c r="C138" s="199"/>
      <c r="D138" s="199"/>
      <c r="E138" s="199"/>
      <c r="F138" s="199"/>
      <c r="G138" s="199"/>
      <c r="H138" s="199"/>
      <c r="I138" s="225"/>
      <c r="J138" s="226"/>
      <c r="K138" s="226"/>
      <c r="L138" s="232"/>
      <c r="M138" s="232"/>
      <c r="N138" s="232"/>
      <c r="O138" s="232"/>
      <c r="P138" s="232"/>
      <c r="Q138" s="232"/>
      <c r="R138" s="232"/>
      <c r="S138" s="232"/>
    </row>
    <row r="139" spans="1:19">
      <c r="A139" s="199"/>
      <c r="B139" s="199"/>
      <c r="C139" s="199"/>
      <c r="D139" s="199"/>
      <c r="E139" s="199"/>
      <c r="F139" s="199"/>
      <c r="G139" s="199"/>
      <c r="H139" s="199"/>
      <c r="I139" s="225"/>
      <c r="J139" s="226"/>
      <c r="K139" s="226"/>
      <c r="L139" s="232"/>
      <c r="M139" s="232"/>
      <c r="N139" s="232"/>
      <c r="O139" s="232"/>
      <c r="P139" s="232"/>
      <c r="Q139" s="232"/>
      <c r="R139" s="232"/>
      <c r="S139" s="232"/>
    </row>
    <row r="140" spans="1:19">
      <c r="A140" s="199"/>
      <c r="B140" s="199"/>
      <c r="C140" s="199"/>
      <c r="D140" s="199"/>
      <c r="E140" s="199"/>
      <c r="F140" s="199"/>
      <c r="G140" s="199"/>
      <c r="H140" s="199"/>
      <c r="I140" s="225"/>
      <c r="J140" s="226"/>
      <c r="K140" s="226"/>
      <c r="L140" s="232"/>
      <c r="M140" s="232"/>
      <c r="N140" s="232"/>
      <c r="O140" s="232"/>
      <c r="P140" s="232"/>
      <c r="Q140" s="232"/>
      <c r="R140" s="232"/>
      <c r="S140" s="232"/>
    </row>
    <row r="141" spans="1:19">
      <c r="A141" s="199"/>
      <c r="B141" s="199"/>
      <c r="C141" s="199"/>
      <c r="D141" s="199"/>
      <c r="E141" s="199"/>
      <c r="F141" s="199"/>
      <c r="G141" s="199"/>
      <c r="H141" s="199"/>
      <c r="I141" s="225"/>
      <c r="J141" s="226"/>
      <c r="K141" s="226"/>
      <c r="L141" s="232"/>
      <c r="M141" s="232"/>
      <c r="N141" s="232"/>
      <c r="O141" s="232"/>
      <c r="P141" s="232"/>
      <c r="Q141" s="232"/>
      <c r="R141" s="232"/>
      <c r="S141" s="232"/>
    </row>
    <row r="142" spans="1:19">
      <c r="A142" s="199"/>
      <c r="B142" s="199"/>
      <c r="C142" s="199"/>
      <c r="D142" s="199"/>
      <c r="E142" s="199"/>
      <c r="F142" s="199"/>
      <c r="G142" s="199"/>
      <c r="H142" s="199"/>
      <c r="I142" s="225"/>
      <c r="J142" s="226"/>
      <c r="K142" s="226"/>
      <c r="L142" s="232"/>
      <c r="M142" s="232"/>
      <c r="N142" s="232"/>
      <c r="O142" s="232"/>
      <c r="P142" s="232"/>
      <c r="Q142" s="232"/>
      <c r="R142" s="232"/>
      <c r="S142" s="232"/>
    </row>
    <row r="143" spans="1:19">
      <c r="A143" s="199"/>
      <c r="B143" s="199"/>
      <c r="C143" s="199"/>
      <c r="D143" s="199"/>
      <c r="E143" s="199"/>
      <c r="F143" s="199"/>
      <c r="G143" s="199"/>
      <c r="H143" s="199"/>
      <c r="I143" s="225"/>
      <c r="J143" s="226"/>
      <c r="K143" s="226"/>
      <c r="L143" s="232"/>
      <c r="M143" s="232"/>
      <c r="N143" s="232"/>
      <c r="O143" s="232"/>
      <c r="P143" s="232"/>
      <c r="Q143" s="232"/>
      <c r="R143" s="232"/>
      <c r="S143" s="232"/>
    </row>
    <row r="144" spans="1:19">
      <c r="A144" s="199"/>
      <c r="B144" s="199"/>
      <c r="C144" s="199"/>
      <c r="D144" s="199"/>
      <c r="E144" s="199"/>
      <c r="F144" s="199"/>
      <c r="G144" s="199"/>
      <c r="H144" s="199"/>
      <c r="I144" s="225"/>
      <c r="J144" s="226"/>
      <c r="K144" s="226"/>
      <c r="L144" s="232"/>
      <c r="M144" s="232"/>
      <c r="N144" s="232"/>
      <c r="O144" s="232"/>
      <c r="P144" s="232"/>
      <c r="Q144" s="232"/>
      <c r="R144" s="232"/>
      <c r="S144" s="232"/>
    </row>
    <row r="145" spans="1:19">
      <c r="A145" s="199"/>
      <c r="B145" s="199"/>
      <c r="C145" s="199"/>
      <c r="D145" s="199"/>
      <c r="E145" s="199"/>
      <c r="F145" s="199"/>
      <c r="G145" s="199"/>
      <c r="H145" s="199"/>
      <c r="I145" s="225"/>
      <c r="J145" s="226"/>
      <c r="K145" s="226"/>
      <c r="L145" s="232"/>
      <c r="M145" s="232"/>
      <c r="N145" s="232"/>
      <c r="O145" s="232"/>
      <c r="P145" s="232"/>
      <c r="Q145" s="232"/>
      <c r="R145" s="232"/>
      <c r="S145" s="232"/>
    </row>
    <row r="146" spans="1:19">
      <c r="A146" s="199"/>
      <c r="B146" s="199"/>
      <c r="C146" s="199"/>
      <c r="D146" s="199"/>
      <c r="E146" s="199"/>
      <c r="F146" s="199"/>
      <c r="G146" s="199"/>
      <c r="H146" s="199"/>
      <c r="I146" s="225"/>
      <c r="J146" s="226"/>
      <c r="K146" s="226"/>
      <c r="L146" s="232"/>
      <c r="M146" s="232"/>
      <c r="N146" s="232"/>
      <c r="O146" s="232"/>
      <c r="P146" s="232"/>
      <c r="Q146" s="232"/>
      <c r="R146" s="232"/>
      <c r="S146" s="232"/>
    </row>
    <row r="147" spans="1:19">
      <c r="A147" s="199"/>
      <c r="B147" s="199"/>
      <c r="C147" s="199"/>
      <c r="D147" s="199"/>
      <c r="E147" s="199"/>
      <c r="F147" s="199"/>
      <c r="G147" s="199"/>
      <c r="H147" s="199"/>
      <c r="I147" s="225"/>
      <c r="J147" s="226"/>
      <c r="K147" s="226"/>
      <c r="L147" s="232"/>
      <c r="M147" s="232"/>
      <c r="N147" s="232"/>
      <c r="O147" s="232"/>
      <c r="P147" s="232"/>
      <c r="Q147" s="232"/>
      <c r="R147" s="232"/>
      <c r="S147" s="232"/>
    </row>
    <row r="148" spans="1:19">
      <c r="A148" s="199"/>
      <c r="B148" s="199"/>
      <c r="C148" s="199"/>
      <c r="D148" s="199"/>
      <c r="E148" s="199"/>
      <c r="F148" s="199"/>
      <c r="G148" s="199"/>
      <c r="H148" s="199"/>
      <c r="I148" s="225"/>
      <c r="J148" s="226"/>
      <c r="K148" s="226"/>
      <c r="L148" s="232"/>
      <c r="M148" s="232"/>
      <c r="N148" s="232"/>
      <c r="O148" s="232"/>
      <c r="P148" s="232"/>
      <c r="Q148" s="232"/>
      <c r="R148" s="232"/>
      <c r="S148" s="232"/>
    </row>
    <row r="149" spans="1:19">
      <c r="A149" s="199"/>
      <c r="B149" s="199"/>
      <c r="C149" s="199"/>
      <c r="D149" s="199"/>
      <c r="E149" s="199"/>
      <c r="F149" s="199"/>
      <c r="G149" s="199"/>
      <c r="H149" s="199"/>
      <c r="I149" s="225"/>
      <c r="J149" s="226"/>
      <c r="K149" s="226"/>
      <c r="L149" s="232"/>
      <c r="M149" s="232"/>
      <c r="N149" s="232"/>
      <c r="O149" s="232"/>
      <c r="P149" s="232"/>
      <c r="Q149" s="232"/>
      <c r="R149" s="232"/>
      <c r="S149" s="232"/>
    </row>
    <row r="150" spans="1:19">
      <c r="A150" s="199"/>
      <c r="B150" s="199"/>
      <c r="C150" s="199"/>
      <c r="D150" s="199"/>
      <c r="E150" s="199"/>
      <c r="F150" s="199"/>
      <c r="G150" s="199"/>
      <c r="H150" s="199"/>
      <c r="I150" s="225"/>
      <c r="J150" s="226"/>
      <c r="K150" s="226"/>
      <c r="L150" s="232"/>
      <c r="M150" s="232"/>
      <c r="N150" s="232"/>
      <c r="O150" s="232"/>
      <c r="P150" s="232"/>
      <c r="Q150" s="232"/>
      <c r="R150" s="232"/>
      <c r="S150" s="232"/>
    </row>
    <row r="151" spans="1:19">
      <c r="A151" s="199"/>
      <c r="B151" s="199"/>
      <c r="C151" s="199"/>
      <c r="D151" s="199"/>
      <c r="E151" s="199"/>
      <c r="F151" s="199"/>
      <c r="G151" s="199"/>
      <c r="H151" s="199"/>
      <c r="I151" s="225"/>
      <c r="J151" s="226"/>
      <c r="K151" s="226"/>
      <c r="L151" s="232"/>
      <c r="M151" s="232"/>
      <c r="N151" s="232"/>
      <c r="O151" s="232"/>
      <c r="P151" s="232"/>
      <c r="Q151" s="232"/>
      <c r="R151" s="232"/>
      <c r="S151" s="232"/>
    </row>
    <row r="152" spans="1:19">
      <c r="A152" s="199"/>
      <c r="B152" s="199"/>
      <c r="C152" s="199"/>
      <c r="D152" s="199"/>
      <c r="E152" s="199"/>
      <c r="F152" s="199"/>
      <c r="G152" s="199"/>
      <c r="H152" s="199"/>
      <c r="I152" s="225"/>
      <c r="J152" s="226"/>
      <c r="K152" s="226"/>
      <c r="L152" s="232"/>
      <c r="M152" s="232"/>
      <c r="N152" s="232"/>
      <c r="O152" s="232"/>
      <c r="P152" s="232"/>
      <c r="Q152" s="232"/>
      <c r="R152" s="232"/>
      <c r="S152" s="232"/>
    </row>
    <row r="153" spans="1:19">
      <c r="A153" s="199"/>
      <c r="B153" s="199"/>
      <c r="C153" s="199"/>
      <c r="D153" s="199"/>
      <c r="E153" s="199"/>
      <c r="F153" s="199"/>
      <c r="G153" s="199"/>
      <c r="H153" s="199"/>
      <c r="I153" s="225"/>
      <c r="J153" s="226"/>
      <c r="K153" s="226"/>
      <c r="L153" s="232"/>
      <c r="M153" s="232"/>
      <c r="N153" s="232"/>
      <c r="O153" s="232"/>
      <c r="P153" s="232"/>
      <c r="Q153" s="232"/>
      <c r="R153" s="232"/>
      <c r="S153" s="232"/>
    </row>
    <row r="154" spans="1:19">
      <c r="A154" s="199"/>
      <c r="B154" s="199"/>
      <c r="C154" s="199"/>
      <c r="D154" s="199"/>
      <c r="E154" s="199"/>
      <c r="F154" s="199"/>
      <c r="G154" s="199"/>
      <c r="H154" s="199"/>
      <c r="I154" s="225"/>
      <c r="J154" s="226"/>
      <c r="K154" s="226"/>
      <c r="L154" s="232"/>
      <c r="M154" s="232"/>
      <c r="N154" s="232"/>
      <c r="O154" s="232"/>
      <c r="P154" s="232"/>
      <c r="Q154" s="232"/>
      <c r="R154" s="232"/>
      <c r="S154" s="232"/>
    </row>
    <row r="155" spans="1:19">
      <c r="A155" s="199"/>
      <c r="B155" s="199"/>
      <c r="C155" s="199"/>
      <c r="D155" s="199"/>
      <c r="E155" s="199"/>
      <c r="F155" s="199"/>
      <c r="G155" s="199"/>
      <c r="H155" s="199"/>
      <c r="I155" s="225"/>
      <c r="J155" s="226"/>
      <c r="K155" s="226"/>
      <c r="L155" s="232"/>
      <c r="M155" s="232"/>
      <c r="N155" s="232"/>
      <c r="O155" s="232"/>
      <c r="P155" s="232"/>
      <c r="Q155" s="232"/>
      <c r="R155" s="232"/>
      <c r="S155" s="232"/>
    </row>
    <row r="156" spans="1:19">
      <c r="A156" s="199"/>
      <c r="B156" s="199"/>
      <c r="C156" s="199"/>
      <c r="D156" s="199"/>
      <c r="E156" s="199"/>
      <c r="F156" s="199"/>
      <c r="G156" s="199"/>
      <c r="H156" s="199"/>
      <c r="I156" s="225"/>
      <c r="J156" s="226"/>
      <c r="K156" s="226"/>
      <c r="L156" s="232"/>
      <c r="M156" s="232"/>
      <c r="N156" s="232"/>
      <c r="O156" s="232"/>
      <c r="P156" s="232"/>
      <c r="Q156" s="232"/>
      <c r="R156" s="232"/>
      <c r="S156" s="232"/>
    </row>
    <row r="157" spans="1:19">
      <c r="A157" s="199"/>
      <c r="B157" s="199"/>
      <c r="C157" s="199"/>
      <c r="D157" s="199"/>
      <c r="E157" s="199"/>
      <c r="F157" s="199"/>
      <c r="G157" s="199"/>
      <c r="H157" s="199"/>
      <c r="I157" s="225"/>
      <c r="J157" s="226"/>
      <c r="K157" s="226"/>
      <c r="L157" s="232"/>
      <c r="M157" s="232"/>
      <c r="N157" s="232"/>
      <c r="O157" s="232"/>
      <c r="P157" s="232"/>
      <c r="Q157" s="232"/>
      <c r="R157" s="232"/>
      <c r="S157" s="232"/>
    </row>
    <row r="158" spans="1:19">
      <c r="A158" s="199"/>
      <c r="B158" s="199"/>
      <c r="C158" s="199"/>
      <c r="D158" s="199"/>
      <c r="E158" s="199"/>
      <c r="F158" s="199"/>
      <c r="G158" s="199"/>
      <c r="H158" s="199"/>
      <c r="I158" s="225"/>
      <c r="J158" s="226"/>
      <c r="K158" s="226"/>
      <c r="L158" s="232"/>
      <c r="M158" s="232"/>
      <c r="N158" s="232"/>
      <c r="O158" s="232"/>
      <c r="P158" s="232"/>
      <c r="Q158" s="232"/>
      <c r="R158" s="232"/>
      <c r="S158" s="232"/>
    </row>
    <row r="159" spans="1:19">
      <c r="A159" s="199"/>
      <c r="B159" s="199"/>
      <c r="C159" s="199"/>
      <c r="D159" s="199"/>
      <c r="E159" s="199"/>
      <c r="F159" s="199"/>
      <c r="G159" s="199"/>
      <c r="H159" s="199"/>
      <c r="I159" s="225"/>
      <c r="J159" s="226"/>
      <c r="K159" s="226"/>
      <c r="L159" s="232"/>
      <c r="M159" s="232"/>
      <c r="N159" s="232"/>
      <c r="O159" s="232"/>
      <c r="P159" s="232"/>
      <c r="Q159" s="232"/>
      <c r="R159" s="232"/>
      <c r="S159" s="232"/>
    </row>
    <row r="160" spans="1:19">
      <c r="A160" s="199"/>
      <c r="B160" s="199"/>
      <c r="C160" s="199"/>
      <c r="D160" s="199"/>
      <c r="E160" s="199"/>
      <c r="F160" s="199"/>
      <c r="G160" s="199"/>
      <c r="H160" s="199"/>
      <c r="I160" s="225"/>
      <c r="J160" s="226"/>
      <c r="K160" s="226"/>
      <c r="L160" s="232"/>
      <c r="M160" s="232"/>
      <c r="N160" s="232"/>
      <c r="O160" s="232"/>
      <c r="P160" s="232"/>
      <c r="Q160" s="232"/>
      <c r="R160" s="232"/>
      <c r="S160" s="232"/>
    </row>
    <row r="161" spans="1:19">
      <c r="A161" s="199"/>
      <c r="B161" s="199"/>
      <c r="C161" s="199"/>
      <c r="D161" s="199"/>
      <c r="E161" s="199"/>
      <c r="F161" s="199"/>
      <c r="G161" s="199"/>
      <c r="H161" s="199"/>
      <c r="I161" s="225"/>
      <c r="J161" s="226"/>
      <c r="K161" s="226"/>
      <c r="L161" s="232"/>
      <c r="M161" s="232"/>
      <c r="N161" s="232"/>
      <c r="O161" s="232"/>
      <c r="P161" s="232"/>
      <c r="Q161" s="232"/>
      <c r="R161" s="232"/>
      <c r="S161" s="232"/>
    </row>
    <row r="162" spans="1:19">
      <c r="A162" s="199"/>
      <c r="B162" s="199"/>
      <c r="C162" s="199"/>
      <c r="D162" s="199"/>
      <c r="E162" s="199"/>
      <c r="F162" s="199"/>
      <c r="G162" s="199"/>
      <c r="H162" s="199"/>
      <c r="I162" s="225"/>
      <c r="J162" s="226"/>
      <c r="K162" s="226"/>
      <c r="L162" s="232"/>
      <c r="M162" s="232"/>
      <c r="N162" s="232"/>
      <c r="O162" s="232"/>
      <c r="P162" s="232"/>
      <c r="Q162" s="232"/>
      <c r="R162" s="232"/>
      <c r="S162" s="232"/>
    </row>
    <row r="163" spans="1:19">
      <c r="A163" s="199"/>
      <c r="B163" s="199"/>
      <c r="C163" s="199"/>
      <c r="D163" s="199"/>
      <c r="E163" s="199"/>
      <c r="F163" s="199"/>
      <c r="G163" s="199"/>
      <c r="H163" s="199"/>
      <c r="I163" s="225"/>
      <c r="J163" s="226"/>
      <c r="K163" s="226"/>
      <c r="L163" s="232"/>
      <c r="M163" s="232"/>
      <c r="N163" s="232"/>
      <c r="O163" s="232"/>
      <c r="P163" s="232"/>
      <c r="Q163" s="232"/>
      <c r="R163" s="232"/>
      <c r="S163" s="232"/>
    </row>
    <row r="164" spans="1:19">
      <c r="A164" s="199"/>
      <c r="B164" s="199"/>
      <c r="C164" s="199"/>
      <c r="D164" s="199"/>
      <c r="E164" s="199"/>
      <c r="F164" s="199"/>
      <c r="G164" s="199"/>
      <c r="H164" s="199"/>
      <c r="I164" s="225"/>
      <c r="J164" s="226"/>
      <c r="K164" s="226"/>
      <c r="L164" s="232"/>
      <c r="M164" s="232"/>
      <c r="N164" s="232"/>
      <c r="O164" s="232"/>
      <c r="P164" s="232"/>
      <c r="Q164" s="232"/>
      <c r="R164" s="232"/>
      <c r="S164" s="232"/>
    </row>
    <row r="165" spans="1:19">
      <c r="A165" s="199"/>
      <c r="B165" s="199"/>
      <c r="C165" s="199"/>
      <c r="D165" s="199"/>
      <c r="E165" s="199"/>
      <c r="F165" s="199"/>
      <c r="G165" s="199"/>
      <c r="H165" s="199"/>
      <c r="I165" s="225"/>
      <c r="J165" s="226"/>
      <c r="K165" s="226"/>
      <c r="L165" s="232"/>
      <c r="M165" s="232"/>
      <c r="N165" s="232"/>
      <c r="O165" s="232"/>
      <c r="P165" s="232"/>
      <c r="Q165" s="232"/>
      <c r="R165" s="232"/>
      <c r="S165" s="232"/>
    </row>
    <row r="166" spans="1:19">
      <c r="A166" s="199"/>
      <c r="B166" s="199"/>
      <c r="C166" s="199"/>
      <c r="D166" s="199"/>
      <c r="E166" s="199"/>
      <c r="F166" s="199"/>
      <c r="G166" s="199"/>
      <c r="H166" s="199"/>
      <c r="I166" s="225"/>
      <c r="J166" s="226"/>
      <c r="K166" s="226"/>
      <c r="L166" s="232"/>
      <c r="M166" s="232"/>
      <c r="N166" s="232"/>
      <c r="O166" s="232"/>
      <c r="P166" s="232"/>
      <c r="Q166" s="232"/>
      <c r="R166" s="232"/>
      <c r="S166" s="232"/>
    </row>
    <row r="167" spans="1:19">
      <c r="A167" s="199"/>
      <c r="B167" s="199"/>
      <c r="C167" s="199"/>
      <c r="D167" s="199"/>
      <c r="E167" s="199"/>
      <c r="F167" s="199"/>
      <c r="G167" s="199"/>
      <c r="H167" s="199"/>
      <c r="I167" s="225"/>
      <c r="J167" s="226"/>
      <c r="K167" s="226"/>
      <c r="L167" s="232"/>
      <c r="M167" s="232"/>
      <c r="N167" s="232"/>
      <c r="O167" s="232"/>
      <c r="P167" s="232"/>
      <c r="Q167" s="232"/>
      <c r="R167" s="232"/>
      <c r="S167" s="232"/>
    </row>
    <row r="168" spans="1:19">
      <c r="A168" s="199"/>
      <c r="B168" s="199"/>
      <c r="C168" s="199"/>
      <c r="D168" s="199"/>
      <c r="E168" s="199"/>
      <c r="F168" s="199"/>
      <c r="G168" s="199"/>
      <c r="H168" s="199"/>
      <c r="I168" s="225"/>
      <c r="J168" s="226"/>
      <c r="K168" s="226"/>
      <c r="L168" s="232"/>
      <c r="M168" s="232"/>
      <c r="N168" s="232"/>
      <c r="O168" s="232"/>
      <c r="P168" s="232"/>
      <c r="Q168" s="232"/>
      <c r="R168" s="232"/>
      <c r="S168" s="232"/>
    </row>
    <row r="169" spans="1:19">
      <c r="A169" s="199"/>
      <c r="B169" s="199"/>
      <c r="C169" s="199"/>
      <c r="D169" s="199"/>
      <c r="E169" s="199"/>
      <c r="F169" s="199"/>
      <c r="G169" s="199"/>
      <c r="H169" s="199"/>
      <c r="I169" s="225"/>
      <c r="J169" s="226"/>
      <c r="K169" s="226"/>
      <c r="L169" s="232"/>
      <c r="M169" s="232"/>
      <c r="N169" s="232"/>
      <c r="O169" s="232"/>
      <c r="P169" s="232"/>
      <c r="Q169" s="232"/>
      <c r="R169" s="232"/>
      <c r="S169" s="232"/>
    </row>
    <row r="170" spans="1:19">
      <c r="A170" s="199"/>
      <c r="B170" s="199"/>
      <c r="C170" s="199"/>
      <c r="D170" s="199"/>
      <c r="E170" s="199"/>
      <c r="F170" s="199"/>
      <c r="G170" s="199"/>
      <c r="H170" s="199"/>
      <c r="I170" s="225"/>
      <c r="J170" s="226"/>
      <c r="K170" s="226"/>
      <c r="L170" s="232"/>
      <c r="M170" s="232"/>
      <c r="N170" s="232"/>
      <c r="O170" s="232"/>
      <c r="P170" s="232"/>
      <c r="Q170" s="232"/>
      <c r="R170" s="232"/>
      <c r="S170" s="232"/>
    </row>
    <row r="171" spans="1:19">
      <c r="A171" s="199"/>
      <c r="B171" s="199"/>
      <c r="C171" s="199"/>
      <c r="D171" s="199"/>
      <c r="E171" s="199"/>
      <c r="F171" s="199"/>
      <c r="G171" s="199"/>
      <c r="H171" s="199"/>
      <c r="I171" s="225"/>
      <c r="J171" s="226"/>
      <c r="K171" s="226"/>
      <c r="L171" s="232"/>
      <c r="M171" s="232"/>
      <c r="N171" s="232"/>
      <c r="O171" s="232"/>
      <c r="P171" s="232"/>
      <c r="Q171" s="232"/>
      <c r="R171" s="232"/>
      <c r="S171" s="232"/>
    </row>
    <row r="172" spans="1:19">
      <c r="A172" s="199"/>
      <c r="B172" s="199"/>
      <c r="C172" s="199"/>
      <c r="D172" s="199"/>
      <c r="E172" s="199"/>
      <c r="F172" s="199"/>
      <c r="G172" s="199"/>
      <c r="H172" s="199"/>
      <c r="I172" s="225"/>
      <c r="J172" s="226"/>
      <c r="K172" s="226"/>
      <c r="L172" s="232"/>
      <c r="M172" s="232"/>
      <c r="N172" s="232"/>
      <c r="O172" s="232"/>
      <c r="P172" s="232"/>
      <c r="Q172" s="232"/>
      <c r="R172" s="232"/>
      <c r="S172" s="232"/>
    </row>
    <row r="173" spans="1:19">
      <c r="A173" s="199"/>
      <c r="B173" s="199"/>
      <c r="C173" s="199"/>
      <c r="D173" s="199"/>
      <c r="E173" s="199"/>
      <c r="F173" s="199"/>
      <c r="G173" s="199"/>
      <c r="H173" s="199"/>
      <c r="I173" s="225"/>
      <c r="J173" s="226"/>
      <c r="K173" s="226"/>
      <c r="L173" s="232"/>
      <c r="M173" s="232"/>
      <c r="N173" s="232"/>
      <c r="O173" s="232"/>
      <c r="P173" s="232"/>
      <c r="Q173" s="232"/>
      <c r="R173" s="232"/>
      <c r="S173" s="232"/>
    </row>
    <row r="174" spans="1:19">
      <c r="A174" s="199"/>
      <c r="B174" s="199"/>
      <c r="C174" s="199"/>
      <c r="D174" s="199"/>
      <c r="E174" s="199"/>
      <c r="F174" s="199"/>
      <c r="G174" s="199"/>
      <c r="H174" s="199"/>
      <c r="I174" s="225"/>
      <c r="J174" s="226"/>
      <c r="K174" s="226"/>
      <c r="L174" s="232"/>
      <c r="M174" s="232"/>
      <c r="N174" s="232"/>
      <c r="O174" s="232"/>
      <c r="P174" s="232"/>
      <c r="Q174" s="232"/>
      <c r="R174" s="232"/>
      <c r="S174" s="232"/>
    </row>
    <row r="175" spans="1:19">
      <c r="A175" s="199"/>
      <c r="B175" s="199"/>
      <c r="C175" s="199"/>
      <c r="D175" s="199"/>
      <c r="E175" s="199"/>
      <c r="F175" s="199"/>
      <c r="G175" s="199"/>
      <c r="H175" s="199"/>
      <c r="I175" s="225"/>
      <c r="J175" s="226"/>
      <c r="K175" s="226"/>
      <c r="L175" s="232"/>
      <c r="M175" s="232"/>
      <c r="N175" s="232"/>
      <c r="O175" s="232"/>
      <c r="P175" s="232"/>
      <c r="Q175" s="232"/>
      <c r="R175" s="232"/>
      <c r="S175" s="232"/>
    </row>
    <row r="176" spans="1:19">
      <c r="A176" s="199"/>
      <c r="B176" s="199"/>
      <c r="C176" s="199"/>
      <c r="D176" s="199"/>
      <c r="E176" s="199"/>
      <c r="F176" s="199"/>
      <c r="G176" s="199"/>
      <c r="H176" s="199"/>
      <c r="I176" s="225"/>
      <c r="J176" s="226"/>
      <c r="K176" s="226"/>
      <c r="L176" s="232"/>
      <c r="M176" s="232"/>
      <c r="N176" s="232"/>
      <c r="O176" s="232"/>
      <c r="P176" s="232"/>
      <c r="Q176" s="232"/>
      <c r="R176" s="232"/>
      <c r="S176" s="232"/>
    </row>
    <row r="177" spans="1:19">
      <c r="A177" s="199"/>
      <c r="B177" s="199"/>
      <c r="C177" s="199"/>
      <c r="D177" s="199"/>
      <c r="E177" s="199"/>
      <c r="F177" s="199"/>
      <c r="G177" s="199"/>
      <c r="H177" s="199"/>
      <c r="I177" s="225"/>
      <c r="J177" s="226"/>
      <c r="K177" s="226"/>
      <c r="L177" s="232"/>
      <c r="M177" s="232"/>
      <c r="N177" s="232"/>
      <c r="O177" s="232"/>
      <c r="P177" s="232"/>
      <c r="Q177" s="232"/>
      <c r="R177" s="232"/>
      <c r="S177" s="232"/>
    </row>
    <row r="178" spans="1:19">
      <c r="A178" s="199"/>
      <c r="B178" s="199"/>
      <c r="C178" s="199"/>
      <c r="D178" s="199"/>
      <c r="E178" s="199"/>
      <c r="F178" s="199"/>
      <c r="G178" s="199"/>
      <c r="H178" s="199"/>
      <c r="I178" s="225"/>
      <c r="J178" s="226"/>
      <c r="K178" s="226"/>
      <c r="L178" s="232"/>
      <c r="M178" s="232"/>
      <c r="N178" s="232"/>
      <c r="O178" s="232"/>
      <c r="P178" s="232"/>
      <c r="Q178" s="232"/>
      <c r="R178" s="232"/>
      <c r="S178" s="232"/>
    </row>
    <row r="179" spans="1:19">
      <c r="A179" s="199"/>
      <c r="B179" s="199"/>
      <c r="C179" s="199"/>
      <c r="D179" s="199"/>
      <c r="E179" s="199"/>
      <c r="F179" s="199"/>
      <c r="G179" s="199"/>
      <c r="H179" s="199"/>
      <c r="I179" s="225"/>
      <c r="J179" s="226"/>
      <c r="K179" s="226"/>
      <c r="L179" s="232"/>
      <c r="M179" s="232"/>
      <c r="N179" s="232"/>
      <c r="O179" s="232"/>
      <c r="P179" s="232"/>
      <c r="Q179" s="232"/>
      <c r="R179" s="232"/>
      <c r="S179" s="232"/>
    </row>
    <row r="180" spans="1:19">
      <c r="A180" s="199"/>
      <c r="B180" s="199"/>
      <c r="C180" s="199"/>
      <c r="D180" s="199"/>
      <c r="E180" s="199"/>
      <c r="F180" s="199"/>
      <c r="G180" s="199"/>
      <c r="H180" s="199"/>
      <c r="I180" s="225"/>
      <c r="J180" s="226"/>
      <c r="K180" s="226"/>
      <c r="L180" s="232"/>
      <c r="M180" s="232"/>
      <c r="N180" s="232"/>
      <c r="O180" s="232"/>
      <c r="P180" s="232"/>
      <c r="Q180" s="232"/>
      <c r="R180" s="232"/>
      <c r="S180" s="232"/>
    </row>
    <row r="181" spans="1:19">
      <c r="A181" s="199"/>
      <c r="B181" s="199"/>
      <c r="C181" s="199"/>
      <c r="D181" s="199"/>
      <c r="E181" s="199"/>
      <c r="F181" s="199"/>
      <c r="G181" s="199"/>
      <c r="H181" s="199"/>
      <c r="I181" s="225"/>
      <c r="J181" s="226"/>
      <c r="K181" s="226"/>
      <c r="L181" s="232"/>
      <c r="M181" s="232"/>
      <c r="N181" s="232"/>
      <c r="O181" s="232"/>
      <c r="P181" s="232"/>
      <c r="Q181" s="232"/>
      <c r="R181" s="232"/>
      <c r="S181" s="232"/>
    </row>
    <row r="182" spans="1:19">
      <c r="A182" s="199"/>
      <c r="B182" s="199"/>
      <c r="C182" s="199"/>
      <c r="D182" s="199"/>
      <c r="E182" s="199"/>
      <c r="F182" s="199"/>
      <c r="G182" s="199"/>
      <c r="H182" s="199"/>
      <c r="I182" s="225"/>
      <c r="J182" s="226"/>
      <c r="K182" s="226"/>
      <c r="L182" s="232"/>
      <c r="M182" s="232"/>
      <c r="N182" s="232"/>
      <c r="O182" s="232"/>
      <c r="P182" s="232"/>
      <c r="Q182" s="232"/>
      <c r="R182" s="232"/>
      <c r="S182" s="232"/>
    </row>
    <row r="183" spans="1:19">
      <c r="A183" s="199"/>
      <c r="B183" s="199"/>
      <c r="C183" s="199"/>
      <c r="D183" s="199"/>
      <c r="E183" s="199"/>
      <c r="F183" s="199"/>
      <c r="G183" s="199"/>
      <c r="H183" s="199"/>
      <c r="I183" s="225"/>
      <c r="J183" s="226"/>
      <c r="K183" s="226"/>
      <c r="L183" s="232"/>
      <c r="M183" s="232"/>
      <c r="N183" s="232"/>
      <c r="O183" s="232"/>
      <c r="P183" s="232"/>
      <c r="Q183" s="232"/>
      <c r="R183" s="232"/>
      <c r="S183" s="232"/>
    </row>
    <row r="184" spans="1:19">
      <c r="A184" s="199"/>
      <c r="B184" s="199"/>
      <c r="C184" s="199"/>
      <c r="D184" s="199"/>
      <c r="E184" s="199"/>
      <c r="F184" s="199"/>
      <c r="G184" s="199"/>
      <c r="H184" s="199"/>
      <c r="I184" s="225"/>
      <c r="J184" s="226"/>
      <c r="K184" s="226"/>
      <c r="L184" s="232"/>
      <c r="M184" s="232"/>
      <c r="N184" s="232"/>
      <c r="O184" s="232"/>
      <c r="P184" s="232"/>
      <c r="Q184" s="232"/>
      <c r="R184" s="232"/>
      <c r="S184" s="232"/>
    </row>
    <row r="185" spans="1:19">
      <c r="A185" s="199"/>
      <c r="B185" s="199"/>
      <c r="C185" s="199"/>
      <c r="D185" s="199"/>
      <c r="E185" s="199"/>
      <c r="F185" s="199"/>
      <c r="G185" s="199"/>
      <c r="H185" s="199"/>
      <c r="I185" s="225"/>
      <c r="J185" s="226"/>
      <c r="K185" s="226"/>
      <c r="L185" s="232"/>
      <c r="M185" s="232"/>
      <c r="N185" s="232"/>
      <c r="O185" s="232"/>
      <c r="P185" s="232"/>
      <c r="Q185" s="232"/>
      <c r="R185" s="232"/>
      <c r="S185" s="232"/>
    </row>
    <row r="186" spans="1:19">
      <c r="A186" s="199"/>
      <c r="B186" s="199"/>
      <c r="C186" s="199"/>
      <c r="D186" s="199"/>
      <c r="E186" s="199"/>
      <c r="F186" s="199"/>
      <c r="G186" s="199"/>
      <c r="H186" s="199"/>
      <c r="I186" s="225"/>
      <c r="J186" s="226"/>
      <c r="K186" s="226"/>
      <c r="L186" s="232"/>
      <c r="M186" s="232"/>
      <c r="N186" s="232"/>
      <c r="O186" s="232"/>
      <c r="P186" s="232"/>
      <c r="Q186" s="232"/>
      <c r="R186" s="232"/>
      <c r="S186" s="232"/>
    </row>
    <row r="187" spans="1:19">
      <c r="A187" s="199"/>
      <c r="B187" s="199"/>
      <c r="C187" s="199"/>
      <c r="D187" s="199"/>
      <c r="E187" s="199"/>
      <c r="F187" s="199"/>
      <c r="G187" s="199"/>
      <c r="H187" s="199"/>
      <c r="I187" s="225"/>
      <c r="J187" s="226"/>
      <c r="K187" s="226"/>
      <c r="L187" s="232"/>
      <c r="M187" s="232"/>
      <c r="N187" s="232"/>
      <c r="O187" s="232"/>
      <c r="P187" s="232"/>
      <c r="Q187" s="232"/>
      <c r="R187" s="232"/>
      <c r="S187" s="232"/>
    </row>
    <row r="188" spans="1:19">
      <c r="A188" s="199"/>
      <c r="B188" s="199"/>
      <c r="C188" s="199"/>
      <c r="D188" s="199"/>
      <c r="E188" s="199"/>
      <c r="F188" s="199"/>
      <c r="G188" s="199"/>
      <c r="H188" s="199"/>
      <c r="I188" s="225"/>
      <c r="J188" s="226"/>
      <c r="K188" s="226"/>
      <c r="L188" s="232"/>
      <c r="M188" s="232"/>
      <c r="N188" s="232"/>
      <c r="O188" s="232"/>
      <c r="P188" s="232"/>
      <c r="Q188" s="232"/>
      <c r="R188" s="232"/>
      <c r="S188" s="232"/>
    </row>
    <row r="189" spans="1:19">
      <c r="A189" s="199"/>
      <c r="B189" s="199"/>
      <c r="C189" s="199"/>
      <c r="D189" s="199"/>
      <c r="E189" s="199"/>
      <c r="F189" s="199"/>
      <c r="G189" s="199"/>
      <c r="H189" s="199"/>
      <c r="I189" s="225"/>
      <c r="J189" s="226"/>
      <c r="K189" s="226"/>
      <c r="L189" s="232"/>
      <c r="M189" s="232"/>
      <c r="N189" s="232"/>
      <c r="O189" s="232"/>
      <c r="P189" s="232"/>
      <c r="Q189" s="232"/>
      <c r="R189" s="232"/>
      <c r="S189" s="232"/>
    </row>
    <row r="190" spans="1:19">
      <c r="A190" s="199"/>
      <c r="B190" s="199"/>
      <c r="C190" s="199"/>
      <c r="D190" s="199"/>
      <c r="E190" s="199"/>
      <c r="F190" s="199"/>
      <c r="G190" s="199"/>
      <c r="H190" s="199"/>
      <c r="I190" s="225"/>
      <c r="J190" s="226"/>
      <c r="K190" s="226"/>
      <c r="L190" s="232"/>
      <c r="M190" s="232"/>
      <c r="N190" s="232"/>
      <c r="O190" s="232"/>
      <c r="P190" s="232"/>
      <c r="Q190" s="232"/>
      <c r="R190" s="232"/>
      <c r="S190" s="232"/>
    </row>
    <row r="191" spans="1:19">
      <c r="A191" s="199"/>
      <c r="B191" s="199"/>
      <c r="C191" s="199"/>
      <c r="D191" s="199"/>
      <c r="E191" s="199"/>
      <c r="F191" s="199"/>
      <c r="G191" s="199"/>
      <c r="H191" s="199"/>
      <c r="I191" s="225"/>
      <c r="J191" s="226"/>
      <c r="K191" s="226"/>
      <c r="L191" s="232"/>
      <c r="M191" s="232"/>
      <c r="N191" s="232"/>
      <c r="O191" s="232"/>
      <c r="P191" s="232"/>
      <c r="Q191" s="232"/>
      <c r="R191" s="232"/>
      <c r="S191" s="232"/>
    </row>
    <row r="192" spans="1:19">
      <c r="A192" s="199"/>
      <c r="B192" s="199"/>
      <c r="C192" s="199"/>
      <c r="D192" s="199"/>
      <c r="E192" s="199"/>
      <c r="F192" s="199"/>
      <c r="G192" s="199"/>
      <c r="H192" s="199"/>
      <c r="I192" s="225"/>
      <c r="J192" s="226"/>
      <c r="K192" s="226"/>
      <c r="L192" s="232"/>
      <c r="M192" s="232"/>
      <c r="N192" s="232"/>
      <c r="O192" s="232"/>
      <c r="P192" s="232"/>
      <c r="Q192" s="232"/>
      <c r="R192" s="232"/>
      <c r="S192" s="232"/>
    </row>
    <row r="193" spans="1:19">
      <c r="A193" s="199"/>
      <c r="B193" s="199"/>
      <c r="C193" s="199"/>
      <c r="D193" s="199"/>
      <c r="E193" s="199"/>
      <c r="F193" s="199"/>
      <c r="G193" s="199"/>
      <c r="H193" s="199"/>
      <c r="I193" s="225"/>
      <c r="J193" s="226"/>
      <c r="K193" s="226"/>
      <c r="L193" s="232"/>
      <c r="M193" s="232"/>
      <c r="N193" s="232"/>
      <c r="O193" s="232"/>
      <c r="P193" s="232"/>
      <c r="Q193" s="232"/>
      <c r="R193" s="232"/>
      <c r="S193" s="232"/>
    </row>
    <row r="194" spans="1:19">
      <c r="A194" s="199"/>
      <c r="B194" s="199"/>
      <c r="C194" s="199"/>
      <c r="D194" s="199"/>
      <c r="E194" s="199"/>
      <c r="F194" s="199"/>
      <c r="G194" s="199"/>
      <c r="H194" s="199"/>
      <c r="I194" s="225"/>
      <c r="J194" s="226"/>
      <c r="K194" s="226"/>
      <c r="L194" s="232"/>
      <c r="M194" s="232"/>
      <c r="N194" s="232"/>
      <c r="O194" s="232"/>
      <c r="P194" s="232"/>
      <c r="Q194" s="232"/>
      <c r="R194" s="232"/>
      <c r="S194" s="232"/>
    </row>
    <row r="195" spans="1:19">
      <c r="A195" s="199"/>
      <c r="B195" s="199"/>
      <c r="C195" s="199"/>
      <c r="D195" s="199"/>
      <c r="E195" s="199"/>
      <c r="F195" s="199"/>
      <c r="G195" s="199"/>
      <c r="H195" s="199"/>
      <c r="I195" s="225"/>
      <c r="J195" s="226"/>
      <c r="K195" s="226"/>
      <c r="L195" s="232"/>
      <c r="M195" s="232"/>
      <c r="N195" s="232"/>
      <c r="O195" s="232"/>
      <c r="P195" s="232"/>
      <c r="Q195" s="232"/>
      <c r="R195" s="232"/>
      <c r="S195" s="232"/>
    </row>
    <row r="196" spans="1:19">
      <c r="A196" s="199"/>
      <c r="B196" s="199"/>
      <c r="C196" s="199"/>
      <c r="D196" s="199"/>
      <c r="E196" s="199"/>
      <c r="F196" s="199"/>
      <c r="G196" s="199"/>
      <c r="H196" s="199"/>
      <c r="I196" s="225"/>
      <c r="J196" s="226"/>
      <c r="K196" s="226"/>
      <c r="L196" s="232"/>
      <c r="M196" s="232"/>
      <c r="N196" s="232"/>
      <c r="O196" s="232"/>
      <c r="P196" s="232"/>
      <c r="Q196" s="232"/>
      <c r="R196" s="232"/>
      <c r="S196" s="232"/>
    </row>
    <row r="197" spans="1:19">
      <c r="A197" s="199"/>
      <c r="B197" s="199"/>
      <c r="C197" s="199"/>
      <c r="D197" s="199"/>
      <c r="E197" s="199"/>
      <c r="F197" s="199"/>
      <c r="G197" s="199"/>
      <c r="H197" s="199"/>
      <c r="I197" s="225"/>
      <c r="J197" s="226"/>
      <c r="K197" s="226"/>
      <c r="L197" s="232"/>
      <c r="M197" s="232"/>
      <c r="N197" s="232"/>
      <c r="O197" s="232"/>
      <c r="P197" s="232"/>
      <c r="Q197" s="232"/>
      <c r="R197" s="232"/>
      <c r="S197" s="232"/>
    </row>
    <row r="198" spans="1:19">
      <c r="A198" s="199"/>
      <c r="B198" s="199"/>
      <c r="C198" s="199"/>
      <c r="D198" s="199"/>
      <c r="E198" s="199"/>
      <c r="F198" s="199"/>
      <c r="G198" s="199"/>
      <c r="H198" s="199"/>
      <c r="I198" s="225"/>
      <c r="J198" s="226"/>
      <c r="K198" s="226"/>
      <c r="L198" s="232"/>
      <c r="M198" s="232"/>
      <c r="N198" s="232"/>
      <c r="O198" s="232"/>
      <c r="P198" s="232"/>
      <c r="Q198" s="232"/>
      <c r="R198" s="232"/>
      <c r="S198" s="232"/>
    </row>
    <row r="199" spans="1:19">
      <c r="A199" s="199"/>
      <c r="B199" s="199"/>
      <c r="C199" s="199"/>
      <c r="D199" s="199"/>
      <c r="E199" s="199"/>
      <c r="F199" s="199"/>
      <c r="G199" s="199"/>
      <c r="H199" s="199"/>
      <c r="I199" s="225"/>
      <c r="J199" s="226"/>
      <c r="K199" s="226"/>
      <c r="L199" s="232"/>
      <c r="M199" s="232"/>
      <c r="N199" s="232"/>
      <c r="O199" s="232"/>
      <c r="P199" s="232"/>
      <c r="Q199" s="232"/>
      <c r="R199" s="232"/>
      <c r="S199" s="232"/>
    </row>
    <row r="200" spans="1:19">
      <c r="A200" s="199"/>
      <c r="B200" s="199"/>
      <c r="C200" s="199"/>
      <c r="D200" s="199"/>
      <c r="E200" s="199"/>
      <c r="F200" s="199"/>
      <c r="G200" s="199"/>
      <c r="H200" s="199"/>
      <c r="I200" s="225"/>
      <c r="J200" s="226"/>
      <c r="K200" s="226"/>
      <c r="L200" s="232"/>
      <c r="M200" s="232"/>
      <c r="N200" s="232"/>
      <c r="O200" s="232"/>
      <c r="P200" s="232"/>
      <c r="Q200" s="232"/>
      <c r="R200" s="232"/>
      <c r="S200" s="232"/>
    </row>
    <row r="201" spans="1:19">
      <c r="A201" s="199"/>
      <c r="B201" s="199"/>
      <c r="C201" s="199"/>
      <c r="D201" s="199"/>
      <c r="E201" s="199"/>
      <c r="F201" s="199"/>
      <c r="G201" s="199"/>
      <c r="H201" s="199"/>
      <c r="I201" s="225"/>
      <c r="J201" s="226"/>
      <c r="K201" s="226"/>
      <c r="L201" s="232"/>
      <c r="M201" s="232"/>
      <c r="N201" s="232"/>
      <c r="O201" s="232"/>
      <c r="P201" s="232"/>
      <c r="Q201" s="232"/>
      <c r="R201" s="232"/>
      <c r="S201" s="232"/>
    </row>
    <row r="202" spans="1:19">
      <c r="A202" s="199"/>
      <c r="B202" s="199"/>
      <c r="C202" s="199"/>
      <c r="D202" s="199"/>
      <c r="E202" s="199"/>
      <c r="F202" s="199"/>
      <c r="G202" s="199"/>
      <c r="H202" s="199"/>
      <c r="I202" s="225"/>
      <c r="J202" s="226"/>
      <c r="K202" s="226"/>
      <c r="L202" s="232"/>
      <c r="M202" s="232"/>
      <c r="N202" s="232"/>
      <c r="O202" s="232"/>
      <c r="P202" s="232"/>
      <c r="Q202" s="232"/>
      <c r="R202" s="232"/>
      <c r="S202" s="232"/>
    </row>
    <row r="203" spans="1:19">
      <c r="A203" s="199"/>
      <c r="B203" s="199"/>
      <c r="C203" s="199"/>
      <c r="D203" s="199"/>
      <c r="E203" s="199"/>
      <c r="F203" s="199"/>
      <c r="G203" s="199"/>
      <c r="H203" s="199"/>
      <c r="I203" s="225"/>
      <c r="J203" s="226"/>
      <c r="K203" s="226"/>
      <c r="L203" s="232"/>
      <c r="M203" s="232"/>
      <c r="N203" s="232"/>
      <c r="O203" s="232"/>
      <c r="P203" s="232"/>
      <c r="Q203" s="232"/>
      <c r="R203" s="232"/>
      <c r="S203" s="232"/>
    </row>
    <row r="204" spans="1:19">
      <c r="A204" s="199"/>
      <c r="B204" s="199"/>
      <c r="C204" s="199"/>
      <c r="D204" s="199"/>
      <c r="E204" s="199"/>
      <c r="F204" s="199"/>
      <c r="G204" s="199"/>
      <c r="H204" s="199"/>
      <c r="I204" s="225"/>
      <c r="J204" s="226"/>
      <c r="K204" s="226"/>
      <c r="L204" s="232"/>
      <c r="M204" s="232"/>
      <c r="N204" s="232"/>
      <c r="O204" s="232"/>
      <c r="P204" s="232"/>
      <c r="Q204" s="232"/>
      <c r="R204" s="232"/>
      <c r="S204" s="232"/>
    </row>
    <row r="205" spans="1:19">
      <c r="A205" s="199"/>
      <c r="B205" s="199"/>
      <c r="C205" s="199"/>
      <c r="D205" s="199"/>
      <c r="E205" s="199"/>
      <c r="F205" s="199"/>
      <c r="G205" s="199"/>
      <c r="H205" s="199"/>
      <c r="I205" s="225"/>
      <c r="J205" s="226"/>
      <c r="K205" s="226"/>
      <c r="L205" s="232"/>
      <c r="M205" s="232"/>
      <c r="N205" s="232"/>
      <c r="O205" s="232"/>
      <c r="P205" s="232"/>
      <c r="Q205" s="232"/>
      <c r="R205" s="232"/>
      <c r="S205" s="232"/>
    </row>
    <row r="206" spans="1:19">
      <c r="A206" s="199"/>
      <c r="B206" s="199"/>
      <c r="C206" s="199"/>
      <c r="D206" s="199"/>
      <c r="E206" s="199"/>
      <c r="F206" s="199"/>
      <c r="G206" s="199"/>
      <c r="H206" s="199"/>
      <c r="I206" s="225"/>
      <c r="J206" s="226"/>
      <c r="K206" s="226"/>
      <c r="L206" s="232"/>
      <c r="M206" s="232"/>
      <c r="N206" s="232"/>
      <c r="O206" s="232"/>
      <c r="P206" s="232"/>
      <c r="Q206" s="232"/>
      <c r="R206" s="232"/>
      <c r="S206" s="232"/>
    </row>
    <row r="207" spans="1:19">
      <c r="A207" s="199"/>
      <c r="B207" s="199"/>
      <c r="C207" s="199"/>
      <c r="D207" s="199"/>
      <c r="E207" s="199"/>
      <c r="F207" s="199"/>
      <c r="G207" s="199"/>
      <c r="H207" s="199"/>
      <c r="I207" s="225"/>
      <c r="J207" s="226"/>
      <c r="K207" s="226"/>
      <c r="L207" s="232"/>
      <c r="M207" s="232"/>
      <c r="N207" s="232"/>
      <c r="O207" s="232"/>
      <c r="P207" s="232"/>
      <c r="Q207" s="232"/>
      <c r="R207" s="232"/>
      <c r="S207" s="232"/>
    </row>
    <row r="208" spans="1:19">
      <c r="A208" s="199"/>
      <c r="B208" s="199"/>
      <c r="C208" s="199"/>
      <c r="D208" s="199"/>
      <c r="E208" s="199"/>
      <c r="F208" s="199"/>
      <c r="G208" s="199"/>
      <c r="H208" s="199"/>
      <c r="I208" s="225"/>
      <c r="J208" s="226"/>
      <c r="K208" s="226"/>
      <c r="L208" s="232"/>
      <c r="M208" s="232"/>
      <c r="N208" s="232"/>
      <c r="O208" s="232"/>
      <c r="P208" s="232"/>
      <c r="Q208" s="232"/>
      <c r="R208" s="232"/>
      <c r="S208" s="232"/>
    </row>
    <row r="209" spans="1:19">
      <c r="A209" s="199"/>
      <c r="B209" s="199"/>
      <c r="C209" s="199"/>
      <c r="D209" s="199"/>
      <c r="E209" s="199"/>
      <c r="F209" s="199"/>
      <c r="G209" s="199"/>
      <c r="H209" s="199"/>
      <c r="I209" s="225"/>
      <c r="J209" s="226"/>
      <c r="K209" s="226"/>
      <c r="L209" s="232"/>
      <c r="M209" s="232"/>
      <c r="N209" s="232"/>
      <c r="O209" s="232"/>
      <c r="P209" s="232"/>
      <c r="Q209" s="232"/>
      <c r="R209" s="232"/>
      <c r="S209" s="232"/>
    </row>
    <row r="210" spans="1:19">
      <c r="A210" s="199"/>
      <c r="B210" s="199"/>
      <c r="C210" s="199"/>
      <c r="D210" s="199"/>
      <c r="E210" s="199"/>
      <c r="F210" s="199"/>
      <c r="G210" s="199"/>
      <c r="H210" s="199"/>
      <c r="I210" s="225"/>
      <c r="J210" s="226"/>
      <c r="K210" s="226"/>
      <c r="L210" s="232"/>
      <c r="M210" s="232"/>
      <c r="N210" s="232"/>
      <c r="O210" s="232"/>
      <c r="P210" s="232"/>
      <c r="Q210" s="232"/>
      <c r="R210" s="232"/>
      <c r="S210" s="232"/>
    </row>
    <row r="211" spans="1:19">
      <c r="A211" s="199"/>
      <c r="B211" s="199"/>
      <c r="C211" s="199"/>
      <c r="D211" s="199"/>
      <c r="E211" s="199"/>
      <c r="F211" s="199"/>
      <c r="G211" s="199"/>
      <c r="H211" s="199"/>
      <c r="I211" s="225"/>
      <c r="J211" s="226"/>
      <c r="K211" s="226"/>
      <c r="L211" s="232"/>
      <c r="M211" s="232"/>
      <c r="N211" s="232"/>
      <c r="O211" s="232"/>
      <c r="P211" s="232"/>
      <c r="Q211" s="232"/>
      <c r="R211" s="232"/>
      <c r="S211" s="232"/>
    </row>
    <row r="212" spans="1:19">
      <c r="A212" s="199"/>
      <c r="B212" s="199"/>
      <c r="C212" s="199"/>
      <c r="D212" s="199"/>
      <c r="E212" s="199"/>
      <c r="F212" s="199"/>
      <c r="G212" s="199"/>
      <c r="H212" s="199"/>
      <c r="I212" s="225"/>
      <c r="J212" s="226"/>
      <c r="K212" s="226"/>
      <c r="L212" s="232"/>
      <c r="M212" s="232"/>
      <c r="N212" s="232"/>
      <c r="O212" s="232"/>
      <c r="P212" s="232"/>
      <c r="Q212" s="232"/>
      <c r="R212" s="232"/>
      <c r="S212" s="232"/>
    </row>
    <row r="213" spans="1:19">
      <c r="A213" s="199"/>
      <c r="B213" s="199"/>
      <c r="C213" s="199"/>
      <c r="D213" s="199"/>
      <c r="E213" s="199"/>
      <c r="F213" s="199"/>
      <c r="G213" s="199"/>
      <c r="H213" s="199"/>
      <c r="I213" s="225"/>
      <c r="J213" s="226"/>
      <c r="K213" s="226"/>
      <c r="L213" s="232"/>
      <c r="M213" s="232"/>
      <c r="N213" s="232"/>
      <c r="O213" s="232"/>
      <c r="P213" s="232"/>
      <c r="Q213" s="232"/>
      <c r="R213" s="232"/>
      <c r="S213" s="232"/>
    </row>
    <row r="214" spans="1:19">
      <c r="A214" s="199"/>
      <c r="B214" s="199"/>
      <c r="C214" s="199"/>
      <c r="D214" s="199"/>
      <c r="E214" s="199"/>
      <c r="F214" s="199"/>
      <c r="G214" s="199"/>
      <c r="H214" s="199"/>
      <c r="I214" s="225"/>
      <c r="J214" s="226"/>
      <c r="K214" s="226"/>
      <c r="L214" s="232"/>
      <c r="M214" s="232"/>
      <c r="N214" s="232"/>
      <c r="O214" s="232"/>
      <c r="P214" s="232"/>
      <c r="Q214" s="232"/>
      <c r="R214" s="232"/>
      <c r="S214" s="232"/>
    </row>
    <row r="215" spans="1:19">
      <c r="A215" s="199"/>
      <c r="B215" s="199"/>
      <c r="C215" s="199"/>
      <c r="D215" s="199"/>
      <c r="E215" s="199"/>
      <c r="F215" s="199"/>
      <c r="G215" s="199"/>
      <c r="H215" s="199"/>
      <c r="I215" s="225"/>
      <c r="J215" s="226"/>
      <c r="K215" s="226"/>
      <c r="L215" s="232"/>
      <c r="M215" s="232"/>
      <c r="N215" s="232"/>
      <c r="O215" s="232"/>
      <c r="P215" s="232"/>
      <c r="Q215" s="232"/>
      <c r="R215" s="232"/>
      <c r="S215" s="232"/>
    </row>
    <row r="216" spans="1:19">
      <c r="A216" s="199"/>
      <c r="B216" s="199"/>
      <c r="C216" s="199"/>
      <c r="D216" s="199"/>
      <c r="E216" s="199"/>
      <c r="F216" s="199"/>
      <c r="G216" s="199"/>
      <c r="H216" s="199"/>
      <c r="I216" s="225"/>
      <c r="J216" s="226"/>
      <c r="K216" s="226"/>
      <c r="L216" s="232"/>
      <c r="M216" s="232"/>
      <c r="N216" s="232"/>
      <c r="O216" s="232"/>
      <c r="P216" s="232"/>
      <c r="Q216" s="232"/>
      <c r="R216" s="232"/>
      <c r="S216" s="232"/>
    </row>
    <row r="217" spans="1:19">
      <c r="A217" s="199"/>
      <c r="B217" s="199"/>
      <c r="C217" s="199"/>
      <c r="D217" s="199"/>
      <c r="E217" s="199"/>
      <c r="F217" s="199"/>
      <c r="G217" s="199"/>
      <c r="H217" s="199"/>
      <c r="I217" s="225"/>
      <c r="J217" s="226"/>
      <c r="K217" s="226"/>
      <c r="L217" s="232"/>
      <c r="M217" s="232"/>
      <c r="N217" s="232"/>
      <c r="O217" s="232"/>
      <c r="P217" s="232"/>
      <c r="Q217" s="232"/>
      <c r="R217" s="232"/>
      <c r="S217" s="232"/>
    </row>
    <row r="218" spans="1:19">
      <c r="A218" s="199"/>
      <c r="B218" s="199"/>
      <c r="C218" s="199"/>
      <c r="D218" s="199"/>
      <c r="E218" s="199"/>
      <c r="F218" s="199"/>
      <c r="G218" s="199"/>
      <c r="H218" s="199"/>
      <c r="I218" s="225"/>
      <c r="J218" s="226"/>
      <c r="K218" s="226"/>
      <c r="L218" s="232"/>
      <c r="M218" s="232"/>
      <c r="N218" s="232"/>
      <c r="O218" s="232"/>
      <c r="P218" s="232"/>
      <c r="Q218" s="232"/>
      <c r="R218" s="232"/>
      <c r="S218" s="232"/>
    </row>
    <row r="219" spans="1:19">
      <c r="A219" s="199"/>
      <c r="B219" s="199"/>
      <c r="C219" s="199"/>
      <c r="D219" s="199"/>
      <c r="E219" s="199"/>
      <c r="F219" s="199"/>
      <c r="G219" s="199"/>
      <c r="H219" s="199"/>
      <c r="I219" s="225"/>
      <c r="J219" s="226"/>
      <c r="K219" s="226"/>
      <c r="L219" s="232"/>
      <c r="M219" s="232"/>
      <c r="N219" s="232"/>
      <c r="O219" s="232"/>
      <c r="P219" s="232"/>
      <c r="Q219" s="232"/>
      <c r="R219" s="232"/>
      <c r="S219" s="232"/>
    </row>
    <row r="220" spans="1:19">
      <c r="A220" s="199"/>
      <c r="B220" s="199"/>
      <c r="C220" s="199"/>
      <c r="D220" s="199"/>
      <c r="E220" s="199"/>
      <c r="F220" s="199"/>
      <c r="G220" s="199"/>
      <c r="H220" s="199"/>
      <c r="I220" s="225"/>
      <c r="J220" s="226"/>
      <c r="K220" s="226"/>
      <c r="L220" s="232"/>
      <c r="M220" s="232"/>
      <c r="N220" s="232"/>
      <c r="O220" s="232"/>
      <c r="P220" s="232"/>
      <c r="Q220" s="232"/>
      <c r="R220" s="232"/>
      <c r="S220" s="232"/>
    </row>
    <row r="221" spans="1:19">
      <c r="A221" s="199"/>
      <c r="B221" s="199"/>
      <c r="C221" s="199"/>
      <c r="D221" s="199"/>
      <c r="E221" s="199"/>
      <c r="F221" s="199"/>
      <c r="G221" s="199"/>
      <c r="H221" s="199"/>
      <c r="I221" s="225"/>
      <c r="J221" s="226"/>
      <c r="K221" s="226"/>
      <c r="L221" s="232"/>
      <c r="M221" s="232"/>
      <c r="N221" s="232"/>
      <c r="O221" s="232"/>
      <c r="P221" s="232"/>
      <c r="Q221" s="232"/>
      <c r="R221" s="232"/>
      <c r="S221" s="232"/>
    </row>
    <row r="222" spans="1:19">
      <c r="A222" s="199"/>
      <c r="B222" s="199"/>
      <c r="C222" s="199"/>
      <c r="D222" s="199"/>
      <c r="E222" s="199"/>
      <c r="F222" s="199"/>
      <c r="G222" s="199"/>
      <c r="H222" s="199"/>
      <c r="I222" s="225"/>
      <c r="J222" s="226"/>
      <c r="K222" s="226"/>
      <c r="L222" s="232"/>
      <c r="M222" s="232"/>
      <c r="N222" s="232"/>
      <c r="O222" s="232"/>
      <c r="P222" s="232"/>
      <c r="Q222" s="232"/>
      <c r="R222" s="232"/>
      <c r="S222" s="232"/>
    </row>
    <row r="223" spans="1:19">
      <c r="A223" s="199"/>
      <c r="B223" s="199"/>
      <c r="C223" s="199"/>
      <c r="D223" s="199"/>
      <c r="E223" s="199"/>
      <c r="F223" s="199"/>
      <c r="G223" s="199"/>
      <c r="H223" s="199"/>
      <c r="I223" s="225"/>
      <c r="J223" s="226"/>
      <c r="K223" s="226"/>
      <c r="L223" s="232"/>
      <c r="M223" s="232"/>
      <c r="N223" s="232"/>
      <c r="O223" s="232"/>
      <c r="P223" s="232"/>
      <c r="Q223" s="232"/>
      <c r="R223" s="232"/>
      <c r="S223" s="232"/>
    </row>
    <row r="224" spans="1:19">
      <c r="A224" s="199"/>
      <c r="B224" s="199"/>
      <c r="C224" s="199"/>
      <c r="D224" s="199"/>
      <c r="E224" s="199"/>
      <c r="F224" s="199"/>
      <c r="G224" s="199"/>
      <c r="H224" s="199"/>
      <c r="I224" s="225"/>
      <c r="J224" s="226"/>
      <c r="K224" s="226"/>
      <c r="L224" s="232"/>
      <c r="M224" s="232"/>
      <c r="N224" s="232"/>
      <c r="O224" s="232"/>
      <c r="P224" s="232"/>
      <c r="Q224" s="232"/>
      <c r="R224" s="232"/>
      <c r="S224" s="232"/>
    </row>
    <row r="225" spans="1:19">
      <c r="A225" s="199"/>
      <c r="B225" s="199"/>
      <c r="C225" s="199"/>
      <c r="D225" s="199"/>
      <c r="E225" s="199"/>
      <c r="F225" s="199"/>
      <c r="G225" s="199"/>
      <c r="H225" s="199"/>
      <c r="I225" s="225"/>
      <c r="J225" s="226"/>
      <c r="K225" s="226"/>
      <c r="L225" s="232"/>
      <c r="M225" s="232"/>
      <c r="N225" s="232"/>
      <c r="O225" s="232"/>
      <c r="P225" s="232"/>
      <c r="Q225" s="232"/>
      <c r="R225" s="232"/>
      <c r="S225" s="232"/>
    </row>
    <row r="226" spans="1:19">
      <c r="A226" s="199"/>
      <c r="B226" s="199"/>
      <c r="C226" s="199"/>
      <c r="D226" s="199"/>
      <c r="E226" s="199"/>
      <c r="F226" s="199"/>
      <c r="G226" s="199"/>
      <c r="H226" s="199"/>
      <c r="I226" s="225"/>
      <c r="J226" s="226"/>
      <c r="K226" s="226"/>
      <c r="L226" s="232"/>
      <c r="M226" s="232"/>
      <c r="N226" s="232"/>
      <c r="O226" s="232"/>
      <c r="P226" s="232"/>
      <c r="Q226" s="232"/>
      <c r="R226" s="232"/>
      <c r="S226" s="232"/>
    </row>
    <row r="227" spans="1:19">
      <c r="A227" s="199"/>
      <c r="B227" s="199"/>
      <c r="C227" s="199"/>
      <c r="D227" s="199"/>
      <c r="E227" s="199"/>
      <c r="F227" s="199"/>
      <c r="G227" s="199"/>
      <c r="H227" s="199"/>
      <c r="I227" s="225"/>
      <c r="J227" s="226"/>
      <c r="K227" s="226"/>
      <c r="L227" s="232"/>
      <c r="M227" s="232"/>
      <c r="N227" s="232"/>
      <c r="O227" s="232"/>
      <c r="P227" s="232"/>
      <c r="Q227" s="232"/>
      <c r="R227" s="232"/>
      <c r="S227" s="232"/>
    </row>
    <row r="228" spans="1:19">
      <c r="A228" s="199"/>
      <c r="B228" s="199"/>
      <c r="C228" s="199"/>
      <c r="D228" s="199"/>
      <c r="E228" s="199"/>
      <c r="F228" s="199"/>
      <c r="G228" s="199"/>
      <c r="H228" s="199"/>
      <c r="I228" s="225"/>
      <c r="J228" s="226"/>
      <c r="K228" s="226"/>
      <c r="L228" s="232"/>
      <c r="M228" s="232"/>
      <c r="N228" s="232"/>
      <c r="O228" s="232"/>
      <c r="P228" s="232"/>
      <c r="Q228" s="232"/>
      <c r="R228" s="232"/>
      <c r="S228" s="232"/>
    </row>
    <row r="229" spans="1:19">
      <c r="A229" s="199"/>
      <c r="B229" s="199"/>
      <c r="C229" s="199"/>
      <c r="D229" s="199"/>
      <c r="E229" s="199"/>
      <c r="F229" s="199"/>
      <c r="G229" s="199"/>
      <c r="H229" s="199"/>
      <c r="I229" s="225"/>
      <c r="J229" s="226"/>
      <c r="K229" s="226"/>
      <c r="L229" s="232"/>
      <c r="M229" s="232"/>
      <c r="N229" s="232"/>
      <c r="O229" s="232"/>
      <c r="P229" s="232"/>
      <c r="Q229" s="232"/>
      <c r="R229" s="232"/>
      <c r="S229" s="232"/>
    </row>
    <row r="230" spans="1:19">
      <c r="A230" s="199"/>
      <c r="B230" s="199"/>
      <c r="C230" s="199"/>
      <c r="D230" s="199"/>
      <c r="E230" s="199"/>
      <c r="F230" s="199"/>
      <c r="G230" s="199"/>
      <c r="H230" s="199"/>
      <c r="I230" s="225"/>
      <c r="J230" s="226"/>
      <c r="K230" s="226"/>
      <c r="L230" s="232"/>
      <c r="M230" s="232"/>
      <c r="N230" s="232"/>
      <c r="O230" s="232"/>
      <c r="P230" s="232"/>
      <c r="Q230" s="232"/>
      <c r="R230" s="232"/>
      <c r="S230" s="232"/>
    </row>
    <row r="231" spans="1:19">
      <c r="A231" s="199"/>
      <c r="B231" s="199"/>
      <c r="C231" s="199"/>
      <c r="D231" s="199"/>
      <c r="E231" s="199"/>
      <c r="F231" s="199"/>
      <c r="G231" s="199"/>
      <c r="H231" s="199"/>
      <c r="I231" s="225"/>
      <c r="J231" s="226"/>
      <c r="K231" s="226"/>
      <c r="L231" s="232"/>
      <c r="M231" s="232"/>
      <c r="N231" s="232"/>
      <c r="O231" s="232"/>
      <c r="P231" s="232"/>
      <c r="Q231" s="232"/>
      <c r="R231" s="232"/>
      <c r="S231" s="232"/>
    </row>
    <row r="232" spans="1:19">
      <c r="A232" s="199"/>
      <c r="B232" s="199"/>
      <c r="C232" s="199"/>
      <c r="D232" s="199"/>
      <c r="E232" s="199"/>
      <c r="F232" s="199"/>
      <c r="G232" s="199"/>
      <c r="H232" s="199"/>
      <c r="I232" s="225"/>
      <c r="J232" s="226"/>
      <c r="K232" s="226"/>
      <c r="L232" s="232"/>
      <c r="M232" s="232"/>
      <c r="N232" s="232"/>
      <c r="O232" s="232"/>
      <c r="P232" s="232"/>
      <c r="Q232" s="232"/>
      <c r="R232" s="232"/>
      <c r="S232" s="232"/>
    </row>
    <row r="233" spans="1:19">
      <c r="A233" s="199"/>
      <c r="B233" s="199"/>
      <c r="C233" s="199"/>
      <c r="D233" s="199"/>
      <c r="E233" s="199"/>
      <c r="F233" s="199"/>
      <c r="G233" s="199"/>
      <c r="H233" s="199"/>
      <c r="I233" s="225"/>
      <c r="J233" s="226"/>
      <c r="K233" s="226"/>
      <c r="L233" s="232"/>
      <c r="M233" s="232"/>
      <c r="N233" s="232"/>
      <c r="O233" s="232"/>
      <c r="P233" s="232"/>
      <c r="Q233" s="232"/>
      <c r="R233" s="232"/>
      <c r="S233" s="232"/>
    </row>
    <row r="234" spans="1:19">
      <c r="A234" s="199"/>
      <c r="B234" s="199"/>
      <c r="C234" s="199"/>
      <c r="D234" s="199"/>
      <c r="E234" s="199"/>
      <c r="F234" s="199"/>
      <c r="G234" s="199"/>
      <c r="H234" s="199"/>
      <c r="I234" s="225"/>
      <c r="J234" s="226"/>
      <c r="K234" s="226"/>
      <c r="L234" s="232"/>
      <c r="M234" s="232"/>
      <c r="N234" s="232"/>
      <c r="O234" s="232"/>
      <c r="P234" s="232"/>
      <c r="Q234" s="232"/>
      <c r="R234" s="232"/>
      <c r="S234" s="232"/>
    </row>
    <row r="235" spans="1:19">
      <c r="A235" s="199"/>
      <c r="B235" s="199"/>
      <c r="C235" s="199"/>
      <c r="D235" s="199"/>
      <c r="E235" s="199"/>
      <c r="F235" s="199"/>
      <c r="G235" s="199"/>
      <c r="H235" s="199"/>
      <c r="I235" s="225"/>
      <c r="J235" s="226"/>
      <c r="K235" s="226"/>
      <c r="L235" s="232"/>
      <c r="M235" s="232"/>
      <c r="N235" s="232"/>
      <c r="O235" s="232"/>
      <c r="P235" s="232"/>
      <c r="Q235" s="232"/>
      <c r="R235" s="232"/>
      <c r="S235" s="232"/>
    </row>
    <row r="236" spans="1:19">
      <c r="I236" s="225"/>
      <c r="L236" s="221"/>
      <c r="M236" s="221"/>
      <c r="N236" s="221"/>
      <c r="O236" s="221"/>
      <c r="P236" s="221"/>
      <c r="Q236" s="221"/>
      <c r="R236" s="221"/>
      <c r="S236" s="232"/>
    </row>
    <row r="237" spans="1:19">
      <c r="I237" s="225"/>
      <c r="L237" s="221"/>
      <c r="M237" s="221"/>
      <c r="N237" s="221"/>
      <c r="O237" s="221"/>
      <c r="P237" s="221"/>
      <c r="Q237" s="221"/>
      <c r="R237" s="221"/>
      <c r="S237" s="232"/>
    </row>
  </sheetData>
  <mergeCells count="4">
    <mergeCell ref="C2:H2"/>
    <mergeCell ref="I2:K2"/>
    <mergeCell ref="L2:Q2"/>
    <mergeCell ref="R2:S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'liste deroulante'!$G$17:$G$20</xm:f>
          </x14:formula1>
          <xm:sqref>I4:I237</xm:sqref>
        </x14:dataValidation>
        <x14:dataValidation type="list" allowBlank="1" showInputMessage="1" showErrorMessage="1">
          <x14:formula1>
            <xm:f>'liste deroulante'!$D$12:$D$13</xm:f>
          </x14:formula1>
          <xm:sqref>K4:K235</xm:sqref>
        </x14:dataValidation>
        <x14:dataValidation type="list" allowBlank="1" showInputMessage="1" showErrorMessage="1">
          <x14:formula1>
            <xm:f>'liste deroulante'!$H$17:$H$18</xm:f>
          </x14:formula1>
          <xm:sqref>S4:S237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E12" sqref="E12"/>
    </sheetView>
  </sheetViews>
  <sheetFormatPr baseColWidth="10" defaultRowHeight="15"/>
  <cols>
    <col min="1" max="3" width="25" bestFit="1" customWidth="1"/>
    <col min="4" max="4" width="23.7109375" bestFit="1" customWidth="1"/>
    <col min="5" max="5" width="19.5703125" bestFit="1" customWidth="1"/>
    <col min="6" max="6" width="15.42578125" bestFit="1" customWidth="1"/>
    <col min="7" max="7" width="17.42578125" bestFit="1" customWidth="1"/>
  </cols>
  <sheetData>
    <row r="1" spans="1:6">
      <c r="A1" s="241" t="s">
        <v>757</v>
      </c>
      <c r="C1" s="241" t="s">
        <v>764</v>
      </c>
      <c r="D1" t="s">
        <v>755</v>
      </c>
    </row>
    <row r="2" spans="1:6">
      <c r="A2" s="242" t="s">
        <v>756</v>
      </c>
      <c r="B2" s="240">
        <v>42.876404494382022</v>
      </c>
      <c r="C2" s="242" t="s">
        <v>267</v>
      </c>
      <c r="D2" s="240">
        <v>68</v>
      </c>
    </row>
    <row r="3" spans="1:6">
      <c r="A3" s="242" t="s">
        <v>758</v>
      </c>
      <c r="B3" s="240">
        <v>112</v>
      </c>
      <c r="C3" s="242" t="s">
        <v>266</v>
      </c>
      <c r="D3" s="240">
        <v>117</v>
      </c>
    </row>
    <row r="4" spans="1:6">
      <c r="A4" s="242" t="s">
        <v>762</v>
      </c>
      <c r="B4" s="240">
        <v>23</v>
      </c>
      <c r="C4" s="242" t="s">
        <v>765</v>
      </c>
      <c r="D4" s="240"/>
    </row>
    <row r="5" spans="1:6">
      <c r="A5" s="242" t="s">
        <v>763</v>
      </c>
      <c r="B5" s="240">
        <v>25</v>
      </c>
      <c r="C5" s="242" t="s">
        <v>766</v>
      </c>
      <c r="D5" s="240">
        <v>185</v>
      </c>
    </row>
    <row r="6" spans="1:6">
      <c r="A6" s="242" t="s">
        <v>755</v>
      </c>
      <c r="B6" s="240">
        <v>185</v>
      </c>
    </row>
    <row r="7" spans="1:6">
      <c r="A7" s="242" t="s">
        <v>760</v>
      </c>
      <c r="B7" s="240">
        <v>85</v>
      </c>
    </row>
    <row r="8" spans="1:6">
      <c r="A8" s="242" t="s">
        <v>761</v>
      </c>
      <c r="B8" s="240"/>
    </row>
    <row r="10" spans="1:6">
      <c r="A10" s="422"/>
      <c r="B10" s="423"/>
      <c r="C10" s="424"/>
      <c r="E10" s="241" t="s">
        <v>764</v>
      </c>
      <c r="F10" t="s">
        <v>769</v>
      </c>
    </row>
    <row r="11" spans="1:6">
      <c r="A11" s="425"/>
      <c r="B11" s="426"/>
      <c r="C11" s="427"/>
      <c r="E11" s="242" t="s">
        <v>50</v>
      </c>
      <c r="F11" s="240">
        <v>8</v>
      </c>
    </row>
    <row r="12" spans="1:6">
      <c r="A12" s="425"/>
      <c r="B12" s="426"/>
      <c r="C12" s="427"/>
      <c r="E12" s="242" t="s">
        <v>51</v>
      </c>
      <c r="F12" s="240">
        <v>2</v>
      </c>
    </row>
    <row r="13" spans="1:6">
      <c r="A13" s="425"/>
      <c r="B13" s="426"/>
      <c r="C13" s="427"/>
      <c r="E13" s="242" t="s">
        <v>765</v>
      </c>
      <c r="F13" s="240"/>
    </row>
    <row r="14" spans="1:6">
      <c r="A14" s="425"/>
      <c r="B14" s="426"/>
      <c r="C14" s="427"/>
      <c r="E14" s="242" t="s">
        <v>46</v>
      </c>
      <c r="F14" s="240">
        <v>1</v>
      </c>
    </row>
    <row r="15" spans="1:6">
      <c r="A15" s="425"/>
      <c r="B15" s="426"/>
      <c r="C15" s="427"/>
      <c r="E15" s="242" t="s">
        <v>44</v>
      </c>
      <c r="F15" s="240">
        <v>2</v>
      </c>
    </row>
    <row r="16" spans="1:6">
      <c r="A16" s="425"/>
      <c r="B16" s="426"/>
      <c r="C16" s="427"/>
      <c r="E16" s="242" t="s">
        <v>797</v>
      </c>
      <c r="F16" s="240">
        <v>2</v>
      </c>
    </row>
    <row r="17" spans="1:6">
      <c r="A17" s="425"/>
      <c r="B17" s="426"/>
      <c r="C17" s="427"/>
      <c r="E17" s="242" t="s">
        <v>766</v>
      </c>
      <c r="F17" s="240">
        <v>15</v>
      </c>
    </row>
    <row r="18" spans="1:6">
      <c r="A18" s="425"/>
      <c r="B18" s="426"/>
      <c r="C18" s="427"/>
    </row>
    <row r="19" spans="1:6">
      <c r="A19" s="425"/>
      <c r="B19" s="426"/>
      <c r="C19" s="427"/>
      <c r="E19" s="241" t="s">
        <v>784</v>
      </c>
    </row>
    <row r="20" spans="1:6">
      <c r="A20" s="425"/>
      <c r="B20" s="426"/>
      <c r="C20" s="427"/>
      <c r="E20" s="242" t="s">
        <v>770</v>
      </c>
      <c r="F20" s="240"/>
    </row>
    <row r="21" spans="1:6">
      <c r="A21" s="425"/>
      <c r="B21" s="426"/>
      <c r="C21" s="427"/>
      <c r="E21" s="242" t="s">
        <v>771</v>
      </c>
      <c r="F21" s="240"/>
    </row>
    <row r="22" spans="1:6">
      <c r="A22" s="425"/>
      <c r="B22" s="426"/>
      <c r="C22" s="427"/>
      <c r="E22" s="242" t="s">
        <v>772</v>
      </c>
      <c r="F22" s="240"/>
    </row>
    <row r="23" spans="1:6">
      <c r="A23" s="425"/>
      <c r="B23" s="426"/>
      <c r="C23" s="427"/>
      <c r="E23" s="242" t="s">
        <v>773</v>
      </c>
      <c r="F23" s="240">
        <v>1</v>
      </c>
    </row>
    <row r="24" spans="1:6">
      <c r="A24" s="425"/>
      <c r="B24" s="426"/>
      <c r="C24" s="427"/>
      <c r="E24" s="242" t="s">
        <v>774</v>
      </c>
      <c r="F24" s="240"/>
    </row>
    <row r="25" spans="1:6">
      <c r="A25" s="425"/>
      <c r="B25" s="426"/>
      <c r="C25" s="427"/>
      <c r="E25" s="242" t="s">
        <v>775</v>
      </c>
      <c r="F25" s="240">
        <v>2</v>
      </c>
    </row>
    <row r="26" spans="1:6">
      <c r="A26" s="425"/>
      <c r="B26" s="426"/>
      <c r="C26" s="427"/>
      <c r="E26" s="242" t="s">
        <v>776</v>
      </c>
      <c r="F26" s="240">
        <v>23</v>
      </c>
    </row>
    <row r="27" spans="1:6">
      <c r="A27" s="428"/>
      <c r="B27" s="429"/>
      <c r="C27" s="430"/>
      <c r="E27" s="242" t="s">
        <v>777</v>
      </c>
      <c r="F27" s="240">
        <v>5</v>
      </c>
    </row>
    <row r="28" spans="1:6">
      <c r="E28" s="242" t="s">
        <v>778</v>
      </c>
      <c r="F28" s="240">
        <v>1</v>
      </c>
    </row>
    <row r="29" spans="1:6">
      <c r="E29" s="242" t="s">
        <v>779</v>
      </c>
      <c r="F29" s="240"/>
    </row>
    <row r="30" spans="1:6">
      <c r="E30" s="242" t="s">
        <v>781</v>
      </c>
      <c r="F30" s="240"/>
    </row>
    <row r="31" spans="1:6">
      <c r="E31" s="242" t="s">
        <v>780</v>
      </c>
      <c r="F31" s="240"/>
    </row>
    <row r="32" spans="1:6">
      <c r="A32" s="241" t="s">
        <v>757</v>
      </c>
      <c r="E32" s="242" t="s">
        <v>782</v>
      </c>
      <c r="F32" s="240"/>
    </row>
    <row r="33" spans="1:6">
      <c r="A33" s="242" t="s">
        <v>785</v>
      </c>
      <c r="B33" s="240">
        <v>54</v>
      </c>
      <c r="E33" s="242" t="s">
        <v>783</v>
      </c>
      <c r="F33" s="240"/>
    </row>
    <row r="34" spans="1:6">
      <c r="A34" s="242" t="s">
        <v>786</v>
      </c>
      <c r="B34" s="240">
        <v>28</v>
      </c>
    </row>
    <row r="35" spans="1:6">
      <c r="A35" s="242" t="s">
        <v>770</v>
      </c>
      <c r="B35" s="240">
        <v>4</v>
      </c>
    </row>
    <row r="36" spans="1:6">
      <c r="A36" s="242" t="s">
        <v>771</v>
      </c>
      <c r="B36" s="240">
        <v>6</v>
      </c>
    </row>
    <row r="37" spans="1:6">
      <c r="A37" s="242" t="s">
        <v>772</v>
      </c>
      <c r="B37" s="240">
        <v>5</v>
      </c>
      <c r="D37" s="241" t="s">
        <v>764</v>
      </c>
      <c r="E37" t="s">
        <v>768</v>
      </c>
      <c r="F37" t="s">
        <v>767</v>
      </c>
    </row>
    <row r="38" spans="1:6">
      <c r="A38" s="242" t="s">
        <v>773</v>
      </c>
      <c r="B38" s="240">
        <v>5</v>
      </c>
      <c r="D38" s="242" t="s">
        <v>59</v>
      </c>
      <c r="E38" s="240">
        <v>1</v>
      </c>
      <c r="F38" s="240">
        <v>25</v>
      </c>
    </row>
    <row r="39" spans="1:6">
      <c r="A39" s="242" t="s">
        <v>774</v>
      </c>
      <c r="B39" s="240">
        <v>1</v>
      </c>
      <c r="D39" s="245" t="s">
        <v>56</v>
      </c>
      <c r="E39" s="240">
        <v>1</v>
      </c>
      <c r="F39" s="240">
        <v>1</v>
      </c>
    </row>
    <row r="40" spans="1:6">
      <c r="A40" s="242" t="s">
        <v>775</v>
      </c>
      <c r="B40" s="240">
        <v>6</v>
      </c>
      <c r="D40" s="245" t="s">
        <v>765</v>
      </c>
      <c r="E40" s="240"/>
      <c r="F40" s="240">
        <v>24</v>
      </c>
    </row>
    <row r="41" spans="1:6">
      <c r="A41" s="242" t="s">
        <v>787</v>
      </c>
      <c r="B41" s="240">
        <v>2</v>
      </c>
      <c r="D41" s="242" t="s">
        <v>42</v>
      </c>
      <c r="E41" s="240"/>
      <c r="F41" s="240">
        <v>1</v>
      </c>
    </row>
    <row r="42" spans="1:6">
      <c r="A42" s="242" t="s">
        <v>778</v>
      </c>
      <c r="B42" s="240">
        <v>5</v>
      </c>
      <c r="D42" s="245" t="s">
        <v>765</v>
      </c>
      <c r="E42" s="240"/>
      <c r="F42" s="240">
        <v>1</v>
      </c>
    </row>
    <row r="43" spans="1:6">
      <c r="A43" s="242" t="s">
        <v>779</v>
      </c>
      <c r="B43" s="240">
        <v>1</v>
      </c>
      <c r="D43" s="242" t="s">
        <v>43</v>
      </c>
      <c r="E43" s="240"/>
      <c r="F43" s="240">
        <v>13</v>
      </c>
    </row>
    <row r="44" spans="1:6">
      <c r="A44" s="242" t="s">
        <v>780</v>
      </c>
      <c r="B44" s="240">
        <v>1</v>
      </c>
      <c r="D44" s="245" t="s">
        <v>765</v>
      </c>
      <c r="E44" s="240"/>
      <c r="F44" s="240">
        <v>13</v>
      </c>
    </row>
    <row r="45" spans="1:6">
      <c r="A45" s="242" t="s">
        <v>781</v>
      </c>
      <c r="B45" s="240">
        <v>1</v>
      </c>
      <c r="D45" s="242" t="s">
        <v>41</v>
      </c>
      <c r="E45" s="240">
        <v>7</v>
      </c>
      <c r="F45" s="240">
        <v>7</v>
      </c>
    </row>
    <row r="46" spans="1:6">
      <c r="A46" s="242" t="s">
        <v>782</v>
      </c>
      <c r="B46" s="240"/>
      <c r="D46" s="245" t="s">
        <v>33</v>
      </c>
      <c r="E46" s="240">
        <v>2</v>
      </c>
      <c r="F46" s="240">
        <v>2</v>
      </c>
    </row>
    <row r="47" spans="1:6">
      <c r="A47" s="242" t="s">
        <v>788</v>
      </c>
      <c r="B47" s="240">
        <v>31</v>
      </c>
      <c r="D47" s="245" t="s">
        <v>57</v>
      </c>
      <c r="E47" s="240">
        <v>5</v>
      </c>
      <c r="F47" s="240">
        <v>5</v>
      </c>
    </row>
    <row r="48" spans="1:6">
      <c r="A48" s="242" t="s">
        <v>789</v>
      </c>
      <c r="B48" s="240">
        <v>27</v>
      </c>
      <c r="D48" s="242" t="s">
        <v>81</v>
      </c>
      <c r="E48" s="240"/>
      <c r="F48" s="240">
        <v>7</v>
      </c>
    </row>
    <row r="49" spans="4:6">
      <c r="D49" s="245" t="s">
        <v>765</v>
      </c>
      <c r="E49" s="240"/>
      <c r="F49" s="240">
        <v>7</v>
      </c>
    </row>
    <row r="50" spans="4:6">
      <c r="D50" s="242" t="s">
        <v>38</v>
      </c>
      <c r="E50" s="240">
        <v>74</v>
      </c>
      <c r="F50" s="240">
        <v>74</v>
      </c>
    </row>
    <row r="51" spans="4:6">
      <c r="D51" s="245" t="s">
        <v>60</v>
      </c>
      <c r="E51" s="240">
        <v>4</v>
      </c>
      <c r="F51" s="240">
        <v>4</v>
      </c>
    </row>
    <row r="52" spans="4:6">
      <c r="D52" s="245" t="s">
        <v>33</v>
      </c>
      <c r="E52" s="240">
        <v>5</v>
      </c>
      <c r="F52" s="240">
        <v>5</v>
      </c>
    </row>
    <row r="53" spans="4:6">
      <c r="D53" s="245" t="s">
        <v>57</v>
      </c>
      <c r="E53" s="240">
        <v>18</v>
      </c>
      <c r="F53" s="240">
        <v>18</v>
      </c>
    </row>
    <row r="54" spans="4:6">
      <c r="D54" s="245" t="s">
        <v>58</v>
      </c>
      <c r="E54" s="240">
        <v>4</v>
      </c>
      <c r="F54" s="240">
        <v>4</v>
      </c>
    </row>
    <row r="55" spans="4:6">
      <c r="D55" s="245" t="s">
        <v>56</v>
      </c>
      <c r="E55" s="240">
        <v>29</v>
      </c>
      <c r="F55" s="240">
        <v>29</v>
      </c>
    </row>
    <row r="56" spans="4:6">
      <c r="D56" s="245" t="s">
        <v>53</v>
      </c>
      <c r="E56" s="240">
        <v>4</v>
      </c>
      <c r="F56" s="240">
        <v>4</v>
      </c>
    </row>
    <row r="57" spans="4:6">
      <c r="D57" s="245" t="s">
        <v>55</v>
      </c>
      <c r="E57" s="240">
        <v>1</v>
      </c>
      <c r="F57" s="240">
        <v>1</v>
      </c>
    </row>
    <row r="58" spans="4:6">
      <c r="D58" s="245" t="s">
        <v>54</v>
      </c>
      <c r="E58" s="240">
        <v>9</v>
      </c>
      <c r="F58" s="240">
        <v>9</v>
      </c>
    </row>
    <row r="59" spans="4:6">
      <c r="D59" s="242" t="s">
        <v>765</v>
      </c>
      <c r="E59" s="240"/>
      <c r="F59" s="240"/>
    </row>
    <row r="60" spans="4:6">
      <c r="D60" s="245" t="s">
        <v>765</v>
      </c>
      <c r="E60" s="240"/>
      <c r="F60" s="240"/>
    </row>
    <row r="61" spans="4:6">
      <c r="D61" s="242" t="s">
        <v>766</v>
      </c>
      <c r="E61" s="240">
        <v>82</v>
      </c>
      <c r="F61" s="240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J30"/>
  <sheetViews>
    <sheetView workbookViewId="0">
      <selection activeCell="H1" sqref="H1:H10"/>
    </sheetView>
  </sheetViews>
  <sheetFormatPr baseColWidth="10" defaultRowHeight="15"/>
  <cols>
    <col min="2" max="2" width="31.5703125" customWidth="1"/>
    <col min="3" max="3" width="20.42578125" customWidth="1"/>
    <col min="6" max="6" width="11.85546875" customWidth="1"/>
    <col min="7" max="7" width="13.42578125" customWidth="1"/>
    <col min="8" max="8" width="16.42578125" customWidth="1"/>
  </cols>
  <sheetData>
    <row r="1" spans="1:10" ht="26.25" thickBot="1">
      <c r="A1" s="1" t="s">
        <v>4</v>
      </c>
      <c r="B1" s="1" t="s">
        <v>5</v>
      </c>
      <c r="C1" s="1" t="s">
        <v>6</v>
      </c>
      <c r="F1" s="9" t="s">
        <v>38</v>
      </c>
      <c r="H1" s="9" t="s">
        <v>40</v>
      </c>
      <c r="J1" s="9" t="s">
        <v>49</v>
      </c>
    </row>
    <row r="2" spans="1:10" ht="15.75" thickBot="1">
      <c r="A2" s="8"/>
      <c r="B2" s="9" t="s">
        <v>29</v>
      </c>
      <c r="C2" s="9"/>
      <c r="F2" t="s">
        <v>53</v>
      </c>
      <c r="G2" t="s">
        <v>34</v>
      </c>
      <c r="H2" t="s">
        <v>41</v>
      </c>
      <c r="J2" t="s">
        <v>46</v>
      </c>
    </row>
    <row r="3" spans="1:10" ht="39" thickBot="1">
      <c r="A3" s="2" t="s">
        <v>7</v>
      </c>
      <c r="B3" s="3" t="s">
        <v>8</v>
      </c>
      <c r="C3" s="3" t="s">
        <v>9</v>
      </c>
      <c r="E3" s="6" t="s">
        <v>27</v>
      </c>
      <c r="F3" s="6" t="s">
        <v>54</v>
      </c>
      <c r="G3" s="6" t="s">
        <v>35</v>
      </c>
      <c r="H3" s="6" t="s">
        <v>38</v>
      </c>
      <c r="J3" s="6" t="s">
        <v>47</v>
      </c>
    </row>
    <row r="4" spans="1:10" ht="26.25" thickBot="1">
      <c r="A4" s="4" t="s">
        <v>10</v>
      </c>
      <c r="B4" s="5" t="s">
        <v>11</v>
      </c>
      <c r="C4" s="5" t="s">
        <v>12</v>
      </c>
      <c r="E4" s="7" t="s">
        <v>28</v>
      </c>
      <c r="F4" s="7" t="s">
        <v>55</v>
      </c>
      <c r="G4" s="7" t="s">
        <v>36</v>
      </c>
      <c r="H4" s="7" t="s">
        <v>42</v>
      </c>
      <c r="J4" s="7" t="s">
        <v>44</v>
      </c>
    </row>
    <row r="5" spans="1:10" ht="26.25" thickBot="1">
      <c r="A5" s="2" t="s">
        <v>13</v>
      </c>
      <c r="B5" s="3" t="s">
        <v>14</v>
      </c>
      <c r="C5" s="3" t="s">
        <v>15</v>
      </c>
      <c r="F5" s="6" t="s">
        <v>56</v>
      </c>
      <c r="G5" t="s">
        <v>37</v>
      </c>
      <c r="H5" t="s">
        <v>43</v>
      </c>
      <c r="J5" t="s">
        <v>45</v>
      </c>
    </row>
    <row r="6" spans="1:10" ht="26.25" thickBot="1">
      <c r="A6" s="4" t="s">
        <v>16</v>
      </c>
      <c r="B6" s="5" t="s">
        <v>17</v>
      </c>
      <c r="C6" s="5" t="s">
        <v>18</v>
      </c>
      <c r="F6" s="7" t="s">
        <v>60</v>
      </c>
      <c r="H6" t="s">
        <v>59</v>
      </c>
      <c r="J6" t="s">
        <v>797</v>
      </c>
    </row>
    <row r="7" spans="1:10" ht="15.75" thickBot="1">
      <c r="A7" s="2" t="s">
        <v>19</v>
      </c>
      <c r="B7" s="3" t="s">
        <v>20</v>
      </c>
      <c r="C7" s="3" t="s">
        <v>18</v>
      </c>
      <c r="F7" s="7" t="s">
        <v>33</v>
      </c>
      <c r="H7" t="s">
        <v>81</v>
      </c>
      <c r="J7" t="s">
        <v>50</v>
      </c>
    </row>
    <row r="8" spans="1:10" ht="95.1" customHeight="1" thickBot="1">
      <c r="A8" s="4" t="s">
        <v>21</v>
      </c>
      <c r="B8" s="5" t="s">
        <v>22</v>
      </c>
      <c r="C8" s="5" t="s">
        <v>23</v>
      </c>
      <c r="F8" s="6" t="s">
        <v>39</v>
      </c>
      <c r="H8" t="s">
        <v>888</v>
      </c>
      <c r="J8" s="10" t="s">
        <v>51</v>
      </c>
    </row>
    <row r="9" spans="1:10" ht="26.25" thickBot="1">
      <c r="A9" s="2" t="s">
        <v>24</v>
      </c>
      <c r="B9" s="3" t="s">
        <v>25</v>
      </c>
      <c r="C9" s="3" t="s">
        <v>26</v>
      </c>
      <c r="F9" s="7" t="s">
        <v>57</v>
      </c>
      <c r="H9" t="s">
        <v>790</v>
      </c>
    </row>
    <row r="10" spans="1:10">
      <c r="F10" s="6" t="s">
        <v>58</v>
      </c>
      <c r="H10" s="6" t="s">
        <v>791</v>
      </c>
    </row>
    <row r="11" spans="1:10">
      <c r="D11" t="s">
        <v>30</v>
      </c>
      <c r="F11" s="7"/>
    </row>
    <row r="12" spans="1:10">
      <c r="B12" t="s">
        <v>62</v>
      </c>
      <c r="D12">
        <v>1</v>
      </c>
    </row>
    <row r="13" spans="1:10">
      <c r="B13" t="s">
        <v>63</v>
      </c>
      <c r="D13">
        <v>0</v>
      </c>
    </row>
    <row r="14" spans="1:10">
      <c r="B14" t="s">
        <v>64</v>
      </c>
    </row>
    <row r="16" spans="1:10">
      <c r="A16" t="s">
        <v>31</v>
      </c>
      <c r="B16" t="s">
        <v>66</v>
      </c>
      <c r="G16" t="s">
        <v>792</v>
      </c>
    </row>
    <row r="17" spans="2:8">
      <c r="B17" t="s">
        <v>67</v>
      </c>
      <c r="G17" t="s">
        <v>749</v>
      </c>
      <c r="H17" t="s">
        <v>793</v>
      </c>
    </row>
    <row r="18" spans="2:8">
      <c r="B18" t="s">
        <v>68</v>
      </c>
      <c r="G18" t="s">
        <v>743</v>
      </c>
      <c r="H18" t="s">
        <v>794</v>
      </c>
    </row>
    <row r="19" spans="2:8">
      <c r="B19" t="s">
        <v>69</v>
      </c>
      <c r="G19" t="s">
        <v>748</v>
      </c>
    </row>
    <row r="20" spans="2:8">
      <c r="B20" t="s">
        <v>70</v>
      </c>
      <c r="G20" t="s">
        <v>33</v>
      </c>
    </row>
    <row r="21" spans="2:8">
      <c r="B21" t="s">
        <v>71</v>
      </c>
    </row>
    <row r="22" spans="2:8">
      <c r="B22" t="s">
        <v>72</v>
      </c>
    </row>
    <row r="23" spans="2:8">
      <c r="B23" t="s">
        <v>73</v>
      </c>
    </row>
    <row r="24" spans="2:8">
      <c r="B24" t="s">
        <v>74</v>
      </c>
    </row>
    <row r="25" spans="2:8">
      <c r="B25" t="s">
        <v>75</v>
      </c>
    </row>
    <row r="26" spans="2:8">
      <c r="B26" t="s">
        <v>76</v>
      </c>
    </row>
    <row r="27" spans="2:8">
      <c r="B27" t="s">
        <v>77</v>
      </c>
    </row>
    <row r="28" spans="2:8">
      <c r="B28" t="s">
        <v>78</v>
      </c>
    </row>
    <row r="29" spans="2:8">
      <c r="B29" t="s">
        <v>79</v>
      </c>
    </row>
    <row r="30" spans="2:8">
      <c r="B30" t="s">
        <v>80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Views>
    <sheetView topLeftCell="A86" workbookViewId="0">
      <selection activeCell="E2" sqref="E2"/>
    </sheetView>
  </sheetViews>
  <sheetFormatPr baseColWidth="10" defaultColWidth="11.42578125" defaultRowHeight="15"/>
  <cols>
    <col min="1" max="1" width="6.85546875" style="46" bestFit="1" customWidth="1"/>
    <col min="2" max="2" width="6.85546875" style="12" bestFit="1" customWidth="1"/>
    <col min="3" max="3" width="12.42578125" style="12" customWidth="1"/>
    <col min="4" max="4" width="67" style="47" hidden="1" customWidth="1"/>
    <col min="5" max="5" width="68.85546875" style="47" customWidth="1"/>
    <col min="6" max="6" width="14.140625" style="47" customWidth="1"/>
    <col min="8" max="8" width="11.85546875" style="12" bestFit="1" customWidth="1"/>
    <col min="9" max="16384" width="11.42578125" style="12"/>
  </cols>
  <sheetData>
    <row r="1" spans="1:8" ht="30" customHeight="1">
      <c r="A1" s="658"/>
      <c r="B1" s="658"/>
      <c r="C1" s="658"/>
      <c r="D1" s="658"/>
      <c r="E1" s="11"/>
      <c r="F1" s="11"/>
    </row>
    <row r="2" spans="1:8" ht="30" customHeight="1">
      <c r="A2" s="13"/>
      <c r="B2" s="13"/>
      <c r="C2" s="13"/>
      <c r="D2" s="13"/>
      <c r="E2" s="13"/>
      <c r="F2" s="13"/>
    </row>
    <row r="3" spans="1:8" ht="30" customHeight="1">
      <c r="A3" s="659" t="s">
        <v>82</v>
      </c>
      <c r="B3" s="659"/>
      <c r="C3" s="660"/>
      <c r="D3" s="14"/>
      <c r="E3" s="661"/>
      <c r="F3" s="661"/>
    </row>
    <row r="4" spans="1:8" ht="30" customHeight="1" thickBot="1">
      <c r="A4" s="15" t="s">
        <v>83</v>
      </c>
      <c r="B4" s="14" t="s">
        <v>84</v>
      </c>
      <c r="C4" s="16" t="s">
        <v>85</v>
      </c>
      <c r="D4" s="14" t="s">
        <v>85</v>
      </c>
      <c r="E4" s="17" t="s">
        <v>85</v>
      </c>
      <c r="F4" s="14" t="s">
        <v>86</v>
      </c>
    </row>
    <row r="5" spans="1:8" s="21" customFormat="1" ht="30" customHeight="1" thickTop="1" thickBot="1">
      <c r="A5" s="621">
        <v>1</v>
      </c>
      <c r="B5" s="662" t="s">
        <v>87</v>
      </c>
      <c r="C5" s="664" t="s">
        <v>88</v>
      </c>
      <c r="D5" s="18" t="s">
        <v>89</v>
      </c>
      <c r="E5" s="19" t="s">
        <v>90</v>
      </c>
      <c r="F5" s="20">
        <v>3</v>
      </c>
    </row>
    <row r="6" spans="1:8" s="21" customFormat="1" ht="30" customHeight="1" thickBot="1">
      <c r="A6" s="636"/>
      <c r="B6" s="663"/>
      <c r="C6" s="665"/>
      <c r="D6" s="22" t="s">
        <v>91</v>
      </c>
      <c r="E6" s="23" t="s">
        <v>92</v>
      </c>
      <c r="F6" s="24">
        <v>3</v>
      </c>
    </row>
    <row r="7" spans="1:8" s="21" customFormat="1" ht="30" customHeight="1" thickTop="1" thickBot="1">
      <c r="A7" s="636"/>
      <c r="B7" s="663"/>
      <c r="C7" s="665"/>
      <c r="D7" s="18" t="s">
        <v>93</v>
      </c>
      <c r="E7" s="19" t="s">
        <v>94</v>
      </c>
      <c r="F7" s="20">
        <v>3</v>
      </c>
    </row>
    <row r="8" spans="1:8" s="21" customFormat="1" ht="30" customHeight="1" thickBot="1">
      <c r="A8" s="636"/>
      <c r="B8" s="663"/>
      <c r="C8" s="665"/>
      <c r="D8" s="22" t="s">
        <v>95</v>
      </c>
      <c r="E8" s="23" t="s">
        <v>96</v>
      </c>
      <c r="F8" s="24">
        <v>3</v>
      </c>
    </row>
    <row r="9" spans="1:8" s="21" customFormat="1" ht="30" customHeight="1" thickTop="1" thickBot="1">
      <c r="A9" s="636"/>
      <c r="B9" s="663"/>
      <c r="C9" s="665"/>
      <c r="D9" s="18" t="s">
        <v>97</v>
      </c>
      <c r="E9" s="19" t="s">
        <v>98</v>
      </c>
      <c r="F9" s="20">
        <v>3</v>
      </c>
      <c r="H9" s="25"/>
    </row>
    <row r="10" spans="1:8" s="21" customFormat="1" ht="30" customHeight="1" thickTop="1" thickBot="1">
      <c r="A10" s="644">
        <v>2</v>
      </c>
      <c r="B10" s="647" t="s">
        <v>99</v>
      </c>
      <c r="C10" s="649" t="s">
        <v>100</v>
      </c>
      <c r="D10" s="22" t="s">
        <v>101</v>
      </c>
      <c r="E10" s="23" t="s">
        <v>102</v>
      </c>
      <c r="F10" s="24">
        <v>3</v>
      </c>
    </row>
    <row r="11" spans="1:8" s="21" customFormat="1" ht="30" customHeight="1" thickTop="1" thickBot="1">
      <c r="A11" s="645"/>
      <c r="B11" s="648"/>
      <c r="C11" s="650"/>
      <c r="D11" s="18" t="s">
        <v>103</v>
      </c>
      <c r="E11" s="19" t="s">
        <v>104</v>
      </c>
      <c r="F11" s="20">
        <v>3</v>
      </c>
    </row>
    <row r="12" spans="1:8" s="21" customFormat="1" ht="30" customHeight="1" thickBot="1">
      <c r="A12" s="645"/>
      <c r="B12" s="648"/>
      <c r="C12" s="650"/>
      <c r="D12" s="22" t="s">
        <v>105</v>
      </c>
      <c r="E12" s="23" t="s">
        <v>106</v>
      </c>
      <c r="F12" s="24">
        <v>35</v>
      </c>
    </row>
    <row r="13" spans="1:8" s="21" customFormat="1" ht="30" customHeight="1" thickTop="1" thickBot="1">
      <c r="A13" s="645"/>
      <c r="B13" s="648"/>
      <c r="C13" s="650"/>
      <c r="D13" s="18" t="s">
        <v>107</v>
      </c>
      <c r="E13" s="19" t="s">
        <v>108</v>
      </c>
      <c r="F13" s="20">
        <v>3</v>
      </c>
    </row>
    <row r="14" spans="1:8" s="21" customFormat="1" ht="30" customHeight="1" thickBot="1">
      <c r="A14" s="645"/>
      <c r="B14" s="26"/>
      <c r="C14" s="650"/>
      <c r="D14" s="22" t="s">
        <v>109</v>
      </c>
      <c r="E14" s="23" t="s">
        <v>110</v>
      </c>
      <c r="F14" s="24">
        <v>3</v>
      </c>
    </row>
    <row r="15" spans="1:8" s="21" customFormat="1" ht="14.25" thickTop="1" thickBot="1">
      <c r="A15" s="646"/>
      <c r="B15" s="26"/>
      <c r="C15" s="651"/>
      <c r="D15" s="18" t="s">
        <v>111</v>
      </c>
      <c r="E15" s="19" t="s">
        <v>112</v>
      </c>
      <c r="F15" s="20">
        <v>35</v>
      </c>
    </row>
    <row r="16" spans="1:8" s="21" customFormat="1" ht="14.25" thickTop="1" thickBot="1">
      <c r="A16" s="652">
        <v>3</v>
      </c>
      <c r="B16" s="654" t="s">
        <v>113</v>
      </c>
      <c r="C16" s="656" t="s">
        <v>114</v>
      </c>
      <c r="D16" s="22" t="s">
        <v>115</v>
      </c>
      <c r="E16" s="23" t="s">
        <v>116</v>
      </c>
      <c r="F16" s="24">
        <v>3</v>
      </c>
    </row>
    <row r="17" spans="1:6" s="21" customFormat="1" ht="26.1" customHeight="1" thickTop="1" thickBot="1">
      <c r="A17" s="653"/>
      <c r="B17" s="655"/>
      <c r="C17" s="657"/>
      <c r="D17" s="18" t="s">
        <v>117</v>
      </c>
      <c r="E17" s="19" t="s">
        <v>118</v>
      </c>
      <c r="F17" s="20">
        <v>3</v>
      </c>
    </row>
    <row r="18" spans="1:6" s="21" customFormat="1" ht="30" customHeight="1" thickBot="1">
      <c r="A18" s="653"/>
      <c r="B18" s="655"/>
      <c r="C18" s="657"/>
      <c r="D18" s="22"/>
      <c r="E18" s="23" t="s">
        <v>119</v>
      </c>
      <c r="F18" s="24">
        <v>3</v>
      </c>
    </row>
    <row r="19" spans="1:6" s="21" customFormat="1" ht="30" customHeight="1" thickTop="1">
      <c r="A19" s="653"/>
      <c r="B19" s="655"/>
      <c r="C19" s="657"/>
      <c r="D19" s="18"/>
      <c r="E19" s="19" t="s">
        <v>120</v>
      </c>
      <c r="F19" s="20">
        <v>3</v>
      </c>
    </row>
    <row r="20" spans="1:6" s="21" customFormat="1" ht="30" customHeight="1" thickBot="1">
      <c r="A20" s="653"/>
      <c r="B20" s="655"/>
      <c r="C20" s="657"/>
      <c r="D20" s="27"/>
      <c r="E20" s="28" t="s">
        <v>121</v>
      </c>
      <c r="F20" s="29">
        <v>5</v>
      </c>
    </row>
    <row r="21" spans="1:6" s="21" customFormat="1" ht="30" customHeight="1" thickBot="1">
      <c r="A21" s="653"/>
      <c r="B21" s="655"/>
      <c r="C21" s="657"/>
      <c r="D21" s="22"/>
      <c r="E21" s="30" t="s">
        <v>122</v>
      </c>
      <c r="F21" s="24">
        <v>3</v>
      </c>
    </row>
    <row r="22" spans="1:6" s="21" customFormat="1" ht="14.25" thickTop="1" thickBot="1">
      <c r="A22" s="653"/>
      <c r="B22" s="655"/>
      <c r="C22" s="657"/>
      <c r="D22" s="18"/>
      <c r="E22" s="19" t="s">
        <v>123</v>
      </c>
      <c r="F22" s="20">
        <v>3</v>
      </c>
    </row>
    <row r="23" spans="1:6" s="21" customFormat="1" ht="30" customHeight="1" thickBot="1">
      <c r="A23" s="622">
        <v>4</v>
      </c>
      <c r="B23" s="634"/>
      <c r="C23" s="635" t="s">
        <v>124</v>
      </c>
      <c r="D23" s="22" t="s">
        <v>125</v>
      </c>
      <c r="E23" s="23" t="s">
        <v>126</v>
      </c>
      <c r="F23" s="24">
        <v>3</v>
      </c>
    </row>
    <row r="24" spans="1:6" s="21" customFormat="1" ht="30" customHeight="1" thickTop="1" thickBot="1">
      <c r="A24" s="622"/>
      <c r="B24" s="634"/>
      <c r="C24" s="635"/>
      <c r="D24" s="18" t="s">
        <v>127</v>
      </c>
      <c r="E24" s="19" t="s">
        <v>128</v>
      </c>
      <c r="F24" s="20">
        <v>3</v>
      </c>
    </row>
    <row r="25" spans="1:6" s="21" customFormat="1" ht="30" customHeight="1" thickBot="1">
      <c r="A25" s="622"/>
      <c r="B25" s="634"/>
      <c r="C25" s="635"/>
      <c r="D25" s="22" t="s">
        <v>129</v>
      </c>
      <c r="E25" s="23" t="s">
        <v>130</v>
      </c>
      <c r="F25" s="24">
        <v>3</v>
      </c>
    </row>
    <row r="26" spans="1:6" s="21" customFormat="1" ht="30" customHeight="1" thickTop="1" thickBot="1">
      <c r="A26" s="622"/>
      <c r="B26" s="634"/>
      <c r="C26" s="635"/>
      <c r="D26" s="18" t="s">
        <v>131</v>
      </c>
      <c r="E26" s="19" t="s">
        <v>132</v>
      </c>
      <c r="F26" s="20">
        <v>3</v>
      </c>
    </row>
    <row r="27" spans="1:6" s="31" customFormat="1" ht="30" customHeight="1" thickBot="1">
      <c r="A27" s="622"/>
      <c r="B27" s="634"/>
      <c r="C27" s="635"/>
      <c r="D27" s="22" t="s">
        <v>133</v>
      </c>
      <c r="E27" s="23" t="s">
        <v>134</v>
      </c>
      <c r="F27" s="24">
        <v>3</v>
      </c>
    </row>
    <row r="28" spans="1:6" s="31" customFormat="1" ht="30" customHeight="1" thickTop="1" thickBot="1">
      <c r="A28" s="622"/>
      <c r="B28" s="634"/>
      <c r="C28" s="635"/>
      <c r="D28" s="18" t="s">
        <v>135</v>
      </c>
      <c r="E28" s="19" t="s">
        <v>136</v>
      </c>
      <c r="F28" s="20">
        <v>3</v>
      </c>
    </row>
    <row r="29" spans="1:6" s="31" customFormat="1" ht="30" customHeight="1" thickBot="1">
      <c r="A29" s="622"/>
      <c r="B29" s="634"/>
      <c r="C29" s="635"/>
      <c r="D29" s="22" t="s">
        <v>137</v>
      </c>
      <c r="E29" s="23" t="s">
        <v>138</v>
      </c>
      <c r="F29" s="24">
        <v>3</v>
      </c>
    </row>
    <row r="30" spans="1:6" s="31" customFormat="1" ht="30" customHeight="1" thickTop="1" thickBot="1">
      <c r="A30" s="622"/>
      <c r="B30" s="634"/>
      <c r="C30" s="635"/>
      <c r="D30" s="18" t="s">
        <v>139</v>
      </c>
      <c r="E30" s="19" t="s">
        <v>140</v>
      </c>
      <c r="F30" s="20">
        <v>3</v>
      </c>
    </row>
    <row r="31" spans="1:6" s="31" customFormat="1" ht="30" customHeight="1" thickBot="1">
      <c r="A31" s="622"/>
      <c r="B31" s="634"/>
      <c r="C31" s="635"/>
      <c r="D31" s="22" t="s">
        <v>141</v>
      </c>
      <c r="E31" s="23" t="s">
        <v>142</v>
      </c>
      <c r="F31" s="24">
        <v>35</v>
      </c>
    </row>
    <row r="32" spans="1:6" s="31" customFormat="1" ht="30" customHeight="1" thickTop="1" thickBot="1">
      <c r="A32" s="622"/>
      <c r="B32" s="634"/>
      <c r="C32" s="635"/>
      <c r="D32" s="18" t="s">
        <v>143</v>
      </c>
      <c r="E32" s="19" t="s">
        <v>144</v>
      </c>
      <c r="F32" s="20">
        <v>3</v>
      </c>
    </row>
    <row r="33" spans="1:6" s="21" customFormat="1" ht="30" customHeight="1" thickBot="1">
      <c r="A33" s="622"/>
      <c r="B33" s="634"/>
      <c r="C33" s="635"/>
      <c r="D33" s="22"/>
      <c r="E33" s="23" t="s">
        <v>145</v>
      </c>
      <c r="F33" s="24">
        <v>3</v>
      </c>
    </row>
    <row r="34" spans="1:6" s="21" customFormat="1" ht="30" customHeight="1" thickTop="1" thickBot="1">
      <c r="A34" s="621">
        <v>5</v>
      </c>
      <c r="B34" s="637" t="s">
        <v>146</v>
      </c>
      <c r="C34" s="641" t="s">
        <v>147</v>
      </c>
      <c r="D34" s="18" t="s">
        <v>148</v>
      </c>
      <c r="E34" s="19" t="s">
        <v>149</v>
      </c>
      <c r="F34" s="20">
        <v>3</v>
      </c>
    </row>
    <row r="35" spans="1:6" s="21" customFormat="1" ht="30" customHeight="1" thickBot="1">
      <c r="A35" s="622"/>
      <c r="B35" s="638"/>
      <c r="C35" s="642"/>
      <c r="D35" s="22" t="s">
        <v>150</v>
      </c>
      <c r="E35" s="23" t="s">
        <v>151</v>
      </c>
      <c r="F35" s="24">
        <v>3</v>
      </c>
    </row>
    <row r="36" spans="1:6" s="21" customFormat="1" ht="30" customHeight="1" thickTop="1" thickBot="1">
      <c r="A36" s="622"/>
      <c r="B36" s="638"/>
      <c r="C36" s="642"/>
      <c r="D36" s="18" t="s">
        <v>152</v>
      </c>
      <c r="E36" s="19" t="s">
        <v>153</v>
      </c>
      <c r="F36" s="20">
        <v>3</v>
      </c>
    </row>
    <row r="37" spans="1:6" s="21" customFormat="1" ht="30" customHeight="1" thickBot="1">
      <c r="A37" s="622"/>
      <c r="B37" s="638"/>
      <c r="C37" s="642"/>
      <c r="D37" s="22" t="s">
        <v>154</v>
      </c>
      <c r="E37" s="23" t="s">
        <v>155</v>
      </c>
      <c r="F37" s="24">
        <v>3</v>
      </c>
    </row>
    <row r="38" spans="1:6" s="21" customFormat="1" ht="30" customHeight="1" thickTop="1" thickBot="1">
      <c r="A38" s="622"/>
      <c r="B38" s="638"/>
      <c r="C38" s="642"/>
      <c r="D38" s="18" t="s">
        <v>156</v>
      </c>
      <c r="E38" s="19" t="s">
        <v>157</v>
      </c>
      <c r="F38" s="20">
        <v>3</v>
      </c>
    </row>
    <row r="39" spans="1:6" s="21" customFormat="1" ht="30" customHeight="1" thickBot="1">
      <c r="A39" s="622"/>
      <c r="B39" s="638"/>
      <c r="C39" s="642"/>
      <c r="D39" s="22" t="s">
        <v>158</v>
      </c>
      <c r="E39" s="23" t="s">
        <v>159</v>
      </c>
      <c r="F39" s="24">
        <v>3</v>
      </c>
    </row>
    <row r="40" spans="1:6" s="21" customFormat="1" ht="30" customHeight="1" thickTop="1" thickBot="1">
      <c r="A40" s="636"/>
      <c r="B40" s="639"/>
      <c r="C40" s="643"/>
      <c r="D40" s="18" t="s">
        <v>160</v>
      </c>
      <c r="E40" s="19" t="s">
        <v>161</v>
      </c>
      <c r="F40" s="20">
        <v>3</v>
      </c>
    </row>
    <row r="41" spans="1:6" s="21" customFormat="1" ht="30" customHeight="1" thickBot="1">
      <c r="A41" s="636"/>
      <c r="B41" s="639"/>
      <c r="C41" s="643"/>
      <c r="D41" s="22" t="s">
        <v>162</v>
      </c>
      <c r="E41" s="23" t="s">
        <v>163</v>
      </c>
      <c r="F41" s="24">
        <v>3</v>
      </c>
    </row>
    <row r="42" spans="1:6" s="21" customFormat="1" ht="30" customHeight="1" thickTop="1" thickBot="1">
      <c r="A42" s="636"/>
      <c r="B42" s="639"/>
      <c r="C42" s="643"/>
      <c r="D42" s="18" t="s">
        <v>164</v>
      </c>
      <c r="E42" s="19" t="s">
        <v>165</v>
      </c>
      <c r="F42" s="20">
        <v>3</v>
      </c>
    </row>
    <row r="43" spans="1:6" s="21" customFormat="1" ht="30" customHeight="1" thickBot="1">
      <c r="A43" s="636"/>
      <c r="B43" s="639"/>
      <c r="C43" s="643"/>
      <c r="D43" s="22" t="s">
        <v>166</v>
      </c>
      <c r="E43" s="23" t="s">
        <v>167</v>
      </c>
      <c r="F43" s="24">
        <v>3</v>
      </c>
    </row>
    <row r="44" spans="1:6" s="21" customFormat="1" ht="30" customHeight="1" thickTop="1" thickBot="1">
      <c r="A44" s="636"/>
      <c r="B44" s="639"/>
      <c r="C44" s="643"/>
      <c r="D44" s="18" t="s">
        <v>168</v>
      </c>
      <c r="E44" s="19" t="s">
        <v>169</v>
      </c>
      <c r="F44" s="20">
        <v>3</v>
      </c>
    </row>
    <row r="45" spans="1:6" s="21" customFormat="1" ht="30" customHeight="1" thickBot="1">
      <c r="A45" s="636"/>
      <c r="B45" s="639"/>
      <c r="C45" s="643"/>
      <c r="D45" s="22" t="s">
        <v>170</v>
      </c>
      <c r="E45" s="23" t="s">
        <v>171</v>
      </c>
      <c r="F45" s="24">
        <v>3</v>
      </c>
    </row>
    <row r="46" spans="1:6" s="21" customFormat="1" ht="30" customHeight="1" thickTop="1" thickBot="1">
      <c r="A46" s="636"/>
      <c r="B46" s="639"/>
      <c r="C46" s="643"/>
      <c r="D46" s="18" t="s">
        <v>172</v>
      </c>
      <c r="E46" s="19" t="s">
        <v>173</v>
      </c>
      <c r="F46" s="20">
        <v>3</v>
      </c>
    </row>
    <row r="47" spans="1:6" s="21" customFormat="1" ht="30" customHeight="1" thickBot="1">
      <c r="A47" s="636"/>
      <c r="B47" s="640"/>
      <c r="C47" s="643"/>
      <c r="D47" s="22" t="s">
        <v>174</v>
      </c>
      <c r="E47" s="23" t="s">
        <v>175</v>
      </c>
      <c r="F47" s="24">
        <v>3</v>
      </c>
    </row>
    <row r="48" spans="1:6" s="21" customFormat="1" ht="96" customHeight="1" thickTop="1" thickBot="1">
      <c r="A48" s="32">
        <v>6</v>
      </c>
      <c r="B48" s="33" t="s">
        <v>176</v>
      </c>
      <c r="C48" s="34" t="s">
        <v>177</v>
      </c>
      <c r="D48" s="35" t="s">
        <v>178</v>
      </c>
      <c r="E48" s="35" t="s">
        <v>178</v>
      </c>
      <c r="F48" s="24">
        <v>1</v>
      </c>
    </row>
    <row r="49" spans="1:6" ht="30" customHeight="1" thickTop="1" thickBot="1">
      <c r="A49" s="621">
        <v>8</v>
      </c>
      <c r="B49" s="623" t="s">
        <v>179</v>
      </c>
      <c r="C49" s="630" t="s">
        <v>180</v>
      </c>
      <c r="D49" s="22"/>
      <c r="E49" s="23" t="s">
        <v>181</v>
      </c>
      <c r="F49" s="24">
        <v>1</v>
      </c>
    </row>
    <row r="50" spans="1:6" ht="30" customHeight="1" thickTop="1" thickBot="1">
      <c r="A50" s="622"/>
      <c r="B50" s="624"/>
      <c r="C50" s="631"/>
      <c r="D50" s="18"/>
      <c r="E50" s="19" t="s">
        <v>182</v>
      </c>
      <c r="F50" s="20">
        <v>3</v>
      </c>
    </row>
    <row r="51" spans="1:6" ht="30" customHeight="1" thickBot="1">
      <c r="A51" s="622"/>
      <c r="B51" s="624"/>
      <c r="C51" s="631"/>
      <c r="D51" s="22"/>
      <c r="E51" s="23" t="s">
        <v>183</v>
      </c>
      <c r="F51" s="24">
        <v>2</v>
      </c>
    </row>
    <row r="52" spans="1:6" ht="30" customHeight="1" thickTop="1" thickBot="1">
      <c r="A52" s="622"/>
      <c r="B52" s="624"/>
      <c r="C52" s="631"/>
      <c r="D52" s="18"/>
      <c r="E52" s="19" t="s">
        <v>184</v>
      </c>
      <c r="F52" s="20">
        <v>3</v>
      </c>
    </row>
    <row r="53" spans="1:6" ht="30" customHeight="1" thickBot="1">
      <c r="A53" s="622"/>
      <c r="B53" s="624"/>
      <c r="C53" s="631"/>
      <c r="D53" s="22"/>
      <c r="E53" s="23" t="s">
        <v>185</v>
      </c>
      <c r="F53" s="24">
        <v>5</v>
      </c>
    </row>
    <row r="54" spans="1:6" ht="30" customHeight="1" thickTop="1" thickBot="1">
      <c r="A54" s="622"/>
      <c r="B54" s="624"/>
      <c r="C54" s="631"/>
      <c r="D54" s="18"/>
      <c r="E54" s="19" t="s">
        <v>186</v>
      </c>
      <c r="F54" s="20">
        <v>1</v>
      </c>
    </row>
    <row r="55" spans="1:6" ht="30" customHeight="1" thickBot="1">
      <c r="A55" s="622"/>
      <c r="B55" s="624"/>
      <c r="C55" s="631"/>
      <c r="D55" s="22"/>
      <c r="E55" s="23" t="s">
        <v>187</v>
      </c>
      <c r="F55" s="24">
        <v>1</v>
      </c>
    </row>
    <row r="56" spans="1:6" ht="30" customHeight="1" thickTop="1" thickBot="1">
      <c r="A56" s="622"/>
      <c r="B56" s="624"/>
      <c r="C56" s="631"/>
      <c r="D56" s="18"/>
      <c r="E56" s="19" t="s">
        <v>188</v>
      </c>
      <c r="F56" s="20">
        <v>3</v>
      </c>
    </row>
    <row r="57" spans="1:6" ht="30" customHeight="1" thickBot="1">
      <c r="A57" s="622"/>
      <c r="B57" s="624"/>
      <c r="C57" s="631"/>
      <c r="D57" s="22"/>
      <c r="E57" s="23" t="s">
        <v>189</v>
      </c>
      <c r="F57" s="24">
        <v>3</v>
      </c>
    </row>
    <row r="58" spans="1:6" ht="30" customHeight="1" thickTop="1" thickBot="1">
      <c r="A58" s="622"/>
      <c r="B58" s="624"/>
      <c r="C58" s="631"/>
      <c r="D58" s="22"/>
      <c r="E58" s="23" t="s">
        <v>190</v>
      </c>
      <c r="F58" s="24">
        <v>3</v>
      </c>
    </row>
    <row r="59" spans="1:6" ht="30" customHeight="1" thickTop="1" thickBot="1">
      <c r="A59" s="622"/>
      <c r="B59" s="624"/>
      <c r="C59" s="631"/>
      <c r="D59" s="18"/>
      <c r="E59" s="19" t="s">
        <v>191</v>
      </c>
      <c r="F59" s="20">
        <v>3</v>
      </c>
    </row>
    <row r="60" spans="1:6" ht="30" customHeight="1" thickBot="1">
      <c r="A60" s="622"/>
      <c r="B60" s="624"/>
      <c r="C60" s="631"/>
      <c r="D60" s="22"/>
      <c r="E60" s="23" t="s">
        <v>192</v>
      </c>
      <c r="F60" s="24">
        <v>1</v>
      </c>
    </row>
    <row r="61" spans="1:6" ht="30" customHeight="1" thickTop="1" thickBot="1">
      <c r="A61" s="622"/>
      <c r="B61" s="624"/>
      <c r="C61" s="631"/>
      <c r="D61" s="18"/>
      <c r="E61" s="19" t="s">
        <v>193</v>
      </c>
      <c r="F61" s="20">
        <v>1</v>
      </c>
    </row>
    <row r="62" spans="1:6" ht="30" customHeight="1" thickBot="1">
      <c r="A62" s="622"/>
      <c r="B62" s="624"/>
      <c r="C62" s="631"/>
      <c r="D62" s="22"/>
      <c r="E62" s="23" t="s">
        <v>194</v>
      </c>
      <c r="F62" s="24">
        <v>2</v>
      </c>
    </row>
    <row r="63" spans="1:6" ht="30" customHeight="1" thickTop="1" thickBot="1">
      <c r="A63" s="622"/>
      <c r="B63" s="624"/>
      <c r="C63" s="631"/>
      <c r="D63" s="18"/>
      <c r="E63" s="19" t="s">
        <v>195</v>
      </c>
      <c r="F63" s="20">
        <v>2</v>
      </c>
    </row>
    <row r="64" spans="1:6" ht="30" customHeight="1" thickBot="1">
      <c r="A64" s="622"/>
      <c r="B64" s="629"/>
      <c r="C64" s="632"/>
      <c r="D64" s="22"/>
      <c r="E64" s="23" t="s">
        <v>196</v>
      </c>
      <c r="F64" s="24">
        <v>1</v>
      </c>
    </row>
    <row r="65" spans="1:6" ht="30" customHeight="1" thickTop="1" thickBot="1">
      <c r="A65" s="621">
        <v>9</v>
      </c>
      <c r="B65" s="623" t="s">
        <v>197</v>
      </c>
      <c r="C65" s="625" t="s">
        <v>198</v>
      </c>
      <c r="D65" s="18"/>
      <c r="E65" s="19" t="s">
        <v>199</v>
      </c>
      <c r="F65" s="20">
        <v>3</v>
      </c>
    </row>
    <row r="66" spans="1:6" ht="30" customHeight="1" thickBot="1">
      <c r="A66" s="622"/>
      <c r="B66" s="624"/>
      <c r="C66" s="626"/>
      <c r="D66" s="22"/>
      <c r="E66" s="23" t="s">
        <v>200</v>
      </c>
      <c r="F66" s="24">
        <v>3</v>
      </c>
    </row>
    <row r="67" spans="1:6" ht="30" customHeight="1" thickTop="1" thickBot="1">
      <c r="A67" s="622"/>
      <c r="B67" s="624"/>
      <c r="C67" s="626"/>
      <c r="D67" s="18"/>
      <c r="E67" s="19" t="s">
        <v>201</v>
      </c>
      <c r="F67" s="20">
        <v>1</v>
      </c>
    </row>
    <row r="68" spans="1:6" ht="30" customHeight="1" thickBot="1">
      <c r="A68" s="622"/>
      <c r="B68" s="624"/>
      <c r="C68" s="626"/>
      <c r="D68" s="22"/>
      <c r="E68" s="23" t="s">
        <v>202</v>
      </c>
      <c r="F68" s="24">
        <v>1</v>
      </c>
    </row>
    <row r="69" spans="1:6" ht="30" customHeight="1" thickTop="1" thickBot="1">
      <c r="A69" s="622"/>
      <c r="B69" s="624"/>
      <c r="C69" s="626"/>
      <c r="D69" s="18"/>
      <c r="E69" s="19" t="s">
        <v>203</v>
      </c>
      <c r="F69" s="20">
        <v>5</v>
      </c>
    </row>
    <row r="70" spans="1:6" ht="30" customHeight="1" thickBot="1">
      <c r="A70" s="622"/>
      <c r="B70" s="624"/>
      <c r="C70" s="626"/>
      <c r="D70" s="22"/>
      <c r="E70" s="23" t="s">
        <v>204</v>
      </c>
      <c r="F70" s="24">
        <v>3</v>
      </c>
    </row>
    <row r="71" spans="1:6" ht="30" customHeight="1" thickTop="1" thickBot="1">
      <c r="A71" s="622"/>
      <c r="B71" s="624"/>
      <c r="C71" s="626"/>
      <c r="D71" s="18"/>
      <c r="E71" s="19" t="s">
        <v>205</v>
      </c>
      <c r="F71" s="20">
        <v>2</v>
      </c>
    </row>
    <row r="72" spans="1:6" ht="30" customHeight="1" thickBot="1">
      <c r="A72" s="622"/>
      <c r="B72" s="624"/>
      <c r="C72" s="626"/>
      <c r="D72" s="22"/>
      <c r="E72" s="23" t="s">
        <v>206</v>
      </c>
      <c r="F72" s="24">
        <v>7</v>
      </c>
    </row>
    <row r="73" spans="1:6" ht="30" customHeight="1" thickTop="1" thickBot="1">
      <c r="A73" s="633"/>
      <c r="B73" s="36"/>
      <c r="C73" s="626"/>
      <c r="D73" s="18" t="s">
        <v>207</v>
      </c>
      <c r="E73" s="19" t="s">
        <v>208</v>
      </c>
      <c r="F73" s="20">
        <v>1</v>
      </c>
    </row>
    <row r="74" spans="1:6" ht="30" customHeight="1" thickTop="1" thickBot="1">
      <c r="A74" s="621">
        <v>10</v>
      </c>
      <c r="B74" s="623" t="s">
        <v>209</v>
      </c>
      <c r="C74" s="625" t="s">
        <v>210</v>
      </c>
      <c r="D74" s="22"/>
      <c r="E74" s="23" t="s">
        <v>211</v>
      </c>
      <c r="F74" s="24">
        <v>3</v>
      </c>
    </row>
    <row r="75" spans="1:6" ht="30" customHeight="1" thickTop="1" thickBot="1">
      <c r="A75" s="622"/>
      <c r="B75" s="624"/>
      <c r="C75" s="626"/>
      <c r="D75" s="18"/>
      <c r="E75" s="19" t="s">
        <v>212</v>
      </c>
      <c r="F75" s="20">
        <v>3</v>
      </c>
    </row>
    <row r="76" spans="1:6" ht="30" customHeight="1" thickBot="1">
      <c r="A76" s="622"/>
      <c r="B76" s="624"/>
      <c r="C76" s="626"/>
      <c r="D76" s="22"/>
      <c r="E76" s="23" t="s">
        <v>213</v>
      </c>
      <c r="F76" s="24">
        <v>1</v>
      </c>
    </row>
    <row r="77" spans="1:6" ht="30" customHeight="1" thickTop="1" thickBot="1">
      <c r="A77" s="622"/>
      <c r="B77" s="624"/>
      <c r="C77" s="626"/>
      <c r="D77" s="18"/>
      <c r="E77" s="19" t="s">
        <v>214</v>
      </c>
      <c r="F77" s="20">
        <v>2</v>
      </c>
    </row>
    <row r="78" spans="1:6" ht="30" customHeight="1" thickBot="1">
      <c r="A78" s="622"/>
      <c r="B78" s="624"/>
      <c r="C78" s="626"/>
      <c r="D78" s="22"/>
      <c r="E78" s="23" t="s">
        <v>215</v>
      </c>
      <c r="F78" s="24">
        <v>1</v>
      </c>
    </row>
    <row r="79" spans="1:6" ht="30" customHeight="1" thickTop="1" thickBot="1">
      <c r="A79" s="622"/>
      <c r="B79" s="624"/>
      <c r="C79" s="626"/>
      <c r="D79" s="18"/>
      <c r="E79" s="19" t="s">
        <v>216</v>
      </c>
      <c r="F79" s="20">
        <v>3</v>
      </c>
    </row>
    <row r="80" spans="1:6" ht="30" customHeight="1" thickBot="1">
      <c r="A80" s="622"/>
      <c r="B80" s="624"/>
      <c r="C80" s="626"/>
      <c r="D80" s="22"/>
      <c r="E80" s="23" t="s">
        <v>217</v>
      </c>
      <c r="F80" s="24">
        <v>1</v>
      </c>
    </row>
    <row r="81" spans="1:7" ht="30" customHeight="1" thickTop="1" thickBot="1">
      <c r="A81" s="622"/>
      <c r="B81" s="624"/>
      <c r="C81" s="626"/>
      <c r="D81" s="18"/>
      <c r="E81" s="19" t="s">
        <v>218</v>
      </c>
      <c r="F81" s="20">
        <v>4</v>
      </c>
    </row>
    <row r="82" spans="1:7" ht="30" customHeight="1" thickBot="1">
      <c r="A82" s="622"/>
      <c r="B82" s="624"/>
      <c r="C82" s="626"/>
      <c r="D82" s="22"/>
      <c r="E82" s="23" t="s">
        <v>219</v>
      </c>
      <c r="F82" s="24">
        <v>2</v>
      </c>
    </row>
    <row r="83" spans="1:7" ht="30" customHeight="1" thickTop="1" thickBot="1">
      <c r="A83" s="622"/>
      <c r="B83" s="624"/>
      <c r="C83" s="626"/>
      <c r="D83" s="22"/>
      <c r="E83" s="23" t="s">
        <v>220</v>
      </c>
      <c r="F83" s="24">
        <v>3</v>
      </c>
    </row>
    <row r="84" spans="1:7" s="40" customFormat="1" ht="30" customHeight="1" thickTop="1" thickBot="1">
      <c r="A84" s="622"/>
      <c r="B84" s="624"/>
      <c r="C84" s="626"/>
      <c r="D84" s="37"/>
      <c r="E84" s="38" t="s">
        <v>221</v>
      </c>
      <c r="F84" s="24">
        <v>3</v>
      </c>
      <c r="G84" s="39"/>
    </row>
    <row r="85" spans="1:7" ht="30" customHeight="1" thickTop="1" thickBot="1">
      <c r="A85" s="622"/>
      <c r="B85" s="624"/>
      <c r="C85" s="626"/>
      <c r="D85" s="18"/>
      <c r="E85" s="19" t="s">
        <v>222</v>
      </c>
      <c r="F85" s="20">
        <v>1</v>
      </c>
    </row>
    <row r="86" spans="1:7" ht="30" customHeight="1" thickTop="1" thickBot="1">
      <c r="A86" s="621">
        <v>11</v>
      </c>
      <c r="B86" s="623" t="s">
        <v>223</v>
      </c>
      <c r="C86" s="625" t="s">
        <v>224</v>
      </c>
      <c r="D86" s="22"/>
      <c r="E86" s="23" t="s">
        <v>225</v>
      </c>
      <c r="F86" s="24">
        <v>1</v>
      </c>
    </row>
    <row r="87" spans="1:7" ht="30" customHeight="1" thickTop="1" thickBot="1">
      <c r="A87" s="622"/>
      <c r="B87" s="624"/>
      <c r="C87" s="626"/>
      <c r="D87" s="18"/>
      <c r="E87" s="19" t="s">
        <v>226</v>
      </c>
      <c r="F87" s="20">
        <v>5</v>
      </c>
    </row>
    <row r="88" spans="1:7" ht="30" customHeight="1" thickBot="1">
      <c r="A88" s="622"/>
      <c r="B88" s="624"/>
      <c r="C88" s="626"/>
      <c r="D88" s="22"/>
      <c r="E88" s="23" t="s">
        <v>227</v>
      </c>
      <c r="F88" s="24">
        <v>3</v>
      </c>
    </row>
    <row r="89" spans="1:7" ht="30" customHeight="1" thickTop="1" thickBot="1">
      <c r="A89" s="622"/>
      <c r="B89" s="624"/>
      <c r="C89" s="626"/>
      <c r="D89" s="18"/>
      <c r="E89" s="19" t="s">
        <v>228</v>
      </c>
      <c r="F89" s="20">
        <v>3</v>
      </c>
    </row>
    <row r="90" spans="1:7" ht="30" customHeight="1" thickBot="1">
      <c r="A90" s="622"/>
      <c r="B90" s="624"/>
      <c r="C90" s="626"/>
      <c r="D90" s="22"/>
      <c r="E90" s="23" t="s">
        <v>229</v>
      </c>
      <c r="F90" s="24">
        <v>2</v>
      </c>
    </row>
    <row r="91" spans="1:7" ht="30" customHeight="1" thickTop="1" thickBot="1">
      <c r="A91" s="622"/>
      <c r="B91" s="624"/>
      <c r="C91" s="626"/>
      <c r="D91" s="18"/>
      <c r="E91" s="19" t="s">
        <v>230</v>
      </c>
      <c r="F91" s="20">
        <v>3</v>
      </c>
    </row>
    <row r="92" spans="1:7" ht="30" customHeight="1" thickBot="1">
      <c r="A92" s="622"/>
      <c r="B92" s="624"/>
      <c r="C92" s="626"/>
      <c r="D92" s="22"/>
      <c r="E92" s="23" t="s">
        <v>231</v>
      </c>
      <c r="F92" s="24">
        <v>3</v>
      </c>
    </row>
    <row r="93" spans="1:7" ht="30" customHeight="1" thickTop="1" thickBot="1">
      <c r="A93" s="622"/>
      <c r="B93" s="624"/>
      <c r="C93" s="626"/>
      <c r="D93" s="18"/>
      <c r="E93" s="19" t="s">
        <v>232</v>
      </c>
      <c r="F93" s="20">
        <v>3</v>
      </c>
    </row>
    <row r="94" spans="1:7" ht="30" customHeight="1" thickBot="1">
      <c r="A94" s="622"/>
      <c r="B94" s="624"/>
      <c r="C94" s="626"/>
      <c r="D94" s="22"/>
      <c r="E94" s="23" t="s">
        <v>233</v>
      </c>
      <c r="F94" s="24">
        <v>3</v>
      </c>
    </row>
    <row r="95" spans="1:7" ht="30" customHeight="1" thickTop="1" thickBot="1">
      <c r="A95" s="622"/>
      <c r="B95" s="624"/>
      <c r="C95" s="626"/>
      <c r="D95" s="18"/>
      <c r="E95" s="19" t="s">
        <v>234</v>
      </c>
      <c r="F95" s="20">
        <v>3</v>
      </c>
    </row>
    <row r="96" spans="1:7" ht="30" customHeight="1" thickTop="1" thickBot="1">
      <c r="A96" s="621">
        <v>12</v>
      </c>
      <c r="B96" s="623" t="s">
        <v>235</v>
      </c>
      <c r="C96" s="625" t="s">
        <v>236</v>
      </c>
      <c r="D96" s="22"/>
      <c r="E96" s="23" t="s">
        <v>237</v>
      </c>
      <c r="F96" s="24">
        <v>5</v>
      </c>
    </row>
    <row r="97" spans="1:6" ht="30" customHeight="1" thickTop="1" thickBot="1">
      <c r="A97" s="622"/>
      <c r="B97" s="624"/>
      <c r="C97" s="626"/>
      <c r="D97" s="18"/>
      <c r="E97" s="19" t="s">
        <v>238</v>
      </c>
      <c r="F97" s="20">
        <v>2</v>
      </c>
    </row>
    <row r="98" spans="1:6" ht="30" customHeight="1" thickBot="1">
      <c r="A98" s="622"/>
      <c r="B98" s="624"/>
      <c r="C98" s="626"/>
      <c r="D98" s="22"/>
      <c r="E98" s="23" t="s">
        <v>239</v>
      </c>
      <c r="F98" s="24">
        <v>1</v>
      </c>
    </row>
    <row r="99" spans="1:6" ht="30" customHeight="1" thickTop="1" thickBot="1">
      <c r="A99" s="622"/>
      <c r="B99" s="624"/>
      <c r="C99" s="626"/>
      <c r="D99" s="18"/>
      <c r="E99" s="19" t="s">
        <v>240</v>
      </c>
      <c r="F99" s="20">
        <v>1</v>
      </c>
    </row>
    <row r="100" spans="1:6" ht="30" customHeight="1" thickBot="1">
      <c r="A100" s="622"/>
      <c r="B100" s="624"/>
      <c r="C100" s="626"/>
      <c r="D100" s="22"/>
      <c r="E100" s="23" t="s">
        <v>241</v>
      </c>
      <c r="F100" s="24">
        <v>3</v>
      </c>
    </row>
    <row r="101" spans="1:6" ht="30" customHeight="1" thickTop="1" thickBot="1">
      <c r="A101" s="622"/>
      <c r="B101" s="624"/>
      <c r="C101" s="626"/>
      <c r="D101" s="18"/>
      <c r="E101" s="19" t="s">
        <v>242</v>
      </c>
      <c r="F101" s="20">
        <v>2</v>
      </c>
    </row>
    <row r="102" spans="1:6" ht="30" customHeight="1" thickBot="1">
      <c r="A102" s="622"/>
      <c r="B102" s="624"/>
      <c r="C102" s="626"/>
      <c r="D102" s="22"/>
      <c r="E102" s="23" t="s">
        <v>243</v>
      </c>
      <c r="F102" s="24">
        <v>3</v>
      </c>
    </row>
    <row r="103" spans="1:6" ht="30" customHeight="1" thickTop="1" thickBot="1">
      <c r="A103" s="622"/>
      <c r="B103" s="624"/>
      <c r="C103" s="626"/>
      <c r="D103" s="18"/>
      <c r="E103" s="19" t="s">
        <v>244</v>
      </c>
      <c r="F103" s="20">
        <v>8</v>
      </c>
    </row>
    <row r="104" spans="1:6" ht="30" customHeight="1" thickBot="1">
      <c r="A104" s="622"/>
      <c r="B104" s="624"/>
      <c r="C104" s="626"/>
      <c r="D104" s="22"/>
      <c r="E104" s="23" t="s">
        <v>245</v>
      </c>
      <c r="F104" s="24">
        <v>3</v>
      </c>
    </row>
    <row r="105" spans="1:6" ht="30" customHeight="1" thickTop="1" thickBot="1">
      <c r="A105" s="621">
        <v>13</v>
      </c>
      <c r="B105" s="623" t="s">
        <v>246</v>
      </c>
      <c r="C105" s="625" t="s">
        <v>247</v>
      </c>
      <c r="D105" s="22"/>
      <c r="E105" s="23" t="s">
        <v>248</v>
      </c>
      <c r="F105" s="24">
        <v>3</v>
      </c>
    </row>
    <row r="106" spans="1:6" ht="30" customHeight="1" thickTop="1" thickBot="1">
      <c r="A106" s="622"/>
      <c r="B106" s="624"/>
      <c r="C106" s="626"/>
      <c r="D106" s="18"/>
      <c r="E106" s="19" t="s">
        <v>249</v>
      </c>
      <c r="F106" s="20">
        <v>3</v>
      </c>
    </row>
    <row r="107" spans="1:6" ht="30" customHeight="1" thickBot="1">
      <c r="A107" s="622"/>
      <c r="B107" s="624"/>
      <c r="C107" s="626"/>
      <c r="D107" s="22"/>
      <c r="E107" s="23" t="s">
        <v>250</v>
      </c>
      <c r="F107" s="24">
        <v>2</v>
      </c>
    </row>
    <row r="108" spans="1:6" ht="30" customHeight="1" thickTop="1" thickBot="1">
      <c r="A108" s="622"/>
      <c r="B108" s="624"/>
      <c r="C108" s="626"/>
      <c r="D108" s="18"/>
      <c r="E108" s="19" t="s">
        <v>251</v>
      </c>
      <c r="F108" s="20">
        <v>3</v>
      </c>
    </row>
    <row r="109" spans="1:6" ht="30" customHeight="1" thickBot="1">
      <c r="A109" s="622"/>
      <c r="B109" s="624"/>
      <c r="C109" s="626"/>
      <c r="D109" s="22"/>
      <c r="E109" s="23" t="s">
        <v>252</v>
      </c>
      <c r="F109" s="24">
        <v>3</v>
      </c>
    </row>
    <row r="110" spans="1:6" ht="30" customHeight="1" thickTop="1" thickBot="1">
      <c r="A110" s="622"/>
      <c r="B110" s="624"/>
      <c r="C110" s="626"/>
      <c r="D110" s="18"/>
      <c r="E110" s="19" t="s">
        <v>253</v>
      </c>
      <c r="F110" s="20">
        <v>3</v>
      </c>
    </row>
    <row r="111" spans="1:6" ht="30" customHeight="1" thickTop="1" thickBot="1">
      <c r="A111" s="621">
        <v>14</v>
      </c>
      <c r="B111" s="623" t="s">
        <v>254</v>
      </c>
      <c r="C111" s="625" t="s">
        <v>255</v>
      </c>
      <c r="D111" s="22"/>
      <c r="E111" s="23" t="s">
        <v>256</v>
      </c>
      <c r="F111" s="24">
        <v>3</v>
      </c>
    </row>
    <row r="112" spans="1:6" ht="30" customHeight="1" thickTop="1" thickBot="1">
      <c r="A112" s="622"/>
      <c r="B112" s="624"/>
      <c r="C112" s="626"/>
      <c r="D112" s="22"/>
      <c r="E112" s="41" t="s">
        <v>257</v>
      </c>
      <c r="F112" s="24">
        <v>2</v>
      </c>
    </row>
    <row r="113" spans="1:6" ht="30" customHeight="1" thickTop="1" thickBot="1">
      <c r="A113" s="622"/>
      <c r="B113" s="624"/>
      <c r="C113" s="626"/>
      <c r="D113" s="27"/>
      <c r="E113" s="42" t="s">
        <v>258</v>
      </c>
      <c r="F113" s="20">
        <v>2</v>
      </c>
    </row>
    <row r="114" spans="1:6" ht="30" customHeight="1" thickTop="1" thickBot="1">
      <c r="A114" s="622"/>
      <c r="B114" s="624"/>
      <c r="C114" s="626"/>
      <c r="D114" s="27"/>
      <c r="E114" s="42" t="s">
        <v>259</v>
      </c>
      <c r="F114" s="20">
        <v>1</v>
      </c>
    </row>
    <row r="115" spans="1:6" ht="30" customHeight="1" thickTop="1" thickBot="1">
      <c r="A115" s="621">
        <v>15</v>
      </c>
      <c r="B115" s="623" t="s">
        <v>260</v>
      </c>
      <c r="C115" s="627" t="s">
        <v>261</v>
      </c>
      <c r="D115" s="22"/>
      <c r="E115" s="43" t="s">
        <v>262</v>
      </c>
      <c r="F115" s="24">
        <v>5</v>
      </c>
    </row>
    <row r="116" spans="1:6" ht="30" customHeight="1" thickTop="1" thickBot="1">
      <c r="A116" s="622"/>
      <c r="B116" s="624"/>
      <c r="C116" s="628"/>
      <c r="D116" s="18"/>
      <c r="E116" s="44" t="s">
        <v>263</v>
      </c>
      <c r="F116" s="20">
        <v>5</v>
      </c>
    </row>
    <row r="117" spans="1:6" ht="30" customHeight="1" thickTop="1" thickBot="1">
      <c r="A117" s="622"/>
      <c r="B117" s="624"/>
      <c r="C117" s="628"/>
      <c r="D117" s="22"/>
      <c r="E117" s="45" t="s">
        <v>264</v>
      </c>
      <c r="F117" s="24">
        <v>5</v>
      </c>
    </row>
    <row r="118" spans="1:6" ht="30" customHeight="1" thickTop="1"/>
  </sheetData>
  <mergeCells count="42">
    <mergeCell ref="A1:D1"/>
    <mergeCell ref="A3:C3"/>
    <mergeCell ref="E3:F3"/>
    <mergeCell ref="A5:A9"/>
    <mergeCell ref="B5:B9"/>
    <mergeCell ref="C5:C9"/>
    <mergeCell ref="A10:A15"/>
    <mergeCell ref="B10:B13"/>
    <mergeCell ref="C10:C15"/>
    <mergeCell ref="A16:A22"/>
    <mergeCell ref="B16:B22"/>
    <mergeCell ref="C16:C22"/>
    <mergeCell ref="A23:A33"/>
    <mergeCell ref="B23:B33"/>
    <mergeCell ref="C23:C33"/>
    <mergeCell ref="A34:A47"/>
    <mergeCell ref="B34:B47"/>
    <mergeCell ref="C34:C47"/>
    <mergeCell ref="A49:A64"/>
    <mergeCell ref="B49:B64"/>
    <mergeCell ref="C49:C64"/>
    <mergeCell ref="A65:A73"/>
    <mergeCell ref="B65:B72"/>
    <mergeCell ref="C65:C73"/>
    <mergeCell ref="A74:A85"/>
    <mergeCell ref="B74:B85"/>
    <mergeCell ref="C74:C85"/>
    <mergeCell ref="A86:A95"/>
    <mergeCell ref="B86:B95"/>
    <mergeCell ref="C86:C95"/>
    <mergeCell ref="A96:A104"/>
    <mergeCell ref="B96:B104"/>
    <mergeCell ref="C96:C104"/>
    <mergeCell ref="A105:A110"/>
    <mergeCell ref="B105:B110"/>
    <mergeCell ref="C105:C110"/>
    <mergeCell ref="A111:A114"/>
    <mergeCell ref="B111:B114"/>
    <mergeCell ref="C111:C114"/>
    <mergeCell ref="A115:A117"/>
    <mergeCell ref="B115:B117"/>
    <mergeCell ref="C115:C1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activeCell="L25" sqref="L25"/>
    </sheetView>
  </sheetViews>
  <sheetFormatPr baseColWidth="10" defaultRowHeight="15"/>
  <cols>
    <col min="1" max="2" width="11.42578125" style="154"/>
    <col min="3" max="3" width="12.140625" style="154" customWidth="1"/>
    <col min="4" max="6" width="11.42578125" style="154"/>
    <col min="7" max="7" width="33.42578125" style="154" bestFit="1" customWidth="1"/>
    <col min="8" max="9" width="11.42578125" style="154"/>
    <col min="10" max="10" width="16.42578125" style="154" bestFit="1" customWidth="1"/>
    <col min="11" max="11" width="11.42578125" style="154"/>
  </cols>
  <sheetData>
    <row r="1" spans="1:11" ht="18.75">
      <c r="A1" s="666" t="s">
        <v>638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</row>
    <row r="2" spans="1:11" ht="18.75">
      <c r="A2" s="151"/>
      <c r="B2" s="151"/>
      <c r="C2" s="151"/>
      <c r="D2" s="151"/>
      <c r="E2" s="151"/>
      <c r="F2" s="151"/>
      <c r="G2" s="151"/>
      <c r="H2" s="151"/>
      <c r="I2" s="151"/>
      <c r="J2" s="151"/>
      <c r="K2" s="151"/>
    </row>
    <row r="3" spans="1:11">
      <c r="J3" s="154" t="s">
        <v>673</v>
      </c>
      <c r="K3" s="154" t="s">
        <v>668</v>
      </c>
    </row>
    <row r="4" spans="1:11">
      <c r="A4" s="84">
        <v>0</v>
      </c>
      <c r="B4" s="96" t="s">
        <v>266</v>
      </c>
      <c r="C4" s="96" t="s">
        <v>399</v>
      </c>
      <c r="D4" s="155" t="s">
        <v>400</v>
      </c>
      <c r="E4" s="87">
        <v>34403</v>
      </c>
      <c r="F4" s="88">
        <v>31</v>
      </c>
      <c r="G4" s="156"/>
      <c r="H4" s="157"/>
      <c r="I4" s="96" t="s">
        <v>66</v>
      </c>
      <c r="J4" s="193">
        <v>46051</v>
      </c>
    </row>
    <row r="5" spans="1:11">
      <c r="A5" s="84">
        <v>0</v>
      </c>
      <c r="B5" s="96" t="s">
        <v>266</v>
      </c>
      <c r="C5" s="96" t="s">
        <v>321</v>
      </c>
      <c r="D5" s="155" t="s">
        <v>322</v>
      </c>
      <c r="E5" s="87">
        <v>31887</v>
      </c>
      <c r="F5" s="88">
        <v>38</v>
      </c>
      <c r="G5" s="156"/>
      <c r="H5" s="157"/>
      <c r="I5" s="96" t="s">
        <v>66</v>
      </c>
      <c r="J5" s="181">
        <v>46051</v>
      </c>
    </row>
    <row r="6" spans="1:11">
      <c r="A6" s="84">
        <v>0</v>
      </c>
      <c r="B6" s="96" t="s">
        <v>267</v>
      </c>
      <c r="C6" s="96" t="s">
        <v>402</v>
      </c>
      <c r="D6" s="155" t="s">
        <v>405</v>
      </c>
      <c r="E6" s="87">
        <v>28524</v>
      </c>
      <c r="F6" s="88">
        <v>47</v>
      </c>
      <c r="G6" s="156"/>
      <c r="H6" s="157"/>
      <c r="I6" s="96" t="s">
        <v>66</v>
      </c>
      <c r="J6" s="181">
        <v>46052</v>
      </c>
    </row>
    <row r="7" spans="1:11">
      <c r="A7" s="84">
        <v>0</v>
      </c>
      <c r="B7" s="96" t="s">
        <v>267</v>
      </c>
      <c r="C7" s="96" t="s">
        <v>369</v>
      </c>
      <c r="D7" s="155" t="s">
        <v>370</v>
      </c>
      <c r="E7" s="87">
        <v>27108</v>
      </c>
      <c r="F7" s="88">
        <v>51</v>
      </c>
      <c r="G7" s="156"/>
      <c r="H7" s="157"/>
      <c r="I7" s="96" t="s">
        <v>66</v>
      </c>
      <c r="J7" s="181">
        <v>46052</v>
      </c>
    </row>
    <row r="8" spans="1:11">
      <c r="A8" s="84">
        <v>1</v>
      </c>
      <c r="B8" s="96" t="s">
        <v>266</v>
      </c>
      <c r="C8" s="96" t="s">
        <v>357</v>
      </c>
      <c r="D8" s="96" t="s">
        <v>359</v>
      </c>
      <c r="E8" s="87">
        <v>36678</v>
      </c>
      <c r="F8" s="88">
        <v>25</v>
      </c>
      <c r="G8" s="156"/>
      <c r="H8" s="157"/>
      <c r="I8" s="96" t="s">
        <v>66</v>
      </c>
      <c r="J8" s="183">
        <v>46052</v>
      </c>
    </row>
    <row r="9" spans="1:11">
      <c r="A9" s="160">
        <v>0</v>
      </c>
      <c r="B9" s="96" t="s">
        <v>266</v>
      </c>
      <c r="C9" s="161" t="s">
        <v>562</v>
      </c>
      <c r="D9" s="162" t="s">
        <v>561</v>
      </c>
      <c r="E9" s="163">
        <v>25963</v>
      </c>
      <c r="F9" s="164">
        <v>54</v>
      </c>
      <c r="G9" s="52"/>
      <c r="H9" s="77"/>
      <c r="I9" s="161" t="s">
        <v>67</v>
      </c>
      <c r="J9" s="181">
        <v>46052</v>
      </c>
    </row>
    <row r="10" spans="1:11">
      <c r="A10" s="84">
        <v>1</v>
      </c>
      <c r="B10" s="96" t="s">
        <v>266</v>
      </c>
      <c r="C10" s="96" t="s">
        <v>525</v>
      </c>
      <c r="D10" s="155" t="s">
        <v>526</v>
      </c>
      <c r="E10" s="87">
        <v>33445</v>
      </c>
      <c r="F10" s="88">
        <v>34</v>
      </c>
      <c r="G10" s="156"/>
      <c r="H10" s="157"/>
      <c r="I10" s="96" t="s">
        <v>520</v>
      </c>
      <c r="J10" s="184">
        <v>46052</v>
      </c>
    </row>
    <row r="11" spans="1:11">
      <c r="A11" s="185">
        <v>0</v>
      </c>
      <c r="B11" s="97" t="s">
        <v>266</v>
      </c>
      <c r="C11" s="186" t="s">
        <v>545</v>
      </c>
      <c r="D11" s="187" t="s">
        <v>546</v>
      </c>
      <c r="E11" s="188">
        <v>28416</v>
      </c>
      <c r="F11" s="189">
        <v>48</v>
      </c>
      <c r="G11" s="190" t="s">
        <v>674</v>
      </c>
      <c r="H11" s="191"/>
      <c r="I11" s="186" t="s">
        <v>66</v>
      </c>
      <c r="J11" s="192">
        <v>46052</v>
      </c>
    </row>
    <row r="12" spans="1:11">
      <c r="A12" s="84">
        <v>0</v>
      </c>
      <c r="B12" s="161" t="s">
        <v>266</v>
      </c>
      <c r="C12" s="52" t="s">
        <v>528</v>
      </c>
      <c r="D12" s="165" t="s">
        <v>529</v>
      </c>
      <c r="E12" s="101">
        <v>33079</v>
      </c>
      <c r="F12" s="52">
        <v>35</v>
      </c>
      <c r="G12" s="52"/>
      <c r="H12" s="157"/>
      <c r="I12" s="161" t="s">
        <v>67</v>
      </c>
      <c r="J12" s="182">
        <v>46052</v>
      </c>
      <c r="K12" s="180"/>
    </row>
    <row r="13" spans="1:11">
      <c r="A13" s="166">
        <v>0</v>
      </c>
      <c r="B13" s="167" t="s">
        <v>267</v>
      </c>
      <c r="C13" s="167" t="s">
        <v>536</v>
      </c>
      <c r="D13" s="168" t="s">
        <v>535</v>
      </c>
      <c r="E13" s="169">
        <v>32076</v>
      </c>
      <c r="F13" s="170">
        <v>38</v>
      </c>
      <c r="G13" s="78"/>
      <c r="H13" s="157"/>
      <c r="I13" s="171" t="s">
        <v>67</v>
      </c>
      <c r="J13" s="182">
        <v>46052</v>
      </c>
      <c r="K13" s="180"/>
    </row>
    <row r="14" spans="1:11">
      <c r="A14" s="84">
        <v>0</v>
      </c>
      <c r="B14" s="152" t="s">
        <v>266</v>
      </c>
      <c r="C14" s="152" t="s">
        <v>493</v>
      </c>
      <c r="D14" s="158" t="s">
        <v>362</v>
      </c>
      <c r="E14" s="106">
        <v>36526</v>
      </c>
      <c r="F14" s="153">
        <v>25</v>
      </c>
      <c r="G14" s="159"/>
      <c r="H14" s="157"/>
      <c r="I14" s="96" t="s">
        <v>66</v>
      </c>
      <c r="J14" s="182">
        <v>46059</v>
      </c>
      <c r="K14" s="180"/>
    </row>
    <row r="15" spans="1:11">
      <c r="A15" s="84">
        <v>1</v>
      </c>
      <c r="B15" s="85" t="s">
        <v>266</v>
      </c>
      <c r="C15" s="96" t="s">
        <v>391</v>
      </c>
      <c r="D15" s="86" t="s">
        <v>392</v>
      </c>
      <c r="E15" s="87">
        <v>31510</v>
      </c>
      <c r="F15" s="88">
        <v>39</v>
      </c>
      <c r="G15" s="89"/>
      <c r="H15" s="150"/>
      <c r="I15" s="96" t="s">
        <v>66</v>
      </c>
      <c r="J15" s="184">
        <v>46059</v>
      </c>
      <c r="K15" s="180"/>
    </row>
    <row r="16" spans="1:11">
      <c r="A16" s="84">
        <v>0</v>
      </c>
      <c r="B16" s="85" t="s">
        <v>266</v>
      </c>
      <c r="C16" s="96" t="s">
        <v>420</v>
      </c>
      <c r="D16" s="86" t="s">
        <v>421</v>
      </c>
      <c r="E16" s="87">
        <v>30824</v>
      </c>
      <c r="F16" s="88">
        <v>41</v>
      </c>
      <c r="G16" s="89"/>
      <c r="H16" s="150"/>
      <c r="I16" s="96" t="s">
        <v>66</v>
      </c>
      <c r="J16" s="182">
        <v>46059</v>
      </c>
      <c r="K16" s="180"/>
    </row>
    <row r="17" spans="1:11">
      <c r="A17" s="84">
        <v>0</v>
      </c>
      <c r="B17" s="85" t="s">
        <v>266</v>
      </c>
      <c r="C17" s="96" t="s">
        <v>523</v>
      </c>
      <c r="D17" s="86" t="s">
        <v>524</v>
      </c>
      <c r="E17" s="87">
        <v>29674</v>
      </c>
      <c r="F17" s="88">
        <v>44</v>
      </c>
      <c r="G17" s="89"/>
      <c r="H17" s="150"/>
      <c r="I17" s="96" t="s">
        <v>520</v>
      </c>
      <c r="J17" s="182">
        <v>46059</v>
      </c>
      <c r="K17" s="180"/>
    </row>
    <row r="18" spans="1:11" ht="24">
      <c r="A18" s="160">
        <v>0</v>
      </c>
      <c r="B18" s="161" t="s">
        <v>266</v>
      </c>
      <c r="C18" s="161" t="s">
        <v>541</v>
      </c>
      <c r="D18" s="162" t="s">
        <v>542</v>
      </c>
      <c r="E18" s="163"/>
      <c r="F18" s="164"/>
      <c r="G18" s="52"/>
      <c r="H18" s="150"/>
      <c r="I18" s="161" t="s">
        <v>66</v>
      </c>
      <c r="J18" s="182">
        <v>46062</v>
      </c>
      <c r="K18" s="180"/>
    </row>
    <row r="19" spans="1:11" ht="24">
      <c r="A19" s="160">
        <v>0</v>
      </c>
      <c r="B19" s="161" t="s">
        <v>267</v>
      </c>
      <c r="C19" s="161" t="s">
        <v>576</v>
      </c>
      <c r="D19" s="162" t="s">
        <v>572</v>
      </c>
      <c r="E19" s="172">
        <v>32367</v>
      </c>
      <c r="F19" s="164">
        <v>37</v>
      </c>
      <c r="G19" s="52"/>
      <c r="H19" s="77"/>
      <c r="I19" s="161" t="s">
        <v>66</v>
      </c>
      <c r="J19" s="182">
        <v>46066</v>
      </c>
      <c r="K19" s="180"/>
    </row>
    <row r="20" spans="1:11">
      <c r="A20" s="66">
        <v>0</v>
      </c>
      <c r="B20" s="48" t="s">
        <v>267</v>
      </c>
      <c r="C20" s="56" t="s">
        <v>307</v>
      </c>
      <c r="D20" s="62" t="s">
        <v>308</v>
      </c>
      <c r="E20" s="49">
        <v>34397</v>
      </c>
      <c r="F20" s="50">
        <v>31</v>
      </c>
      <c r="G20" s="67"/>
      <c r="H20" s="150"/>
      <c r="I20" s="56" t="s">
        <v>67</v>
      </c>
      <c r="J20" s="181">
        <v>46070</v>
      </c>
    </row>
    <row r="21" spans="1:11">
      <c r="A21" s="84">
        <v>0</v>
      </c>
      <c r="B21" s="104" t="s">
        <v>266</v>
      </c>
      <c r="C21" s="98" t="s">
        <v>471</v>
      </c>
      <c r="D21" s="105" t="s">
        <v>474</v>
      </c>
      <c r="E21" s="106">
        <v>34076</v>
      </c>
      <c r="F21" s="107">
        <v>32</v>
      </c>
      <c r="G21" s="89"/>
      <c r="H21" s="140"/>
      <c r="I21" s="96" t="s">
        <v>66</v>
      </c>
      <c r="J21" s="181">
        <v>46070</v>
      </c>
    </row>
    <row r="22" spans="1:11">
      <c r="A22" s="79">
        <v>0</v>
      </c>
      <c r="B22" s="92" t="s">
        <v>266</v>
      </c>
      <c r="C22" s="92" t="s">
        <v>581</v>
      </c>
      <c r="D22" s="142" t="s">
        <v>582</v>
      </c>
      <c r="E22" s="173">
        <v>33082</v>
      </c>
      <c r="F22" s="143">
        <v>35</v>
      </c>
      <c r="G22" s="115"/>
      <c r="H22" s="91"/>
      <c r="I22" s="92" t="s">
        <v>66</v>
      </c>
      <c r="J22" s="182">
        <v>46073</v>
      </c>
      <c r="K22" s="180"/>
    </row>
    <row r="23" spans="1:11">
      <c r="A23" s="160">
        <v>0</v>
      </c>
      <c r="B23" s="161" t="s">
        <v>266</v>
      </c>
      <c r="C23" s="161" t="s">
        <v>588</v>
      </c>
      <c r="D23" s="162" t="s">
        <v>589</v>
      </c>
      <c r="E23" s="178">
        <v>36014</v>
      </c>
      <c r="F23" s="164">
        <v>27</v>
      </c>
      <c r="G23" s="52"/>
      <c r="H23" s="77"/>
      <c r="I23" s="161" t="s">
        <v>67</v>
      </c>
      <c r="J23" s="182">
        <v>46077</v>
      </c>
      <c r="K23" s="180"/>
    </row>
    <row r="24" spans="1:11">
      <c r="A24" s="84">
        <v>0</v>
      </c>
      <c r="B24" s="85" t="s">
        <v>266</v>
      </c>
      <c r="C24" s="96" t="s">
        <v>337</v>
      </c>
      <c r="D24" s="86" t="s">
        <v>338</v>
      </c>
      <c r="E24" s="87">
        <v>30088</v>
      </c>
      <c r="F24" s="88">
        <v>43</v>
      </c>
      <c r="G24" s="89"/>
      <c r="H24" s="150"/>
      <c r="I24" s="96" t="s">
        <v>66</v>
      </c>
      <c r="J24" s="87">
        <v>46080</v>
      </c>
      <c r="K24" s="180"/>
    </row>
    <row r="25" spans="1:11">
      <c r="A25" s="160">
        <v>0</v>
      </c>
      <c r="B25" s="161" t="s">
        <v>266</v>
      </c>
      <c r="C25" s="161" t="s">
        <v>567</v>
      </c>
      <c r="D25" s="162" t="s">
        <v>568</v>
      </c>
      <c r="E25" s="179" t="s">
        <v>573</v>
      </c>
      <c r="F25" s="164">
        <v>32</v>
      </c>
      <c r="G25" s="52"/>
      <c r="H25" s="77"/>
      <c r="I25" s="161" t="s">
        <v>66</v>
      </c>
      <c r="J25" s="87">
        <v>46078</v>
      </c>
      <c r="K25" s="180"/>
    </row>
    <row r="26" spans="1:11">
      <c r="A26" s="84">
        <v>0</v>
      </c>
      <c r="B26" s="85" t="s">
        <v>266</v>
      </c>
      <c r="C26" s="96" t="s">
        <v>327</v>
      </c>
      <c r="D26" s="86" t="s">
        <v>328</v>
      </c>
      <c r="E26" s="87">
        <v>27167</v>
      </c>
      <c r="F26" s="88">
        <v>51</v>
      </c>
      <c r="G26" s="89"/>
      <c r="H26" s="150"/>
      <c r="I26" s="96" t="s">
        <v>67</v>
      </c>
    </row>
    <row r="28" spans="1:11">
      <c r="A28" s="154">
        <f>SUM(A26)</f>
        <v>0</v>
      </c>
    </row>
  </sheetData>
  <mergeCells count="1">
    <mergeCell ref="A1:K1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'[3]LISTE DEROULANTE'!#REF!</xm:f>
          </x14:formula1>
          <xm:sqref>G5</xm:sqref>
        </x14:dataValidation>
        <x14:dataValidation type="list" allowBlank="1" showInputMessage="1" showErrorMessage="1">
          <x14:formula1>
            <xm:f>'liste deroulante'!$B$2:$B$9</xm:f>
          </x14:formula1>
          <xm:sqref>G8 G24 G26 G20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OYONNAX NANTUA</vt:lpstr>
      <vt:lpstr>BRSA Sorties </vt:lpstr>
      <vt:lpstr>Sanctions + Absences</vt:lpstr>
      <vt:lpstr>Bilan de parcours + démarches</vt:lpstr>
      <vt:lpstr>Tableau croisé ne pas toucher </vt:lpstr>
      <vt:lpstr>liste deroulante</vt:lpstr>
      <vt:lpstr>CODIFICATION ACTIVITE</vt:lpstr>
      <vt:lpstr>SANCTION RM</vt:lpstr>
      <vt:lpstr>'OYONNAX NANTUA'!Zone_d_impression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Fabienne BESSON</dc:creator>
  <cp:lastModifiedBy>Kim OU</cp:lastModifiedBy>
  <cp:lastPrinted>2023-12-15T09:13:22Z</cp:lastPrinted>
  <dcterms:created xsi:type="dcterms:W3CDTF">2017-12-13T14:37:52Z</dcterms:created>
  <dcterms:modified xsi:type="dcterms:W3CDTF">2026-09-08T09:37:32Z</dcterms:modified>
</cp:coreProperties>
</file>