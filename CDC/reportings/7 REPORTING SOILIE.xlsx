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Y:\Bourg-MIFE\1-Commun\CIP+\OUTILS COMMUN\Outils\Reporting\"/>
    </mc:Choice>
  </mc:AlternateContent>
  <xr:revisionPtr revIDLastSave="0" documentId="13_ncr:1_{69648599-93FA-4513-BB18-7FF19410E8D6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CROIX BLANCHE PG" sheetId="1" r:id="rId1"/>
    <sheet name="BRSA SORTIES" sheetId="9" r:id="rId2"/>
    <sheet name="Sanctions + absence " sheetId="5" r:id="rId3"/>
    <sheet name="bilan de parcours  + démarches" sheetId="6" r:id="rId4"/>
    <sheet name="Tableau croisé NE PAS TOUCHER " sheetId="7" r:id="rId5"/>
    <sheet name="liste deroulante" sheetId="2" r:id="rId6"/>
    <sheet name="CODIFICATION ACTIVITE" sheetId="3" r:id="rId7"/>
    <sheet name="Feuil1" sheetId="8" r:id="rId8"/>
  </sheets>
  <definedNames>
    <definedName name="_xlnm._FilterDatabase" localSheetId="3" hidden="1">'bilan de parcours  + démarches'!$A$4:$S$114</definedName>
    <definedName name="_xlnm._FilterDatabase" localSheetId="1" hidden="1">'BRSA SORTIES'!$A$8:$AT$221</definedName>
    <definedName name="_xlnm._FilterDatabase" localSheetId="0" hidden="1">'CROIX BLANCHE PG'!$A$8:$AT$213</definedName>
    <definedName name="_xlnm._FilterDatabase" localSheetId="2" hidden="1">'Sanctions + absence '!$A$3:$AA$130</definedName>
    <definedName name="_xlnm.Print_Area" localSheetId="1">'BRSA SORTIES'!$A$2:$W$126</definedName>
    <definedName name="_xlnm.Print_Area" localSheetId="0">'CROIX BLANCHE PG'!$A$2:$W$123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9" l="1"/>
  <c r="K97" i="9"/>
  <c r="N40" i="9" l="1"/>
  <c r="K40" i="9"/>
  <c r="N71" i="9"/>
  <c r="K71" i="9"/>
  <c r="K18" i="9" l="1"/>
  <c r="N87" i="9"/>
  <c r="K87" i="9"/>
  <c r="N85" i="9"/>
  <c r="K85" i="9"/>
  <c r="K85" i="1"/>
  <c r="N29" i="9"/>
  <c r="K29" i="9"/>
  <c r="N67" i="9" l="1"/>
  <c r="K67" i="9"/>
  <c r="N22" i="9"/>
  <c r="K22" i="9"/>
  <c r="K38" i="1"/>
  <c r="K105" i="1" l="1"/>
  <c r="N64" i="9" l="1"/>
  <c r="K64" i="9"/>
  <c r="N50" i="9"/>
  <c r="K50" i="9"/>
  <c r="N27" i="9"/>
  <c r="K27" i="9"/>
  <c r="K51" i="1"/>
  <c r="N100" i="9"/>
  <c r="K100" i="9"/>
  <c r="K28" i="1" l="1"/>
  <c r="T62" i="5"/>
  <c r="N101" i="9"/>
  <c r="K101" i="9"/>
  <c r="N74" i="9"/>
  <c r="K74" i="9"/>
  <c r="K75" i="1"/>
  <c r="N96" i="9"/>
  <c r="K96" i="9"/>
  <c r="K84" i="1"/>
  <c r="N63" i="9"/>
  <c r="K63" i="9"/>
  <c r="N93" i="9"/>
  <c r="K93" i="9"/>
  <c r="K113" i="9"/>
  <c r="N75" i="9" l="1"/>
  <c r="K75" i="9"/>
  <c r="N66" i="9"/>
  <c r="K66" i="9"/>
  <c r="K35" i="1"/>
  <c r="N107" i="9"/>
  <c r="K107" i="9"/>
  <c r="N99" i="9"/>
  <c r="K99" i="9"/>
  <c r="N73" i="9"/>
  <c r="K73" i="9"/>
  <c r="N20" i="9"/>
  <c r="K20" i="9"/>
  <c r="N15" i="9"/>
  <c r="K15" i="9"/>
  <c r="N121" i="9" l="1"/>
  <c r="K121" i="9"/>
  <c r="N19" i="9"/>
  <c r="K19" i="9"/>
  <c r="D5" i="1"/>
  <c r="D5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0" i="9"/>
  <c r="N119" i="9"/>
  <c r="K119" i="9"/>
  <c r="N118" i="9"/>
  <c r="K118" i="9"/>
  <c r="N117" i="9"/>
  <c r="K117" i="9"/>
  <c r="N116" i="9"/>
  <c r="N115" i="9"/>
  <c r="K115" i="9"/>
  <c r="N114" i="9"/>
  <c r="K114" i="9"/>
  <c r="N112" i="9"/>
  <c r="N111" i="9"/>
  <c r="K111" i="9"/>
  <c r="N110" i="9"/>
  <c r="K110" i="9"/>
  <c r="N109" i="9"/>
  <c r="N108" i="9"/>
  <c r="K108" i="9"/>
  <c r="N106" i="9"/>
  <c r="N105" i="9"/>
  <c r="N104" i="9"/>
  <c r="N103" i="9"/>
  <c r="N102" i="9"/>
  <c r="K102" i="9"/>
  <c r="N98" i="9"/>
  <c r="K98" i="9"/>
  <c r="N95" i="9"/>
  <c r="N94" i="9"/>
  <c r="K94" i="9"/>
  <c r="N92" i="9"/>
  <c r="N91" i="9"/>
  <c r="K91" i="9"/>
  <c r="N90" i="9"/>
  <c r="N89" i="9"/>
  <c r="N88" i="9"/>
  <c r="N86" i="9"/>
  <c r="K86" i="9"/>
  <c r="N84" i="9"/>
  <c r="N83" i="9"/>
  <c r="N82" i="9"/>
  <c r="N81" i="9"/>
  <c r="K81" i="9"/>
  <c r="N80" i="9"/>
  <c r="N79" i="9"/>
  <c r="N78" i="9"/>
  <c r="N77" i="9"/>
  <c r="N72" i="9"/>
  <c r="N70" i="9"/>
  <c r="N69" i="9"/>
  <c r="N68" i="9"/>
  <c r="N65" i="9"/>
  <c r="K65" i="9"/>
  <c r="N62" i="9"/>
  <c r="K62" i="9"/>
  <c r="N61" i="9"/>
  <c r="K61" i="9"/>
  <c r="N60" i="9"/>
  <c r="K60" i="9"/>
  <c r="N59" i="9"/>
  <c r="K59" i="9"/>
  <c r="N58" i="9"/>
  <c r="N57" i="9"/>
  <c r="N55" i="9"/>
  <c r="K55" i="9"/>
  <c r="N54" i="9"/>
  <c r="N53" i="9"/>
  <c r="N52" i="9"/>
  <c r="K52" i="9"/>
  <c r="N51" i="9"/>
  <c r="N49" i="9"/>
  <c r="K49" i="9"/>
  <c r="N48" i="9"/>
  <c r="K48" i="9"/>
  <c r="N47" i="9"/>
  <c r="K47" i="9"/>
  <c r="N45" i="9"/>
  <c r="N44" i="9"/>
  <c r="K44" i="9"/>
  <c r="N43" i="9"/>
  <c r="K43" i="9"/>
  <c r="N42" i="9"/>
  <c r="N41" i="9"/>
  <c r="K41" i="9"/>
  <c r="N39" i="9"/>
  <c r="N38" i="9"/>
  <c r="N37" i="9"/>
  <c r="K37" i="9"/>
  <c r="N36" i="9"/>
  <c r="N35" i="9"/>
  <c r="K35" i="9"/>
  <c r="N34" i="9"/>
  <c r="K34" i="9"/>
  <c r="N33" i="9"/>
  <c r="K33" i="9"/>
  <c r="N32" i="9"/>
  <c r="N31" i="9"/>
  <c r="N30" i="9"/>
  <c r="K30" i="9"/>
  <c r="N28" i="9"/>
  <c r="K28" i="9"/>
  <c r="N26" i="9"/>
  <c r="K26" i="9"/>
  <c r="N25" i="9"/>
  <c r="K25" i="9"/>
  <c r="N24" i="9"/>
  <c r="K24" i="9"/>
  <c r="N23" i="9"/>
  <c r="N21" i="9"/>
  <c r="N17" i="9"/>
  <c r="K17" i="9"/>
  <c r="N16" i="9"/>
  <c r="K16" i="9"/>
  <c r="N14" i="9"/>
  <c r="N13" i="9"/>
  <c r="N12" i="9"/>
  <c r="N11" i="9"/>
  <c r="K11" i="9"/>
  <c r="N10" i="9"/>
  <c r="K10" i="9"/>
  <c r="N9" i="9"/>
  <c r="K86" i="1" l="1"/>
  <c r="K110" i="1"/>
  <c r="K61" i="1" l="1"/>
  <c r="K37" i="1"/>
  <c r="K96" i="1" l="1"/>
  <c r="K109" i="1"/>
  <c r="K101" i="1"/>
  <c r="K90" i="1"/>
  <c r="K89" i="1"/>
  <c r="K76" i="1"/>
  <c r="K74" i="1"/>
  <c r="T17" i="5"/>
  <c r="K65" i="1"/>
  <c r="K59" i="1"/>
  <c r="K56" i="1"/>
  <c r="K50" i="1"/>
  <c r="K46" i="1"/>
  <c r="K94" i="1" l="1"/>
  <c r="K16" i="1"/>
  <c r="K19" i="1"/>
  <c r="K22" i="1" l="1"/>
  <c r="N213" i="1" l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4" i="1"/>
  <c r="N112" i="1"/>
  <c r="N111" i="1"/>
  <c r="N109" i="1"/>
  <c r="N108" i="1"/>
  <c r="N107" i="1"/>
  <c r="N104" i="1"/>
  <c r="N103" i="1"/>
  <c r="N102" i="1"/>
  <c r="N101" i="1"/>
  <c r="N100" i="1"/>
  <c r="N99" i="1"/>
  <c r="N98" i="1"/>
  <c r="N96" i="1"/>
  <c r="N95" i="1"/>
  <c r="N90" i="1"/>
  <c r="N89" i="1"/>
  <c r="N88" i="1"/>
  <c r="N87" i="1"/>
  <c r="N85" i="1"/>
  <c r="N83" i="1"/>
  <c r="N82" i="1"/>
  <c r="N81" i="1"/>
  <c r="N80" i="1"/>
  <c r="N79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2" i="1"/>
  <c r="N60" i="1"/>
  <c r="N59" i="1"/>
  <c r="N58" i="1"/>
  <c r="N57" i="1"/>
  <c r="N56" i="1"/>
  <c r="N55" i="1"/>
  <c r="N52" i="1"/>
  <c r="N50" i="1"/>
  <c r="N49" i="1"/>
  <c r="N48" i="1"/>
  <c r="N46" i="1"/>
  <c r="N45" i="1"/>
  <c r="N43" i="1"/>
  <c r="N42" i="1"/>
  <c r="N41" i="1"/>
  <c r="N36" i="1"/>
  <c r="N35" i="1"/>
  <c r="N34" i="1"/>
  <c r="N33" i="1"/>
  <c r="N32" i="1"/>
  <c r="N31" i="1"/>
  <c r="N30" i="1"/>
  <c r="N29" i="1"/>
  <c r="N27" i="1"/>
  <c r="N26" i="1"/>
  <c r="N25" i="1"/>
  <c r="N24" i="1"/>
  <c r="N23" i="1"/>
  <c r="N21" i="1"/>
  <c r="N20" i="1"/>
  <c r="N19" i="1"/>
  <c r="N17" i="1"/>
  <c r="N16" i="1"/>
  <c r="N14" i="1"/>
  <c r="N13" i="1"/>
  <c r="N10" i="1"/>
  <c r="N9" i="1"/>
  <c r="K10" i="1" l="1"/>
  <c r="K58" i="1"/>
  <c r="K52" i="1"/>
  <c r="K36" i="1"/>
  <c r="K57" i="1"/>
  <c r="T103" i="5"/>
  <c r="K77" i="1"/>
  <c r="K107" i="1"/>
  <c r="K17" i="1"/>
  <c r="K24" i="1"/>
  <c r="K67" i="1" l="1"/>
  <c r="A32" i="6" l="1"/>
  <c r="K33" i="1"/>
  <c r="K30" i="1"/>
  <c r="K98" i="1" l="1"/>
  <c r="K23" i="1"/>
  <c r="K100" i="1"/>
  <c r="K41" i="1"/>
  <c r="K66" i="1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72" i="6"/>
  <c r="B172" i="6"/>
  <c r="A173" i="6"/>
  <c r="B173" i="6"/>
  <c r="A174" i="6"/>
  <c r="B174" i="6"/>
  <c r="A175" i="6"/>
  <c r="B175" i="6"/>
  <c r="A176" i="6"/>
  <c r="B176" i="6"/>
  <c r="A177" i="6"/>
  <c r="B177" i="6"/>
  <c r="A178" i="6"/>
  <c r="B178" i="6"/>
  <c r="A180" i="6"/>
  <c r="B180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64" i="6"/>
  <c r="B164" i="6"/>
  <c r="A165" i="6"/>
  <c r="B165" i="6"/>
  <c r="A158" i="6"/>
  <c r="B158" i="6"/>
  <c r="A159" i="6"/>
  <c r="B159" i="6"/>
  <c r="A160" i="6"/>
  <c r="B160" i="6"/>
  <c r="A162" i="6"/>
  <c r="B162" i="6"/>
  <c r="A163" i="6"/>
  <c r="B163" i="6"/>
  <c r="A154" i="6"/>
  <c r="B154" i="6"/>
  <c r="A155" i="6"/>
  <c r="B155" i="6"/>
  <c r="A156" i="6"/>
  <c r="B156" i="6"/>
  <c r="A157" i="6"/>
  <c r="B157" i="6"/>
  <c r="A6" i="6"/>
  <c r="B6" i="6"/>
  <c r="A7" i="6"/>
  <c r="B7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7" i="6"/>
  <c r="B17" i="6"/>
  <c r="A18" i="6"/>
  <c r="B18" i="6"/>
  <c r="A19" i="6"/>
  <c r="B19" i="6"/>
  <c r="A20" i="6"/>
  <c r="B20" i="6"/>
  <c r="A22" i="6"/>
  <c r="B22" i="6"/>
  <c r="A23" i="6"/>
  <c r="B23" i="6"/>
  <c r="A25" i="6"/>
  <c r="B25" i="6"/>
  <c r="A26" i="6"/>
  <c r="B26" i="6"/>
  <c r="A27" i="6"/>
  <c r="B27" i="6"/>
  <c r="A28" i="6"/>
  <c r="B28" i="6"/>
  <c r="A29" i="6"/>
  <c r="B29" i="6"/>
  <c r="A30" i="6"/>
  <c r="B30" i="6"/>
  <c r="A1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8" i="6"/>
  <c r="B68" i="6"/>
  <c r="A69" i="6"/>
  <c r="B69" i="6"/>
  <c r="A70" i="6"/>
  <c r="B70" i="6"/>
  <c r="A71" i="6"/>
  <c r="B71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90" i="6"/>
  <c r="B90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8" i="6"/>
  <c r="B108" i="6"/>
  <c r="A109" i="6"/>
  <c r="B109" i="6"/>
  <c r="A110" i="6"/>
  <c r="B110" i="6"/>
  <c r="A111" i="6"/>
  <c r="B111" i="6"/>
  <c r="A112" i="6"/>
  <c r="B112" i="6"/>
  <c r="A113" i="6"/>
  <c r="B113" i="6"/>
  <c r="A114" i="6"/>
  <c r="B114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24" i="6"/>
  <c r="B124" i="6"/>
  <c r="A125" i="6"/>
  <c r="B125" i="6"/>
  <c r="A126" i="6"/>
  <c r="B126" i="6"/>
  <c r="A127" i="6"/>
  <c r="B127" i="6"/>
  <c r="A128" i="6"/>
  <c r="B128" i="6"/>
  <c r="A129" i="6"/>
  <c r="B129" i="6"/>
  <c r="A130" i="6"/>
  <c r="B130" i="6"/>
  <c r="A131" i="6"/>
  <c r="B131" i="6"/>
  <c r="A134" i="6"/>
  <c r="B134" i="6"/>
  <c r="A135" i="6"/>
  <c r="B135" i="6"/>
  <c r="A138" i="6"/>
  <c r="B138" i="6"/>
  <c r="A139" i="6"/>
  <c r="B139" i="6"/>
  <c r="A140" i="6"/>
  <c r="B140" i="6"/>
  <c r="A143" i="6"/>
  <c r="B143" i="6"/>
  <c r="A145" i="6"/>
  <c r="B145" i="6"/>
  <c r="A146" i="6"/>
  <c r="B146" i="6"/>
  <c r="A147" i="6"/>
  <c r="B147" i="6"/>
  <c r="A148" i="6"/>
  <c r="B148" i="6"/>
  <c r="A149" i="6"/>
  <c r="B149" i="6"/>
  <c r="A153" i="6"/>
  <c r="B153" i="6"/>
  <c r="B5" i="6"/>
  <c r="A5" i="6"/>
  <c r="A185" i="5"/>
  <c r="B185" i="5"/>
  <c r="A186" i="5"/>
  <c r="B186" i="5"/>
  <c r="A187" i="5"/>
  <c r="B187" i="5"/>
  <c r="A188" i="5"/>
  <c r="B188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5" i="5"/>
  <c r="B5" i="5"/>
  <c r="A6" i="5"/>
  <c r="B6" i="5"/>
  <c r="A8" i="5"/>
  <c r="B8" i="5"/>
  <c r="A10" i="5"/>
  <c r="B10" i="5"/>
  <c r="A11" i="5"/>
  <c r="B11" i="5"/>
  <c r="A13" i="5"/>
  <c r="B13" i="5"/>
  <c r="A14" i="5"/>
  <c r="B14" i="5"/>
  <c r="A15" i="5"/>
  <c r="B15" i="5"/>
  <c r="A16" i="5"/>
  <c r="B16" i="5"/>
  <c r="A18" i="5"/>
  <c r="B18" i="5"/>
  <c r="A19" i="5"/>
  <c r="B19" i="5"/>
  <c r="A20" i="5"/>
  <c r="B20" i="5"/>
  <c r="A21" i="5"/>
  <c r="B21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9" i="5"/>
  <c r="B39" i="5"/>
  <c r="A40" i="5"/>
  <c r="B40" i="5"/>
  <c r="A41" i="5"/>
  <c r="B41" i="5"/>
  <c r="A42" i="5"/>
  <c r="B42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3" i="5"/>
  <c r="B53" i="5"/>
  <c r="A54" i="5"/>
  <c r="B54" i="5"/>
  <c r="A55" i="5"/>
  <c r="B55" i="5"/>
  <c r="A56" i="5"/>
  <c r="B56" i="5"/>
  <c r="A57" i="5"/>
  <c r="B57" i="5"/>
  <c r="A59" i="5"/>
  <c r="B59" i="5"/>
  <c r="A60" i="5"/>
  <c r="B60" i="5"/>
  <c r="A61" i="5"/>
  <c r="B61" i="5"/>
  <c r="A63" i="5"/>
  <c r="B63" i="5"/>
  <c r="A64" i="5"/>
  <c r="B64" i="5"/>
  <c r="A65" i="5"/>
  <c r="B65" i="5"/>
  <c r="A68" i="5"/>
  <c r="B68" i="5"/>
  <c r="A69" i="5"/>
  <c r="B69" i="5"/>
  <c r="A70" i="5"/>
  <c r="B70" i="5"/>
  <c r="A71" i="5"/>
  <c r="B71" i="5"/>
  <c r="A72" i="5"/>
  <c r="B72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7" i="5"/>
  <c r="B97" i="5"/>
  <c r="A98" i="5"/>
  <c r="B98" i="5"/>
  <c r="A99" i="5"/>
  <c r="B99" i="5"/>
  <c r="A100" i="5"/>
  <c r="B100" i="5"/>
  <c r="A101" i="5"/>
  <c r="B101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B4" i="5"/>
  <c r="A4" i="5"/>
  <c r="K9" i="1"/>
  <c r="K13" i="1"/>
  <c r="K14" i="1"/>
  <c r="K20" i="1"/>
  <c r="K25" i="1"/>
  <c r="K26" i="1"/>
  <c r="K27" i="1"/>
  <c r="K29" i="1"/>
  <c r="K31" i="1"/>
  <c r="K32" i="1"/>
  <c r="K34" i="1"/>
  <c r="K42" i="1"/>
  <c r="K43" i="1"/>
  <c r="K45" i="1"/>
  <c r="K48" i="1"/>
  <c r="K49" i="1"/>
  <c r="K55" i="1"/>
  <c r="K60" i="1"/>
  <c r="K62" i="1"/>
  <c r="K64" i="1"/>
  <c r="K68" i="1"/>
  <c r="K69" i="1"/>
  <c r="K70" i="1"/>
  <c r="K71" i="1"/>
  <c r="K72" i="1"/>
  <c r="K73" i="1"/>
  <c r="K79" i="1"/>
  <c r="K80" i="1"/>
  <c r="K81" i="1"/>
  <c r="K82" i="1"/>
  <c r="K83" i="1"/>
  <c r="K87" i="1"/>
  <c r="K88" i="1"/>
  <c r="K95" i="1"/>
  <c r="K99" i="1"/>
  <c r="K102" i="1"/>
  <c r="K103" i="1"/>
  <c r="K104" i="1"/>
  <c r="K108" i="1"/>
  <c r="K111" i="1"/>
  <c r="K112" i="1"/>
  <c r="K114" i="1"/>
  <c r="AC2" i="5" l="1"/>
  <c r="T2" i="5"/>
  <c r="W2" i="5" s="1"/>
  <c r="T5" i="5" l="1"/>
  <c r="T6" i="5"/>
  <c r="T8" i="5"/>
  <c r="T10" i="5"/>
  <c r="T11" i="5"/>
  <c r="T13" i="5"/>
  <c r="T14" i="5"/>
  <c r="T15" i="5"/>
  <c r="T16" i="5"/>
  <c r="T18" i="5"/>
  <c r="T19" i="5"/>
  <c r="T20" i="5"/>
  <c r="T21" i="5"/>
  <c r="T23" i="5"/>
  <c r="T24" i="5"/>
  <c r="T25" i="5"/>
  <c r="T26" i="5"/>
  <c r="T27" i="5"/>
  <c r="T28" i="5"/>
  <c r="AC5" i="5" l="1"/>
  <c r="AC6" i="5"/>
  <c r="AC8" i="5"/>
  <c r="AC10" i="5"/>
  <c r="AC11" i="5"/>
  <c r="AC13" i="5"/>
  <c r="AC14" i="5"/>
  <c r="AC15" i="5"/>
  <c r="AC16" i="5"/>
  <c r="AC18" i="5"/>
  <c r="AC19" i="5"/>
  <c r="AC20" i="5"/>
  <c r="AC21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9" i="5"/>
  <c r="AC40" i="5"/>
  <c r="AC41" i="5"/>
  <c r="AC42" i="5"/>
  <c r="AC44" i="5"/>
  <c r="AC45" i="5"/>
  <c r="AC46" i="5"/>
  <c r="AC47" i="5"/>
  <c r="AC48" i="5"/>
  <c r="AC49" i="5"/>
  <c r="AC50" i="5"/>
  <c r="AC51" i="5"/>
  <c r="AC53" i="5"/>
  <c r="AC54" i="5"/>
  <c r="AC55" i="5"/>
  <c r="AC56" i="5"/>
  <c r="AC57" i="5"/>
  <c r="AC59" i="5"/>
  <c r="AC60" i="5"/>
  <c r="AC61" i="5"/>
  <c r="AC63" i="5"/>
  <c r="AC64" i="5"/>
  <c r="AC65" i="5"/>
  <c r="AC68" i="5"/>
  <c r="AC69" i="5"/>
  <c r="AC70" i="5"/>
  <c r="AC71" i="5"/>
  <c r="AC72" i="5"/>
  <c r="AC74" i="5"/>
  <c r="AC75" i="5"/>
  <c r="AC76" i="5"/>
  <c r="AC77" i="5"/>
  <c r="AC78" i="5"/>
  <c r="AC79" i="5"/>
  <c r="AC80" i="5"/>
  <c r="AC81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7" i="5"/>
  <c r="AC98" i="5"/>
  <c r="AC99" i="5"/>
  <c r="AC100" i="5"/>
  <c r="AC101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9" i="5"/>
  <c r="AC130" i="5"/>
  <c r="AC4" i="5"/>
  <c r="W5" i="5" l="1"/>
  <c r="W6" i="5"/>
  <c r="W8" i="5"/>
  <c r="W10" i="5"/>
  <c r="W11" i="5"/>
  <c r="W13" i="5"/>
  <c r="W14" i="5"/>
  <c r="W15" i="5"/>
  <c r="W16" i="5"/>
  <c r="W18" i="5"/>
  <c r="W19" i="5"/>
  <c r="W20" i="5"/>
  <c r="W21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9" i="5"/>
  <c r="W40" i="5"/>
  <c r="W41" i="5"/>
  <c r="W42" i="5"/>
  <c r="W44" i="5"/>
  <c r="W45" i="5"/>
  <c r="W46" i="5"/>
  <c r="W47" i="5"/>
  <c r="W48" i="5"/>
  <c r="W49" i="5"/>
  <c r="W50" i="5"/>
  <c r="W51" i="5"/>
  <c r="W53" i="5"/>
  <c r="W54" i="5"/>
  <c r="W55" i="5"/>
  <c r="W56" i="5"/>
  <c r="W57" i="5"/>
  <c r="W59" i="5"/>
  <c r="W60" i="5"/>
  <c r="W61" i="5"/>
  <c r="W63" i="5"/>
  <c r="W64" i="5"/>
  <c r="W65" i="5"/>
  <c r="W68" i="5"/>
  <c r="W69" i="5"/>
  <c r="W70" i="5"/>
  <c r="W71" i="5"/>
  <c r="W72" i="5"/>
  <c r="W74" i="5"/>
  <c r="W75" i="5"/>
  <c r="W76" i="5"/>
  <c r="W77" i="5"/>
  <c r="W78" i="5"/>
  <c r="W79" i="5"/>
  <c r="W80" i="5"/>
  <c r="W81" i="5"/>
  <c r="W83" i="5"/>
  <c r="W84" i="5"/>
  <c r="W85" i="5"/>
  <c r="W86" i="5"/>
  <c r="W87" i="5"/>
  <c r="W88" i="5"/>
  <c r="W89" i="5"/>
  <c r="W90" i="5"/>
  <c r="W91" i="5"/>
  <c r="W92" i="5"/>
  <c r="W93" i="5"/>
  <c r="W94" i="5"/>
  <c r="W97" i="5"/>
  <c r="W98" i="5"/>
  <c r="W99" i="5"/>
  <c r="W100" i="5"/>
  <c r="W101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9" i="5"/>
  <c r="W130" i="5"/>
  <c r="T29" i="5"/>
  <c r="T30" i="5"/>
  <c r="T31" i="5"/>
  <c r="T32" i="5"/>
  <c r="T33" i="5"/>
  <c r="T34" i="5"/>
  <c r="T35" i="5"/>
  <c r="T36" i="5"/>
  <c r="T37" i="5"/>
  <c r="T39" i="5"/>
  <c r="T40" i="5"/>
  <c r="T41" i="5"/>
  <c r="T42" i="5"/>
  <c r="T44" i="5"/>
  <c r="T45" i="5"/>
  <c r="T46" i="5"/>
  <c r="T47" i="5"/>
  <c r="T48" i="5"/>
  <c r="T49" i="5"/>
  <c r="T50" i="5"/>
  <c r="T51" i="5"/>
  <c r="T53" i="5"/>
  <c r="T54" i="5"/>
  <c r="T55" i="5"/>
  <c r="T56" i="5"/>
  <c r="T57" i="5"/>
  <c r="T59" i="5"/>
  <c r="T60" i="5"/>
  <c r="T61" i="5"/>
  <c r="T63" i="5"/>
  <c r="T64" i="5"/>
  <c r="T65" i="5"/>
  <c r="T68" i="5"/>
  <c r="T69" i="5"/>
  <c r="T70" i="5"/>
  <c r="T71" i="5"/>
  <c r="T72" i="5"/>
  <c r="T74" i="5"/>
  <c r="T75" i="5"/>
  <c r="T76" i="5"/>
  <c r="T77" i="5"/>
  <c r="T78" i="5"/>
  <c r="T79" i="5"/>
  <c r="T80" i="5"/>
  <c r="T81" i="5"/>
  <c r="T83" i="5"/>
  <c r="T84" i="5"/>
  <c r="T85" i="5"/>
  <c r="T86" i="5"/>
  <c r="T87" i="5"/>
  <c r="T88" i="5"/>
  <c r="T89" i="5"/>
  <c r="T90" i="5"/>
  <c r="T91" i="5"/>
  <c r="T92" i="5"/>
  <c r="T93" i="5"/>
  <c r="T94" i="5"/>
  <c r="T97" i="5"/>
  <c r="T98" i="5"/>
  <c r="T99" i="5"/>
  <c r="T100" i="5"/>
  <c r="T101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9" i="5"/>
  <c r="T130" i="5"/>
  <c r="T4" i="5"/>
  <c r="W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Celine SARIGOL</author>
  </authors>
  <commentList>
    <comment ref="Q3" authorId="0" shapeId="0" xr:uid="{6BFE9744-7C13-41C8-9608-C6438554BCBF}">
      <text>
        <r>
          <rPr>
            <b/>
            <sz val="9"/>
            <color indexed="81"/>
            <rFont val="Tahoma"/>
            <family val="2"/>
          </rPr>
          <t xml:space="preserve">Celine SARIGOL:
la demande est faite vous mettez 1 si pas faite encore vous mettez 0
</t>
        </r>
      </text>
    </comment>
    <comment ref="S3" authorId="0" shapeId="0" xr:uid="{9E63F285-8328-4CBA-B6AC-153DEA5B5B67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faut mettre la date de l'envoi du courrier pour avoir la date faudrait demander à votre CDS</t>
        </r>
      </text>
    </comment>
    <comment ref="T3" authorId="0" shapeId="0" xr:uid="{D4B9DCA6-156F-42D7-A9FC-19C13AC9871F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10 jours + 5 jours de délai postaux</t>
        </r>
      </text>
    </comment>
    <comment ref="U3" authorId="0" shapeId="0" xr:uid="{ECD8C30B-D81E-4569-915B-B96AB61CD6E3}">
      <text>
        <r>
          <rPr>
            <b/>
            <sz val="9"/>
            <color indexed="81"/>
            <rFont val="Tahoma"/>
            <family val="2"/>
          </rPr>
          <t>Celine SARIGOL : La personne vous a contacté vous mettez 1, si la pers ne vous a pas contacter à la date indiqué dans la cellule à gauche, faut mettre 0 et prévenir le CDS</t>
        </r>
      </text>
    </comment>
    <comment ref="V3" authorId="0" shapeId="0" xr:uid="{949CA261-D630-46DF-B4EC-7C1BCBE4E2F6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vous avez prevénu le CDS 1 sinon 0</t>
        </r>
      </text>
    </comment>
    <comment ref="W3" authorId="0" shapeId="0" xr:uid="{2D69E491-3BEA-4C16-A85B-87595841E9CC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un deuxième courrier est envoyé dans le cas où la pers ne se manifeste pas, 30 jours + 5 jours de délai postaux</t>
        </r>
      </text>
    </comment>
    <comment ref="X3" authorId="0" shapeId="0" xr:uid="{308C1FF5-7F44-4592-AFD3-2814AC26E11C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La personne vous a contacté vous mettez 1, si la pers ne vous a pas contacter à la date indiqué dans la cellule à gauche, faut mettre 0 et prévenir le CDS, il faut un justif
</t>
        </r>
      </text>
    </comment>
    <comment ref="Y3" authorId="0" shapeId="0" xr:uid="{2B6BF70B-3C81-44D5-A090-3B3585B6D23F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vous avez prevénu le CDS 1 sinon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Celine SARIGOL</author>
  </authors>
  <commentList>
    <comment ref="C4" authorId="0" shapeId="0" xr:uid="{F31F2BB7-F193-4EF4-8559-0A8FD69F3A75}">
      <text>
        <r>
          <rPr>
            <b/>
            <sz val="9"/>
            <color indexed="81"/>
            <rFont val="Tahoma"/>
            <family val="2"/>
          </rPr>
          <t>Celine SARIGOL:</t>
        </r>
        <r>
          <rPr>
            <sz val="9"/>
            <color indexed="81"/>
            <rFont val="Tahoma"/>
            <family val="2"/>
          </rPr>
          <t xml:space="preserve">
Indiquez le nombre d'heures de démarches effectuées
</t>
        </r>
      </text>
    </comment>
  </commentList>
</comments>
</file>

<file path=xl/sharedStrings.xml><?xml version="1.0" encoding="utf-8"?>
<sst xmlns="http://schemas.openxmlformats.org/spreadsheetml/2006/main" count="3034" uniqueCount="1523">
  <si>
    <t>âge</t>
  </si>
  <si>
    <t>H/F</t>
  </si>
  <si>
    <t>Niveau scolaire</t>
  </si>
  <si>
    <t>Motif de sortie</t>
  </si>
  <si>
    <t>Années après le Bac</t>
  </si>
  <si>
    <t>Titre du diplôme</t>
  </si>
  <si>
    <t>Niveau de diplôme</t>
  </si>
  <si>
    <t>-</t>
  </si>
  <si>
    <t>CAP, BEP</t>
  </si>
  <si>
    <t>3 (anciennement V)</t>
  </si>
  <si>
    <t>Bac</t>
  </si>
  <si>
    <t>Baccalauréat</t>
  </si>
  <si>
    <t>4 (anciennement IV)</t>
  </si>
  <si>
    <t>Bac+2</t>
  </si>
  <si>
    <t>DEUG, BTS, DUT, DEUST</t>
  </si>
  <si>
    <t>5 (anciennement III)</t>
  </si>
  <si>
    <t>Bac+3</t>
  </si>
  <si>
    <t>Licence, licence professionnelle</t>
  </si>
  <si>
    <t>6 (anciennement II)</t>
  </si>
  <si>
    <t>Bac+4</t>
  </si>
  <si>
    <t>Maîtrise, master 1</t>
  </si>
  <si>
    <t>Bac+5</t>
  </si>
  <si>
    <t>Master, diplôme d'études approfondies, diplôme d'études supérieures spécialisées, diplôme d'ingénieur</t>
  </si>
  <si>
    <t>7 (anciennement I)</t>
  </si>
  <si>
    <t>Bac+8</t>
  </si>
  <si>
    <t>Doctorat, habilitation à diriger des recherches</t>
  </si>
  <si>
    <t>8 (anciennement I)</t>
  </si>
  <si>
    <t>H</t>
  </si>
  <si>
    <t>F</t>
  </si>
  <si>
    <t>Aucun diplôme</t>
  </si>
  <si>
    <t>CLI</t>
  </si>
  <si>
    <t>CDS</t>
  </si>
  <si>
    <t>DATE ORIENTATION</t>
  </si>
  <si>
    <t>FREINS IDENTIFIES</t>
  </si>
  <si>
    <t>BGE</t>
  </si>
  <si>
    <t>Emploi</t>
  </si>
  <si>
    <t>Formation</t>
  </si>
  <si>
    <t>Créa entreprise</t>
  </si>
  <si>
    <t xml:space="preserve">France Travail </t>
  </si>
  <si>
    <t>Réorientation</t>
  </si>
  <si>
    <t>MSA</t>
  </si>
  <si>
    <t>Positive</t>
  </si>
  <si>
    <t>Déménagement</t>
  </si>
  <si>
    <t>Fin DD</t>
  </si>
  <si>
    <t>Créa</t>
  </si>
  <si>
    <t>Interim&gt;ou= à 970h cumulées / an</t>
  </si>
  <si>
    <t>CDI &gt;ou= 24h</t>
  </si>
  <si>
    <t>CDD +6mois &gt;ou=254h</t>
  </si>
  <si>
    <t>types</t>
  </si>
  <si>
    <t xml:space="preserve">Sorties </t>
  </si>
  <si>
    <t>Sociale AAH</t>
  </si>
  <si>
    <t>Sociale retraite</t>
  </si>
  <si>
    <t>Sociale maternité</t>
  </si>
  <si>
    <t>Social freins+</t>
  </si>
  <si>
    <t>FT acc pro</t>
  </si>
  <si>
    <t>FT acco glo</t>
  </si>
  <si>
    <t>autre</t>
  </si>
  <si>
    <t>Arret mal longue durée</t>
  </si>
  <si>
    <t>Commentaires</t>
  </si>
  <si>
    <t>freins</t>
  </si>
  <si>
    <t>mobilité</t>
  </si>
  <si>
    <t>garde enfants</t>
  </si>
  <si>
    <t>Accompagnement des bénéficiaires du RSA - "CIP +" / 2025</t>
  </si>
  <si>
    <t>Oyonnax</t>
  </si>
  <si>
    <t>Nantua</t>
  </si>
  <si>
    <t>Belley</t>
  </si>
  <si>
    <t>Valserhone</t>
  </si>
  <si>
    <t>Pays de Gex</t>
  </si>
  <si>
    <t>Croix Blanche</t>
  </si>
  <si>
    <t>Pierre Goujon</t>
  </si>
  <si>
    <t>Montrevel</t>
  </si>
  <si>
    <t>Pont de Vaux</t>
  </si>
  <si>
    <t>St Didier sur Chalaronne</t>
  </si>
  <si>
    <t>Trevoux</t>
  </si>
  <si>
    <t>Chatillon sur Chalaronne</t>
  </si>
  <si>
    <t>Amberieu</t>
  </si>
  <si>
    <t>Lagnieu</t>
  </si>
  <si>
    <t>Miribel</t>
  </si>
  <si>
    <t>Renonciation RSA</t>
  </si>
  <si>
    <t>Besoin</t>
  </si>
  <si>
    <t>Ordre</t>
  </si>
  <si>
    <t>Code</t>
  </si>
  <si>
    <t>Libellé</t>
  </si>
  <si>
    <t>Volume horaire Hedbomadaire</t>
  </si>
  <si>
    <t>P01</t>
  </si>
  <si>
    <t>Choisir un métier</t>
  </si>
  <si>
    <t>Identification de ses points forts et de ses compétences</t>
  </si>
  <si>
    <t>Identifier ses points forts et ses compétences</t>
  </si>
  <si>
    <t>Information sur un métier ou un secteur d'activité</t>
  </si>
  <si>
    <t>S'informer sur un métier ou un secteur d'activité</t>
  </si>
  <si>
    <t>Observation en entreprise</t>
  </si>
  <si>
    <t>Réaliser une observation en entreprise</t>
  </si>
  <si>
    <t>Enquête métier afin de mieux connaître un métier</t>
  </si>
  <si>
    <t>Réaliser une enquête métier</t>
  </si>
  <si>
    <t xml:space="preserve">Participation à un salon ou un forum pour s'informer sur un métier </t>
  </si>
  <si>
    <t xml:space="preserve">Participer à un salon ou un forum pour s'informer sur un métier </t>
  </si>
  <si>
    <t>P02</t>
  </si>
  <si>
    <t>Se former</t>
  </si>
  <si>
    <t>Information sur un projet de formation ou de Validation des acquis de l'expérience</t>
  </si>
  <si>
    <t>S'informer sur un projet de formation ou de validation des acquis de l'expérience</t>
  </si>
  <si>
    <t>Montage d'un dossier d’inscription à une formation</t>
  </si>
  <si>
    <t xml:space="preserve">Monter son dossier de formation </t>
  </si>
  <si>
    <t xml:space="preserve">Participation à une formation                                   </t>
  </si>
  <si>
    <t xml:space="preserve">Participer à une formation                                   </t>
  </si>
  <si>
    <t>Participation à un salon ou un forum formation</t>
  </si>
  <si>
    <t>Participer à un salon ou un forum formation</t>
  </si>
  <si>
    <t>Initiation à l'informatique ou à Internet</t>
  </si>
  <si>
    <t>S'initier à l'informatique ou à Internet</t>
  </si>
  <si>
    <t>Participation à un dispositif d'insertion</t>
  </si>
  <si>
    <t>Participer à un dispositif d'insertion</t>
  </si>
  <si>
    <t>P03</t>
  </si>
  <si>
    <t>Préparer sa candidature</t>
  </si>
  <si>
    <t xml:space="preserve">Réalisation d'une démarche de VAE                                       </t>
  </si>
  <si>
    <t xml:space="preserve">Réaliser une démarche de VAE                                       </t>
  </si>
  <si>
    <t>Préparation de ses candidatures (CV, lettre de motivation, book)</t>
  </si>
  <si>
    <t xml:space="preserve"> Réaliser ou mettre à jour son CV sa lettre de motivation ou son portfolio</t>
  </si>
  <si>
    <t>Développer son réseau</t>
  </si>
  <si>
    <t>S'inscrire ou compléter son profil sur un réseau professionnel</t>
  </si>
  <si>
    <t>Réaliser des activités de bénévolat</t>
  </si>
  <si>
    <t>Organiser ses démarches de recherche d’emploi</t>
  </si>
  <si>
    <t>Compléter ou publier son profil de compétence</t>
  </si>
  <si>
    <t>Trouver un emploi</t>
  </si>
  <si>
    <t>Recherche d'offres d'emploi ou d'entreprises</t>
  </si>
  <si>
    <t>Rechercher des offres d'emploi ou d'entreprises</t>
  </si>
  <si>
    <t xml:space="preserve">Participation à un salon ou un forum pour rechercher des offres </t>
  </si>
  <si>
    <t>Participer à un salon ou un forum pour rechercher des offres d'emploi</t>
  </si>
  <si>
    <t xml:space="preserve">Réponse à des offres d'emploi                                           </t>
  </si>
  <si>
    <t xml:space="preserve">Répondre à des offres d'emploi                                           </t>
  </si>
  <si>
    <t>Candidatures spontanées</t>
  </si>
  <si>
    <t>Effectuer des candidatures spontanées</t>
  </si>
  <si>
    <t xml:space="preserve">Réalisation du suivi de ses candidatures et relance des recruteurs </t>
  </si>
  <si>
    <t xml:space="preserve">Réaliser le suivi de ses candidatures et relancer des recruteurs </t>
  </si>
  <si>
    <t>Préparation des entretiens d'embauche</t>
  </si>
  <si>
    <t>Préparer un entretien d'embauche</t>
  </si>
  <si>
    <t>Réalisation d'entretiens d'embauche</t>
  </si>
  <si>
    <t>Réaliser un entretien d'embauche</t>
  </si>
  <si>
    <t xml:space="preserve">Passation de tests de recrutement (concours, casting…) </t>
  </si>
  <si>
    <t xml:space="preserve">Passer des tests de recrutement (concours, casting…) </t>
  </si>
  <si>
    <t>Réalisation d'une mise en situation professionnelle dans une entreprise</t>
  </si>
  <si>
    <t>Réaliser une mise en situation professionnelle dans une entreprise</t>
  </si>
  <si>
    <t>Recherche de missions de service civique</t>
  </si>
  <si>
    <t>Rechercher des missions de service civique</t>
  </si>
  <si>
    <t>S'inscrire sur une plateforme de recrutement (agence d'intérim, cabinet de recrutement, site spécialisé…)</t>
  </si>
  <si>
    <t>P05</t>
  </si>
  <si>
    <t>Ma création et reprise d'entreprise</t>
  </si>
  <si>
    <t>Recherches pour créer ou reprendre une entreprise</t>
  </si>
  <si>
    <t>Effectuer des recherches pour créer ou reprendre une entreprise</t>
  </si>
  <si>
    <t>Réalisation d'une étude de marché auprès de prospects/clients /fournisseurs</t>
  </si>
  <si>
    <t>Réaliser une étude de marché auprès de prospects/clients /fournisseurs</t>
  </si>
  <si>
    <t>Participation à un salon ou forum pour s'informer sur la création entreprise</t>
  </si>
  <si>
    <t>Participer à un salon ou forum pour s'informer sur la création d'entreprise</t>
  </si>
  <si>
    <t>Réalisation d'un business plan afin de préparer la création de son entreprise</t>
  </si>
  <si>
    <t>Réaliser un business plan afin de préparer la création de son entreprise</t>
  </si>
  <si>
    <t>Prise de RDV avec des organismes financiers</t>
  </si>
  <si>
    <t>Prendre rendez-vous avec des organismes financiers</t>
  </si>
  <si>
    <t>Réalisation de démarches juridiques de création d'entreprise</t>
  </si>
  <si>
    <t>Réaliser des démarches juridiques de création d'entreprise</t>
  </si>
  <si>
    <t>Réalisation d'actions de communication pour faire connaitre son entreprise</t>
  </si>
  <si>
    <t>Réaliser des actions de communication pour faire connaître son entreprise</t>
  </si>
  <si>
    <t>Prospection pour développer sa clientèle</t>
  </si>
  <si>
    <t>Prospecter pour développer sa clientèle</t>
  </si>
  <si>
    <t>Développement de nouveaux partenariats</t>
  </si>
  <si>
    <t>Développer de nouveaux partenariats</t>
  </si>
  <si>
    <t>Mise en œuvre d'actions de fidélisation de ses clients ou utilisateurs</t>
  </si>
  <si>
    <t>Mettre en œuvre des actions de fidélisation de ses clients ou utilisateurs</t>
  </si>
  <si>
    <t>Organisation de son activité de dirigeant et de gestion de son entreprise</t>
  </si>
  <si>
    <t>Organiser son activité de dirigeant et la gestion de son entreprise</t>
  </si>
  <si>
    <t xml:space="preserve">Diversification de ses activités en proposant de nouveaux services ou produits </t>
  </si>
  <si>
    <t>Développer son entreprise en diversifiant ses activités</t>
  </si>
  <si>
    <t xml:space="preserve">Développement de son entreprise en procédant à des recrutements </t>
  </si>
  <si>
    <t xml:space="preserve">Développer son entreprise en procédant à des recrutements </t>
  </si>
  <si>
    <t xml:space="preserve">Réalisation d'autres actions pour développer son entreprise </t>
  </si>
  <si>
    <t xml:space="preserve">Réaliser d'autres actions pour développer son entreprise </t>
  </si>
  <si>
    <t>P06</t>
  </si>
  <si>
    <t>Entretiens avec un conseiller</t>
  </si>
  <si>
    <t>Réaliser un entretien avec un conseiller</t>
  </si>
  <si>
    <t>P08</t>
  </si>
  <si>
    <t>Développer sa mobilité</t>
  </si>
  <si>
    <t>Réaliser une démarche pour accéder aux transports en commun</t>
  </si>
  <si>
    <t>Mobiliser le réseau de transports à la demande</t>
  </si>
  <si>
    <t>Acquérir un moyen de locomotion</t>
  </si>
  <si>
    <t>Mobiliser un garage solidaire</t>
  </si>
  <si>
    <t>Constituer un dossier de financement pour l'achat d'un véhicule</t>
  </si>
  <si>
    <t>Louer un moyen de locomotion</t>
  </si>
  <si>
    <t>Participer à un rendez-vous avec un partenaire mobilité</t>
  </si>
  <si>
    <t>Constituer un dossier d'aide à la mobilité</t>
  </si>
  <si>
    <t>Résoudre ses problématiques de mobilité psychologique</t>
  </si>
  <si>
    <t>Entretenir ou réparer son véhicule</t>
  </si>
  <si>
    <t>Mettre en place une solution de covoiturage</t>
  </si>
  <si>
    <t>S'inscrire en auto-école</t>
  </si>
  <si>
    <t>Participer à un cours de code/conduite</t>
  </si>
  <si>
    <t>Passer le code de la route</t>
  </si>
  <si>
    <t>Passer le permis de conduire</t>
  </si>
  <si>
    <t xml:space="preserve">Récupérer son permis de conduire </t>
  </si>
  <si>
    <t>P09</t>
  </si>
  <si>
    <t>Accéder au numérique et en maîtriser les fondamentaux</t>
  </si>
  <si>
    <t xml:space="preserve">Acquérir un équipement informatique </t>
  </si>
  <si>
    <t>Accéder à une connexion Internet</t>
  </si>
  <si>
    <t>Réaliser le test PIX</t>
  </si>
  <si>
    <t>Participer à un rendez-vous avec un partenaire "numérique"</t>
  </si>
  <si>
    <t>Participer à un cours d'initiation à l'informatique/internet</t>
  </si>
  <si>
    <t>S'informer/se former à la confidentialité sur internet (RGPD…)</t>
  </si>
  <si>
    <t>Solliciter l'écrivain public numérique</t>
  </si>
  <si>
    <t>Participer à une formation numérique (PIX)</t>
  </si>
  <si>
    <t>Evaluation des compétences numériques</t>
  </si>
  <si>
    <t>Évaluer ses compétences numériques</t>
  </si>
  <si>
    <t>P10</t>
  </si>
  <si>
    <t>Faire face à des difficultés administratives et juridiques</t>
  </si>
  <si>
    <t>S'informer sur les voies de recours suite à une discrimination</t>
  </si>
  <si>
    <t>Réaliser des démarches administratives liées à l'état civil</t>
  </si>
  <si>
    <t>Participer à un rendez-vous avec un partenaire "administratif"</t>
  </si>
  <si>
    <t>Réaliser une demande de procédure judiciaire</t>
  </si>
  <si>
    <t>Participer à un rendez-vous avec un partenaire "juridique"</t>
  </si>
  <si>
    <t>Faire une demande d'aide juridictionnelle, conseil juridique</t>
  </si>
  <si>
    <t>Réaliser une déclaration de situation (impôt, CAF…)</t>
  </si>
  <si>
    <t>Réaliser une demande à la préfecture</t>
  </si>
  <si>
    <t>Classer ses documents administratifs</t>
  </si>
  <si>
    <t>Réaliser une demande de prestation ou droit (CAF, MSA…)</t>
  </si>
  <si>
    <t>Accéder aux informations et aides disponibles pour les aidants</t>
  </si>
  <si>
    <t xml:space="preserve">S'actualiser et rester inscrit à France Travail </t>
  </si>
  <si>
    <t>P11</t>
  </si>
  <si>
    <t>Faire face à des difficultés de logement</t>
  </si>
  <si>
    <t>Participer à un rendez-vous avec un partenaire logement</t>
  </si>
  <si>
    <t>Réaliser un diagnostic de précarité énergétique</t>
  </si>
  <si>
    <t>Réaliser une demande d'aide d'amélioration de l'habitat</t>
  </si>
  <si>
    <t>Monter un dossier de demande d'aide au logement (DALO, DAHO…)</t>
  </si>
  <si>
    <t>Appeler le 115</t>
  </si>
  <si>
    <t>Réaliser une demande de logement social</t>
  </si>
  <si>
    <t>Réaliser une visite de logement</t>
  </si>
  <si>
    <t>Réaliser une demande de domiciliation auprès d'un CCAS</t>
  </si>
  <si>
    <t>Réaliser des démarches dans le cadre du maintien dans le logement</t>
  </si>
  <si>
    <t>Effectuer des démarches dans le cadre d'une procédure d'expulsion</t>
  </si>
  <si>
    <t>P12</t>
  </si>
  <si>
    <t>Faire face à des difficultés financières</t>
  </si>
  <si>
    <t>Réaliser une demande de plan de surendettement</t>
  </si>
  <si>
    <t>Faire valoir ses droits à une pension (retraite, réversion...)</t>
  </si>
  <si>
    <t>Réaliser une demande d'aide alimentaire</t>
  </si>
  <si>
    <t>Participer à un rendez-vous avec un partenaire "Budget/Finance"</t>
  </si>
  <si>
    <t>Ouvrir un compte bancaire</t>
  </si>
  <si>
    <t>Réaliser une demande de micro-crédit social</t>
  </si>
  <si>
    <t>Réaliser une demande de carte solidaire (SNCF, Pass Solidaire)</t>
  </si>
  <si>
    <t>Monter un dossier financier (microcrédit, FIP, FSL, FAJ...)</t>
  </si>
  <si>
    <t>Se rendre dans un point conseil budget</t>
  </si>
  <si>
    <t>P13</t>
  </si>
  <si>
    <t>Prendre en compte son état de santé</t>
  </si>
  <si>
    <t xml:space="preserve">Effectuer un bilan de santé gratuit (CPAM) </t>
  </si>
  <si>
    <t>Participer à un rendez-vous médical</t>
  </si>
  <si>
    <t>Participer à une activité sportive</t>
  </si>
  <si>
    <t>Constituer un dossier MDPH/invalidité</t>
  </si>
  <si>
    <t>Réaliser des démarches administratives de santé (CMU, CPAM, RQTH...)</t>
  </si>
  <si>
    <t>Rechercher un professionnel de santé</t>
  </si>
  <si>
    <t>P14</t>
  </si>
  <si>
    <t>Surmonter ses contraintes familiales</t>
  </si>
  <si>
    <t>Rechercher un mode de garde</t>
  </si>
  <si>
    <t>Participer à des évènements culturels, artistiques, associatifs</t>
  </si>
  <si>
    <t>Réaliser une démarche d'organisation quotidienne</t>
  </si>
  <si>
    <t>Participer à un rendez-vous avec un partenaire "Famille et Parentalité"</t>
  </si>
  <si>
    <t>P15</t>
  </si>
  <si>
    <t>Développer ses capacités en lecture, écriture et calcul</t>
  </si>
  <si>
    <t>Participer à des cours de français</t>
  </si>
  <si>
    <t>Participer à des cours de lecture/écriture/calcul</t>
  </si>
  <si>
    <t>Réaliser ses heures OFII</t>
  </si>
  <si>
    <t>DATE 1ER RDV fixé</t>
  </si>
  <si>
    <t>NOM</t>
  </si>
  <si>
    <t>PRENOM</t>
  </si>
  <si>
    <t>Stephanie</t>
  </si>
  <si>
    <t>Touria</t>
  </si>
  <si>
    <t>YILMAZ</t>
  </si>
  <si>
    <t>AHAMADA</t>
  </si>
  <si>
    <t>AKKAOUI</t>
  </si>
  <si>
    <t>ALI ABDULLEH</t>
  </si>
  <si>
    <t>AMIRAT</t>
  </si>
  <si>
    <t>BA</t>
  </si>
  <si>
    <t>BAKHTOKHIL</t>
  </si>
  <si>
    <t>BAUDHUIN</t>
  </si>
  <si>
    <t>BENOIT GONIN</t>
  </si>
  <si>
    <t>BOUJLOUD</t>
  </si>
  <si>
    <t>CANI</t>
  </si>
  <si>
    <t>CELEBI</t>
  </si>
  <si>
    <t>CERVANTES</t>
  </si>
  <si>
    <t>CHANAL-MOGUET</t>
  </si>
  <si>
    <t>CHAUME</t>
  </si>
  <si>
    <t>DAMIRON</t>
  </si>
  <si>
    <t>EL ARKOUBI</t>
  </si>
  <si>
    <t>EL BAHMANI</t>
  </si>
  <si>
    <t>ERASLAN</t>
  </si>
  <si>
    <t>GILBERT</t>
  </si>
  <si>
    <t>HIDA</t>
  </si>
  <si>
    <t>HUMBERT</t>
  </si>
  <si>
    <t>KABA</t>
  </si>
  <si>
    <t>KACEM</t>
  </si>
  <si>
    <t>KASEMRATH</t>
  </si>
  <si>
    <t>LAHJAR</t>
  </si>
  <si>
    <t>LAHU</t>
  </si>
  <si>
    <t>LAZRAK</t>
  </si>
  <si>
    <t>MALKI</t>
  </si>
  <si>
    <t>MITKOVA</t>
  </si>
  <si>
    <t>M'MADI</t>
  </si>
  <si>
    <t>PATEL</t>
  </si>
  <si>
    <t>ROBERT</t>
  </si>
  <si>
    <t>SIOUDA</t>
  </si>
  <si>
    <t>SOEUM</t>
  </si>
  <si>
    <t>SOUCANE</t>
  </si>
  <si>
    <t>SYED RASHAD</t>
  </si>
  <si>
    <t>Fatima</t>
  </si>
  <si>
    <t>Badr</t>
  </si>
  <si>
    <t>Maymoun</t>
  </si>
  <si>
    <t>Saliha</t>
  </si>
  <si>
    <t>N Dela</t>
  </si>
  <si>
    <t>Hayatullah</t>
  </si>
  <si>
    <t>Claire</t>
  </si>
  <si>
    <t>Nadia</t>
  </si>
  <si>
    <t>Lucas</t>
  </si>
  <si>
    <t>Zeneb</t>
  </si>
  <si>
    <t>Rilinda</t>
  </si>
  <si>
    <t>Bekir</t>
  </si>
  <si>
    <t>Sabrina</t>
  </si>
  <si>
    <t>Virginie</t>
  </si>
  <si>
    <t>Arthur</t>
  </si>
  <si>
    <t>Naima</t>
  </si>
  <si>
    <t>Eren</t>
  </si>
  <si>
    <t>Stéphanie</t>
  </si>
  <si>
    <t>Soumaya</t>
  </si>
  <si>
    <t>Jolan</t>
  </si>
  <si>
    <t>M'balou</t>
  </si>
  <si>
    <t>Houaria</t>
  </si>
  <si>
    <t>Melanie</t>
  </si>
  <si>
    <t>Fabien</t>
  </si>
  <si>
    <t>Rajae</t>
  </si>
  <si>
    <t>Hanane</t>
  </si>
  <si>
    <t>Richard</t>
  </si>
  <si>
    <t>Marusya</t>
  </si>
  <si>
    <t>Zaidine</t>
  </si>
  <si>
    <t>Olivier</t>
  </si>
  <si>
    <t>Tourkia</t>
  </si>
  <si>
    <t>Justine</t>
  </si>
  <si>
    <t>Pascale</t>
  </si>
  <si>
    <t>Ayesha</t>
  </si>
  <si>
    <t>Talip</t>
  </si>
  <si>
    <t>COMMENTAIRES /OBSERVATION</t>
  </si>
  <si>
    <t>AIT YOUSSEF</t>
  </si>
  <si>
    <t>BAGHDADI</t>
  </si>
  <si>
    <t>BOUCHIAR</t>
  </si>
  <si>
    <t>CARMINATI</t>
  </si>
  <si>
    <t>CHENET</t>
  </si>
  <si>
    <t>MESE</t>
  </si>
  <si>
    <t>RIFATI</t>
  </si>
  <si>
    <t>SOK</t>
  </si>
  <si>
    <t>Maryam</t>
  </si>
  <si>
    <t>Edith</t>
  </si>
  <si>
    <t>Sérine</t>
  </si>
  <si>
    <t>Pierre Yves</t>
  </si>
  <si>
    <t>Maxime</t>
  </si>
  <si>
    <t>Loren</t>
  </si>
  <si>
    <t>Hafiza</t>
  </si>
  <si>
    <t>Bajram</t>
  </si>
  <si>
    <t>Huy</t>
  </si>
  <si>
    <t>ESCOBAR</t>
  </si>
  <si>
    <t>Simon</t>
  </si>
  <si>
    <t>CAO</t>
  </si>
  <si>
    <t>Marie</t>
  </si>
  <si>
    <t>DATE</t>
  </si>
  <si>
    <t>OKUMUS</t>
  </si>
  <si>
    <t>MOUSTAID</t>
  </si>
  <si>
    <t>Hichem</t>
  </si>
  <si>
    <t>ATTAR</t>
  </si>
  <si>
    <t>Karim</t>
  </si>
  <si>
    <t>OKAN</t>
  </si>
  <si>
    <t>MARNISSI</t>
  </si>
  <si>
    <t>Nesrine</t>
  </si>
  <si>
    <t>FABBRI</t>
  </si>
  <si>
    <t>Kelly</t>
  </si>
  <si>
    <t>MAHAMAT ABDALLAH</t>
  </si>
  <si>
    <t>Wossil</t>
  </si>
  <si>
    <t>AZZAOUI</t>
  </si>
  <si>
    <t>Hafida</t>
  </si>
  <si>
    <t>BENJAHA</t>
  </si>
  <si>
    <t>GJONGECAJ</t>
  </si>
  <si>
    <t>Anxhela</t>
  </si>
  <si>
    <t>NOMBRE D OFFRES D EMPLOI PROPOSEES (OE/INFO COLL/jobdating..)</t>
  </si>
  <si>
    <t>NBRE D ENTRETIENS DE RECRUTEMENT OBTENUS SUITE A VOS OFFRES D EMPLOI</t>
  </si>
  <si>
    <t>(chiffres à cumuler / mois</t>
  </si>
  <si>
    <t>TEIXEIRA FERREIRA</t>
  </si>
  <si>
    <t>Antonio</t>
  </si>
  <si>
    <t>HINDI</t>
  </si>
  <si>
    <t>Sihame</t>
  </si>
  <si>
    <t>AOURAGH</t>
  </si>
  <si>
    <t>Salima</t>
  </si>
  <si>
    <t>DIAS LANDIM</t>
  </si>
  <si>
    <t>Vania</t>
  </si>
  <si>
    <t>RENARD</t>
  </si>
  <si>
    <t>Anaïs</t>
  </si>
  <si>
    <t>MARQUES</t>
  </si>
  <si>
    <t>Patrick</t>
  </si>
  <si>
    <t>KARA</t>
  </si>
  <si>
    <t>Fadime</t>
  </si>
  <si>
    <t>MARGAROLI</t>
  </si>
  <si>
    <t>Marie-Astrid</t>
  </si>
  <si>
    <t>Fadoua</t>
  </si>
  <si>
    <t>VARELA LOPES</t>
  </si>
  <si>
    <t>Joao Domingos</t>
  </si>
  <si>
    <t>DANTAN</t>
  </si>
  <si>
    <t>Théo</t>
  </si>
  <si>
    <t>DERARIDJ</t>
  </si>
  <si>
    <t>Karl</t>
  </si>
  <si>
    <t>DAYI</t>
  </si>
  <si>
    <t>Gulseren</t>
  </si>
  <si>
    <t>GUIRAUD</t>
  </si>
  <si>
    <t>Inci</t>
  </si>
  <si>
    <t>BEDIR</t>
  </si>
  <si>
    <t>Murat</t>
  </si>
  <si>
    <t>KASMI</t>
  </si>
  <si>
    <t>Tarik</t>
  </si>
  <si>
    <t>DERSI</t>
  </si>
  <si>
    <t>Sandrine</t>
  </si>
  <si>
    <t>KURNAZ</t>
  </si>
  <si>
    <t>Faden</t>
  </si>
  <si>
    <t>CHEVALIER</t>
  </si>
  <si>
    <t>Estelle</t>
  </si>
  <si>
    <t>BEN MABROUK</t>
  </si>
  <si>
    <t>Zina</t>
  </si>
  <si>
    <t>GROS</t>
  </si>
  <si>
    <t>Georges</t>
  </si>
  <si>
    <t>KHALIL</t>
  </si>
  <si>
    <t>Sajid</t>
  </si>
  <si>
    <t>HANON</t>
  </si>
  <si>
    <t>Thierry</t>
  </si>
  <si>
    <t>HAMDAOUI</t>
  </si>
  <si>
    <t>Mohamed</t>
  </si>
  <si>
    <t>BURRET</t>
  </si>
  <si>
    <t>EL HACHMI</t>
  </si>
  <si>
    <t>BARROS</t>
  </si>
  <si>
    <t>Mélanie</t>
  </si>
  <si>
    <r>
      <t>Nom de l'OPERATEUR :</t>
    </r>
    <r>
      <rPr>
        <sz val="12"/>
        <rFont val="Arial"/>
        <family val="2"/>
      </rPr>
      <t xml:space="preserve"> ALFA3A</t>
    </r>
  </si>
  <si>
    <t>XHAFAJ</t>
  </si>
  <si>
    <t>IGBALLE</t>
  </si>
  <si>
    <t>SASSI</t>
  </si>
  <si>
    <t>KAYAALP</t>
  </si>
  <si>
    <t>Melek</t>
  </si>
  <si>
    <t>MONTEIRO</t>
  </si>
  <si>
    <t>Aymerick</t>
  </si>
  <si>
    <t>ERDING</t>
  </si>
  <si>
    <t>Feruze</t>
  </si>
  <si>
    <t>KARAAGAC</t>
  </si>
  <si>
    <t>Zeliha</t>
  </si>
  <si>
    <t>DUCRET</t>
  </si>
  <si>
    <t>Guillaume</t>
  </si>
  <si>
    <t>ACHOURA</t>
  </si>
  <si>
    <t>Valérie</t>
  </si>
  <si>
    <t>DOGRU</t>
  </si>
  <si>
    <t>Hatice</t>
  </si>
  <si>
    <t>GUNERI</t>
  </si>
  <si>
    <t>Dilaver</t>
  </si>
  <si>
    <t>DIABY</t>
  </si>
  <si>
    <t>Sankoumba</t>
  </si>
  <si>
    <t>OZCELIK</t>
  </si>
  <si>
    <t>Turgay</t>
  </si>
  <si>
    <t>EL YAKHLOUFI</t>
  </si>
  <si>
    <t>Ahmed</t>
  </si>
  <si>
    <t>NAZARI</t>
  </si>
  <si>
    <t>Jahatullah</t>
  </si>
  <si>
    <t>COMINOTTI</t>
  </si>
  <si>
    <t>Céline</t>
  </si>
  <si>
    <t>NAZIMI</t>
  </si>
  <si>
    <t>Asadullah</t>
  </si>
  <si>
    <t>SAHBAZER</t>
  </si>
  <si>
    <t>Sumerya</t>
  </si>
  <si>
    <t>Mustafa</t>
  </si>
  <si>
    <t>KHOUAKHI</t>
  </si>
  <si>
    <t>Jihane</t>
  </si>
  <si>
    <t>GO ON</t>
  </si>
  <si>
    <t xml:space="preserve">MOBILITE </t>
  </si>
  <si>
    <t xml:space="preserve">ARIANE </t>
  </si>
  <si>
    <t xml:space="preserve">AGENT DE SANTE </t>
  </si>
  <si>
    <t xml:space="preserve">ADAPT </t>
  </si>
  <si>
    <t xml:space="preserve">ORSAC </t>
  </si>
  <si>
    <t>REPIT PARENTAL</t>
  </si>
  <si>
    <t xml:space="preserve">AIDE FINANCIERE </t>
  </si>
  <si>
    <t xml:space="preserve"> </t>
  </si>
  <si>
    <t>Renouvellement</t>
  </si>
  <si>
    <t>1er mois</t>
  </si>
  <si>
    <t>2e mois</t>
  </si>
  <si>
    <t>3e mois</t>
  </si>
  <si>
    <t>4e mois</t>
  </si>
  <si>
    <t>5e mois</t>
  </si>
  <si>
    <t>6e mois</t>
  </si>
  <si>
    <t>7e mois</t>
  </si>
  <si>
    <t>8e mois</t>
  </si>
  <si>
    <t>9e mois</t>
  </si>
  <si>
    <t>10e mois</t>
  </si>
  <si>
    <t>11e mois</t>
  </si>
  <si>
    <t>12e mois</t>
  </si>
  <si>
    <t>13e mois</t>
  </si>
  <si>
    <t>nom</t>
  </si>
  <si>
    <t>prenom</t>
  </si>
  <si>
    <t>7 eme mois Bilan fin de parcours</t>
  </si>
  <si>
    <t>14éme mois Bilan définitif</t>
  </si>
  <si>
    <t>Nom</t>
  </si>
  <si>
    <t>Prénom</t>
  </si>
  <si>
    <t xml:space="preserve">date de la demande </t>
  </si>
  <si>
    <t>GATINEAU</t>
  </si>
  <si>
    <t>SORTIES + sous objectif</t>
  </si>
  <si>
    <t xml:space="preserve">BOIS </t>
  </si>
  <si>
    <t xml:space="preserve">ALEXIS </t>
  </si>
  <si>
    <t>Clauses sociales</t>
  </si>
  <si>
    <t>D'ORAZIO</t>
  </si>
  <si>
    <t>ENZO</t>
  </si>
  <si>
    <t>VELON</t>
  </si>
  <si>
    <t>Alicia</t>
  </si>
  <si>
    <t>SOGOJEVA</t>
  </si>
  <si>
    <t>AOUDIA</t>
  </si>
  <si>
    <t>Kushtrim</t>
  </si>
  <si>
    <t>Nouara</t>
  </si>
  <si>
    <t>OUI</t>
  </si>
  <si>
    <t>NON</t>
  </si>
  <si>
    <t>nombres de démarches / par semaine</t>
  </si>
  <si>
    <t xml:space="preserve">Date </t>
  </si>
  <si>
    <t>Date</t>
  </si>
  <si>
    <t>Declic Emploi HBA</t>
  </si>
  <si>
    <t>MIFE 01</t>
  </si>
  <si>
    <t>Conseillers numériques</t>
  </si>
  <si>
    <r>
      <t xml:space="preserve">FLE </t>
    </r>
    <r>
      <rPr>
        <sz val="10"/>
        <color theme="1"/>
        <rFont val="Arial"/>
        <family val="2"/>
      </rPr>
      <t>(GoOn-Ifra-Ville Bourg-centre social..)</t>
    </r>
  </si>
  <si>
    <t>suspension remob</t>
  </si>
  <si>
    <t>Cli</t>
  </si>
  <si>
    <t>C.E SIGNE</t>
  </si>
  <si>
    <t xml:space="preserve">FIN CE 6 MOIS </t>
  </si>
  <si>
    <t>BILAN PARCOURS (7eme mois)</t>
  </si>
  <si>
    <t>SITUATION</t>
  </si>
  <si>
    <t>Resultat bilan parcours</t>
  </si>
  <si>
    <t>Réo FT</t>
  </si>
  <si>
    <t>Tripartite</t>
  </si>
  <si>
    <t>PMSMP (1 = oui)</t>
  </si>
  <si>
    <t>SORTIES DU DISPOSITIF</t>
  </si>
  <si>
    <t>Motifs Sorties</t>
  </si>
  <si>
    <t>Décès</t>
  </si>
  <si>
    <t>Incarcération</t>
  </si>
  <si>
    <t>Mauvaise orientation</t>
  </si>
  <si>
    <t>MOTIF de la REO</t>
  </si>
  <si>
    <t>SIAE (FT)</t>
  </si>
  <si>
    <t>Autres (preciser)</t>
  </si>
  <si>
    <t>demande</t>
  </si>
  <si>
    <t>Reo FT</t>
  </si>
  <si>
    <t>Réo sociale</t>
  </si>
  <si>
    <t>Préco Réo</t>
  </si>
  <si>
    <t>Sortie + sous objectif (les noter en vert tant que vous les garder en suivi dans l'emploi)</t>
  </si>
  <si>
    <t>Fin bilan parcours</t>
  </si>
  <si>
    <t>Dde etude de situation.</t>
  </si>
  <si>
    <t xml:space="preserve">Contact BRSA - 15 jours  </t>
  </si>
  <si>
    <t xml:space="preserve">Mail INFO CDS  </t>
  </si>
  <si>
    <t>Date courrier CDS (voir extraction transmise)</t>
  </si>
  <si>
    <t>Délai 15 jours pour contact</t>
  </si>
  <si>
    <t xml:space="preserve">Niveau 1 : AVERTISSEMENT AVANT SUSPENSION </t>
  </si>
  <si>
    <t>Niveau 2 : suspension remobilisation</t>
  </si>
  <si>
    <t>Délai de 35 jours pour reprendre contact</t>
  </si>
  <si>
    <t xml:space="preserve">le BRSA s'est manifesté ? </t>
  </si>
  <si>
    <t xml:space="preserve">Mail d'info au CDS manifestation ou non dans les 35 jours  </t>
  </si>
  <si>
    <t>Etape 3 : Etape pluridisciplinaire CLI</t>
  </si>
  <si>
    <t xml:space="preserve">Date CLI si le BRSA ne s'est pas manifesté au bout des 35 jours </t>
  </si>
  <si>
    <t>2 eme manquement (process direct etape 3)</t>
  </si>
  <si>
    <t>date demande étude de situation (Mail CDS)</t>
  </si>
  <si>
    <t>DATE courrier CDS</t>
  </si>
  <si>
    <t xml:space="preserve">35j pour reprendre contact date butoire </t>
  </si>
  <si>
    <t>DATE CLI</t>
  </si>
  <si>
    <t>(vide)</t>
  </si>
  <si>
    <t>Total général</t>
  </si>
  <si>
    <t>Nombre de 2e mois</t>
  </si>
  <si>
    <t>Nombre de 1er mois</t>
  </si>
  <si>
    <t>Somme de 3e mois</t>
  </si>
  <si>
    <t>Somme de 4e mois</t>
  </si>
  <si>
    <t>Somme de 5e mois</t>
  </si>
  <si>
    <t>Nombre de 6e mois</t>
  </si>
  <si>
    <t>Nombre de 7e mois</t>
  </si>
  <si>
    <t>Nombre de 8e mois</t>
  </si>
  <si>
    <t>Nombre de 9e mois</t>
  </si>
  <si>
    <t>Nombre de 10e mois</t>
  </si>
  <si>
    <t>Nombre de 11e mois</t>
  </si>
  <si>
    <t>Nombre de 12e mois</t>
  </si>
  <si>
    <t>Somme de Dde etude de situation.</t>
  </si>
  <si>
    <t>Valeurs</t>
  </si>
  <si>
    <t>Somme de date demande étude de situation (Mail CDS)</t>
  </si>
  <si>
    <t xml:space="preserve">Sanction et Absence </t>
  </si>
  <si>
    <t>Somme de 1er mois</t>
  </si>
  <si>
    <t>Somme de 2e mois</t>
  </si>
  <si>
    <t>Somme de 6e mois</t>
  </si>
  <si>
    <t>Nombre de demande</t>
  </si>
  <si>
    <t>Somme de Renouvellement</t>
  </si>
  <si>
    <t>Somme de 8e mois</t>
  </si>
  <si>
    <t>Somme de 9e mois</t>
  </si>
  <si>
    <t>Somme de 10e mois</t>
  </si>
  <si>
    <t>Somme de 11e mois</t>
  </si>
  <si>
    <t>Somme de 12e mois</t>
  </si>
  <si>
    <t>Somme de Préco Réo</t>
  </si>
  <si>
    <t xml:space="preserve">Bilan de parcours + démarches </t>
  </si>
  <si>
    <t>DATE SORTIE</t>
  </si>
  <si>
    <t>Nombre de H/F</t>
  </si>
  <si>
    <t>Moyenne de âge</t>
  </si>
  <si>
    <t>Nombre de C.E SIGNE</t>
  </si>
  <si>
    <t>Nombre de BILAN PARCOURS (7eme mois)</t>
  </si>
  <si>
    <t>Somme de PMSMP (1 = oui)</t>
  </si>
  <si>
    <t>Nombre de MOTIF de la REO</t>
  </si>
  <si>
    <t xml:space="preserve">Nombre de AIDE FINANCIERE </t>
  </si>
  <si>
    <t>Nombre de Motif de sortie</t>
  </si>
  <si>
    <t>Nombre de types</t>
  </si>
  <si>
    <t>SORTIES POSITIVES</t>
  </si>
  <si>
    <t>SORTIES</t>
  </si>
  <si>
    <t>SEXE</t>
  </si>
  <si>
    <t>DURAND RAPPELER RANDSTAD</t>
  </si>
  <si>
    <t>Saisie FSE</t>
  </si>
  <si>
    <t>Nombre de Saisie FSE</t>
  </si>
  <si>
    <t xml:space="preserve">Absence avant signature CE </t>
  </si>
  <si>
    <t>1ER RDV</t>
  </si>
  <si>
    <t>2EME</t>
  </si>
  <si>
    <t>Absences 2026 cumulées par mois (rdv-atelier-forum-jobdating..)  Après signature CE</t>
  </si>
  <si>
    <t>Nombre de 1ER RDV</t>
  </si>
  <si>
    <t>Somme de 2EME</t>
  </si>
  <si>
    <t xml:space="preserve">Exemples </t>
  </si>
  <si>
    <t>Exemple:</t>
  </si>
  <si>
    <t>Positionnement actions / démarches</t>
  </si>
  <si>
    <t>Stagiaire de la formation</t>
  </si>
  <si>
    <t>Monsieur</t>
  </si>
  <si>
    <t>ABDOULAYE ISSAKH</t>
  </si>
  <si>
    <t>Yaya</t>
  </si>
  <si>
    <t>Madame</t>
  </si>
  <si>
    <t>AHMADI</t>
  </si>
  <si>
    <t>Diba</t>
  </si>
  <si>
    <t>AIOUAZ</t>
  </si>
  <si>
    <t>Khadija</t>
  </si>
  <si>
    <t>AMARI</t>
  </si>
  <si>
    <t>Yamina</t>
  </si>
  <si>
    <t>ARIFI</t>
  </si>
  <si>
    <t>ATHOUMANI</t>
  </si>
  <si>
    <t>BACAR</t>
  </si>
  <si>
    <t>Mariata</t>
  </si>
  <si>
    <t>BAHAR</t>
  </si>
  <si>
    <t>Laura</t>
  </si>
  <si>
    <t>BAITICHE</t>
  </si>
  <si>
    <t>Karima</t>
  </si>
  <si>
    <t>BARAT</t>
  </si>
  <si>
    <t>Sayed</t>
  </si>
  <si>
    <t>BEKELE</t>
  </si>
  <si>
    <t>Eteferahu</t>
  </si>
  <si>
    <t>BELFASSI</t>
  </si>
  <si>
    <t>Maria Dolores</t>
  </si>
  <si>
    <t>BENAISSA</t>
  </si>
  <si>
    <t>Radia</t>
  </si>
  <si>
    <t>BEN EL OUALI</t>
  </si>
  <si>
    <t>Anouar</t>
  </si>
  <si>
    <t>BENOIT</t>
  </si>
  <si>
    <t>Xavier</t>
  </si>
  <si>
    <t>BENZEKHROUFA</t>
  </si>
  <si>
    <t>Abdelghani</t>
  </si>
  <si>
    <t>BERTHILLOT</t>
  </si>
  <si>
    <t>Léa</t>
  </si>
  <si>
    <t>BLANC</t>
  </si>
  <si>
    <t>Mélissa</t>
  </si>
  <si>
    <t>BONNET</t>
  </si>
  <si>
    <t>Cédric</t>
  </si>
  <si>
    <t>BOUILLOUX</t>
  </si>
  <si>
    <t>Nikolas</t>
  </si>
  <si>
    <t>BOUVET</t>
  </si>
  <si>
    <t>Christina</t>
  </si>
  <si>
    <t>BOUVIER</t>
  </si>
  <si>
    <t>Vanessa</t>
  </si>
  <si>
    <t>BRACH</t>
  </si>
  <si>
    <t>Fatiha</t>
  </si>
  <si>
    <t>BRECANI</t>
  </si>
  <si>
    <t>Arjana</t>
  </si>
  <si>
    <t>BRISSON</t>
  </si>
  <si>
    <t>Amelie</t>
  </si>
  <si>
    <t>BRUNET</t>
  </si>
  <si>
    <t>Carole</t>
  </si>
  <si>
    <t>BRUZEAU</t>
  </si>
  <si>
    <t>BUATTIER</t>
  </si>
  <si>
    <t>Christelle</t>
  </si>
  <si>
    <t>BULINGE</t>
  </si>
  <si>
    <t>Corentin</t>
  </si>
  <si>
    <t>CEESAY</t>
  </si>
  <si>
    <t>Serra</t>
  </si>
  <si>
    <t>CESSIN</t>
  </si>
  <si>
    <t>CHACON COTOS</t>
  </si>
  <si>
    <t>Yesica</t>
  </si>
  <si>
    <t>CHARNAY</t>
  </si>
  <si>
    <t>Cindy</t>
  </si>
  <si>
    <t>CHAVE</t>
  </si>
  <si>
    <t>Baptiste</t>
  </si>
  <si>
    <t>CHOMETTON</t>
  </si>
  <si>
    <t>Lydie</t>
  </si>
  <si>
    <t>DAOUD</t>
  </si>
  <si>
    <t>Boina</t>
  </si>
  <si>
    <t>DA SILVA GONCALVES</t>
  </si>
  <si>
    <t>Samuel</t>
  </si>
  <si>
    <t>DBIJA</t>
  </si>
  <si>
    <t>DECAILLON</t>
  </si>
  <si>
    <t>Candide</t>
  </si>
  <si>
    <t>DEMIRKAZIK</t>
  </si>
  <si>
    <t>Ramazan</t>
  </si>
  <si>
    <t>DOTHAL</t>
  </si>
  <si>
    <t>EL MOUSTAOUI</t>
  </si>
  <si>
    <t>Sadik</t>
  </si>
  <si>
    <t>ESPRIT</t>
  </si>
  <si>
    <t>Jessicka</t>
  </si>
  <si>
    <t>FERREIRA</t>
  </si>
  <si>
    <t>Julien</t>
  </si>
  <si>
    <t>FETET</t>
  </si>
  <si>
    <t>Jennifer</t>
  </si>
  <si>
    <t>GOBERT</t>
  </si>
  <si>
    <t>Edwige</t>
  </si>
  <si>
    <t>GOKBULUT</t>
  </si>
  <si>
    <t>Eda</t>
  </si>
  <si>
    <t>HADZI-ALIJA</t>
  </si>
  <si>
    <t>Erdan</t>
  </si>
  <si>
    <t>HAMMOUMI</t>
  </si>
  <si>
    <t>Mohammed</t>
  </si>
  <si>
    <t>HASSANI</t>
  </si>
  <si>
    <t>Koulthoumi</t>
  </si>
  <si>
    <t>HOUICHI</t>
  </si>
  <si>
    <t>Hikmet</t>
  </si>
  <si>
    <t>KALINDA</t>
  </si>
  <si>
    <t>Léopold</t>
  </si>
  <si>
    <t>KARADAVUT</t>
  </si>
  <si>
    <t>Pembe</t>
  </si>
  <si>
    <t xml:space="preserve">KASEMI </t>
  </si>
  <si>
    <t>Elsaïda</t>
  </si>
  <si>
    <t>KAYRE</t>
  </si>
  <si>
    <t>Fatou Kine</t>
  </si>
  <si>
    <t>KIM</t>
  </si>
  <si>
    <t>Stéphane</t>
  </si>
  <si>
    <t>KULIKOVA</t>
  </si>
  <si>
    <t>Oléna</t>
  </si>
  <si>
    <t>LAARABA</t>
  </si>
  <si>
    <t>Saida</t>
  </si>
  <si>
    <t>LAMBERT</t>
  </si>
  <si>
    <t>LENOIR</t>
  </si>
  <si>
    <t>LEONARDE</t>
  </si>
  <si>
    <t>Bibiane</t>
  </si>
  <si>
    <t>LIKIDI</t>
  </si>
  <si>
    <t>Quektor</t>
  </si>
  <si>
    <t>LOUCIF</t>
  </si>
  <si>
    <t>Ines</t>
  </si>
  <si>
    <t>MARRET</t>
  </si>
  <si>
    <t>Alan</t>
  </si>
  <si>
    <t>MERCIER</t>
  </si>
  <si>
    <t>Florent</t>
  </si>
  <si>
    <t>MEUNIER</t>
  </si>
  <si>
    <t>Yann</t>
  </si>
  <si>
    <t xml:space="preserve">MOLL </t>
  </si>
  <si>
    <t>Armand</t>
  </si>
  <si>
    <t>MOLLA</t>
  </si>
  <si>
    <t>Romina</t>
  </si>
  <si>
    <t>MOREL</t>
  </si>
  <si>
    <t>Alexandre</t>
  </si>
  <si>
    <t>MOSES</t>
  </si>
  <si>
    <t>Jal</t>
  </si>
  <si>
    <t>MOSSMAN</t>
  </si>
  <si>
    <t>Tiaré</t>
  </si>
  <si>
    <t>MOURAUD</t>
  </si>
  <si>
    <t>Kévin</t>
  </si>
  <si>
    <t>MOUSTOIFFA</t>
  </si>
  <si>
    <t>Zaïna</t>
  </si>
  <si>
    <t>MTIMET</t>
  </si>
  <si>
    <t>Ridha</t>
  </si>
  <si>
    <t>MZOURI</t>
  </si>
  <si>
    <t>Chama</t>
  </si>
  <si>
    <t>OULAD AYAD</t>
  </si>
  <si>
    <t>Loubna</t>
  </si>
  <si>
    <t>OUSMANE</t>
  </si>
  <si>
    <t>Tidiane</t>
  </si>
  <si>
    <t xml:space="preserve">PAGE </t>
  </si>
  <si>
    <t>Francesca</t>
  </si>
  <si>
    <t>PAUVIL</t>
  </si>
  <si>
    <t>Pauline</t>
  </si>
  <si>
    <t>PEKDURU</t>
  </si>
  <si>
    <t>PIERRE-LOUIS</t>
  </si>
  <si>
    <t>Stephen</t>
  </si>
  <si>
    <t>PINHEIRO</t>
  </si>
  <si>
    <t>PINTO</t>
  </si>
  <si>
    <t>Jason</t>
  </si>
  <si>
    <t>PUZIN</t>
  </si>
  <si>
    <t>Jacky</t>
  </si>
  <si>
    <t>Abdelhakim</t>
  </si>
  <si>
    <t>RIBOLLA</t>
  </si>
  <si>
    <t>ROIDA</t>
  </si>
  <si>
    <t>Hamid</t>
  </si>
  <si>
    <t>ROUSSEAUX</t>
  </si>
  <si>
    <t>Frédéric</t>
  </si>
  <si>
    <t>RUSITI</t>
  </si>
  <si>
    <t>Silvano</t>
  </si>
  <si>
    <t>SAEED</t>
  </si>
  <si>
    <t>Sumaia</t>
  </si>
  <si>
    <t>SATTA</t>
  </si>
  <si>
    <t>Saadia</t>
  </si>
  <si>
    <t>SAVOVA</t>
  </si>
  <si>
    <t>Snejana</t>
  </si>
  <si>
    <t>SAWAS</t>
  </si>
  <si>
    <t>Fatina</t>
  </si>
  <si>
    <t>SAYAH</t>
  </si>
  <si>
    <t>Fatma</t>
  </si>
  <si>
    <t>SIGLER</t>
  </si>
  <si>
    <t>Fabrice</t>
  </si>
  <si>
    <t>STHELY</t>
  </si>
  <si>
    <t>Séverine</t>
  </si>
  <si>
    <t>TELEMAQUE</t>
  </si>
  <si>
    <t>Walesca</t>
  </si>
  <si>
    <t>TIBHIRT</t>
  </si>
  <si>
    <t>Mina</t>
  </si>
  <si>
    <t>TOMAT</t>
  </si>
  <si>
    <t>Antoine</t>
  </si>
  <si>
    <t>URYN</t>
  </si>
  <si>
    <t>Marcin-Pawel</t>
  </si>
  <si>
    <t>VAUPRE</t>
  </si>
  <si>
    <t>VEGLIANTI</t>
  </si>
  <si>
    <t>VERRES</t>
  </si>
  <si>
    <t>VISEUR</t>
  </si>
  <si>
    <t>Severine</t>
  </si>
  <si>
    <t>ZAID</t>
  </si>
  <si>
    <t>Ilyas</t>
  </si>
  <si>
    <t>ZARZAR</t>
  </si>
  <si>
    <t>Ilhame</t>
  </si>
  <si>
    <t>ZOUNOUH</t>
  </si>
  <si>
    <t>El Houssaine</t>
  </si>
  <si>
    <t>SDP</t>
  </si>
  <si>
    <t>TRIPARTITE</t>
  </si>
  <si>
    <t>RENOUVELLEMENT</t>
  </si>
  <si>
    <t>REO SOCIALE</t>
  </si>
  <si>
    <t>Langue</t>
  </si>
  <si>
    <t>Aidante (époux)</t>
  </si>
  <si>
    <t>Garde enfant</t>
  </si>
  <si>
    <t xml:space="preserve">Permis </t>
  </si>
  <si>
    <t>Santé</t>
  </si>
  <si>
    <t>Posture pro</t>
  </si>
  <si>
    <t>Santé mentale</t>
  </si>
  <si>
    <t>Mobilité (utilisation TC)</t>
  </si>
  <si>
    <t>Illetrisme</t>
  </si>
  <si>
    <t>Enfant TSA</t>
  </si>
  <si>
    <t>Mobilité</t>
  </si>
  <si>
    <t xml:space="preserve">Aidante </t>
  </si>
  <si>
    <t>Enfant handicapé</t>
  </si>
  <si>
    <t>Aidante familiale</t>
  </si>
  <si>
    <t>Aidant familial</t>
  </si>
  <si>
    <t>Permis</t>
  </si>
  <si>
    <t>Enfants malades</t>
  </si>
  <si>
    <t>Aidante</t>
  </si>
  <si>
    <t xml:space="preserve">Santé   </t>
  </si>
  <si>
    <t>Logement</t>
  </si>
  <si>
    <t>Expérience</t>
  </si>
  <si>
    <t xml:space="preserve">Santé  </t>
  </si>
  <si>
    <t>Aucune expérience professionnelle</t>
  </si>
  <si>
    <t xml:space="preserve">Voiture </t>
  </si>
  <si>
    <t>Addiction</t>
  </si>
  <si>
    <t>Confiance</t>
  </si>
  <si>
    <t>Expérience pro</t>
  </si>
  <si>
    <t>Age</t>
  </si>
  <si>
    <t>CLI - PAS DE RETOUR</t>
  </si>
  <si>
    <t>CE OK / Candidature envoyée le 01/10/25 pour poste couturière chez Tremplin</t>
  </si>
  <si>
    <t>CDD petits cdd à voir rapidement / Convocation 25/11/25 / 2ABS justifiées 1ABS injustifiée / Relance le 120226</t>
  </si>
  <si>
    <t>CE OK / Absence injustifiée RDV 3 mail envoyé le 311025</t>
  </si>
  <si>
    <t>CE OK</t>
  </si>
  <si>
    <t>CLI - pas repris contact</t>
  </si>
  <si>
    <t>CE OK / SIAE</t>
  </si>
  <si>
    <t>CE OK / Couturière indépendante immatriculée CMA / Projet développement activité</t>
  </si>
  <si>
    <t>CLI / CE OK</t>
  </si>
  <si>
    <t>CE OK - OK Saisonniere 8 - 9 mois / an - recuperer les contrats</t>
  </si>
  <si>
    <t>CE OK  / Objectif entreprise adapté</t>
  </si>
  <si>
    <t>CE OK / Candidature Frip'One envoyée le 271125 - en interim depuis decembre</t>
  </si>
  <si>
    <t>CE OK travaille en ehpad en interim</t>
  </si>
  <si>
    <t>CLI pas de nouvelle</t>
  </si>
  <si>
    <t>Absence RDV 2 / Mail envoyé le 210126</t>
  </si>
  <si>
    <t xml:space="preserve">Réo sociale à envisager ??/ Enfant autiste AEEH PCH </t>
  </si>
  <si>
    <t>CE OK  / Chirurgie avec convalescence le 10/10/25 / AM jusqu'au 251125 / Absence injustifiée / Mail envoyé le 210126 / Attente certificat incapacité mail envoyé 270226</t>
  </si>
  <si>
    <t>CLI - pas de nouvelle</t>
  </si>
  <si>
    <t>CE OK / BENEFICIAIRE ARE / En attente justif pour réo / Mail envoyé 270226</t>
  </si>
  <si>
    <t>RDV 22/01/2026</t>
  </si>
  <si>
    <t>CE OK / Préco MDPH vers ORSAC a été hospit 3 mois</t>
  </si>
  <si>
    <t>CE OK / AIDE MENAGERE A SON COMPTE EN CESU</t>
  </si>
  <si>
    <t>CDI Assistante maternelle / Projet formation AESH / Absence RDV 4 relance envoyée 270226</t>
  </si>
  <si>
    <t>CE OK / Mail envoyé 210126 / REO SOCIALE A ENVISAGER</t>
  </si>
  <si>
    <t>Préconisation ESAT / REO SOCIALE A ENVISAGER - CIP orsac</t>
  </si>
  <si>
    <t>Projet Créa entreprise / Friperie itinérante</t>
  </si>
  <si>
    <t>Réo sociale à envisager / Absence injustifiée 2ème RDV / Sms sans réponse</t>
  </si>
  <si>
    <t>Projet créa entreprise / Acco BGE Business plan en cours / Abence RDV 3 / Mail envoyé 011225</t>
  </si>
  <si>
    <t>CE OK / CLI revenu / Projet assistante maternelle / Absence RDV 5 / Relance envoyée 230126 + 270226</t>
  </si>
  <si>
    <t>CE OK / REO SOCIALE A ENVISAGER - justif medical en attente</t>
  </si>
  <si>
    <t>CE OK / CLI repris contact ok</t>
  </si>
  <si>
    <t>CE OK / Autoentrepreneur souhaite revenir au salariat</t>
  </si>
  <si>
    <t xml:space="preserve">CE OK / </t>
  </si>
  <si>
    <t xml:space="preserve">CE OK / CLI pas de retour </t>
  </si>
  <si>
    <t>REO SOCIALE A ENVISAGER / CF PLANNING AIDANTE FAMILIALE / Absence injustifiée 2ème RDV mail envoyé 311025 / Relance 260126</t>
  </si>
  <si>
    <t>CE OK / Préco ESAT / Absence RDV 4 / Relance 260126</t>
  </si>
  <si>
    <t>CE OK travaille en auto entreprise</t>
  </si>
  <si>
    <t>CE OK / Absence injustifiée 2ème RDV pas de nouvelle CLI</t>
  </si>
  <si>
    <t>CE OK / REO SOCIALE A ENVISAGER</t>
  </si>
  <si>
    <t>CE OK aidant familial</t>
  </si>
  <si>
    <t>CE OK / Candidature Orsac envoyé / Projet formation à monter polissage en bijouterie</t>
  </si>
  <si>
    <t>CE OK : Besoin Caces 1, 3, 5</t>
  </si>
  <si>
    <t>CE OK / Acco agent de santé envoyé 241225</t>
  </si>
  <si>
    <t>CLI passée ok retour/ SIAE</t>
  </si>
  <si>
    <t>CE OK / AS Caroline GIMENEZ / 07-63-47-14-09 / MASP</t>
  </si>
  <si>
    <t>CE OK / Candidature Tremplin envoyée 251125</t>
  </si>
  <si>
    <t>CE OK / Absence RDV 2 / Mail envoyé le 021225 / Relance 220126 /Injoignable</t>
  </si>
  <si>
    <t>CE OK travaille chez basic fit en interim / cdi ??</t>
  </si>
  <si>
    <t>En CDDI 8h / semaine - premières heures Tremplin / A reconvoquer</t>
  </si>
  <si>
    <t>REO SOCIALE A ENVISAGER - transfert de dossier d'oyonnax</t>
  </si>
  <si>
    <t>CLI retour ok / CE OK</t>
  </si>
  <si>
    <t>CE OK / Réo sociale à envisager / BDP ENVOYE</t>
  </si>
  <si>
    <t>CE OK / Projet Formation fleuriste ??</t>
  </si>
  <si>
    <t>CE OK / REO SOCIALE INAPTITUDE santé</t>
  </si>
  <si>
    <t>CE OK / Fracture pied / Convalescence en cours / BDP ENVOYE</t>
  </si>
  <si>
    <t>Projet création entreprise</t>
  </si>
  <si>
    <t>CE OK / Bilan de compétences en cours avec Adeline + suivi médical</t>
  </si>
  <si>
    <t>CE OK / Envoie candidature Tremplin et Bourg habitat le 171125</t>
  </si>
  <si>
    <t>ABATI</t>
  </si>
  <si>
    <t>Nazmije</t>
  </si>
  <si>
    <t>ALI</t>
  </si>
  <si>
    <t>Mariama</t>
  </si>
  <si>
    <t>ANTOINAT</t>
  </si>
  <si>
    <t>ARARI</t>
  </si>
  <si>
    <t>BOTINAJ</t>
  </si>
  <si>
    <t>Lule</t>
  </si>
  <si>
    <t>BOURASSIN</t>
  </si>
  <si>
    <t>Gaelle</t>
  </si>
  <si>
    <t>CALARD</t>
  </si>
  <si>
    <t>Johanna</t>
  </si>
  <si>
    <t>CAMARA</t>
  </si>
  <si>
    <t>Mafoudia</t>
  </si>
  <si>
    <t>CHARNI</t>
  </si>
  <si>
    <t>Hèdi</t>
  </si>
  <si>
    <t>COMBEAU</t>
  </si>
  <si>
    <t>Noémie</t>
  </si>
  <si>
    <t>COTOS REGALADO</t>
  </si>
  <si>
    <t>Nancy</t>
  </si>
  <si>
    <t>DURMUS</t>
  </si>
  <si>
    <t>Alev</t>
  </si>
  <si>
    <t>GIORDANELLA</t>
  </si>
  <si>
    <t>Rachel</t>
  </si>
  <si>
    <t>HASSAN</t>
  </si>
  <si>
    <t>Roueida</t>
  </si>
  <si>
    <t>JAMAI</t>
  </si>
  <si>
    <t>Miryam</t>
  </si>
  <si>
    <t>KOSTURI-BASTRIU</t>
  </si>
  <si>
    <t>Nazime</t>
  </si>
  <si>
    <t>KOUYATE</t>
  </si>
  <si>
    <t>Fanta</t>
  </si>
  <si>
    <t>MATHON</t>
  </si>
  <si>
    <t>Emilie</t>
  </si>
  <si>
    <t>MCHINDRA</t>
  </si>
  <si>
    <t>Yancoub</t>
  </si>
  <si>
    <t>MGALLES</t>
  </si>
  <si>
    <t>Khaled</t>
  </si>
  <si>
    <t>MICHEL</t>
  </si>
  <si>
    <t>Elodie</t>
  </si>
  <si>
    <t>MOISSONNIER</t>
  </si>
  <si>
    <t>Marie Claude</t>
  </si>
  <si>
    <t>Anthony</t>
  </si>
  <si>
    <t>MURATI</t>
  </si>
  <si>
    <t>Anxhelina</t>
  </si>
  <si>
    <t>MURY</t>
  </si>
  <si>
    <t>Alexis</t>
  </si>
  <si>
    <t>NABI ZADA</t>
  </si>
  <si>
    <t>Ghulam</t>
  </si>
  <si>
    <t>NAILLOD</t>
  </si>
  <si>
    <t>Amélie</t>
  </si>
  <si>
    <t>NEUER</t>
  </si>
  <si>
    <t>Friederike</t>
  </si>
  <si>
    <t>PANDOU</t>
  </si>
  <si>
    <t>PERDRIX</t>
  </si>
  <si>
    <t>Dylan</t>
  </si>
  <si>
    <t>PERRIN</t>
  </si>
  <si>
    <t>PIERROT</t>
  </si>
  <si>
    <t>Carmen</t>
  </si>
  <si>
    <t>POTKI</t>
  </si>
  <si>
    <t>Sharifeh</t>
  </si>
  <si>
    <t>ROBARDEY</t>
  </si>
  <si>
    <t>Mathieu</t>
  </si>
  <si>
    <t>ROUSSEAU</t>
  </si>
  <si>
    <t>SALLERON</t>
  </si>
  <si>
    <t>Ophélie</t>
  </si>
  <si>
    <t>SLIMANI</t>
  </si>
  <si>
    <t>Zahra</t>
  </si>
  <si>
    <t>SOKOLOV</t>
  </si>
  <si>
    <t>Sergey</t>
  </si>
  <si>
    <t>SOLNCEV</t>
  </si>
  <si>
    <t>Maxim</t>
  </si>
  <si>
    <t>THOUMIAND</t>
  </si>
  <si>
    <t>Angélique</t>
  </si>
  <si>
    <t>VALENTINI</t>
  </si>
  <si>
    <t>Arianna</t>
  </si>
  <si>
    <t>YALCIN ESSANHI</t>
  </si>
  <si>
    <t>Elif</t>
  </si>
  <si>
    <t>ZAHTI</t>
  </si>
  <si>
    <t>Abdellah</t>
  </si>
  <si>
    <t>ZAKHARCHENKO</t>
  </si>
  <si>
    <t>Volodymyr</t>
  </si>
  <si>
    <t>ZINKAL</t>
  </si>
  <si>
    <t>Narguzeli</t>
  </si>
  <si>
    <t>WETER</t>
  </si>
  <si>
    <t>Betty</t>
  </si>
  <si>
    <t>France Travail</t>
  </si>
  <si>
    <t>CIP : SOILIE TISSERAND</t>
  </si>
  <si>
    <t>SUSPENSION REMOB</t>
  </si>
  <si>
    <t>resto social</t>
  </si>
  <si>
    <t>saisonniere</t>
  </si>
  <si>
    <t xml:space="preserve">CDI 11,5h/semaine </t>
  </si>
  <si>
    <t>reo social ?</t>
  </si>
  <si>
    <t>REO FT / DROIT ARE</t>
  </si>
  <si>
    <t>CAF ? / PMSMP Domaliance</t>
  </si>
  <si>
    <t>ne veut pas faire garder ses enfants</t>
  </si>
  <si>
    <t>aidante f / reo sociale</t>
  </si>
  <si>
    <t>reo social a faire</t>
  </si>
  <si>
    <t>projet autoentreprise</t>
  </si>
  <si>
    <t>voir educ nationale</t>
  </si>
  <si>
    <t>souhait renonce rsa</t>
  </si>
  <si>
    <t>en attente cm</t>
  </si>
  <si>
    <t xml:space="preserve">TRIPARTITE </t>
  </si>
  <si>
    <t>crea en cours</t>
  </si>
  <si>
    <t>BDC</t>
  </si>
  <si>
    <t>projet cdi dechetterie</t>
  </si>
  <si>
    <t>CLI PAS DE RETOUR</t>
  </si>
  <si>
    <t>COUTURE</t>
  </si>
  <si>
    <t>SERVICES PERISCOLAIRES</t>
  </si>
  <si>
    <t>CAP PETITE ENFANCE</t>
  </si>
  <si>
    <t>HOTELLERIE
AIDE A DOMICILE</t>
  </si>
  <si>
    <t>LOGISTIQUE
GRANDE DISTRIBUTION</t>
  </si>
  <si>
    <t>MILIEU CARCERAL</t>
  </si>
  <si>
    <t>MENAGE/TRI</t>
  </si>
  <si>
    <t>COUTURIERE INDEPENDANTE
DEV ACTIVITE</t>
  </si>
  <si>
    <t>CHAUFFEUR LIVREUR</t>
  </si>
  <si>
    <t>RESTAURATION COLLECTIVE</t>
  </si>
  <si>
    <t>RESTAURATION
COMMERCE</t>
  </si>
  <si>
    <t>SECRETARIAT MEDICAL</t>
  </si>
  <si>
    <t>CONSEILLERE FUNERAIRE</t>
  </si>
  <si>
    <t>ARMEE DE TERRE</t>
  </si>
  <si>
    <t>MENAGE</t>
  </si>
  <si>
    <t>PEC HYGIENE BOURG</t>
  </si>
  <si>
    <t>ESPACE VERTS
PROPRETE URBAINE</t>
  </si>
  <si>
    <t>INFORMATIQUE</t>
  </si>
  <si>
    <t>ANIMATRICE GERONTOLOGIE 
ADMIN EHPAD</t>
  </si>
  <si>
    <t>CREA FRIPERIE ITINERANTE</t>
  </si>
  <si>
    <t>Agent d'entretien et cantine</t>
  </si>
  <si>
    <t>ENSEIGNEMENT</t>
  </si>
  <si>
    <t>PETITE MANUTENTION</t>
  </si>
  <si>
    <t>INFIRMIERE / AIDE SOIGNANTE</t>
  </si>
  <si>
    <t>BURALISTE</t>
  </si>
  <si>
    <t>INDUSTRIE 
ESPACES VERTS</t>
  </si>
  <si>
    <t>DECHETTERIE</t>
  </si>
  <si>
    <t>CANTINE SCOLAIRE</t>
  </si>
  <si>
    <t>JOAILLERIE</t>
  </si>
  <si>
    <t>PREPARATION COMMANDES</t>
  </si>
  <si>
    <t>SOCIAL</t>
  </si>
  <si>
    <t>INDUSTRIE</t>
  </si>
  <si>
    <t>ADMINISTRATIF</t>
  </si>
  <si>
    <t>MACONNERIE</t>
  </si>
  <si>
    <t>FLEURISTE</t>
  </si>
  <si>
    <t>AIDE A LA PERSONNE</t>
  </si>
  <si>
    <t>REPARATION MATERIEL INFORMATIQUE</t>
  </si>
  <si>
    <t>NETTOYAGE
PREPA COMMANDES</t>
  </si>
  <si>
    <t>PROJET PRO</t>
  </si>
  <si>
    <t>IBADIOUNE</t>
  </si>
  <si>
    <t>Jamila</t>
  </si>
  <si>
    <t>Garde enfants</t>
  </si>
  <si>
    <t>CDD TPS PLEIN</t>
  </si>
  <si>
    <t>RHAZI</t>
  </si>
  <si>
    <t>Projet BTS Compta</t>
  </si>
  <si>
    <t>CE OK / SIAE voir entreprise adaptée / Relance envoyée 130226 / SR si absence 270326</t>
  </si>
  <si>
    <t>Cap Rebond</t>
  </si>
  <si>
    <t>Cariste RT (a passé école des métiers)</t>
  </si>
  <si>
    <t>BOYRAZ</t>
  </si>
  <si>
    <t>Merve</t>
  </si>
  <si>
    <t>Interim Bressor</t>
  </si>
  <si>
    <t>RAMOUL</t>
  </si>
  <si>
    <t>Mohcin</t>
  </si>
  <si>
    <t>BASSUS</t>
  </si>
  <si>
    <t>BARA</t>
  </si>
  <si>
    <t>Assetou</t>
  </si>
  <si>
    <t>CREATION ENTREPRISE ENTRETIEN RESIDENCE</t>
  </si>
  <si>
    <t>POCHEBONNE</t>
  </si>
  <si>
    <t>Prescillia</t>
  </si>
  <si>
    <t>Enfant malade</t>
  </si>
  <si>
    <t>Monoparentalité</t>
  </si>
  <si>
    <t>BENMELLOUK BENMOUSSA</t>
  </si>
  <si>
    <t>Abdelkader</t>
  </si>
  <si>
    <t>NOEL</t>
  </si>
  <si>
    <t>TORRES</t>
  </si>
  <si>
    <t>Julie</t>
  </si>
  <si>
    <t>Conduite</t>
  </si>
  <si>
    <t>FAYDALI MANDEL</t>
  </si>
  <si>
    <t>Nahide</t>
  </si>
  <si>
    <t>BURN OUT / REO SOLCIALE A ENVISAGER</t>
  </si>
  <si>
    <t>BERGER</t>
  </si>
  <si>
    <t>SR si absence 21/04</t>
  </si>
  <si>
    <t>MONIN</t>
  </si>
  <si>
    <t>Nathalie</t>
  </si>
  <si>
    <t>BENMELLOUK BENMESSA</t>
  </si>
  <si>
    <t>BERGET</t>
  </si>
  <si>
    <t>Saïda</t>
  </si>
  <si>
    <t>MZOURY</t>
  </si>
  <si>
    <t>jessicka</t>
  </si>
  <si>
    <t>SR si absent 2705</t>
  </si>
  <si>
    <t>IMMEDIATO</t>
  </si>
  <si>
    <t>Eva</t>
  </si>
  <si>
    <t>Véhicule</t>
  </si>
  <si>
    <t xml:space="preserve"> Candidature orsac</t>
  </si>
  <si>
    <t>CMP</t>
  </si>
  <si>
    <t>RADIE FT</t>
  </si>
  <si>
    <t xml:space="preserve">PROJET CREATION </t>
  </si>
  <si>
    <t>France domicile services</t>
  </si>
  <si>
    <t>ASH CPA</t>
  </si>
  <si>
    <t xml:space="preserve">PMSMP </t>
  </si>
  <si>
    <t>developp activité / Combien d'heures par semaine ? Entreprise aide à domicile + CESU</t>
  </si>
  <si>
    <t>bracelet permis poids lourd</t>
  </si>
  <si>
    <t>aidant familial chauffeur livreur</t>
  </si>
  <si>
    <t>INCARCERATION Soumis D&amp; D voir insertion</t>
  </si>
  <si>
    <t>CDI 22,75H/S annualisé</t>
  </si>
  <si>
    <t>Adapt</t>
  </si>
  <si>
    <t>AIDE SOIGNANTE Jardins de brou</t>
  </si>
  <si>
    <t>10h/s CESU</t>
  </si>
  <si>
    <t>REO SOCIALE / FT selon avis médical</t>
  </si>
  <si>
    <t xml:space="preserve">SR </t>
  </si>
  <si>
    <t>AIDE MENAGERE CESU + Structure aide à dom</t>
  </si>
  <si>
    <t>Orientation Annick / Djamila</t>
  </si>
  <si>
    <t>Aide à dom / ASH</t>
  </si>
  <si>
    <t xml:space="preserve">Aidant familial </t>
  </si>
  <si>
    <t>Projet création</t>
  </si>
  <si>
    <t>crèche pour le dernier</t>
  </si>
  <si>
    <t>Formation diplômante</t>
  </si>
  <si>
    <t>NETTOYAGE</t>
  </si>
  <si>
    <t>RESTAURATION</t>
  </si>
  <si>
    <t>ASH / FORMATION INF</t>
  </si>
  <si>
    <t>FIBRE OPTIQUE</t>
  </si>
  <si>
    <t xml:space="preserve">NETTOYAGE </t>
  </si>
  <si>
    <t xml:space="preserve">REO SOCIALE  </t>
  </si>
  <si>
    <t>RENOUVELLEMENT + REO SOCIALE</t>
  </si>
  <si>
    <t>Djamila / Annick</t>
  </si>
  <si>
    <t>Mylène</t>
  </si>
  <si>
    <t>CIP</t>
  </si>
  <si>
    <t>Annick / Jamila</t>
  </si>
  <si>
    <t xml:space="preserve"> BILAN + REINSCRIPTION FT </t>
  </si>
  <si>
    <t>Maison nette</t>
  </si>
  <si>
    <t>PROJET CAP PATISSIER</t>
  </si>
  <si>
    <t>cv Mylène</t>
  </si>
  <si>
    <t>CV Mylène</t>
  </si>
  <si>
    <t>13h/ s Fin D&amp;D ?</t>
  </si>
  <si>
    <t>D&amp;D à valider</t>
  </si>
  <si>
    <t>MOURSAL IBET</t>
  </si>
  <si>
    <t>Kaltouma</t>
  </si>
  <si>
    <t>BEAURY</t>
  </si>
  <si>
    <t>AYACH</t>
  </si>
  <si>
    <t>Samia</t>
  </si>
  <si>
    <t>DUCROZET</t>
  </si>
  <si>
    <t>Sylvianne</t>
  </si>
  <si>
    <t xml:space="preserve">Santé mentale </t>
  </si>
  <si>
    <t>TUMASYAN</t>
  </si>
  <si>
    <t>Garik</t>
  </si>
  <si>
    <t>SR si absence 05/06</t>
  </si>
  <si>
    <t xml:space="preserve">CAF </t>
  </si>
  <si>
    <t>Permis suspendu</t>
  </si>
  <si>
    <t>CDD jusqu'à fin 0926 28h/semaine</t>
  </si>
  <si>
    <t>BIDET</t>
  </si>
  <si>
    <t>Rodolphe</t>
  </si>
  <si>
    <t>Statut intermittent en cours</t>
  </si>
  <si>
    <t>CE OK / Projet formation CAP chaudronnier soudeur</t>
  </si>
  <si>
    <t>rohullahaslamy477@gmail.com</t>
  </si>
  <si>
    <t>noredine.amari@outlook.fr</t>
  </si>
  <si>
    <t>sabrina_arifi@outlook.fr</t>
  </si>
  <si>
    <t>marie13051987@gmail.com</t>
  </si>
  <si>
    <t>mariata.bcr98@gmail.com</t>
  </si>
  <si>
    <t>bahar-l@hotmail.fr</t>
  </si>
  <si>
    <t>1981belfassi@gmail.com</t>
  </si>
  <si>
    <t>Rabia</t>
  </si>
  <si>
    <t>rabia.benaissa@sfr.fr</t>
  </si>
  <si>
    <t>allessio2022@gmail.com</t>
  </si>
  <si>
    <t>audir9299@gmail.com</t>
  </si>
  <si>
    <t>leacaronath01@hotmail.com</t>
  </si>
  <si>
    <t>melissa-blanc@live.com</t>
  </si>
  <si>
    <t>xeno6156@gmail.com</t>
  </si>
  <si>
    <t>bouilloux.niko@gmail.com</t>
  </si>
  <si>
    <t>vanessa.bouvier@hotmail.fr</t>
  </si>
  <si>
    <t>carolebrunet@orange.fr</t>
  </si>
  <si>
    <t>laurabruzeau@hotmail.fr</t>
  </si>
  <si>
    <t>bulingecorentin@gmail.com</t>
  </si>
  <si>
    <t>chaveb1994@gmail.com</t>
  </si>
  <si>
    <t>lilith01volturi@gmail.com</t>
  </si>
  <si>
    <t>boina.daoud79@gmail.com</t>
  </si>
  <si>
    <t>sdasilvagoncalves1@gmail.com</t>
  </si>
  <si>
    <t>hafida-db@hotmail.fr</t>
  </si>
  <si>
    <t>sferreira47@yahoo.fr</t>
  </si>
  <si>
    <t>jenniferfetet00@gmail.com</t>
  </si>
  <si>
    <t>laurafetet95@gmail.com</t>
  </si>
  <si>
    <t>gbtedwige01@gmail.com</t>
  </si>
  <si>
    <t>eda.koc.0104@outlook.fr</t>
  </si>
  <si>
    <t>amine.hamo@outlook.com</t>
  </si>
  <si>
    <t>koulouthoumihassani@yahoo.fr</t>
  </si>
  <si>
    <t>houichihikmet@gmail.com</t>
  </si>
  <si>
    <t>lerob.hotmail.fr@gmail.com</t>
  </si>
  <si>
    <t>pembekaradavut1@gmail.com</t>
  </si>
  <si>
    <t>KASEMI</t>
  </si>
  <si>
    <t>elisea.kasemi1@gmail.com</t>
  </si>
  <si>
    <t>kinekayre@gmail.com</t>
  </si>
  <si>
    <t>123456kulikova@gmail.com</t>
  </si>
  <si>
    <t>ines.loucif8595@gmail.com</t>
  </si>
  <si>
    <t>ymeunier02@gmail.com</t>
  </si>
  <si>
    <t>armandmoll66@gmail.com</t>
  </si>
  <si>
    <t>duroromina400@gmail.com</t>
  </si>
  <si>
    <t>dragonyx.contact@gmail.com</t>
  </si>
  <si>
    <t>calyps.1213@gmail.com</t>
  </si>
  <si>
    <t>mosesjal98@gmail.com</t>
  </si>
  <si>
    <t>kevinmouraud@yahoo.fr</t>
  </si>
  <si>
    <t>mtimetridha@yahoo.fr</t>
  </si>
  <si>
    <t>tidianeousmane82@gmail.com</t>
  </si>
  <si>
    <t>francescapage7@gmail.com</t>
  </si>
  <si>
    <t>mr.pierrelouis.s@gmail.com</t>
  </si>
  <si>
    <t>anniriviere2@gmail.com</t>
  </si>
  <si>
    <t>jason.pinto@hotmail.fr</t>
  </si>
  <si>
    <t>RAHZI</t>
  </si>
  <si>
    <t>fabienspicy@gmail.com</t>
  </si>
  <si>
    <t>roidahamid2@gmail.com</t>
  </si>
  <si>
    <t>silvanorusiti91@gmail.com</t>
  </si>
  <si>
    <t>sumaiasaeed015@gmail.com</t>
  </si>
  <si>
    <t>saadiasatta@gmail.com</t>
  </si>
  <si>
    <t>savova0114@gmail.com</t>
  </si>
  <si>
    <t>sayahfatma@outlook.com</t>
  </si>
  <si>
    <t>fatinasawas9@gmail.com</t>
  </si>
  <si>
    <t>fabsig@free.fr</t>
  </si>
  <si>
    <t>walesca.telemaq@gmail.com</t>
  </si>
  <si>
    <t>minatibhirt8@gmail.com</t>
  </si>
  <si>
    <t>antoinetomat@gmail.com</t>
  </si>
  <si>
    <t>marcinuryn01@gmail.com</t>
  </si>
  <si>
    <t>kevinvaupre1@icloud.com</t>
  </si>
  <si>
    <t>olivier.veglianti.pro@gmail.com</t>
  </si>
  <si>
    <t>ilyaszaid89@gmail.com</t>
  </si>
  <si>
    <t>zounouh19641964@gmail.com</t>
  </si>
  <si>
    <t>OSIPOVA</t>
  </si>
  <si>
    <t>Margarita</t>
  </si>
  <si>
    <t>maroquiii01@icloud.com</t>
  </si>
  <si>
    <t>REO SOCIALE A ENVISAGER</t>
  </si>
  <si>
    <t>FIEMS</t>
  </si>
  <si>
    <t>Grégory</t>
  </si>
  <si>
    <t xml:space="preserve">FIEMS </t>
  </si>
  <si>
    <t>PERRIAUD</t>
  </si>
  <si>
    <t>Thomas</t>
  </si>
  <si>
    <t>MMADI</t>
  </si>
  <si>
    <t>Nasbata</t>
  </si>
  <si>
    <t>Titre pro</t>
  </si>
  <si>
    <t>Mère isolée</t>
  </si>
  <si>
    <t>Projet création entreprise + formation SNCF</t>
  </si>
  <si>
    <t>DIALLO</t>
  </si>
  <si>
    <t>Abdulaye</t>
  </si>
  <si>
    <t>GASHI</t>
  </si>
  <si>
    <t>Melihate</t>
  </si>
  <si>
    <t>Fin DD 01/07/26</t>
  </si>
  <si>
    <t>ORSAC</t>
  </si>
  <si>
    <t>SORTIE FT</t>
  </si>
  <si>
    <t>ESAT</t>
  </si>
  <si>
    <t>SR si absence 090626</t>
  </si>
  <si>
    <t>BANTADIA</t>
  </si>
  <si>
    <t>Ulrich</t>
  </si>
  <si>
    <t>Projet formation TP logistique Aftral 0926</t>
  </si>
  <si>
    <t>REO SOCIALE A envisager</t>
  </si>
  <si>
    <t>RADIATION CAF</t>
  </si>
  <si>
    <t>fiems.gregory@gmail.com</t>
  </si>
  <si>
    <t>BOUFIM</t>
  </si>
  <si>
    <t>Fouad</t>
  </si>
  <si>
    <t>foueddz0119@gmail.com</t>
  </si>
  <si>
    <t>PRESCRIPTION CAP REBOND</t>
  </si>
  <si>
    <t>MENIHEYA</t>
  </si>
  <si>
    <t>Zakaria</t>
  </si>
  <si>
    <t>DUPUPED</t>
  </si>
  <si>
    <t>ACHBAKOU</t>
  </si>
  <si>
    <t>Naïma</t>
  </si>
  <si>
    <t>CDI</t>
  </si>
  <si>
    <t xml:space="preserve">CDI JUILLET 2026 </t>
  </si>
  <si>
    <t>CPA</t>
  </si>
  <si>
    <t xml:space="preserve">FIN CE 12 MOIS </t>
  </si>
  <si>
    <t>Radié suite CLI</t>
  </si>
  <si>
    <t>Faire réo sociale si 3 mois d'absence</t>
  </si>
  <si>
    <t>Faire une réo sociale car 3 mois d'arret</t>
  </si>
  <si>
    <t>Hédi</t>
  </si>
  <si>
    <t>BARRY</t>
  </si>
  <si>
    <t>Aissatou</t>
  </si>
  <si>
    <t>Enfant bas age</t>
  </si>
  <si>
    <t>P343</t>
  </si>
  <si>
    <t>P281</t>
  </si>
  <si>
    <t>P358</t>
  </si>
  <si>
    <t>P873</t>
  </si>
  <si>
    <t>P338</t>
  </si>
  <si>
    <t>P1159</t>
  </si>
  <si>
    <t>P337</t>
  </si>
  <si>
    <t>P871</t>
  </si>
  <si>
    <t>P144</t>
  </si>
  <si>
    <t>P778</t>
  </si>
  <si>
    <t>P777</t>
  </si>
  <si>
    <t>P997</t>
  </si>
  <si>
    <t>P348</t>
  </si>
  <si>
    <t>P1105</t>
  </si>
  <si>
    <t>P941</t>
  </si>
  <si>
    <t>P1020</t>
  </si>
  <si>
    <t>P340</t>
  </si>
  <si>
    <t>P127</t>
  </si>
  <si>
    <t>P874</t>
  </si>
  <si>
    <t>P772</t>
  </si>
  <si>
    <t>P280</t>
  </si>
  <si>
    <t>P355</t>
  </si>
  <si>
    <t>P1076</t>
  </si>
  <si>
    <t>P143</t>
  </si>
  <si>
    <t>P267</t>
  </si>
  <si>
    <t>P279</t>
  </si>
  <si>
    <t>P333</t>
  </si>
  <si>
    <t>P776</t>
  </si>
  <si>
    <t>P988</t>
  </si>
  <si>
    <t>P1075</t>
  </si>
  <si>
    <t>P939</t>
  </si>
  <si>
    <t>P360</t>
  </si>
  <si>
    <t>P271</t>
  </si>
  <si>
    <t>P335</t>
  </si>
  <si>
    <t>P341</t>
  </si>
  <si>
    <t>P351</t>
  </si>
  <si>
    <t>P275</t>
  </si>
  <si>
    <t>P1019</t>
  </si>
  <si>
    <t>P278</t>
  </si>
  <si>
    <t>P331</t>
  </si>
  <si>
    <t>P1069</t>
  </si>
  <si>
    <t>P159</t>
  </si>
  <si>
    <t>P334</t>
  </si>
  <si>
    <t>P290</t>
  </si>
  <si>
    <t>P752</t>
  </si>
  <si>
    <t>P1042</t>
  </si>
  <si>
    <t>P868</t>
  </si>
  <si>
    <t>P349</t>
  </si>
  <si>
    <t>P866</t>
  </si>
  <si>
    <t>P938</t>
  </si>
  <si>
    <t>P1070</t>
  </si>
  <si>
    <t>P986</t>
  </si>
  <si>
    <t>P984</t>
  </si>
  <si>
    <t>P1100</t>
  </si>
  <si>
    <t>P867</t>
  </si>
  <si>
    <t>P1023</t>
  </si>
  <si>
    <t>P297</t>
  </si>
  <si>
    <t>P775</t>
  </si>
  <si>
    <t>P273</t>
  </si>
  <si>
    <t>P983</t>
  </si>
  <si>
    <t>P328</t>
  </si>
  <si>
    <t>P1071</t>
  </si>
  <si>
    <t>P294</t>
  </si>
  <si>
    <t>P1072</t>
  </si>
  <si>
    <t>P1073</t>
  </si>
  <si>
    <t>P359</t>
  </si>
  <si>
    <t>P292</t>
  </si>
  <si>
    <t>P751</t>
  </si>
  <si>
    <t>P989</t>
  </si>
  <si>
    <t>P1121</t>
  </si>
  <si>
    <t>P269</t>
  </si>
  <si>
    <t>P356</t>
  </si>
  <si>
    <t>P142</t>
  </si>
  <si>
    <t>P774</t>
  </si>
  <si>
    <t>P750</t>
  </si>
  <si>
    <t>P332</t>
  </si>
  <si>
    <t>P1074</t>
  </si>
  <si>
    <t>P872</t>
  </si>
  <si>
    <t>P266</t>
  </si>
  <si>
    <t>P1021</t>
  </si>
  <si>
    <t>P1027</t>
  </si>
  <si>
    <t>P307</t>
  </si>
  <si>
    <t>P126</t>
  </si>
  <si>
    <t>P346</t>
  </si>
  <si>
    <t>P347</t>
  </si>
  <si>
    <t>P1024</t>
  </si>
  <si>
    <t>P937</t>
  </si>
  <si>
    <t>P330</t>
  </si>
  <si>
    <t>P1120</t>
  </si>
  <si>
    <t>P352</t>
  </si>
  <si>
    <t>P329</t>
  </si>
  <si>
    <t>P295</t>
  </si>
  <si>
    <t>P339</t>
  </si>
  <si>
    <t>P326</t>
  </si>
  <si>
    <t>P942</t>
  </si>
  <si>
    <t>P354</t>
  </si>
  <si>
    <t>P345</t>
  </si>
  <si>
    <t>P350</t>
  </si>
  <si>
    <t>P353</t>
  </si>
  <si>
    <t>P773</t>
  </si>
  <si>
    <t>P298</t>
  </si>
  <si>
    <t>P296</t>
  </si>
  <si>
    <t>P364</t>
  </si>
  <si>
    <t>P1022</t>
  </si>
  <si>
    <t>P128</t>
  </si>
  <si>
    <t>P268</t>
  </si>
  <si>
    <t>P985</t>
  </si>
  <si>
    <t>P865</t>
  </si>
  <si>
    <t>P1122</t>
  </si>
  <si>
    <t>P336</t>
  </si>
  <si>
    <t>P987</t>
  </si>
  <si>
    <t>P344</t>
  </si>
  <si>
    <t>P1052</t>
  </si>
  <si>
    <t>P291</t>
  </si>
  <si>
    <t>P265</t>
  </si>
  <si>
    <t>P125</t>
  </si>
  <si>
    <t>P357</t>
  </si>
  <si>
    <t>P342</t>
  </si>
  <si>
    <t>P141</t>
  </si>
  <si>
    <t xml:space="preserve">Logement </t>
  </si>
  <si>
    <t>BENMELLOUK</t>
  </si>
  <si>
    <t>SR SI ABSENCE 24/07</t>
  </si>
  <si>
    <t xml:space="preserve">CDDI jusqu'au 31/07 </t>
  </si>
  <si>
    <t xml:space="preserve">CDD agent technique école de St Just </t>
  </si>
  <si>
    <t>Grossesse</t>
  </si>
  <si>
    <t>P1178</t>
  </si>
  <si>
    <t>P1179</t>
  </si>
  <si>
    <t>P1180</t>
  </si>
  <si>
    <t>P1181</t>
  </si>
  <si>
    <t>Radiée SDP TS</t>
  </si>
  <si>
    <t>DDE REO SOCIALE FAITE AU CD01 le 300426</t>
  </si>
  <si>
    <t>BOUTAIB</t>
  </si>
  <si>
    <t>HAMMAMI</t>
  </si>
  <si>
    <t>Faysal</t>
  </si>
  <si>
    <t xml:space="preserve">Mobilité </t>
  </si>
  <si>
    <t>ALVES</t>
  </si>
  <si>
    <t>Merryl</t>
  </si>
  <si>
    <t>CDD 65h/mois 0806 au 3011</t>
  </si>
  <si>
    <t>CDDUSAGE AINTERJOB DEPUIS 03072026</t>
  </si>
  <si>
    <t>Projet CESU 24h/semaine + presta ent nettoyage de bureau</t>
  </si>
  <si>
    <t>VALETTE</t>
  </si>
  <si>
    <t>Philippe</t>
  </si>
  <si>
    <t>P1414</t>
  </si>
  <si>
    <t>P1415</t>
  </si>
  <si>
    <t>P1416</t>
  </si>
  <si>
    <t>P1417</t>
  </si>
  <si>
    <t>P1418</t>
  </si>
  <si>
    <t>P1419</t>
  </si>
  <si>
    <t>OULD KADA</t>
  </si>
  <si>
    <t>Nadji</t>
  </si>
  <si>
    <t>Nombre de BRSA</t>
  </si>
  <si>
    <t xml:space="preserve">Nombre de BRSA </t>
  </si>
  <si>
    <t>CDD jusqu'au 130926</t>
  </si>
  <si>
    <t>BESSON</t>
  </si>
  <si>
    <t xml:space="preserve">Florence </t>
  </si>
  <si>
    <t>CARTIA</t>
  </si>
  <si>
    <t>Giuseppe</t>
  </si>
  <si>
    <t>P1404</t>
  </si>
  <si>
    <t xml:space="preserve">CAP EAPE </t>
  </si>
  <si>
    <t>CE OK / En poste nbre d heures 15h/s (CDD à la semaine - Contrat pérenne à obtenir) / CDI 11/2025 ?</t>
  </si>
  <si>
    <t>Mr en CDI temps plein Fin D&amp;D 1026</t>
  </si>
  <si>
    <t>SR si absence 2008</t>
  </si>
  <si>
    <t>Saïkou</t>
  </si>
  <si>
    <t>PAYET</t>
  </si>
  <si>
    <t>Ouafae</t>
  </si>
  <si>
    <t>ENDALE</t>
  </si>
  <si>
    <t>DANIELE</t>
  </si>
  <si>
    <t>Coralie</t>
  </si>
  <si>
    <t>POCAUD</t>
  </si>
  <si>
    <t>Gabriel</t>
  </si>
  <si>
    <t>BOUZIT</t>
  </si>
  <si>
    <t>Oycime</t>
  </si>
  <si>
    <t>BENCHENAA</t>
  </si>
  <si>
    <t>Mansouria</t>
  </si>
  <si>
    <t>MOURADOV</t>
  </si>
  <si>
    <t>VURINDA</t>
  </si>
  <si>
    <t>Rhoda</t>
  </si>
  <si>
    <t>STOUFF</t>
  </si>
  <si>
    <t>Jonathan</t>
  </si>
  <si>
    <t>EL BOUHALI</t>
  </si>
  <si>
    <t xml:space="preserve">Kaoutar </t>
  </si>
  <si>
    <t>SCHWEITZER</t>
  </si>
  <si>
    <t>HANINI</t>
  </si>
  <si>
    <t>BOUZIANE</t>
  </si>
  <si>
    <t>EL OUHIDI</t>
  </si>
  <si>
    <t>AROUTUNOVA</t>
  </si>
  <si>
    <t>Suzanna</t>
  </si>
  <si>
    <t>KOLLER</t>
  </si>
  <si>
    <t>Tiffany</t>
  </si>
  <si>
    <t>NUTIN</t>
  </si>
  <si>
    <t>Killian</t>
  </si>
  <si>
    <t>Projet formation auxiliaire ambulancier AFTRAL</t>
  </si>
  <si>
    <t>PELLETIER</t>
  </si>
  <si>
    <t>MEKOUN</t>
  </si>
  <si>
    <t>Ozias</t>
  </si>
  <si>
    <t>Territoire: CDS…. - LOT .../ CLPE ZONE 1</t>
  </si>
  <si>
    <t>DUCLOS</t>
  </si>
  <si>
    <t>Delphine</t>
  </si>
  <si>
    <t>Bac pro</t>
  </si>
  <si>
    <t>N'a jamais travaillé</t>
  </si>
  <si>
    <t>PERNET</t>
  </si>
  <si>
    <t>Océane</t>
  </si>
  <si>
    <t>Suspension permis</t>
  </si>
  <si>
    <t>Entrée en formation CAP AEPE 21/09/26 ENSEIS</t>
  </si>
  <si>
    <t>BOUZIDI</t>
  </si>
  <si>
    <t>El Houcine</t>
  </si>
  <si>
    <t>INGENIEUR DU SON</t>
  </si>
  <si>
    <t>COMPTABILITE</t>
  </si>
  <si>
    <t>ELS</t>
  </si>
  <si>
    <t>SOUDURE</t>
  </si>
  <si>
    <t>Formation IA</t>
  </si>
  <si>
    <t>Réo sociale à envisager</t>
  </si>
  <si>
    <t>PREPARATEUR DE COMMANDE
INDUSTRIE</t>
  </si>
  <si>
    <t>SIAE COUTURE</t>
  </si>
  <si>
    <t>AIDE A DOMICILE</t>
  </si>
  <si>
    <t xml:space="preserve">REO SOCIALE </t>
  </si>
  <si>
    <t xml:space="preserve">AYACH </t>
  </si>
  <si>
    <t>SR si absence 15/09</t>
  </si>
  <si>
    <t>LOGISTIQUE</t>
  </si>
  <si>
    <t>INDUSTRIE 
PREPA COMMANDE</t>
  </si>
  <si>
    <t>PROJET ENTREPRISE PRODUITS NETTOYAGE</t>
  </si>
  <si>
    <t>REPRISE DE DROITS ARE JUIN 2026</t>
  </si>
  <si>
    <t>GRANDE DISTRIBUTION
SOCIAL</t>
  </si>
  <si>
    <t>CDD DEPUIS JUIN 2026</t>
  </si>
  <si>
    <t>CDD DEPUIS 08/2026</t>
  </si>
  <si>
    <t>VENTE NETTOYAGE INDUSTRIE</t>
  </si>
  <si>
    <t>CHAUFFEUR 
INDUSTRIE</t>
  </si>
  <si>
    <t>madame</t>
  </si>
  <si>
    <t>Réo sociale (AM + 3 mois)</t>
  </si>
  <si>
    <t>SR si absence 11/09</t>
  </si>
  <si>
    <t>AUXILIAIRE AMBULANCIER</t>
  </si>
  <si>
    <t>Introuvable SDP / Mail envoyé CDS 010726 + 040926</t>
  </si>
  <si>
    <t>SIAE PETITE MANUTENTION</t>
  </si>
  <si>
    <t>PETITE ENFANCE / ATSEM AESH</t>
  </si>
  <si>
    <t>AGENT SCNF</t>
  </si>
  <si>
    <t>APPRENTISSAGE Français</t>
  </si>
  <si>
    <t>CDD 230726 AU 130926</t>
  </si>
  <si>
    <t>ASH</t>
  </si>
  <si>
    <t>SR si absence 18/09</t>
  </si>
  <si>
    <t>CLI / SR si absence 11/09</t>
  </si>
  <si>
    <t>killiannutin01@gmail.com</t>
  </si>
  <si>
    <t>bandatiaulrich@gmail.com</t>
  </si>
  <si>
    <t>MOHEBBI</t>
  </si>
  <si>
    <t>Najibullah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</si>
</sst>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;@"/>
  </numFmts>
  <fonts count="62">
    <font>
      <sz val="11"/>
      <color theme="1"/>
      <name val="Calibri"/>
      <family val="2"/>
      <scheme val="minor"/>
    </font>
    <font>
      <sz val="10"/>
      <color rgb="FFFFFFFF"/>
      <name val="&amp;quot"/>
    </font>
    <font>
      <sz val="10"/>
      <color rgb="FF414856"/>
      <name val="&amp;quot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  <font>
      <b/>
      <sz val="10"/>
      <color theme="1"/>
      <name val="Calibri"/>
      <family val="2"/>
      <scheme val="minor"/>
    </font>
    <font>
      <sz val="12"/>
      <name val="Times New Roman"/>
      <family val="1"/>
    </font>
    <font>
      <b/>
      <sz val="10"/>
      <color theme="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Verdana"/>
      <family val="2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color rgb="FF0070C0"/>
      <name val="Arial"/>
      <family val="2"/>
    </font>
    <font>
      <b/>
      <sz val="12"/>
      <color theme="6" tint="-0.499984740745262"/>
      <name val="Arial"/>
      <family val="2"/>
    </font>
    <font>
      <b/>
      <sz val="12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5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&amp;quot"/>
    </font>
    <font>
      <b/>
      <sz val="14"/>
      <color rgb="FFFFFFFF"/>
      <name val="&amp;quot"/>
    </font>
    <font>
      <b/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Euphemi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8"/>
      <name val="Marianne"/>
    </font>
    <font>
      <sz val="10"/>
      <color rgb="FFFF0000"/>
      <name val="Arial"/>
      <family val="2"/>
    </font>
    <font>
      <b/>
      <sz val="12"/>
      <color theme="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6BA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A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981C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indexed="9"/>
      </patternFill>
    </fill>
    <fill>
      <patternFill patternType="solid">
        <fgColor rgb="FF92D050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9966FF"/>
        <bgColor indexed="64"/>
      </patternFill>
    </fill>
    <fill>
      <patternFill patternType="solid">
        <fgColor rgb="FFFFC000"/>
        <bgColor rgb="FFFFFFFF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3"/>
      </bottom>
      <diagonal/>
    </border>
    <border>
      <left/>
      <right/>
      <top/>
      <bottom style="thin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 style="thin">
        <color indexed="64"/>
      </left>
      <right/>
      <top style="thick">
        <color theme="3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medium">
        <color rgb="FF002060"/>
      </left>
      <right style="thick">
        <color rgb="FF002060"/>
      </right>
      <top/>
      <bottom/>
      <diagonal/>
    </border>
    <border>
      <left style="thick">
        <color theme="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 style="thick">
        <color theme="3"/>
      </left>
      <right style="thin">
        <color indexed="64"/>
      </right>
      <top style="thick">
        <color theme="3"/>
      </top>
      <bottom/>
      <diagonal/>
    </border>
    <border>
      <left style="thin">
        <color indexed="64"/>
      </left>
      <right style="thick">
        <color rgb="FF002060"/>
      </right>
      <top style="thick">
        <color theme="3"/>
      </top>
      <bottom/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3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002060"/>
      </right>
      <top/>
      <bottom/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  <border>
      <left style="thin">
        <color indexed="64"/>
      </left>
      <right style="thick">
        <color rgb="FF002060"/>
      </right>
      <top/>
      <bottom style="thick">
        <color theme="3"/>
      </bottom>
      <diagonal/>
    </border>
    <border>
      <left style="thick">
        <color rgb="FF002060"/>
      </left>
      <right/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ck">
        <color rgb="FF002060"/>
      </right>
      <top style="thin">
        <color indexed="64"/>
      </top>
      <bottom style="thick">
        <color rgb="FF002060"/>
      </bottom>
      <diagonal/>
    </border>
    <border>
      <left/>
      <right/>
      <top style="thick">
        <color theme="3"/>
      </top>
      <bottom/>
      <diagonal/>
    </border>
    <border>
      <left style="thick">
        <color theme="3"/>
      </left>
      <right style="thin">
        <color indexed="64"/>
      </right>
      <top/>
      <bottom style="thick">
        <color theme="3"/>
      </bottom>
      <diagonal/>
    </border>
    <border>
      <left style="thick">
        <color rgb="FF1F497D"/>
      </left>
      <right style="thick">
        <color rgb="FF002060"/>
      </right>
      <top style="thick">
        <color rgb="FF1F497D"/>
      </top>
      <bottom style="thick">
        <color rgb="FF1F497D"/>
      </bottom>
      <diagonal/>
    </border>
    <border>
      <left style="thick">
        <color rgb="FF002060"/>
      </left>
      <right/>
      <top style="thick">
        <color rgb="FF1F497D"/>
      </top>
      <bottom style="thick">
        <color rgb="FF1F497D"/>
      </bottom>
      <diagonal/>
    </border>
    <border>
      <left/>
      <right style="thin">
        <color indexed="64"/>
      </right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/>
      </top>
      <bottom/>
      <diagonal/>
    </border>
    <border>
      <left/>
      <right style="thin">
        <color indexed="64"/>
      </right>
      <top/>
      <bottom style="thin">
        <color rgb="FF9BC2E6"/>
      </bottom>
      <diagonal/>
    </border>
    <border>
      <left style="thick">
        <color rgb="FF002060"/>
      </left>
      <right style="thick">
        <color rgb="FF002060"/>
      </right>
      <top/>
      <bottom style="thick">
        <color theme="3"/>
      </bottom>
      <diagonal/>
    </border>
    <border>
      <left/>
      <right/>
      <top style="thin">
        <color rgb="FF9BC2E6"/>
      </top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/>
      <diagonal/>
    </border>
    <border>
      <left style="thick">
        <color theme="3"/>
      </left>
      <right style="thick">
        <color theme="3"/>
      </right>
      <top style="thick">
        <color theme="3" tint="-0.499984740745262"/>
      </top>
      <bottom/>
      <diagonal/>
    </border>
    <border>
      <left style="thin">
        <color indexed="64"/>
      </left>
      <right/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6" fillId="0" borderId="0"/>
    <xf numFmtId="0" fontId="54" fillId="0" borderId="0" applyNumberFormat="0" applyFill="0" applyBorder="0" applyAlignment="0" applyProtection="0"/>
  </cellStyleXfs>
  <cellXfs count="614">
    <xf numFmtId="0" fontId="0" fillId="0" borderId="0" xfId="0"/>
    <xf numFmtId="0" fontId="1" fillId="4" borderId="9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6" borderId="0" xfId="0" applyFont="1" applyFill="1"/>
    <xf numFmtId="0" fontId="4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7" borderId="0" xfId="0" quotePrefix="1" applyFont="1" applyFill="1" applyAlignment="1">
      <alignment horizontal="center" vertical="center" wrapText="1"/>
    </xf>
    <xf numFmtId="164" fontId="10" fillId="7" borderId="0" xfId="0" quotePrefix="1" applyNumberFormat="1" applyFont="1" applyFill="1" applyAlignment="1">
      <alignment horizontal="center" vertical="center" wrapText="1"/>
    </xf>
    <xf numFmtId="0" fontId="9" fillId="7" borderId="14" xfId="0" quotePrefix="1" applyFont="1" applyFill="1" applyBorder="1" applyAlignment="1">
      <alignment horizontal="center" vertical="center" wrapText="1"/>
    </xf>
    <xf numFmtId="0" fontId="9" fillId="7" borderId="15" xfId="0" quotePrefix="1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11" borderId="22" xfId="0" applyFont="1" applyFill="1" applyBorder="1" applyAlignment="1">
      <alignment vertical="center" wrapText="1"/>
    </xf>
    <xf numFmtId="0" fontId="3" fillId="11" borderId="23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0" fontId="9" fillId="13" borderId="28" xfId="0" applyFont="1" applyFill="1" applyBorder="1" applyAlignment="1">
      <alignment horizontal="center" vertical="center" wrapText="1"/>
    </xf>
    <xf numFmtId="0" fontId="3" fillId="10" borderId="3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3" fillId="11" borderId="34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4" fillId="17" borderId="37" xfId="0" applyFont="1" applyFill="1" applyBorder="1" applyAlignment="1">
      <alignment horizontal="center" vertical="center" wrapText="1"/>
    </xf>
    <xf numFmtId="0" fontId="15" fillId="18" borderId="37" xfId="0" applyFont="1" applyFill="1" applyBorder="1" applyAlignment="1">
      <alignment vertical="center" wrapText="1"/>
    </xf>
    <xf numFmtId="0" fontId="15" fillId="18" borderId="38" xfId="0" applyFont="1" applyFill="1" applyBorder="1" applyAlignment="1">
      <alignment horizontal="center" vertical="center" textRotation="90" wrapText="1"/>
    </xf>
    <xf numFmtId="0" fontId="3" fillId="19" borderId="19" xfId="0" applyFont="1" applyFill="1" applyBorder="1" applyAlignment="1">
      <alignment horizontal="left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vertical="center" wrapText="1"/>
    </xf>
    <xf numFmtId="0" fontId="7" fillId="11" borderId="23" xfId="0" applyFont="1" applyFill="1" applyBorder="1" applyAlignment="1">
      <alignment horizontal="left" vertical="center" wrapText="1"/>
    </xf>
    <xf numFmtId="0" fontId="17" fillId="0" borderId="0" xfId="0" applyFont="1"/>
    <xf numFmtId="0" fontId="13" fillId="0" borderId="0" xfId="0" applyFont="1"/>
    <xf numFmtId="0" fontId="3" fillId="11" borderId="45" xfId="0" applyFont="1" applyFill="1" applyBorder="1" applyAlignment="1">
      <alignment horizontal="left" vertical="center" wrapText="1"/>
    </xf>
    <xf numFmtId="0" fontId="3" fillId="10" borderId="46" xfId="0" applyFont="1" applyFill="1" applyBorder="1" applyAlignment="1">
      <alignment horizontal="left" vertical="center" wrapText="1"/>
    </xf>
    <xf numFmtId="0" fontId="3" fillId="11" borderId="48" xfId="0" applyFont="1" applyFill="1" applyBorder="1" applyAlignment="1">
      <alignment horizontal="left" vertical="center" wrapText="1"/>
    </xf>
    <xf numFmtId="0" fontId="3" fillId="10" borderId="48" xfId="0" applyFont="1" applyFill="1" applyBorder="1" applyAlignment="1">
      <alignment horizontal="left" vertical="center" wrapText="1"/>
    </xf>
    <xf numFmtId="0" fontId="3" fillId="11" borderId="49" xfId="0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8" fillId="22" borderId="50" xfId="0" applyFont="1" applyFill="1" applyBorder="1" applyAlignment="1">
      <alignment horizontal="left" vertical="center" wrapText="1"/>
    </xf>
    <xf numFmtId="0" fontId="27" fillId="0" borderId="0" xfId="0" applyFont="1"/>
    <xf numFmtId="49" fontId="26" fillId="0" borderId="0" xfId="0" applyNumberFormat="1" applyFont="1" applyFill="1" applyAlignment="1"/>
    <xf numFmtId="0" fontId="20" fillId="0" borderId="0" xfId="0" applyFont="1" applyFill="1" applyAlignment="1">
      <alignment horizontal="center"/>
    </xf>
    <xf numFmtId="0" fontId="21" fillId="0" borderId="0" xfId="0" applyFont="1" applyFill="1"/>
    <xf numFmtId="0" fontId="21" fillId="0" borderId="1" xfId="0" applyFont="1" applyFill="1" applyBorder="1"/>
    <xf numFmtId="0" fontId="21" fillId="0" borderId="1" xfId="0" applyFont="1" applyFill="1" applyBorder="1" applyAlignment="1"/>
    <xf numFmtId="0" fontId="21" fillId="0" borderId="1" xfId="0" applyFont="1" applyFill="1" applyBorder="1" applyAlignment="1">
      <alignment wrapText="1"/>
    </xf>
    <xf numFmtId="14" fontId="21" fillId="0" borderId="1" xfId="0" applyNumberFormat="1" applyFont="1" applyFill="1" applyBorder="1" applyAlignment="1"/>
    <xf numFmtId="0" fontId="21" fillId="0" borderId="1" xfId="0" applyFont="1" applyFill="1" applyBorder="1" applyAlignment="1">
      <alignment horizontal="left" vertical="center"/>
    </xf>
    <xf numFmtId="0" fontId="33" fillId="3" borderId="0" xfId="0" applyFont="1" applyFill="1" applyAlignment="1">
      <alignment horizontal="center"/>
    </xf>
    <xf numFmtId="0" fontId="34" fillId="0" borderId="0" xfId="0" applyFont="1" applyAlignment="1"/>
    <xf numFmtId="14" fontId="34" fillId="0" borderId="0" xfId="0" applyNumberFormat="1" applyFont="1" applyAlignment="1"/>
    <xf numFmtId="0" fontId="19" fillId="0" borderId="0" xfId="0" applyFont="1"/>
    <xf numFmtId="0" fontId="19" fillId="0" borderId="0" xfId="0" applyFont="1" applyAlignment="1">
      <alignment wrapText="1"/>
    </xf>
    <xf numFmtId="14" fontId="35" fillId="0" borderId="0" xfId="0" applyNumberFormat="1" applyFont="1" applyAlignment="1"/>
    <xf numFmtId="0" fontId="21" fillId="0" borderId="0" xfId="0" applyFont="1" applyAlignment="1">
      <alignment horizontal="center"/>
    </xf>
    <xf numFmtId="14" fontId="33" fillId="3" borderId="0" xfId="0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49" fontId="32" fillId="0" borderId="0" xfId="0" applyNumberFormat="1" applyFont="1" applyAlignment="1"/>
    <xf numFmtId="49" fontId="32" fillId="0" borderId="0" xfId="0" applyNumberFormat="1" applyFont="1" applyAlignment="1">
      <alignment horizontal="center"/>
    </xf>
    <xf numFmtId="49" fontId="32" fillId="0" borderId="0" xfId="0" applyNumberFormat="1" applyFont="1" applyAlignment="1">
      <alignment horizontal="left"/>
    </xf>
    <xf numFmtId="0" fontId="33" fillId="0" borderId="0" xfId="0" applyFont="1" applyAlignment="1">
      <alignment horizontal="center"/>
    </xf>
    <xf numFmtId="14" fontId="37" fillId="0" borderId="0" xfId="0" applyNumberFormat="1" applyFont="1" applyAlignment="1">
      <alignment horizontal="center"/>
    </xf>
    <xf numFmtId="0" fontId="33" fillId="0" borderId="0" xfId="0" applyFont="1" applyAlignment="1">
      <alignment horizontal="left"/>
    </xf>
    <xf numFmtId="0" fontId="19" fillId="3" borderId="0" xfId="0" applyFont="1" applyFill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3" borderId="0" xfId="0" applyFont="1" applyFill="1" applyAlignment="1">
      <alignment horizontal="center"/>
    </xf>
    <xf numFmtId="14" fontId="19" fillId="3" borderId="0" xfId="0" applyNumberFormat="1" applyFont="1" applyFill="1" applyAlignment="1">
      <alignment horizontal="center"/>
    </xf>
    <xf numFmtId="0" fontId="0" fillId="0" borderId="1" xfId="0" applyBorder="1"/>
    <xf numFmtId="0" fontId="2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/>
    </xf>
    <xf numFmtId="14" fontId="28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14" fontId="27" fillId="0" borderId="1" xfId="0" applyNumberFormat="1" applyFont="1" applyFill="1" applyBorder="1" applyAlignment="1"/>
    <xf numFmtId="14" fontId="21" fillId="0" borderId="7" xfId="0" applyNumberFormat="1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/>
    </xf>
    <xf numFmtId="0" fontId="21" fillId="0" borderId="7" xfId="0" applyFont="1" applyFill="1" applyBorder="1" applyAlignment="1">
      <alignment horizontal="left"/>
    </xf>
    <xf numFmtId="0" fontId="19" fillId="0" borderId="0" xfId="0" applyFont="1" applyBorder="1"/>
    <xf numFmtId="0" fontId="38" fillId="24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8" borderId="0" xfId="0" applyFill="1"/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0" borderId="0" xfId="0" applyFill="1"/>
    <xf numFmtId="0" fontId="0" fillId="29" borderId="1" xfId="0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8" fillId="24" borderId="1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/>
    </xf>
    <xf numFmtId="14" fontId="43" fillId="0" borderId="1" xfId="0" applyNumberFormat="1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/>
    </xf>
    <xf numFmtId="0" fontId="46" fillId="0" borderId="0" xfId="0" applyFont="1"/>
    <xf numFmtId="0" fontId="0" fillId="27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49" fontId="33" fillId="0" borderId="0" xfId="0" applyNumberFormat="1" applyFont="1" applyAlignment="1">
      <alignment horizontal="center"/>
    </xf>
    <xf numFmtId="0" fontId="0" fillId="2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8" fillId="34" borderId="1" xfId="0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8" fillId="29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0" fontId="34" fillId="3" borderId="0" xfId="0" applyFont="1" applyFill="1" applyAlignment="1">
      <alignment horizontal="center" vertical="center"/>
    </xf>
    <xf numFmtId="1" fontId="21" fillId="0" borderId="7" xfId="0" applyNumberFormat="1" applyFont="1" applyFill="1" applyBorder="1" applyAlignment="1">
      <alignment horizontal="center" vertical="center" wrapText="1"/>
    </xf>
    <xf numFmtId="14" fontId="21" fillId="28" borderId="1" xfId="0" applyNumberFormat="1" applyFont="1" applyFill="1" applyBorder="1"/>
    <xf numFmtId="0" fontId="0" fillId="28" borderId="0" xfId="0" applyFill="1" applyBorder="1"/>
    <xf numFmtId="14" fontId="0" fillId="28" borderId="1" xfId="0" applyNumberFormat="1" applyFill="1" applyBorder="1"/>
    <xf numFmtId="0" fontId="39" fillId="0" borderId="1" xfId="0" applyFont="1" applyFill="1" applyBorder="1"/>
    <xf numFmtId="0" fontId="39" fillId="0" borderId="1" xfId="0" applyFont="1" applyFill="1" applyBorder="1" applyAlignment="1">
      <alignment horizontal="center"/>
    </xf>
    <xf numFmtId="14" fontId="5" fillId="0" borderId="1" xfId="0" applyNumberFormat="1" applyFont="1" applyFill="1" applyBorder="1"/>
    <xf numFmtId="14" fontId="39" fillId="0" borderId="1" xfId="0" applyNumberFormat="1" applyFont="1" applyFill="1" applyBorder="1"/>
    <xf numFmtId="0" fontId="39" fillId="0" borderId="0" xfId="0" applyFont="1" applyFill="1"/>
    <xf numFmtId="0" fontId="38" fillId="37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wrapText="1"/>
    </xf>
    <xf numFmtId="14" fontId="43" fillId="0" borderId="1" xfId="0" applyNumberFormat="1" applyFont="1" applyFill="1" applyBorder="1" applyAlignment="1">
      <alignment horizontal="center"/>
    </xf>
    <xf numFmtId="0" fontId="28" fillId="0" borderId="1" xfId="0" applyFont="1" applyFill="1" applyBorder="1" applyAlignment="1">
      <alignment wrapText="1"/>
    </xf>
    <xf numFmtId="0" fontId="42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left" vertical="center" wrapText="1"/>
    </xf>
    <xf numFmtId="14" fontId="28" fillId="0" borderId="0" xfId="0" applyNumberFormat="1" applyFont="1" applyFill="1" applyBorder="1" applyAlignment="1">
      <alignment horizontal="center" vertical="center" wrapText="1"/>
    </xf>
    <xf numFmtId="14" fontId="21" fillId="0" borderId="0" xfId="0" applyNumberFormat="1" applyFont="1" applyFill="1"/>
    <xf numFmtId="0" fontId="19" fillId="0" borderId="1" xfId="0" applyFont="1" applyFill="1" applyBorder="1"/>
    <xf numFmtId="0" fontId="19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14" fontId="19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wrapText="1"/>
    </xf>
    <xf numFmtId="0" fontId="19" fillId="0" borderId="0" xfId="0" applyFont="1" applyFill="1"/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/>
    </xf>
    <xf numFmtId="0" fontId="18" fillId="0" borderId="52" xfId="0" applyFont="1" applyFill="1" applyBorder="1" applyAlignment="1">
      <alignment horizontal="left" vertical="center" wrapText="1"/>
    </xf>
    <xf numFmtId="0" fontId="42" fillId="0" borderId="0" xfId="0" applyFon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19" fillId="0" borderId="0" xfId="0" applyFont="1" applyFill="1" applyAlignment="1">
      <alignment wrapText="1"/>
    </xf>
    <xf numFmtId="0" fontId="18" fillId="0" borderId="5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2" xfId="0" applyBorder="1"/>
    <xf numFmtId="0" fontId="0" fillId="0" borderId="1" xfId="0" applyFill="1" applyBorder="1"/>
    <xf numFmtId="0" fontId="39" fillId="28" borderId="1" xfId="0" applyFont="1" applyFill="1" applyBorder="1"/>
    <xf numFmtId="0" fontId="0" fillId="30" borderId="1" xfId="0" applyFill="1" applyBorder="1" applyAlignment="1">
      <alignment horizontal="center" vertical="center"/>
    </xf>
    <xf numFmtId="14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38" fillId="30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41" fillId="30" borderId="1" xfId="0" applyFont="1" applyFill="1" applyBorder="1" applyAlignment="1">
      <alignment horizontal="center" vertical="center" wrapText="1"/>
    </xf>
    <xf numFmtId="0" fontId="38" fillId="30" borderId="0" xfId="0" applyFont="1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39" fillId="30" borderId="1" xfId="0" applyFont="1" applyFill="1" applyBorder="1" applyAlignment="1">
      <alignment horizontal="center"/>
    </xf>
    <xf numFmtId="14" fontId="7" fillId="30" borderId="1" xfId="0" applyNumberFormat="1" applyFont="1" applyFill="1" applyBorder="1" applyAlignment="1">
      <alignment horizontal="center" vertical="center" wrapText="1"/>
    </xf>
    <xf numFmtId="14" fontId="39" fillId="30" borderId="1" xfId="0" applyNumberFormat="1" applyFont="1" applyFill="1" applyBorder="1"/>
    <xf numFmtId="14" fontId="0" fillId="30" borderId="1" xfId="0" applyNumberFormat="1" applyFill="1" applyBorder="1" applyAlignment="1">
      <alignment horizontal="center" vertical="center" wrapText="1"/>
    </xf>
    <xf numFmtId="0" fontId="27" fillId="0" borderId="15" xfId="0" applyFont="1" applyBorder="1"/>
    <xf numFmtId="0" fontId="44" fillId="4" borderId="62" xfId="0" applyFont="1" applyFill="1" applyBorder="1" applyAlignment="1">
      <alignment horizontal="center" vertical="center" wrapText="1"/>
    </xf>
    <xf numFmtId="0" fontId="35" fillId="32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14" fontId="35" fillId="32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/>
    <xf numFmtId="0" fontId="23" fillId="0" borderId="1" xfId="0" applyFont="1" applyFill="1" applyBorder="1" applyAlignment="1">
      <alignment wrapText="1"/>
    </xf>
    <xf numFmtId="0" fontId="23" fillId="0" borderId="1" xfId="0" applyFont="1" applyFill="1" applyBorder="1"/>
    <xf numFmtId="0" fontId="51" fillId="0" borderId="0" xfId="0" applyFont="1"/>
    <xf numFmtId="0" fontId="18" fillId="22" borderId="0" xfId="0" applyFont="1" applyFill="1" applyBorder="1" applyAlignment="1">
      <alignment horizontal="left" vertical="center" wrapText="1"/>
    </xf>
    <xf numFmtId="0" fontId="32" fillId="31" borderId="54" xfId="0" applyFont="1" applyFill="1" applyBorder="1" applyAlignment="1">
      <alignment horizontal="center"/>
    </xf>
    <xf numFmtId="0" fontId="32" fillId="27" borderId="3" xfId="0" applyFont="1" applyFill="1" applyBorder="1" applyAlignment="1">
      <alignment horizontal="center"/>
    </xf>
    <xf numFmtId="0" fontId="32" fillId="29" borderId="68" xfId="0" applyFont="1" applyFill="1" applyBorder="1" applyAlignment="1">
      <alignment horizontal="center"/>
    </xf>
    <xf numFmtId="0" fontId="40" fillId="0" borderId="63" xfId="0" applyFont="1" applyFill="1" applyBorder="1" applyAlignment="1"/>
    <xf numFmtId="14" fontId="34" fillId="0" borderId="61" xfId="0" applyNumberFormat="1" applyFont="1" applyFill="1" applyBorder="1" applyAlignment="1"/>
    <xf numFmtId="0" fontId="34" fillId="0" borderId="61" xfId="0" applyFont="1" applyFill="1" applyBorder="1" applyAlignment="1"/>
    <xf numFmtId="0" fontId="34" fillId="0" borderId="6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/>
    <xf numFmtId="14" fontId="50" fillId="0" borderId="1" xfId="0" applyNumberFormat="1" applyFont="1" applyFill="1" applyBorder="1"/>
    <xf numFmtId="14" fontId="0" fillId="0" borderId="1" xfId="0" applyNumberFormat="1" applyFill="1" applyBorder="1"/>
    <xf numFmtId="14" fontId="4" fillId="0" borderId="1" xfId="0" applyNumberFormat="1" applyFont="1" applyFill="1" applyBorder="1"/>
    <xf numFmtId="14" fontId="0" fillId="0" borderId="1" xfId="0" applyNumberFormat="1" applyFont="1" applyFill="1" applyBorder="1"/>
    <xf numFmtId="14" fontId="21" fillId="31" borderId="7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14" fontId="21" fillId="34" borderId="7" xfId="0" applyNumberFormat="1" applyFont="1" applyFill="1" applyBorder="1" applyAlignment="1">
      <alignment horizontal="center" vertical="center" wrapText="1"/>
    </xf>
    <xf numFmtId="14" fontId="21" fillId="10" borderId="7" xfId="0" applyNumberFormat="1" applyFont="1" applyFill="1" applyBorder="1" applyAlignment="1">
      <alignment horizontal="center" vertical="center" wrapText="1"/>
    </xf>
    <xf numFmtId="165" fontId="0" fillId="0" borderId="1" xfId="0" applyNumberFormat="1" applyFill="1" applyBorder="1"/>
    <xf numFmtId="165" fontId="0" fillId="0" borderId="1" xfId="0" applyNumberFormat="1" applyFont="1" applyFill="1" applyBorder="1"/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4" fontId="4" fillId="10" borderId="7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>
      <alignment horizontal="center" vertical="center" wrapText="1"/>
    </xf>
    <xf numFmtId="1" fontId="4" fillId="10" borderId="7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0" xfId="0" applyFont="1" applyFill="1"/>
    <xf numFmtId="0" fontId="5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 wrapText="1"/>
    </xf>
    <xf numFmtId="14" fontId="4" fillId="34" borderId="7" xfId="0" applyNumberFormat="1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4" fillId="34" borderId="7" xfId="0" applyFont="1" applyFill="1" applyBorder="1" applyAlignment="1">
      <alignment horizontal="center"/>
    </xf>
    <xf numFmtId="0" fontId="4" fillId="34" borderId="7" xfId="0" applyFont="1" applyFill="1" applyBorder="1" applyAlignment="1">
      <alignment horizontal="left"/>
    </xf>
    <xf numFmtId="0" fontId="4" fillId="34" borderId="1" xfId="0" applyFont="1" applyFill="1" applyBorder="1" applyAlignment="1">
      <alignment wrapText="1"/>
    </xf>
    <xf numFmtId="0" fontId="55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left" vertical="center" wrapText="1"/>
    </xf>
    <xf numFmtId="14" fontId="55" fillId="0" borderId="1" xfId="0" applyNumberFormat="1" applyFont="1" applyFill="1" applyBorder="1" applyAlignment="1">
      <alignment horizontal="left" vertical="center" wrapText="1"/>
    </xf>
    <xf numFmtId="0" fontId="56" fillId="0" borderId="1" xfId="0" applyFont="1" applyFill="1" applyBorder="1" applyAlignment="1">
      <alignment horizontal="left" vertical="center" wrapText="1"/>
    </xf>
    <xf numFmtId="0" fontId="55" fillId="0" borderId="1" xfId="0" applyFont="1" applyFill="1" applyBorder="1" applyAlignment="1">
      <alignment horizontal="center" vertical="center" wrapText="1"/>
    </xf>
    <xf numFmtId="14" fontId="55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1" fontId="4" fillId="0" borderId="7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/>
    <xf numFmtId="0" fontId="4" fillId="0" borderId="7" xfId="0" applyFont="1" applyFill="1" applyBorder="1" applyAlignment="1">
      <alignment horizontal="center" vertical="center" wrapText="1"/>
    </xf>
    <xf numFmtId="0" fontId="55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55" fillId="34" borderId="1" xfId="0" applyFont="1" applyFill="1" applyBorder="1" applyAlignment="1">
      <alignment horizontal="left" vertical="center" wrapText="1"/>
    </xf>
    <xf numFmtId="14" fontId="4" fillId="34" borderId="1" xfId="0" applyNumberFormat="1" applyFont="1" applyFill="1" applyBorder="1" applyAlignment="1"/>
    <xf numFmtId="0" fontId="3" fillId="34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/>
    </xf>
    <xf numFmtId="0" fontId="4" fillId="34" borderId="1" xfId="0" applyFont="1" applyFill="1" applyBorder="1" applyAlignment="1"/>
    <xf numFmtId="14" fontId="55" fillId="34" borderId="1" xfId="0" applyNumberFormat="1" applyFont="1" applyFill="1" applyBorder="1" applyAlignment="1">
      <alignment horizontal="center" vertical="center" wrapText="1"/>
    </xf>
    <xf numFmtId="1" fontId="4" fillId="34" borderId="7" xfId="0" applyNumberFormat="1" applyFont="1" applyFill="1" applyBorder="1" applyAlignment="1">
      <alignment horizontal="center" vertical="center" wrapText="1"/>
    </xf>
    <xf numFmtId="0" fontId="4" fillId="34" borderId="0" xfId="0" applyFont="1" applyFill="1"/>
    <xf numFmtId="14" fontId="4" fillId="0" borderId="1" xfId="0" applyNumberFormat="1" applyFont="1" applyFill="1" applyBorder="1" applyAlignment="1">
      <alignment vertical="center"/>
    </xf>
    <xf numFmtId="0" fontId="55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55" fillId="27" borderId="1" xfId="0" applyFont="1" applyFill="1" applyBorder="1" applyAlignment="1">
      <alignment horizontal="left" vertical="center" wrapText="1"/>
    </xf>
    <xf numFmtId="14" fontId="4" fillId="27" borderId="1" xfId="0" applyNumberFormat="1" applyFont="1" applyFill="1" applyBorder="1" applyAlignment="1"/>
    <xf numFmtId="14" fontId="4" fillId="27" borderId="7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/>
    </xf>
    <xf numFmtId="0" fontId="4" fillId="27" borderId="7" xfId="0" applyFont="1" applyFill="1" applyBorder="1" applyAlignment="1">
      <alignment horizontal="center"/>
    </xf>
    <xf numFmtId="0" fontId="4" fillId="27" borderId="7" xfId="0" applyFont="1" applyFill="1" applyBorder="1" applyAlignment="1">
      <alignment horizontal="left"/>
    </xf>
    <xf numFmtId="0" fontId="4" fillId="27" borderId="1" xfId="0" applyFont="1" applyFill="1" applyBorder="1" applyAlignment="1"/>
    <xf numFmtId="14" fontId="55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wrapText="1"/>
    </xf>
    <xf numFmtId="0" fontId="4" fillId="27" borderId="0" xfId="0" applyFont="1" applyFill="1"/>
    <xf numFmtId="14" fontId="13" fillId="0" borderId="7" xfId="0" applyNumberFormat="1" applyFont="1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/>
    </xf>
    <xf numFmtId="1" fontId="4" fillId="27" borderId="7" xfId="0" applyNumberFormat="1" applyFont="1" applyFill="1" applyBorder="1" applyAlignment="1">
      <alignment horizontal="center" vertical="center" wrapText="1"/>
    </xf>
    <xf numFmtId="0" fontId="4" fillId="27" borderId="7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/>
    </xf>
    <xf numFmtId="0" fontId="5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55" fillId="31" borderId="1" xfId="0" applyFont="1" applyFill="1" applyBorder="1" applyAlignment="1">
      <alignment horizontal="left" vertical="center" wrapText="1"/>
    </xf>
    <xf numFmtId="14" fontId="4" fillId="31" borderId="1" xfId="0" applyNumberFormat="1" applyFont="1" applyFill="1" applyBorder="1" applyAlignment="1"/>
    <xf numFmtId="14" fontId="4" fillId="31" borderId="7" xfId="0" applyNumberFormat="1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/>
    </xf>
    <xf numFmtId="0" fontId="4" fillId="31" borderId="7" xfId="0" applyFont="1" applyFill="1" applyBorder="1" applyAlignment="1">
      <alignment horizontal="center"/>
    </xf>
    <xf numFmtId="0" fontId="4" fillId="31" borderId="7" xfId="0" applyFont="1" applyFill="1" applyBorder="1" applyAlignment="1">
      <alignment horizontal="left"/>
    </xf>
    <xf numFmtId="0" fontId="4" fillId="31" borderId="1" xfId="0" applyFont="1" applyFill="1" applyBorder="1" applyAlignment="1"/>
    <xf numFmtId="14" fontId="55" fillId="31" borderId="1" xfId="0" applyNumberFormat="1" applyFont="1" applyFill="1" applyBorder="1" applyAlignment="1">
      <alignment horizontal="center" vertical="center" wrapText="1"/>
    </xf>
    <xf numFmtId="1" fontId="4" fillId="31" borderId="7" xfId="0" applyNumberFormat="1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wrapText="1"/>
    </xf>
    <xf numFmtId="0" fontId="4" fillId="31" borderId="0" xfId="0" applyFont="1" applyFill="1"/>
    <xf numFmtId="14" fontId="13" fillId="31" borderId="7" xfId="0" applyNumberFormat="1" applyFont="1" applyFill="1" applyBorder="1" applyAlignment="1">
      <alignment horizontal="center" vertical="center" wrapText="1"/>
    </xf>
    <xf numFmtId="14" fontId="5" fillId="10" borderId="7" xfId="0" applyNumberFormat="1" applyFont="1" applyFill="1" applyBorder="1" applyAlignment="1">
      <alignment horizontal="center" vertical="center" wrapText="1"/>
    </xf>
    <xf numFmtId="0" fontId="4" fillId="34" borderId="1" xfId="0" applyFont="1" applyFill="1" applyBorder="1"/>
    <xf numFmtId="0" fontId="55" fillId="34" borderId="1" xfId="0" applyFont="1" applyFill="1" applyBorder="1" applyAlignment="1">
      <alignment wrapText="1"/>
    </xf>
    <xf numFmtId="14" fontId="4" fillId="0" borderId="1" xfId="0" applyNumberFormat="1" applyFont="1" applyFill="1" applyBorder="1" applyAlignment="1">
      <alignment horizontal="right" vertical="center"/>
    </xf>
    <xf numFmtId="0" fontId="4" fillId="31" borderId="0" xfId="0" applyFont="1" applyFill="1" applyAlignment="1">
      <alignment horizontal="center"/>
    </xf>
    <xf numFmtId="0" fontId="5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4" fontId="55" fillId="1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horizontal="center"/>
    </xf>
    <xf numFmtId="14" fontId="5" fillId="0" borderId="7" xfId="0" applyNumberFormat="1" applyFont="1" applyFill="1" applyBorder="1" applyAlignment="1">
      <alignment horizontal="center" vertical="center" wrapText="1"/>
    </xf>
    <xf numFmtId="0" fontId="55" fillId="31" borderId="1" xfId="0" applyFont="1" applyFill="1" applyBorder="1"/>
    <xf numFmtId="0" fontId="55" fillId="31" borderId="1" xfId="0" applyFont="1" applyFill="1" applyBorder="1" applyAlignment="1">
      <alignment wrapText="1"/>
    </xf>
    <xf numFmtId="14" fontId="13" fillId="34" borderId="7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/>
    <xf numFmtId="14" fontId="4" fillId="34" borderId="1" xfId="0" applyNumberFormat="1" applyFont="1" applyFill="1" applyBorder="1"/>
    <xf numFmtId="0" fontId="5" fillId="0" borderId="1" xfId="0" applyFont="1" applyFill="1" applyBorder="1"/>
    <xf numFmtId="14" fontId="4" fillId="0" borderId="1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5" fillId="22" borderId="1" xfId="0" applyFont="1" applyFill="1" applyBorder="1" applyAlignment="1">
      <alignment horizontal="left" vertical="center" wrapText="1"/>
    </xf>
    <xf numFmtId="0" fontId="57" fillId="0" borderId="1" xfId="3" applyFont="1" applyBorder="1"/>
    <xf numFmtId="0" fontId="5" fillId="34" borderId="6" xfId="0" applyFont="1" applyFill="1" applyBorder="1" applyAlignment="1">
      <alignment horizontal="center" vertical="center" wrapText="1"/>
    </xf>
    <xf numFmtId="0" fontId="3" fillId="34" borderId="6" xfId="0" applyFont="1" applyFill="1" applyBorder="1" applyAlignment="1">
      <alignment horizontal="center" vertical="center" wrapText="1"/>
    </xf>
    <xf numFmtId="14" fontId="55" fillId="0" borderId="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4" fontId="55" fillId="34" borderId="1" xfId="0" applyNumberFormat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left" vertical="center" wrapText="1"/>
    </xf>
    <xf numFmtId="14" fontId="55" fillId="27" borderId="1" xfId="0" applyNumberFormat="1" applyFont="1" applyFill="1" applyBorder="1" applyAlignment="1">
      <alignment horizontal="center" vertical="center"/>
    </xf>
    <xf numFmtId="0" fontId="3" fillId="27" borderId="6" xfId="0" applyFont="1" applyFill="1" applyBorder="1" applyAlignment="1">
      <alignment horizontal="center" vertical="center" wrapText="1"/>
    </xf>
    <xf numFmtId="0" fontId="57" fillId="27" borderId="1" xfId="3" applyFont="1" applyFill="1" applyBorder="1"/>
    <xf numFmtId="14" fontId="55" fillId="31" borderId="1" xfId="0" applyNumberFormat="1" applyFont="1" applyFill="1" applyBorder="1" applyAlignment="1">
      <alignment horizontal="center" vertical="center"/>
    </xf>
    <xf numFmtId="0" fontId="3" fillId="31" borderId="6" xfId="0" applyFont="1" applyFill="1" applyBorder="1" applyAlignment="1">
      <alignment horizontal="center" vertical="center" wrapText="1"/>
    </xf>
    <xf numFmtId="0" fontId="55" fillId="38" borderId="1" xfId="0" applyFont="1" applyFill="1" applyBorder="1" applyAlignment="1">
      <alignment horizontal="left" vertical="center" wrapText="1"/>
    </xf>
    <xf numFmtId="0" fontId="57" fillId="34" borderId="1" xfId="3" applyFont="1" applyFill="1" applyBorder="1"/>
    <xf numFmtId="0" fontId="57" fillId="0" borderId="1" xfId="3" applyFont="1" applyFill="1" applyBorder="1"/>
    <xf numFmtId="0" fontId="55" fillId="39" borderId="1" xfId="0" applyFont="1" applyFill="1" applyBorder="1" applyAlignment="1">
      <alignment horizontal="left" vertical="center" wrapText="1"/>
    </xf>
    <xf numFmtId="0" fontId="57" fillId="31" borderId="1" xfId="3" applyFont="1" applyFill="1" applyBorder="1"/>
    <xf numFmtId="0" fontId="4" fillId="3" borderId="5" xfId="0" applyFont="1" applyFill="1" applyBorder="1" applyAlignment="1">
      <alignment horizontal="center" vertical="center"/>
    </xf>
    <xf numFmtId="0" fontId="58" fillId="3" borderId="6" xfId="0" applyFont="1" applyFill="1" applyBorder="1" applyAlignment="1">
      <alignment horizontal="center" vertical="center" wrapText="1"/>
    </xf>
    <xf numFmtId="14" fontId="55" fillId="31" borderId="1" xfId="0" applyNumberFormat="1" applyFont="1" applyFill="1" applyBorder="1" applyAlignment="1">
      <alignment horizontal="center"/>
    </xf>
    <xf numFmtId="14" fontId="55" fillId="0" borderId="1" xfId="0" applyNumberFormat="1" applyFont="1" applyFill="1" applyBorder="1" applyAlignment="1">
      <alignment horizontal="center"/>
    </xf>
    <xf numFmtId="0" fontId="57" fillId="0" borderId="0" xfId="3" applyFont="1"/>
    <xf numFmtId="0" fontId="5" fillId="22" borderId="1" xfId="0" applyFont="1" applyFill="1" applyBorder="1" applyAlignment="1">
      <alignment horizontal="left" vertical="center" wrapText="1"/>
    </xf>
    <xf numFmtId="0" fontId="55" fillId="34" borderId="1" xfId="0" applyFont="1" applyFill="1" applyBorder="1"/>
    <xf numFmtId="14" fontId="55" fillId="34" borderId="1" xfId="0" applyNumberFormat="1" applyFont="1" applyFill="1" applyBorder="1" applyAlignment="1">
      <alignment horizontal="center"/>
    </xf>
    <xf numFmtId="0" fontId="58" fillId="0" borderId="6" xfId="0" applyFont="1" applyFill="1" applyBorder="1" applyAlignment="1">
      <alignment horizontal="center" vertical="center" wrapText="1"/>
    </xf>
    <xf numFmtId="0" fontId="55" fillId="0" borderId="51" xfId="0" applyFont="1" applyFill="1" applyBorder="1" applyAlignment="1">
      <alignment wrapText="1"/>
    </xf>
    <xf numFmtId="0" fontId="55" fillId="0" borderId="51" xfId="0" applyFont="1" applyFill="1" applyBorder="1"/>
    <xf numFmtId="0" fontId="5" fillId="0" borderId="1" xfId="0" applyFont="1" applyFill="1" applyBorder="1" applyAlignment="1">
      <alignment wrapText="1"/>
    </xf>
    <xf numFmtId="0" fontId="13" fillId="0" borderId="6" xfId="0" applyFont="1" applyFill="1" applyBorder="1" applyAlignment="1">
      <alignment horizontal="center" vertical="center" wrapText="1"/>
    </xf>
    <xf numFmtId="0" fontId="58" fillId="34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4" fillId="29" borderId="7" xfId="0" applyFont="1" applyFill="1" applyBorder="1" applyAlignment="1">
      <alignment horizontal="center" vertical="center"/>
    </xf>
    <xf numFmtId="0" fontId="4" fillId="29" borderId="7" xfId="0" applyFont="1" applyFill="1" applyBorder="1" applyAlignment="1">
      <alignment horizontal="left" vertical="center"/>
    </xf>
    <xf numFmtId="0" fontId="4" fillId="29" borderId="7" xfId="0" applyFont="1" applyFill="1" applyBorder="1" applyAlignment="1">
      <alignment horizontal="left" vertical="center" wrapText="1"/>
    </xf>
    <xf numFmtId="14" fontId="4" fillId="29" borderId="7" xfId="0" applyNumberFormat="1" applyFont="1" applyFill="1" applyBorder="1" applyAlignment="1">
      <alignment horizontal="left" vertical="center" wrapText="1"/>
    </xf>
    <xf numFmtId="14" fontId="4" fillId="29" borderId="7" xfId="0" applyNumberFormat="1" applyFont="1" applyFill="1" applyBorder="1" applyAlignment="1">
      <alignment horizontal="center" vertical="center" wrapText="1"/>
    </xf>
    <xf numFmtId="0" fontId="4" fillId="29" borderId="7" xfId="0" applyFont="1" applyFill="1" applyBorder="1" applyAlignment="1">
      <alignment horizontal="center" vertical="center" wrapText="1"/>
    </xf>
    <xf numFmtId="0" fontId="4" fillId="29" borderId="7" xfId="0" applyFont="1" applyFill="1" applyBorder="1" applyAlignment="1">
      <alignment horizontal="center"/>
    </xf>
    <xf numFmtId="0" fontId="4" fillId="29" borderId="7" xfId="0" applyFont="1" applyFill="1" applyBorder="1" applyAlignment="1">
      <alignment horizontal="left"/>
    </xf>
    <xf numFmtId="0" fontId="4" fillId="29" borderId="7" xfId="0" applyFont="1" applyFill="1" applyBorder="1" applyAlignment="1"/>
    <xf numFmtId="1" fontId="4" fillId="29" borderId="7" xfId="0" applyNumberFormat="1" applyFont="1" applyFill="1" applyBorder="1" applyAlignment="1">
      <alignment horizontal="center" vertical="center" wrapText="1"/>
    </xf>
    <xf numFmtId="0" fontId="4" fillId="29" borderId="7" xfId="0" applyFont="1" applyFill="1" applyBorder="1" applyAlignment="1">
      <alignment wrapText="1"/>
    </xf>
    <xf numFmtId="0" fontId="4" fillId="29" borderId="0" xfId="0" applyFont="1" applyFill="1"/>
    <xf numFmtId="0" fontId="5" fillId="29" borderId="1" xfId="0" applyFont="1" applyFill="1" applyBorder="1" applyAlignment="1">
      <alignment horizontal="left" vertical="center" wrapText="1"/>
    </xf>
    <xf numFmtId="0" fontId="5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55" fillId="29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/>
    <xf numFmtId="14" fontId="55" fillId="29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/>
    </xf>
    <xf numFmtId="0" fontId="4" fillId="29" borderId="1" xfId="0" applyFont="1" applyFill="1" applyBorder="1" applyAlignment="1">
      <alignment wrapText="1"/>
    </xf>
    <xf numFmtId="0" fontId="4" fillId="29" borderId="1" xfId="0" applyFont="1" applyFill="1" applyBorder="1"/>
    <xf numFmtId="0" fontId="55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14" fontId="4" fillId="29" borderId="1" xfId="0" applyNumberFormat="1" applyFont="1" applyFill="1" applyBorder="1" applyAlignment="1"/>
    <xf numFmtId="0" fontId="5" fillId="29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14" fontId="5" fillId="31" borderId="7" xfId="0" applyNumberFormat="1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4" fillId="31" borderId="1" xfId="0" applyFont="1" applyFill="1" applyBorder="1"/>
    <xf numFmtId="0" fontId="55" fillId="29" borderId="1" xfId="0" applyFont="1" applyFill="1" applyBorder="1" applyAlignment="1">
      <alignment wrapText="1"/>
    </xf>
    <xf numFmtId="0" fontId="55" fillId="27" borderId="1" xfId="0" applyFont="1" applyFill="1" applyBorder="1" applyAlignment="1">
      <alignment wrapText="1"/>
    </xf>
    <xf numFmtId="14" fontId="4" fillId="27" borderId="1" xfId="0" applyNumberFormat="1" applyFont="1" applyFill="1" applyBorder="1"/>
    <xf numFmtId="0" fontId="5" fillId="29" borderId="1" xfId="0" applyFont="1" applyFill="1" applyBorder="1" applyAlignment="1">
      <alignment wrapText="1"/>
    </xf>
    <xf numFmtId="14" fontId="4" fillId="29" borderId="1" xfId="0" applyNumberFormat="1" applyFont="1" applyFill="1" applyBorder="1"/>
    <xf numFmtId="14" fontId="4" fillId="29" borderId="7" xfId="0" applyNumberFormat="1" applyFont="1" applyFill="1" applyBorder="1" applyAlignment="1">
      <alignment horizontal="center" vertical="center"/>
    </xf>
    <xf numFmtId="0" fontId="3" fillId="29" borderId="6" xfId="0" applyFont="1" applyFill="1" applyBorder="1" applyAlignment="1">
      <alignment horizontal="center" vertical="center" wrapText="1"/>
    </xf>
    <xf numFmtId="14" fontId="55" fillId="29" borderId="1" xfId="0" applyNumberFormat="1" applyFont="1" applyFill="1" applyBorder="1" applyAlignment="1">
      <alignment horizontal="center" vertical="center"/>
    </xf>
    <xf numFmtId="0" fontId="5" fillId="31" borderId="6" xfId="0" applyFont="1" applyFill="1" applyBorder="1" applyAlignment="1">
      <alignment horizontal="center" vertical="center" wrapText="1"/>
    </xf>
    <xf numFmtId="14" fontId="55" fillId="29" borderId="1" xfId="0" applyNumberFormat="1" applyFont="1" applyFill="1" applyBorder="1" applyAlignment="1">
      <alignment horizontal="center"/>
    </xf>
    <xf numFmtId="14" fontId="55" fillId="27" borderId="1" xfId="0" applyNumberFormat="1" applyFont="1" applyFill="1" applyBorder="1" applyAlignment="1">
      <alignment horizontal="center"/>
    </xf>
    <xf numFmtId="0" fontId="55" fillId="29" borderId="1" xfId="0" applyFont="1" applyFill="1" applyBorder="1"/>
    <xf numFmtId="14" fontId="5" fillId="10" borderId="1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</xf>
    <xf numFmtId="14" fontId="55" fillId="0" borderId="50" xfId="0" applyNumberFormat="1" applyFont="1" applyFill="1" applyBorder="1" applyAlignment="1">
      <alignment horizontal="center"/>
    </xf>
    <xf numFmtId="14" fontId="55" fillId="0" borderId="7" xfId="0" applyNumberFormat="1" applyFont="1" applyFill="1" applyBorder="1" applyAlignment="1">
      <alignment horizontal="center" vertical="center" wrapText="1"/>
    </xf>
    <xf numFmtId="0" fontId="55" fillId="0" borderId="1" xfId="0" applyFont="1" applyFill="1" applyBorder="1" applyAlignment="1">
      <alignment vertical="center" wrapText="1"/>
    </xf>
    <xf numFmtId="0" fontId="40" fillId="0" borderId="0" xfId="0" applyFont="1" applyAlignment="1"/>
    <xf numFmtId="14" fontId="21" fillId="0" borderId="7" xfId="0" applyNumberFormat="1" applyFont="1" applyFill="1" applyBorder="1" applyAlignment="1">
      <alignment horizontal="left" vertical="center" wrapText="1"/>
    </xf>
    <xf numFmtId="14" fontId="21" fillId="0" borderId="1" xfId="0" applyNumberFormat="1" applyFont="1" applyFill="1" applyBorder="1" applyAlignment="1">
      <alignment horizontal="left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vertical="center"/>
    </xf>
    <xf numFmtId="14" fontId="21" fillId="0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right" vertical="center"/>
    </xf>
    <xf numFmtId="0" fontId="30" fillId="0" borderId="1" xfId="0" applyFont="1" applyFill="1" applyBorder="1" applyAlignment="1"/>
    <xf numFmtId="14" fontId="30" fillId="0" borderId="1" xfId="0" applyNumberFormat="1" applyFont="1" applyFill="1" applyBorder="1" applyAlignment="1"/>
    <xf numFmtId="14" fontId="21" fillId="0" borderId="5" xfId="0" applyNumberFormat="1" applyFont="1" applyFill="1" applyBorder="1" applyAlignment="1"/>
    <xf numFmtId="14" fontId="28" fillId="0" borderId="1" xfId="0" applyNumberFormat="1" applyFont="1" applyFill="1" applyBorder="1" applyAlignment="1">
      <alignment horizontal="left" vertical="center" wrapText="1"/>
    </xf>
    <xf numFmtId="14" fontId="21" fillId="0" borderId="1" xfId="0" applyNumberFormat="1" applyFont="1" applyFill="1" applyBorder="1" applyAlignment="1">
      <alignment horizontal="center"/>
    </xf>
    <xf numFmtId="14" fontId="21" fillId="0" borderId="1" xfId="0" applyNumberFormat="1" applyFont="1" applyFill="1" applyBorder="1"/>
    <xf numFmtId="0" fontId="21" fillId="31" borderId="1" xfId="0" applyFont="1" applyFill="1" applyBorder="1" applyAlignment="1"/>
    <xf numFmtId="14" fontId="21" fillId="31" borderId="1" xfId="0" applyNumberFormat="1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/>
    </xf>
    <xf numFmtId="14" fontId="21" fillId="27" borderId="1" xfId="0" applyNumberFormat="1" applyFont="1" applyFill="1" applyBorder="1" applyAlignment="1"/>
    <xf numFmtId="14" fontId="21" fillId="27" borderId="1" xfId="0" applyNumberFormat="1" applyFont="1" applyFill="1" applyBorder="1" applyAlignment="1">
      <alignment horizontal="center" vertical="center" wrapText="1"/>
    </xf>
    <xf numFmtId="0" fontId="5" fillId="27" borderId="6" xfId="0" applyFont="1" applyFill="1" applyBorder="1" applyAlignment="1">
      <alignment horizontal="center" vertical="center" wrapText="1"/>
    </xf>
    <xf numFmtId="0" fontId="4" fillId="27" borderId="1" xfId="0" applyFont="1" applyFill="1" applyBorder="1"/>
    <xf numFmtId="0" fontId="59" fillId="40" borderId="1" xfId="0" applyFont="1" applyFill="1" applyBorder="1" applyAlignment="1">
      <alignment horizontal="left" vertical="center" wrapText="1"/>
    </xf>
    <xf numFmtId="0" fontId="59" fillId="0" borderId="1" xfId="0" applyFont="1" applyFill="1" applyBorder="1" applyAlignment="1">
      <alignment horizontal="left" vertical="center" wrapText="1"/>
    </xf>
    <xf numFmtId="0" fontId="7" fillId="34" borderId="1" xfId="0" applyFont="1" applyFill="1" applyBorder="1" applyAlignment="1">
      <alignment horizontal="center" vertical="center"/>
    </xf>
    <xf numFmtId="14" fontId="21" fillId="34" borderId="1" xfId="0" applyNumberFormat="1" applyFont="1" applyFill="1" applyBorder="1" applyAlignment="1"/>
    <xf numFmtId="14" fontId="21" fillId="34" borderId="1" xfId="0" applyNumberFormat="1" applyFont="1" applyFill="1" applyBorder="1" applyAlignment="1">
      <alignment horizontal="center" vertical="center" wrapText="1"/>
    </xf>
    <xf numFmtId="14" fontId="21" fillId="31" borderId="1" xfId="0" applyNumberFormat="1" applyFont="1" applyFill="1" applyBorder="1" applyAlignment="1"/>
    <xf numFmtId="0" fontId="59" fillId="31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wrapText="1"/>
    </xf>
    <xf numFmtId="0" fontId="13" fillId="34" borderId="1" xfId="0" applyFont="1" applyFill="1" applyBorder="1" applyAlignment="1">
      <alignment wrapText="1"/>
    </xf>
    <xf numFmtId="0" fontId="59" fillId="41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horizontal="left" vertical="center" wrapText="1"/>
    </xf>
    <xf numFmtId="14" fontId="60" fillId="0" borderId="7" xfId="0" applyNumberFormat="1" applyFont="1" applyFill="1" applyBorder="1" applyAlignment="1">
      <alignment horizontal="center" vertical="center" wrapText="1"/>
    </xf>
    <xf numFmtId="14" fontId="27" fillId="0" borderId="1" xfId="0" applyNumberFormat="1" applyFont="1" applyFill="1" applyBorder="1" applyAlignment="1">
      <alignment horizontal="center"/>
    </xf>
    <xf numFmtId="0" fontId="59" fillId="42" borderId="1" xfId="0" applyFont="1" applyFill="1" applyBorder="1" applyAlignment="1">
      <alignment horizontal="left" vertical="center" wrapText="1"/>
    </xf>
    <xf numFmtId="14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31" borderId="1" xfId="0" applyFont="1" applyFill="1" applyBorder="1" applyAlignment="1">
      <alignment wrapText="1"/>
    </xf>
    <xf numFmtId="0" fontId="21" fillId="31" borderId="1" xfId="0" applyFont="1" applyFill="1" applyBorder="1"/>
    <xf numFmtId="14" fontId="55" fillId="31" borderId="1" xfId="0" applyNumberFormat="1" applyFont="1" applyFill="1" applyBorder="1" applyAlignment="1">
      <alignment horizontal="left" vertical="center" wrapText="1"/>
    </xf>
    <xf numFmtId="0" fontId="55" fillId="31" borderId="1" xfId="0" applyFont="1" applyFill="1" applyBorder="1" applyAlignment="1">
      <alignment horizontal="center" vertical="center" wrapText="1"/>
    </xf>
    <xf numFmtId="0" fontId="4" fillId="31" borderId="7" xfId="0" applyFont="1" applyFill="1" applyBorder="1" applyAlignment="1">
      <alignment horizontal="center" vertical="center" wrapText="1"/>
    </xf>
    <xf numFmtId="1" fontId="4" fillId="31" borderId="7" xfId="0" applyNumberFormat="1" applyFont="1" applyFill="1" applyBorder="1" applyAlignment="1">
      <alignment horizontal="left" vertical="center" wrapText="1"/>
    </xf>
    <xf numFmtId="0" fontId="59" fillId="27" borderId="1" xfId="0" applyFont="1" applyFill="1" applyBorder="1" applyAlignment="1">
      <alignment horizontal="left" vertical="center" wrapText="1"/>
    </xf>
    <xf numFmtId="2" fontId="32" fillId="3" borderId="0" xfId="0" applyNumberFormat="1" applyFont="1" applyFill="1" applyAlignment="1"/>
    <xf numFmtId="0" fontId="29" fillId="0" borderId="5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left" vertical="center" wrapText="1"/>
    </xf>
    <xf numFmtId="0" fontId="30" fillId="0" borderId="5" xfId="0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horizontal="left" vertical="center"/>
    </xf>
    <xf numFmtId="0" fontId="28" fillId="0" borderId="5" xfId="0" applyFont="1" applyFill="1" applyBorder="1" applyAlignment="1">
      <alignment horizontal="left" vertical="center" wrapText="1"/>
    </xf>
    <xf numFmtId="14" fontId="43" fillId="0" borderId="5" xfId="0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/>
    <xf numFmtId="14" fontId="28" fillId="0" borderId="5" xfId="0" applyNumberFormat="1" applyFont="1" applyFill="1" applyBorder="1" applyAlignment="1">
      <alignment horizontal="center" vertical="center" wrapText="1"/>
    </xf>
    <xf numFmtId="14" fontId="21" fillId="0" borderId="5" xfId="0" applyNumberFormat="1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/>
    </xf>
    <xf numFmtId="0" fontId="21" fillId="0" borderId="62" xfId="0" applyFont="1" applyFill="1" applyBorder="1" applyAlignment="1">
      <alignment horizontal="center"/>
    </xf>
    <xf numFmtId="0" fontId="21" fillId="0" borderId="62" xfId="0" applyFont="1" applyFill="1" applyBorder="1" applyAlignment="1">
      <alignment horizontal="left"/>
    </xf>
    <xf numFmtId="14" fontId="21" fillId="0" borderId="62" xfId="0" applyNumberFormat="1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wrapText="1"/>
    </xf>
    <xf numFmtId="0" fontId="21" fillId="0" borderId="5" xfId="0" applyFont="1" applyFill="1" applyBorder="1"/>
    <xf numFmtId="0" fontId="18" fillId="22" borderId="52" xfId="0" applyFont="1" applyFill="1" applyBorder="1" applyAlignment="1">
      <alignment horizontal="left" vertical="center" wrapText="1"/>
    </xf>
    <xf numFmtId="0" fontId="19" fillId="0" borderId="1" xfId="0" applyFont="1" applyBorder="1"/>
    <xf numFmtId="0" fontId="19" fillId="3" borderId="1" xfId="0" applyFont="1" applyFill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8" fillId="22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14" fontId="19" fillId="3" borderId="1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9" fillId="0" borderId="1" xfId="0" applyFont="1" applyBorder="1" applyAlignment="1">
      <alignment wrapText="1"/>
    </xf>
    <xf numFmtId="49" fontId="61" fillId="6" borderId="0" xfId="0" applyNumberFormat="1" applyFont="1" applyFill="1" applyAlignment="1">
      <alignment horizontal="center" vertical="center"/>
    </xf>
    <xf numFmtId="2" fontId="61" fillId="6" borderId="0" xfId="0" applyNumberFormat="1" applyFont="1" applyFill="1" applyAlignment="1">
      <alignment horizontal="center" vertical="center"/>
    </xf>
    <xf numFmtId="0" fontId="59" fillId="0" borderId="7" xfId="0" applyFont="1" applyFill="1" applyBorder="1" applyAlignment="1">
      <alignment horizontal="left" vertical="center" wrapText="1"/>
    </xf>
    <xf numFmtId="0" fontId="55" fillId="0" borderId="0" xfId="0" applyFont="1" applyFill="1" applyBorder="1" applyAlignment="1">
      <alignment horizontal="left" vertical="center" wrapText="1"/>
    </xf>
    <xf numFmtId="0" fontId="57" fillId="0" borderId="0" xfId="3" applyFont="1" applyFill="1" applyBorder="1"/>
    <xf numFmtId="0" fontId="59" fillId="43" borderId="1" xfId="0" applyFont="1" applyFill="1" applyBorder="1" applyAlignment="1">
      <alignment horizontal="left" vertical="center" wrapText="1"/>
    </xf>
    <xf numFmtId="14" fontId="4" fillId="43" borderId="7" xfId="0" applyNumberFormat="1" applyFont="1" applyFill="1" applyBorder="1" applyAlignment="1">
      <alignment horizontal="center" vertical="center" wrapText="1"/>
    </xf>
    <xf numFmtId="14" fontId="55" fillId="14" borderId="1" xfId="0" applyNumberFormat="1" applyFon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14" fontId="60" fillId="0" borderId="1" xfId="0" applyNumberFormat="1" applyFont="1" applyFill="1" applyBorder="1" applyAlignment="1">
      <alignment horizontal="center" vertical="center" wrapText="1"/>
    </xf>
    <xf numFmtId="14" fontId="30" fillId="0" borderId="1" xfId="0" applyNumberFormat="1" applyFont="1" applyFill="1" applyBorder="1" applyAlignment="1">
      <alignment horizontal="center" vertical="center" wrapText="1"/>
    </xf>
    <xf numFmtId="14" fontId="55" fillId="0" borderId="51" xfId="0" applyNumberFormat="1" applyFont="1" applyFill="1" applyBorder="1" applyAlignment="1">
      <alignment horizontal="center"/>
    </xf>
    <xf numFmtId="0" fontId="55" fillId="22" borderId="0" xfId="0" applyFont="1" applyFill="1" applyBorder="1" applyAlignment="1">
      <alignment horizontal="left" vertical="center" wrapText="1"/>
    </xf>
    <xf numFmtId="0" fontId="57" fillId="0" borderId="0" xfId="3" applyFont="1" applyBorder="1"/>
    <xf numFmtId="0" fontId="59" fillId="40" borderId="7" xfId="0" applyFont="1" applyFill="1" applyBorder="1" applyAlignment="1">
      <alignment horizontal="left" vertical="center" wrapText="1"/>
    </xf>
    <xf numFmtId="1" fontId="4" fillId="43" borderId="7" xfId="0" applyNumberFormat="1" applyFon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/>
    <xf numFmtId="14" fontId="4" fillId="29" borderId="1" xfId="0" applyNumberFormat="1" applyFont="1" applyFill="1" applyBorder="1" applyAlignment="1">
      <alignment horizontal="center"/>
    </xf>
    <xf numFmtId="0" fontId="59" fillId="43" borderId="7" xfId="0" applyFont="1" applyFill="1" applyBorder="1" applyAlignment="1">
      <alignment horizontal="left" vertical="center" wrapText="1"/>
    </xf>
    <xf numFmtId="0" fontId="56" fillId="0" borderId="1" xfId="0" applyFont="1" applyFill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/>
    </xf>
    <xf numFmtId="14" fontId="21" fillId="34" borderId="1" xfId="0" applyNumberFormat="1" applyFont="1" applyFill="1" applyBorder="1" applyAlignment="1">
      <alignment horizontal="center" vertical="center"/>
    </xf>
    <xf numFmtId="0" fontId="59" fillId="34" borderId="1" xfId="0" applyFont="1" applyFill="1" applyBorder="1" applyAlignment="1">
      <alignment horizontal="left" vertical="center" wrapText="1"/>
    </xf>
    <xf numFmtId="0" fontId="13" fillId="34" borderId="6" xfId="0" applyFont="1" applyFill="1" applyBorder="1" applyAlignment="1">
      <alignment horizontal="center" vertical="center" wrapText="1"/>
    </xf>
    <xf numFmtId="0" fontId="54" fillId="0" borderId="1" xfId="3" applyFill="1" applyBorder="1"/>
    <xf numFmtId="14" fontId="5" fillId="27" borderId="7" xfId="0" applyNumberFormat="1" applyFont="1" applyFill="1" applyBorder="1" applyAlignment="1">
      <alignment horizontal="center" vertical="center" wrapText="1"/>
    </xf>
    <xf numFmtId="1" fontId="4" fillId="27" borderId="7" xfId="0" applyNumberFormat="1" applyFont="1" applyFill="1" applyBorder="1" applyAlignment="1">
      <alignment horizontal="left" vertical="center" wrapText="1"/>
    </xf>
    <xf numFmtId="0" fontId="55" fillId="44" borderId="1" xfId="0" applyFont="1" applyFill="1" applyBorder="1" applyAlignment="1">
      <alignment horizontal="left" vertical="center" wrapText="1"/>
    </xf>
    <xf numFmtId="0" fontId="31" fillId="27" borderId="1" xfId="0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 textRotation="70"/>
    </xf>
    <xf numFmtId="164" fontId="20" fillId="27" borderId="1" xfId="0" applyNumberFormat="1" applyFont="1" applyFill="1" applyBorder="1" applyAlignment="1">
      <alignment horizontal="center" vertical="center" textRotation="70" wrapText="1"/>
    </xf>
    <xf numFmtId="0" fontId="22" fillId="26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14" fontId="48" fillId="36" borderId="1" xfId="0" applyNumberFormat="1" applyFont="1" applyFill="1" applyBorder="1" applyAlignment="1">
      <alignment horizontal="center" vertical="center" wrapText="1"/>
    </xf>
    <xf numFmtId="14" fontId="48" fillId="6" borderId="1" xfId="0" applyNumberFormat="1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 textRotation="70" wrapText="1"/>
    </xf>
    <xf numFmtId="0" fontId="35" fillId="33" borderId="55" xfId="0" applyFont="1" applyFill="1" applyBorder="1" applyAlignment="1">
      <alignment horizontal="center" vertical="center" wrapText="1"/>
    </xf>
    <xf numFmtId="0" fontId="35" fillId="33" borderId="57" xfId="0" applyFont="1" applyFill="1" applyBorder="1" applyAlignment="1">
      <alignment horizontal="center" vertical="center" wrapText="1"/>
    </xf>
    <xf numFmtId="14" fontId="35" fillId="33" borderId="1" xfId="0" applyNumberFormat="1" applyFont="1" applyFill="1" applyBorder="1" applyAlignment="1">
      <alignment horizontal="center" vertical="center" wrapText="1"/>
    </xf>
    <xf numFmtId="0" fontId="35" fillId="33" borderId="69" xfId="0" applyFont="1" applyFill="1" applyBorder="1" applyAlignment="1">
      <alignment horizontal="center" vertical="center" wrapText="1"/>
    </xf>
    <xf numFmtId="0" fontId="35" fillId="33" borderId="70" xfId="0" applyFont="1" applyFill="1" applyBorder="1" applyAlignment="1">
      <alignment horizontal="center" vertical="center" wrapText="1"/>
    </xf>
    <xf numFmtId="14" fontId="35" fillId="33" borderId="6" xfId="0" applyNumberFormat="1" applyFont="1" applyFill="1" applyBorder="1" applyAlignment="1">
      <alignment horizontal="center" vertical="center" wrapText="1"/>
    </xf>
    <xf numFmtId="14" fontId="35" fillId="33" borderId="71" xfId="0" applyNumberFormat="1" applyFont="1" applyFill="1" applyBorder="1" applyAlignment="1">
      <alignment horizontal="center" vertical="center" wrapText="1"/>
    </xf>
    <xf numFmtId="14" fontId="35" fillId="33" borderId="56" xfId="0" applyNumberFormat="1" applyFont="1" applyFill="1" applyBorder="1" applyAlignment="1">
      <alignment horizontal="center" vertical="center" wrapText="1"/>
    </xf>
    <xf numFmtId="14" fontId="35" fillId="33" borderId="72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5" fillId="25" borderId="55" xfId="0" applyFont="1" applyFill="1" applyBorder="1" applyAlignment="1">
      <alignment horizontal="center" vertical="center"/>
    </xf>
    <xf numFmtId="0" fontId="35" fillId="25" borderId="61" xfId="0" applyFont="1" applyFill="1" applyBorder="1" applyAlignment="1">
      <alignment horizontal="center" vertical="center"/>
    </xf>
    <xf numFmtId="0" fontId="35" fillId="25" borderId="57" xfId="0" applyFont="1" applyFill="1" applyBorder="1" applyAlignment="1">
      <alignment horizontal="center" vertical="center"/>
    </xf>
    <xf numFmtId="49" fontId="33" fillId="0" borderId="0" xfId="0" applyNumberFormat="1" applyFont="1" applyAlignment="1"/>
    <xf numFmtId="164" fontId="20" fillId="3" borderId="1" xfId="0" applyNumberFormat="1" applyFont="1" applyFill="1" applyBorder="1" applyAlignment="1">
      <alignment horizontal="center" vertical="center" wrapText="1"/>
    </xf>
    <xf numFmtId="0" fontId="34" fillId="31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24" fillId="0" borderId="63" xfId="0" applyFont="1" applyFill="1" applyBorder="1" applyAlignment="1">
      <alignment horizontal="center"/>
    </xf>
    <xf numFmtId="0" fontId="24" fillId="0" borderId="61" xfId="0" applyFont="1" applyFill="1" applyBorder="1" applyAlignment="1">
      <alignment horizontal="center"/>
    </xf>
    <xf numFmtId="0" fontId="24" fillId="0" borderId="64" xfId="0" applyFont="1" applyFill="1" applyBorder="1" applyAlignment="1">
      <alignment horizontal="center"/>
    </xf>
    <xf numFmtId="49" fontId="25" fillId="0" borderId="65" xfId="0" applyNumberFormat="1" applyFont="1" applyFill="1" applyBorder="1" applyAlignment="1">
      <alignment horizontal="center"/>
    </xf>
    <xf numFmtId="49" fontId="25" fillId="0" borderId="0" xfId="0" applyNumberFormat="1" applyFont="1" applyFill="1" applyBorder="1" applyAlignment="1">
      <alignment horizontal="center"/>
    </xf>
    <xf numFmtId="49" fontId="25" fillId="0" borderId="60" xfId="0" applyNumberFormat="1" applyFont="1" applyFill="1" applyBorder="1" applyAlignment="1">
      <alignment horizontal="center"/>
    </xf>
    <xf numFmtId="49" fontId="32" fillId="0" borderId="66" xfId="0" applyNumberFormat="1" applyFont="1" applyFill="1" applyBorder="1" applyAlignment="1">
      <alignment horizontal="center"/>
    </xf>
    <xf numFmtId="49" fontId="32" fillId="0" borderId="59" xfId="0" applyNumberFormat="1" applyFont="1" applyFill="1" applyBorder="1" applyAlignment="1">
      <alignment horizontal="center"/>
    </xf>
    <xf numFmtId="49" fontId="32" fillId="0" borderId="67" xfId="0" applyNumberFormat="1" applyFont="1" applyFill="1" applyBorder="1" applyAlignment="1">
      <alignment horizontal="center"/>
    </xf>
    <xf numFmtId="0" fontId="40" fillId="0" borderId="65" xfId="0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60" xfId="0" applyFont="1" applyFill="1" applyBorder="1" applyAlignment="1">
      <alignment horizontal="left"/>
    </xf>
    <xf numFmtId="0" fontId="40" fillId="0" borderId="66" xfId="0" applyFont="1" applyFill="1" applyBorder="1" applyAlignment="1">
      <alignment horizontal="left" vertical="top"/>
    </xf>
    <xf numFmtId="0" fontId="40" fillId="0" borderId="59" xfId="0" applyFont="1" applyFill="1" applyBorder="1" applyAlignment="1">
      <alignment horizontal="left" vertical="top"/>
    </xf>
    <xf numFmtId="0" fontId="40" fillId="0" borderId="67" xfId="0" applyFont="1" applyFill="1" applyBorder="1" applyAlignment="1">
      <alignment horizontal="left" vertical="top"/>
    </xf>
    <xf numFmtId="0" fontId="38" fillId="30" borderId="2" xfId="0" applyFont="1" applyFill="1" applyBorder="1" applyAlignment="1">
      <alignment horizontal="center" vertical="center" wrapText="1"/>
    </xf>
    <xf numFmtId="0" fontId="38" fillId="30" borderId="4" xfId="0" applyFont="1" applyFill="1" applyBorder="1" applyAlignment="1">
      <alignment horizontal="center" vertical="center" wrapText="1"/>
    </xf>
    <xf numFmtId="0" fontId="47" fillId="29" borderId="58" xfId="0" applyFont="1" applyFill="1" applyBorder="1" applyAlignment="1">
      <alignment horizontal="center" vertical="center" wrapText="1"/>
    </xf>
    <xf numFmtId="0" fontId="47" fillId="29" borderId="15" xfId="0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horizontal="center"/>
    </xf>
    <xf numFmtId="0" fontId="40" fillId="35" borderId="1" xfId="0" applyFont="1" applyFill="1" applyBorder="1" applyAlignment="1">
      <alignment horizontal="center"/>
    </xf>
    <xf numFmtId="0" fontId="49" fillId="24" borderId="2" xfId="0" applyFont="1" applyFill="1" applyBorder="1" applyAlignment="1">
      <alignment horizontal="center" wrapText="1"/>
    </xf>
    <xf numFmtId="0" fontId="49" fillId="24" borderId="3" xfId="0" applyFont="1" applyFill="1" applyBorder="1" applyAlignment="1">
      <alignment horizontal="center" wrapText="1"/>
    </xf>
    <xf numFmtId="0" fontId="49" fillId="24" borderId="4" xfId="0" applyFont="1" applyFill="1" applyBorder="1" applyAlignment="1">
      <alignment horizontal="center" wrapText="1"/>
    </xf>
    <xf numFmtId="0" fontId="0" fillId="37" borderId="2" xfId="0" applyFill="1" applyBorder="1" applyAlignment="1">
      <alignment horizontal="center" wrapText="1"/>
    </xf>
    <xf numFmtId="0" fontId="0" fillId="37" borderId="4" xfId="0" applyFill="1" applyBorder="1" applyAlignment="1">
      <alignment horizontal="center" wrapText="1"/>
    </xf>
    <xf numFmtId="0" fontId="0" fillId="28" borderId="5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24" borderId="53" xfId="0" applyFill="1" applyBorder="1" applyAlignment="1">
      <alignment horizontal="center"/>
    </xf>
    <xf numFmtId="0" fontId="0" fillId="24" borderId="56" xfId="0" applyFill="1" applyBorder="1" applyAlignment="1">
      <alignment horizontal="center"/>
    </xf>
    <xf numFmtId="0" fontId="0" fillId="28" borderId="5" xfId="0" applyFill="1" applyBorder="1" applyAlignment="1">
      <alignment horizontal="center" wrapText="1"/>
    </xf>
    <xf numFmtId="0" fontId="38" fillId="30" borderId="2" xfId="0" applyFont="1" applyFill="1" applyBorder="1" applyAlignment="1">
      <alignment horizontal="center" vertical="center"/>
    </xf>
    <xf numFmtId="0" fontId="38" fillId="30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0" xfId="0" quotePrefix="1" applyFont="1" applyFill="1" applyAlignment="1">
      <alignment horizontal="center" vertical="center" wrapText="1"/>
    </xf>
    <xf numFmtId="164" fontId="11" fillId="8" borderId="16" xfId="0" applyNumberFormat="1" applyFont="1" applyFill="1" applyBorder="1" applyAlignment="1">
      <alignment horizontal="center" vertical="center" wrapText="1"/>
    </xf>
    <xf numFmtId="164" fontId="12" fillId="8" borderId="20" xfId="0" applyNumberFormat="1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164" fontId="11" fillId="12" borderId="24" xfId="0" applyNumberFormat="1" applyFont="1" applyFill="1" applyBorder="1" applyAlignment="1">
      <alignment horizontal="center" vertical="center" wrapText="1"/>
    </xf>
    <xf numFmtId="164" fontId="11" fillId="12" borderId="27" xfId="0" applyNumberFormat="1" applyFont="1" applyFill="1" applyBorder="1" applyAlignment="1">
      <alignment horizontal="center" vertical="center" wrapText="1"/>
    </xf>
    <xf numFmtId="164" fontId="11" fillId="12" borderId="30" xfId="0" applyNumberFormat="1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textRotation="90" wrapText="1"/>
    </xf>
    <xf numFmtId="0" fontId="9" fillId="13" borderId="29" xfId="0" applyFont="1" applyFill="1" applyBorder="1" applyAlignment="1">
      <alignment horizontal="center" vertical="center" textRotation="90" wrapText="1"/>
    </xf>
    <xf numFmtId="0" fontId="9" fillId="13" borderId="31" xfId="0" applyFont="1" applyFill="1" applyBorder="1" applyAlignment="1">
      <alignment horizontal="center" vertical="center" textRotation="90" wrapText="1"/>
    </xf>
    <xf numFmtId="164" fontId="11" fillId="8" borderId="24" xfId="0" applyNumberFormat="1" applyFont="1" applyFill="1" applyBorder="1" applyAlignment="1">
      <alignment horizontal="center" vertical="center"/>
    </xf>
    <xf numFmtId="164" fontId="11" fillId="8" borderId="27" xfId="0" applyNumberFormat="1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 wrapText="1"/>
    </xf>
    <xf numFmtId="0" fontId="9" fillId="14" borderId="28" xfId="0" applyFont="1" applyFill="1" applyBorder="1" applyAlignment="1">
      <alignment horizontal="center" vertical="center" wrapText="1"/>
    </xf>
    <xf numFmtId="0" fontId="9" fillId="14" borderId="26" xfId="0" applyFont="1" applyFill="1" applyBorder="1" applyAlignment="1">
      <alignment horizontal="center" vertical="center" textRotation="90" wrapText="1"/>
    </xf>
    <xf numFmtId="0" fontId="9" fillId="14" borderId="29" xfId="0" applyFont="1" applyFill="1" applyBorder="1" applyAlignment="1">
      <alignment horizontal="center" vertical="center" textRotation="90" wrapText="1"/>
    </xf>
    <xf numFmtId="164" fontId="11" fillId="8" borderId="20" xfId="0" applyNumberFormat="1" applyFont="1" applyFill="1" applyBorder="1" applyAlignment="1">
      <alignment horizontal="center" vertical="center" wrapText="1"/>
    </xf>
    <xf numFmtId="0" fontId="9" fillId="15" borderId="20" xfId="0" applyFont="1" applyFill="1" applyBorder="1" applyAlignment="1">
      <alignment horizontal="center" vertical="center" wrapText="1"/>
    </xf>
    <xf numFmtId="0" fontId="9" fillId="15" borderId="21" xfId="0" applyFont="1" applyFill="1" applyBorder="1" applyAlignment="1">
      <alignment horizontal="center" vertical="center" textRotation="90" wrapText="1"/>
    </xf>
    <xf numFmtId="0" fontId="9" fillId="16" borderId="25" xfId="0" applyFont="1" applyFill="1" applyBorder="1" applyAlignment="1">
      <alignment horizontal="center" vertical="center" wrapText="1"/>
    </xf>
    <xf numFmtId="0" fontId="9" fillId="16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9" fillId="16" borderId="35" xfId="0" applyFont="1" applyFill="1" applyBorder="1" applyAlignment="1">
      <alignment horizontal="center" vertical="center" textRotation="90" wrapText="1"/>
    </xf>
    <xf numFmtId="0" fontId="9" fillId="16" borderId="0" xfId="0" applyFont="1" applyFill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0" fontId="16" fillId="20" borderId="39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16" fillId="20" borderId="41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textRotation="90" wrapText="1"/>
    </xf>
    <xf numFmtId="0" fontId="9" fillId="21" borderId="18" xfId="0" applyFont="1" applyFill="1" applyBorder="1" applyAlignment="1">
      <alignment horizontal="center" vertical="center" textRotation="90" wrapText="1"/>
    </xf>
    <xf numFmtId="0" fontId="9" fillId="21" borderId="42" xfId="0" applyFont="1" applyFill="1" applyBorder="1" applyAlignment="1">
      <alignment horizontal="center" vertical="center" textRotation="90" wrapText="1"/>
    </xf>
    <xf numFmtId="164" fontId="11" fillId="8" borderId="44" xfId="0" applyNumberFormat="1" applyFont="1" applyFill="1" applyBorder="1" applyAlignment="1">
      <alignment horizontal="center" vertical="center" wrapText="1"/>
    </xf>
    <xf numFmtId="0" fontId="16" fillId="20" borderId="43" xfId="0" applyFont="1" applyFill="1" applyBorder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6" fillId="20" borderId="47" xfId="0" applyFont="1" applyFill="1" applyBorder="1" applyAlignment="1">
      <alignment horizontal="center" vertical="center" wrapText="1"/>
    </xf>
    <xf numFmtId="0" fontId="16" fillId="20" borderId="21" xfId="0" applyFont="1" applyFill="1" applyBorder="1" applyAlignment="1">
      <alignment horizontal="center" vertical="center" wrapText="1"/>
    </xf>
  </cellXfs>
  <cellStyles count="4">
    <cellStyle name="Lien hypertexte" xfId="3" builtinId="8"/>
    <cellStyle name="Normal" xfId="0" builtinId="0"/>
    <cellStyle name="Normal 2" xfId="2" xr:uid="{00000000-0005-0000-0000-000030000000}"/>
    <cellStyle name="Normal 3" xfId="1" xr:uid="{00000000-0005-0000-0000-00002F000000}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colors>
    <mruColors>
      <color rgb="FF9966FF"/>
      <color rgb="FFC981C2"/>
      <color rgb="FF66FFFF"/>
      <color rgb="FFFDBFF9"/>
      <color rgb="FF00FFCC"/>
      <color rgb="FF95FDFB"/>
      <color rgb="FFB3C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086.579963425924" createdVersion="6" refreshedVersion="6" minRefreshableVersion="3" recordCount="232" xr:uid="{4F67534D-C27B-4D5A-A33B-AE0BD903F44E}">
  <cacheSource type="worksheet">
    <worksheetSource ref="A4:S250" sheet="bilan de parcours  + démarches"/>
  </cacheSource>
  <cacheFields count="19">
    <cacheField name="nom" numFmtId="0">
      <sharedItems containsBlank="1" containsMixedTypes="1" containsNumber="1" containsInteger="1" minValue="0" maxValue="0"/>
    </cacheField>
    <cacheField name="prenom" numFmtId="0">
      <sharedItems containsBlank="1" containsMixedTypes="1" containsNumber="1" containsInteger="1" minValue="0" maxValue="0"/>
    </cacheField>
    <cacheField name="1er mois" numFmtId="0">
      <sharedItems containsString="0" containsBlank="1" containsNumber="1" containsInteger="1" minValue="10" maxValue="60"/>
    </cacheField>
    <cacheField name="2e mois" numFmtId="0">
      <sharedItems containsString="0" containsBlank="1" containsNumber="1" containsInteger="1" minValue="10" maxValue="60"/>
    </cacheField>
    <cacheField name="3e mois" numFmtId="0">
      <sharedItems containsString="0" containsBlank="1" containsNumber="1" containsInteger="1" minValue="10" maxValue="60"/>
    </cacheField>
    <cacheField name="4e mois" numFmtId="0">
      <sharedItems containsString="0" containsBlank="1" containsNumber="1" containsInteger="1" minValue="20" maxValue="60"/>
    </cacheField>
    <cacheField name="5e mois" numFmtId="0">
      <sharedItems containsString="0" containsBlank="1" containsNumber="1" containsInteger="1" minValue="20" maxValue="60"/>
    </cacheField>
    <cacheField name="6e mois" numFmtId="0">
      <sharedItems containsString="0" containsBlank="1" containsNumber="1" containsInteger="1" minValue="20" maxValue="60"/>
    </cacheField>
    <cacheField name="demande" numFmtId="0">
      <sharedItems containsNonDate="0" containsString="0" containsBlank="1"/>
    </cacheField>
    <cacheField name="Date" numFmtId="0">
      <sharedItems containsNonDate="0" containsString="0" containsBlank="1"/>
    </cacheField>
    <cacheField name="Renouvellement" numFmtId="0">
      <sharedItems containsNonDate="0" containsString="0" containsBlank="1"/>
    </cacheField>
    <cacheField name="8e mois" numFmtId="0">
      <sharedItems containsNonDate="0" containsString="0" containsBlank="1"/>
    </cacheField>
    <cacheField name="9e mois" numFmtId="0">
      <sharedItems containsNonDate="0" containsString="0" containsBlank="1"/>
    </cacheField>
    <cacheField name="10e mois" numFmtId="0">
      <sharedItems containsNonDate="0" containsString="0" containsBlank="1"/>
    </cacheField>
    <cacheField name="11e mois" numFmtId="0">
      <sharedItems containsNonDate="0" containsString="0" containsBlank="1"/>
    </cacheField>
    <cacheField name="12e mois" numFmtId="0">
      <sharedItems containsNonDate="0" containsString="0" containsBlank="1"/>
    </cacheField>
    <cacheField name="13e mois" numFmtId="0">
      <sharedItems containsNonDate="0" containsString="0" containsBlank="1"/>
    </cacheField>
    <cacheField name="Date " numFmtId="0">
      <sharedItems containsNonDate="0" containsString="0" containsBlank="1"/>
    </cacheField>
    <cacheField name="Préco Ré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086.579979629627" createdVersion="6" refreshedVersion="6" minRefreshableVersion="3" recordCount="108" xr:uid="{4FD2CCBE-7FCA-4163-B87A-97AC29607D48}">
  <cacheSource type="worksheet">
    <worksheetSource ref="A3:AD130" sheet="Sanctions + absence "/>
  </cacheSource>
  <cacheFields count="30">
    <cacheField name="Nom" numFmtId="0">
      <sharedItems/>
    </cacheField>
    <cacheField name="Prénom" numFmtId="0">
      <sharedItems/>
    </cacheField>
    <cacheField name="1ER RDV" numFmtId="0">
      <sharedItems containsString="0" containsBlank="1" containsNumber="1" containsInteger="1" minValue="1" maxValue="1"/>
    </cacheField>
    <cacheField name="2EME" numFmtId="0">
      <sharedItems containsString="0" containsBlank="1" containsNumber="1" containsInteger="1" minValue="1" maxValue="1"/>
    </cacheField>
    <cacheField name="1er mois" numFmtId="0">
      <sharedItems containsNonDate="0" containsString="0" containsBlank="1"/>
    </cacheField>
    <cacheField name="2e mois" numFmtId="0">
      <sharedItems containsNonDate="0" containsString="0" containsBlank="1"/>
    </cacheField>
    <cacheField name="3e mois" numFmtId="0">
      <sharedItems containsNonDate="0" containsString="0" containsBlank="1"/>
    </cacheField>
    <cacheField name="4e mois" numFmtId="0">
      <sharedItems containsNonDate="0" containsString="0" containsBlank="1"/>
    </cacheField>
    <cacheField name="5e mois" numFmtId="0">
      <sharedItems containsNonDate="0" containsString="0" containsBlank="1"/>
    </cacheField>
    <cacheField name="6e mois" numFmtId="0">
      <sharedItems containsNonDate="0" containsString="0" containsBlank="1"/>
    </cacheField>
    <cacheField name="7e mois" numFmtId="0">
      <sharedItems containsNonDate="0" containsString="0" containsBlank="1"/>
    </cacheField>
    <cacheField name="8e mois" numFmtId="0">
      <sharedItems containsNonDate="0" containsString="0" containsBlank="1"/>
    </cacheField>
    <cacheField name="9e mois" numFmtId="0">
      <sharedItems containsNonDate="0" containsString="0" containsBlank="1"/>
    </cacheField>
    <cacheField name="10e mois" numFmtId="0">
      <sharedItems containsNonDate="0" containsString="0" containsBlank="1"/>
    </cacheField>
    <cacheField name="11e mois" numFmtId="0">
      <sharedItems containsNonDate="0" containsString="0" containsBlank="1"/>
    </cacheField>
    <cacheField name="12e mois" numFmtId="0">
      <sharedItems containsNonDate="0" containsString="0" containsBlank="1"/>
    </cacheField>
    <cacheField name="Dde etude de situation." numFmtId="0">
      <sharedItems containsNonDate="0" containsString="0" containsBlank="1"/>
    </cacheField>
    <cacheField name="date de la demande " numFmtId="0">
      <sharedItems containsNonDate="0" containsString="0" containsBlank="1"/>
    </cacheField>
    <cacheField name="Date courrier CDS (voir extraction transmise)" numFmtId="0">
      <sharedItems containsNonDate="0" containsString="0" containsBlank="1"/>
    </cacheField>
    <cacheField name="Délai 15 jours pour contact" numFmtId="14">
      <sharedItems containsSemiMixedTypes="0" containsNonDate="0" containsDate="1" containsString="0" minDate="1900-01-14T00:00:00" maxDate="1900-01-15T00:00:00"/>
    </cacheField>
    <cacheField name="Contact BRSA - 15 jours  " numFmtId="0">
      <sharedItems containsNonDate="0" containsString="0" containsBlank="1"/>
    </cacheField>
    <cacheField name="Mail INFO CDS  " numFmtId="0">
      <sharedItems containsNonDate="0" containsString="0" containsBlank="1"/>
    </cacheField>
    <cacheField name="Délai de 35 jours pour reprendre contact" numFmtId="14">
      <sharedItems containsSemiMixedTypes="0" containsNonDate="0" containsDate="1" containsString="0" minDate="1900-02-18T00:00:00" maxDate="1900-02-19T00:00:00"/>
    </cacheField>
    <cacheField name="le BRSA s'est manifesté ? " numFmtId="0">
      <sharedItems containsNonDate="0" containsString="0" containsBlank="1"/>
    </cacheField>
    <cacheField name="Mail d'info au CDS manifestation ou non dans les 35 jours  " numFmtId="0">
      <sharedItems containsNonDate="0" containsString="0" containsBlank="1"/>
    </cacheField>
    <cacheField name="Date CLI si le BRSA ne s'est pas manifesté au bout des 35 jours " numFmtId="0">
      <sharedItems containsNonDate="0" containsString="0" containsBlank="1"/>
    </cacheField>
    <cacheField name="date demande étude de situation (Mail CDS)" numFmtId="0">
      <sharedItems containsNonDate="0" containsString="0" containsBlank="1"/>
    </cacheField>
    <cacheField name="DATE courrier CDS" numFmtId="0">
      <sharedItems containsNonDate="0" containsString="0" containsBlank="1"/>
    </cacheField>
    <cacheField name="35j pour reprendre contact date butoire " numFmtId="14">
      <sharedItems containsSemiMixedTypes="0" containsNonDate="0" containsDate="1" containsString="0" minDate="1900-02-03T00:00:00" maxDate="1900-02-04T00:00:00"/>
    </cacheField>
    <cacheField name="DATE CLI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196.378304861108" createdVersion="6" refreshedVersion="6" minRefreshableVersion="3" recordCount="204" xr:uid="{BA6892A6-3634-4835-AE9B-2313F715DDD2}">
  <cacheSource type="worksheet">
    <worksheetSource ref="B20:AM20" sheet="CROIX BLANCHE PG"/>
  </cacheSource>
  <cacheFields count="38">
    <cacheField name="H/F" numFmtId="0">
      <sharedItems containsBlank="1" count="3">
        <m/>
        <s v="Madame"/>
        <s v="Monsieur"/>
      </sharedItems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3" maxValue="66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Date="1" containsString="0" containsBlank="1" containsMixedTypes="1" minDate="2025-04-18T00:00:00" maxDate="2026-05-27T00:00:00"/>
    </cacheField>
    <cacheField name="DATE 1ER RDV fixé" numFmtId="0">
      <sharedItems containsDate="1" containsBlank="1" containsMixedTypes="1" minDate="2005-09-08T00:00:00" maxDate="2026-06-16T00:00:00"/>
    </cacheField>
    <cacheField name="C.E SIGNE" numFmtId="0">
      <sharedItems containsDate="1" containsBlank="1" containsMixedTypes="1" minDate="2025-07-16T00:00:00" maxDate="2026-07-31T00:00:00"/>
    </cacheField>
    <cacheField name="FIN CE 6 MOIS " numFmtId="14">
      <sharedItems containsDate="1" containsBlank="1" containsMixedTypes="1" minDate="1900-06-28T00:00:00" maxDate="2026-12-13T00:00:00"/>
    </cacheField>
    <cacheField name="BILAN PARCOURS (7eme mois)" numFmtId="14">
      <sharedItems containsBlank="1"/>
    </cacheField>
    <cacheField name="C.E SIGNE2" numFmtId="0">
      <sharedItems containsNonDate="0" containsString="0" containsBlank="1"/>
    </cacheField>
    <cacheField name="FIN CE 12 MOIS " numFmtId="14">
      <sharedItems containsNonDate="0" containsDate="1" containsString="0" containsBlank="1" minDate="1900-06-28T00:00:00" maxDate="1900-06-29T00:00:00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Blank="1"/>
    </cacheField>
    <cacheField name="NOMBRE D OFFRES D EMPLOI PROPOSEES (OE/INFO COLL/jobdating..)" numFmtId="0">
      <sharedItems containsBlank="1" containsMixedTypes="1" containsNumber="1" containsInteger="1" minValue="1" maxValue="17"/>
    </cacheField>
    <cacheField name="NBRE D ENTRETIENS DE RECRUTEMENT OBTENUS SUITE A VOS OFFRES D EMPLOI" numFmtId="0">
      <sharedItems containsBlank="1" containsMixedTypes="1" containsNumber="1" containsInteger="1" minValue="1" maxValue="10"/>
    </cacheField>
    <cacheField name="PMSMP (1 = oui)" numFmtId="0">
      <sharedItems containsString="0" containsBlank="1" containsNumber="1" containsInteger="1" minValue="1" maxValue="1"/>
    </cacheField>
    <cacheField name="Motif de sortie" numFmtId="0">
      <sharedItems containsBlank="1" count="9">
        <m/>
        <s v="Positive"/>
        <s v="Réorientation"/>
        <s v="Radié suite CLI"/>
        <s v="Fin DD"/>
        <s v="Déménagement"/>
        <s v="Renonciation RSA"/>
        <s v="Mauvaise orientation" u="1"/>
        <s v="autre" u="1"/>
      </sharedItems>
    </cacheField>
    <cacheField name="MOTIF de la REO" numFmtId="0">
      <sharedItems containsBlank="1" count="8">
        <m/>
        <s v="Social freins+"/>
        <s v="Sociale maternité"/>
        <s v="BGE"/>
        <s v="FT acc pro"/>
        <s v="Sociale retraite"/>
        <s v="Arret mal longue durée" u="1"/>
        <s v="FT acco glo" u="1"/>
      </sharedItems>
    </cacheField>
    <cacheField name="types" numFmtId="0">
      <sharedItems containsBlank="1" count="9">
        <m/>
        <s v="CDI &gt;ou= 24h"/>
        <s v="Stagiaire de la formation"/>
        <s v="Créa"/>
        <s v="SIAE (FT)"/>
        <s v="France Travail"/>
        <s v="CDD +6mois &gt;ou=254h" u="1"/>
        <s v="Formation certifiante ou qualifiante" u="1"/>
        <s v="FT SIAE" u="1"/>
      </sharedItems>
    </cacheField>
    <cacheField name="DATE SORTIE" numFmtId="14">
      <sharedItems containsNonDate="0" containsDate="1" containsString="0" containsBlank="1" minDate="2025-08-07T00:00:00" maxDate="2026-06-26T00:00:00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String="0" containsBlank="1" containsNumber="1" containsInteger="1" minValue="1" maxValue="1"/>
    </cacheField>
    <cacheField name="Declic Emploi HBA" numFmtId="0">
      <sharedItems containsNonDate="0" containsString="0" containsBlank="1"/>
    </cacheField>
    <cacheField name="MIFE 01" numFmtId="0">
      <sharedItems containsString="0" containsBlank="1" containsNumber="1" containsInteger="1" minValue="1" maxValue="1"/>
    </cacheField>
    <cacheField name="AIDE FINANCIERE " numFmtId="0">
      <sharedItems containsNonDate="0" containsString="0" containsBlank="1"/>
    </cacheField>
    <cacheField name="Conseillers numériques" numFmtId="0">
      <sharedItems containsNonDate="0" containsString="0" containsBlank="1"/>
    </cacheField>
    <cacheField name="GO ON" numFmtId="0">
      <sharedItems containsNonDate="0" containsString="0" containsBlank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String="0" containsBlank="1" containsNumber="1" containsInteger="1" minValue="1" maxValue="1"/>
    </cacheField>
    <cacheField name="ADAPT " numFmtId="0">
      <sharedItems containsNonDate="0" containsString="0" containsBlank="1"/>
    </cacheField>
    <cacheField name="ORSAC " numFmtId="0">
      <sharedItems containsString="0" containsBlank="1" containsNumber="1" containsInteger="1" minValue="1" maxValue="1"/>
    </cacheField>
    <cacheField name="REPIT PARENTAL" numFmtId="0">
      <sharedItems containsNonDate="0" containsString="0" containsBlank="1"/>
    </cacheField>
    <cacheField name="Clauses sociales" numFmtId="0">
      <sharedItems containsString="0" containsBlank="1" containsNumber="1" containsInteger="1" minValue="1" maxValue="1"/>
    </cacheField>
    <cacheField name="Autres (preciser)" numFmtId="0">
      <sharedItems containsBlank="1"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ABDOULAYE ISSAKH"/>
    <s v="Yaya"/>
    <m/>
    <m/>
    <m/>
    <m/>
    <m/>
    <m/>
    <m/>
    <m/>
    <m/>
    <m/>
    <m/>
    <m/>
    <m/>
    <m/>
    <m/>
    <m/>
    <m/>
  </r>
  <r>
    <s v="AHMADI"/>
    <s v="Diba"/>
    <n v="40"/>
    <n v="40"/>
    <n v="40"/>
    <m/>
    <m/>
    <m/>
    <m/>
    <m/>
    <m/>
    <m/>
    <m/>
    <m/>
    <m/>
    <m/>
    <m/>
    <m/>
    <m/>
  </r>
  <r>
    <s v="AIOUAZ"/>
    <s v="Khadija"/>
    <m/>
    <m/>
    <m/>
    <m/>
    <m/>
    <m/>
    <m/>
    <m/>
    <m/>
    <m/>
    <m/>
    <m/>
    <m/>
    <m/>
    <m/>
    <m/>
    <m/>
  </r>
  <r>
    <s v="AMARI"/>
    <s v="Yamina"/>
    <m/>
    <m/>
    <m/>
    <m/>
    <m/>
    <m/>
    <m/>
    <m/>
    <m/>
    <m/>
    <m/>
    <m/>
    <m/>
    <m/>
    <m/>
    <m/>
    <m/>
  </r>
  <r>
    <s v="ARIFI"/>
    <s v="Sabrina"/>
    <m/>
    <m/>
    <m/>
    <m/>
    <m/>
    <m/>
    <m/>
    <m/>
    <m/>
    <m/>
    <m/>
    <m/>
    <m/>
    <m/>
    <m/>
    <m/>
    <m/>
  </r>
  <r>
    <s v="ATHOUMANI"/>
    <s v="Marie"/>
    <m/>
    <m/>
    <m/>
    <m/>
    <m/>
    <m/>
    <m/>
    <m/>
    <m/>
    <m/>
    <m/>
    <m/>
    <m/>
    <m/>
    <m/>
    <m/>
    <m/>
  </r>
  <r>
    <s v="BACAR"/>
    <s v="Mariata"/>
    <n v="60"/>
    <n v="60"/>
    <m/>
    <m/>
    <m/>
    <m/>
    <m/>
    <m/>
    <m/>
    <m/>
    <m/>
    <m/>
    <m/>
    <m/>
    <m/>
    <m/>
    <m/>
  </r>
  <r>
    <s v="BAHAR"/>
    <s v="Laura"/>
    <m/>
    <m/>
    <m/>
    <m/>
    <m/>
    <m/>
    <m/>
    <m/>
    <m/>
    <m/>
    <m/>
    <m/>
    <m/>
    <m/>
    <m/>
    <m/>
    <m/>
  </r>
  <r>
    <s v="BAITICHE"/>
    <s v="Karima"/>
    <n v="10"/>
    <n v="10"/>
    <n v="10"/>
    <m/>
    <m/>
    <m/>
    <m/>
    <m/>
    <m/>
    <m/>
    <m/>
    <m/>
    <m/>
    <m/>
    <m/>
    <m/>
    <m/>
  </r>
  <r>
    <s v="BARAT"/>
    <s v="Sayed"/>
    <m/>
    <m/>
    <m/>
    <m/>
    <m/>
    <m/>
    <m/>
    <m/>
    <m/>
    <m/>
    <m/>
    <m/>
    <m/>
    <m/>
    <m/>
    <m/>
    <m/>
  </r>
  <r>
    <s v="BEKELE"/>
    <s v="Eteferahu"/>
    <m/>
    <m/>
    <m/>
    <m/>
    <m/>
    <m/>
    <m/>
    <m/>
    <m/>
    <m/>
    <m/>
    <m/>
    <m/>
    <m/>
    <m/>
    <m/>
    <m/>
  </r>
  <r>
    <s v="BELFASSI"/>
    <s v="Maria Dolores"/>
    <n v="20"/>
    <n v="20"/>
    <m/>
    <m/>
    <m/>
    <m/>
    <m/>
    <m/>
    <m/>
    <m/>
    <m/>
    <m/>
    <m/>
    <m/>
    <m/>
    <m/>
    <m/>
  </r>
  <r>
    <s v="BENAISSA"/>
    <s v="Radia"/>
    <n v="60"/>
    <n v="60"/>
    <m/>
    <m/>
    <m/>
    <m/>
    <m/>
    <m/>
    <m/>
    <m/>
    <m/>
    <m/>
    <m/>
    <m/>
    <m/>
    <m/>
    <m/>
  </r>
  <r>
    <s v="BEN EL OUALI"/>
    <s v="Anouar"/>
    <m/>
    <m/>
    <m/>
    <m/>
    <m/>
    <m/>
    <m/>
    <m/>
    <m/>
    <m/>
    <m/>
    <m/>
    <m/>
    <m/>
    <m/>
    <m/>
    <m/>
  </r>
  <r>
    <s v="BENOIT"/>
    <s v="Xavier"/>
    <m/>
    <m/>
    <m/>
    <m/>
    <m/>
    <m/>
    <m/>
    <m/>
    <m/>
    <m/>
    <m/>
    <m/>
    <m/>
    <m/>
    <m/>
    <m/>
    <m/>
  </r>
  <r>
    <s v="BENZEKHROUFA"/>
    <s v="Abdelghani"/>
    <m/>
    <m/>
    <m/>
    <m/>
    <m/>
    <m/>
    <m/>
    <m/>
    <m/>
    <m/>
    <m/>
    <m/>
    <m/>
    <m/>
    <m/>
    <m/>
    <m/>
  </r>
  <r>
    <s v="BERTHILLOT"/>
    <s v="Léa"/>
    <m/>
    <m/>
    <m/>
    <m/>
    <m/>
    <m/>
    <m/>
    <m/>
    <m/>
    <m/>
    <m/>
    <m/>
    <m/>
    <m/>
    <m/>
    <m/>
    <m/>
  </r>
  <r>
    <s v="BLANC"/>
    <s v="Mélissa"/>
    <m/>
    <m/>
    <m/>
    <m/>
    <m/>
    <m/>
    <m/>
    <m/>
    <m/>
    <m/>
    <m/>
    <m/>
    <m/>
    <m/>
    <m/>
    <m/>
    <m/>
  </r>
  <r>
    <s v="BONNET"/>
    <s v="Cédric"/>
    <n v="10"/>
    <n v="10"/>
    <n v="10"/>
    <m/>
    <m/>
    <m/>
    <m/>
    <m/>
    <m/>
    <m/>
    <m/>
    <m/>
    <m/>
    <m/>
    <m/>
    <m/>
    <m/>
  </r>
  <r>
    <s v="BOUILLOUX"/>
    <s v="Nikolas"/>
    <m/>
    <m/>
    <m/>
    <m/>
    <m/>
    <m/>
    <m/>
    <m/>
    <m/>
    <m/>
    <m/>
    <m/>
    <m/>
    <m/>
    <m/>
    <m/>
    <m/>
  </r>
  <r>
    <s v="BOUVET"/>
    <s v="Christina"/>
    <m/>
    <m/>
    <m/>
    <m/>
    <m/>
    <m/>
    <m/>
    <m/>
    <m/>
    <m/>
    <m/>
    <m/>
    <m/>
    <m/>
    <m/>
    <m/>
    <m/>
  </r>
  <r>
    <s v="BOUVIER"/>
    <s v="Vanessa"/>
    <m/>
    <m/>
    <m/>
    <m/>
    <m/>
    <m/>
    <m/>
    <m/>
    <m/>
    <m/>
    <m/>
    <m/>
    <m/>
    <m/>
    <m/>
    <m/>
    <m/>
  </r>
  <r>
    <s v="BRACH"/>
    <s v="Fatiha"/>
    <m/>
    <m/>
    <m/>
    <m/>
    <m/>
    <m/>
    <m/>
    <m/>
    <m/>
    <m/>
    <m/>
    <m/>
    <m/>
    <m/>
    <m/>
    <m/>
    <m/>
  </r>
  <r>
    <s v="BRECANI"/>
    <s v="Arjana"/>
    <n v="60"/>
    <n v="60"/>
    <n v="60"/>
    <m/>
    <m/>
    <m/>
    <m/>
    <m/>
    <m/>
    <m/>
    <m/>
    <m/>
    <m/>
    <m/>
    <m/>
    <m/>
    <m/>
  </r>
  <r>
    <s v="BRISSON"/>
    <s v="Amelie"/>
    <m/>
    <m/>
    <m/>
    <m/>
    <m/>
    <m/>
    <m/>
    <m/>
    <m/>
    <m/>
    <m/>
    <m/>
    <m/>
    <m/>
    <m/>
    <m/>
    <m/>
  </r>
  <r>
    <s v="BRUNET"/>
    <s v="Carole"/>
    <m/>
    <m/>
    <m/>
    <m/>
    <m/>
    <m/>
    <m/>
    <m/>
    <m/>
    <m/>
    <m/>
    <m/>
    <m/>
    <m/>
    <m/>
    <m/>
    <m/>
  </r>
  <r>
    <s v="BRUZEAU"/>
    <s v="Laura"/>
    <m/>
    <m/>
    <m/>
    <m/>
    <m/>
    <m/>
    <m/>
    <m/>
    <m/>
    <m/>
    <m/>
    <m/>
    <m/>
    <m/>
    <m/>
    <m/>
    <m/>
  </r>
  <r>
    <s v="BUATTIER"/>
    <s v="Christelle"/>
    <m/>
    <m/>
    <m/>
    <m/>
    <m/>
    <m/>
    <m/>
    <m/>
    <m/>
    <m/>
    <m/>
    <m/>
    <m/>
    <m/>
    <m/>
    <m/>
    <m/>
  </r>
  <r>
    <s v="BULINGE"/>
    <s v="Corentin"/>
    <m/>
    <m/>
    <m/>
    <m/>
    <m/>
    <m/>
    <m/>
    <m/>
    <m/>
    <m/>
    <m/>
    <m/>
    <m/>
    <m/>
    <m/>
    <m/>
    <m/>
  </r>
  <r>
    <s v="CEESAY"/>
    <s v="Serra"/>
    <m/>
    <m/>
    <m/>
    <m/>
    <m/>
    <m/>
    <m/>
    <m/>
    <m/>
    <m/>
    <m/>
    <m/>
    <m/>
    <m/>
    <m/>
    <m/>
    <m/>
  </r>
  <r>
    <s v="CESSIN"/>
    <s v="Patrick"/>
    <m/>
    <m/>
    <m/>
    <m/>
    <m/>
    <m/>
    <m/>
    <m/>
    <m/>
    <m/>
    <m/>
    <m/>
    <m/>
    <m/>
    <m/>
    <m/>
    <m/>
  </r>
  <r>
    <s v="CHACON COTOS"/>
    <s v="Yesica"/>
    <n v="20"/>
    <m/>
    <m/>
    <m/>
    <m/>
    <m/>
    <m/>
    <m/>
    <m/>
    <m/>
    <m/>
    <m/>
    <m/>
    <m/>
    <m/>
    <m/>
    <m/>
  </r>
  <r>
    <s v="CHARNAY"/>
    <s v="Cindy"/>
    <m/>
    <m/>
    <m/>
    <m/>
    <m/>
    <m/>
    <m/>
    <m/>
    <m/>
    <m/>
    <m/>
    <m/>
    <m/>
    <m/>
    <m/>
    <m/>
    <m/>
  </r>
  <r>
    <s v="CHAVE"/>
    <s v="Baptiste"/>
    <n v="60"/>
    <n v="60"/>
    <n v="60"/>
    <m/>
    <m/>
    <m/>
    <m/>
    <m/>
    <m/>
    <m/>
    <m/>
    <m/>
    <m/>
    <m/>
    <m/>
    <m/>
    <m/>
  </r>
  <r>
    <s v="CHOMETTON"/>
    <s v="Lydie"/>
    <m/>
    <m/>
    <m/>
    <m/>
    <m/>
    <m/>
    <m/>
    <m/>
    <m/>
    <m/>
    <m/>
    <m/>
    <m/>
    <m/>
    <m/>
    <m/>
    <m/>
  </r>
  <r>
    <s v="DAOUD"/>
    <s v="Boina"/>
    <n v="20"/>
    <n v="20"/>
    <n v="20"/>
    <m/>
    <m/>
    <m/>
    <m/>
    <m/>
    <m/>
    <m/>
    <m/>
    <m/>
    <m/>
    <m/>
    <m/>
    <m/>
    <m/>
  </r>
  <r>
    <s v="DA SILVA GONCALVES"/>
    <s v="Samuel"/>
    <n v="60"/>
    <n v="60"/>
    <m/>
    <m/>
    <m/>
    <m/>
    <m/>
    <m/>
    <m/>
    <m/>
    <m/>
    <m/>
    <m/>
    <m/>
    <m/>
    <m/>
    <m/>
  </r>
  <r>
    <s v="DBIJA"/>
    <s v="Hafida"/>
    <m/>
    <m/>
    <m/>
    <m/>
    <m/>
    <m/>
    <m/>
    <m/>
    <m/>
    <m/>
    <m/>
    <m/>
    <m/>
    <m/>
    <m/>
    <m/>
    <m/>
  </r>
  <r>
    <s v="DECAILLON"/>
    <s v="Candide"/>
    <n v="60"/>
    <n v="60"/>
    <n v="60"/>
    <n v="60"/>
    <m/>
    <m/>
    <m/>
    <m/>
    <m/>
    <m/>
    <m/>
    <m/>
    <m/>
    <m/>
    <m/>
    <m/>
    <m/>
  </r>
  <r>
    <s v="DEMIRKAZIK"/>
    <s v="Ramazan"/>
    <m/>
    <m/>
    <m/>
    <m/>
    <m/>
    <m/>
    <m/>
    <m/>
    <m/>
    <m/>
    <m/>
    <m/>
    <m/>
    <m/>
    <m/>
    <m/>
    <m/>
  </r>
  <r>
    <s v="DOTHAL"/>
    <s v="Justine"/>
    <n v="60"/>
    <n v="60"/>
    <m/>
    <m/>
    <m/>
    <m/>
    <m/>
    <m/>
    <m/>
    <m/>
    <m/>
    <m/>
    <m/>
    <m/>
    <m/>
    <m/>
    <m/>
  </r>
  <r>
    <s v="EL MOUSTAOUI"/>
    <s v="Sadik"/>
    <m/>
    <m/>
    <m/>
    <m/>
    <m/>
    <m/>
    <m/>
    <m/>
    <m/>
    <m/>
    <m/>
    <m/>
    <m/>
    <m/>
    <m/>
    <m/>
    <m/>
  </r>
  <r>
    <s v="ESPRIT"/>
    <s v="Jessicka"/>
    <m/>
    <m/>
    <m/>
    <m/>
    <m/>
    <m/>
    <m/>
    <m/>
    <m/>
    <m/>
    <m/>
    <m/>
    <m/>
    <m/>
    <m/>
    <m/>
    <m/>
  </r>
  <r>
    <s v="FERREIRA"/>
    <s v="Julien"/>
    <m/>
    <m/>
    <m/>
    <m/>
    <m/>
    <m/>
    <m/>
    <m/>
    <m/>
    <m/>
    <m/>
    <m/>
    <m/>
    <m/>
    <m/>
    <m/>
    <m/>
  </r>
  <r>
    <s v="FETET"/>
    <s v="Jennifer"/>
    <n v="60"/>
    <m/>
    <m/>
    <m/>
    <m/>
    <m/>
    <m/>
    <m/>
    <m/>
    <m/>
    <m/>
    <m/>
    <m/>
    <m/>
    <m/>
    <m/>
    <m/>
  </r>
  <r>
    <s v="FETET"/>
    <s v="Laura"/>
    <n v="60"/>
    <n v="60"/>
    <n v="60"/>
    <m/>
    <m/>
    <m/>
    <m/>
    <m/>
    <m/>
    <m/>
    <m/>
    <m/>
    <m/>
    <m/>
    <m/>
    <m/>
    <m/>
  </r>
  <r>
    <s v="GOBERT"/>
    <s v="Edwige"/>
    <m/>
    <m/>
    <m/>
    <m/>
    <m/>
    <m/>
    <m/>
    <m/>
    <m/>
    <m/>
    <m/>
    <m/>
    <m/>
    <m/>
    <m/>
    <m/>
    <m/>
  </r>
  <r>
    <s v="GOKBULUT"/>
    <s v="Eda"/>
    <m/>
    <m/>
    <m/>
    <m/>
    <m/>
    <m/>
    <m/>
    <m/>
    <m/>
    <m/>
    <m/>
    <m/>
    <m/>
    <m/>
    <m/>
    <m/>
    <m/>
  </r>
  <r>
    <s v="HADZI-ALIJA"/>
    <s v="Erdan"/>
    <m/>
    <m/>
    <m/>
    <m/>
    <m/>
    <m/>
    <m/>
    <m/>
    <m/>
    <m/>
    <m/>
    <m/>
    <m/>
    <m/>
    <m/>
    <m/>
    <m/>
  </r>
  <r>
    <s v="HAMMOUMI"/>
    <s v="Mohammed"/>
    <m/>
    <m/>
    <m/>
    <m/>
    <m/>
    <m/>
    <m/>
    <m/>
    <m/>
    <m/>
    <m/>
    <m/>
    <m/>
    <m/>
    <m/>
    <m/>
    <m/>
  </r>
  <r>
    <s v="HASSANI"/>
    <s v="Koulthoumi"/>
    <m/>
    <m/>
    <m/>
    <m/>
    <m/>
    <m/>
    <m/>
    <m/>
    <m/>
    <m/>
    <m/>
    <m/>
    <m/>
    <m/>
    <m/>
    <m/>
    <m/>
  </r>
  <r>
    <s v="HOUICHI"/>
    <s v="Hikmet"/>
    <n v="60"/>
    <n v="60"/>
    <n v="60"/>
    <n v="60"/>
    <n v="60"/>
    <m/>
    <m/>
    <m/>
    <m/>
    <m/>
    <m/>
    <m/>
    <m/>
    <m/>
    <m/>
    <m/>
    <m/>
  </r>
  <r>
    <s v="KALINDA"/>
    <s v="Léopold"/>
    <m/>
    <m/>
    <m/>
    <m/>
    <m/>
    <m/>
    <m/>
    <m/>
    <m/>
    <m/>
    <m/>
    <m/>
    <m/>
    <m/>
    <m/>
    <m/>
    <m/>
  </r>
  <r>
    <s v="KARADAVUT"/>
    <s v="Pembe"/>
    <m/>
    <m/>
    <m/>
    <m/>
    <m/>
    <m/>
    <m/>
    <m/>
    <m/>
    <m/>
    <m/>
    <m/>
    <m/>
    <m/>
    <m/>
    <m/>
    <m/>
  </r>
  <r>
    <s v="KASEMI "/>
    <s v="Elsaïda"/>
    <m/>
    <m/>
    <m/>
    <m/>
    <m/>
    <m/>
    <m/>
    <m/>
    <m/>
    <m/>
    <m/>
    <m/>
    <m/>
    <m/>
    <m/>
    <m/>
    <m/>
  </r>
  <r>
    <s v="KAYRE"/>
    <s v="Fatou Kine"/>
    <m/>
    <m/>
    <m/>
    <m/>
    <m/>
    <m/>
    <m/>
    <m/>
    <m/>
    <m/>
    <m/>
    <m/>
    <m/>
    <m/>
    <m/>
    <m/>
    <m/>
  </r>
  <r>
    <s v="KIM"/>
    <s v="Stéphane"/>
    <m/>
    <m/>
    <m/>
    <m/>
    <m/>
    <m/>
    <m/>
    <m/>
    <m/>
    <m/>
    <m/>
    <m/>
    <m/>
    <m/>
    <m/>
    <m/>
    <m/>
  </r>
  <r>
    <s v="KULIKOVA"/>
    <s v="Oléna"/>
    <m/>
    <m/>
    <m/>
    <m/>
    <m/>
    <m/>
    <m/>
    <m/>
    <m/>
    <m/>
    <m/>
    <m/>
    <m/>
    <m/>
    <m/>
    <m/>
    <m/>
  </r>
  <r>
    <s v="LAARABA"/>
    <s v="Saida"/>
    <m/>
    <m/>
    <m/>
    <m/>
    <m/>
    <m/>
    <m/>
    <m/>
    <m/>
    <m/>
    <m/>
    <m/>
    <m/>
    <m/>
    <m/>
    <m/>
    <m/>
  </r>
  <r>
    <s v="LAMBERT"/>
    <s v="Jennifer"/>
    <m/>
    <m/>
    <m/>
    <m/>
    <m/>
    <m/>
    <m/>
    <m/>
    <m/>
    <m/>
    <m/>
    <m/>
    <m/>
    <m/>
    <m/>
    <m/>
    <m/>
  </r>
  <r>
    <s v="LENOIR"/>
    <s v="Sabrina"/>
    <m/>
    <m/>
    <m/>
    <m/>
    <m/>
    <m/>
    <m/>
    <m/>
    <m/>
    <m/>
    <m/>
    <m/>
    <m/>
    <m/>
    <m/>
    <m/>
    <m/>
  </r>
  <r>
    <s v="LEONARDE"/>
    <s v="Bibiane"/>
    <m/>
    <m/>
    <m/>
    <m/>
    <m/>
    <m/>
    <m/>
    <m/>
    <m/>
    <m/>
    <m/>
    <m/>
    <m/>
    <m/>
    <m/>
    <m/>
    <m/>
  </r>
  <r>
    <s v="LIKIDI"/>
    <s v="Quektor"/>
    <m/>
    <m/>
    <m/>
    <m/>
    <m/>
    <m/>
    <m/>
    <m/>
    <m/>
    <m/>
    <m/>
    <m/>
    <m/>
    <m/>
    <m/>
    <m/>
    <m/>
  </r>
  <r>
    <s v="LOUCIF"/>
    <s v="Ines"/>
    <n v="60"/>
    <n v="60"/>
    <n v="60"/>
    <n v="60"/>
    <n v="60"/>
    <n v="60"/>
    <m/>
    <m/>
    <m/>
    <m/>
    <m/>
    <m/>
    <m/>
    <m/>
    <m/>
    <m/>
    <m/>
  </r>
  <r>
    <s v="MARRET"/>
    <s v="Alan"/>
    <m/>
    <m/>
    <m/>
    <m/>
    <m/>
    <m/>
    <m/>
    <m/>
    <m/>
    <m/>
    <m/>
    <m/>
    <m/>
    <m/>
    <m/>
    <m/>
    <m/>
  </r>
  <r>
    <s v="MERCIER"/>
    <s v="Florent"/>
    <m/>
    <m/>
    <m/>
    <m/>
    <m/>
    <m/>
    <m/>
    <m/>
    <m/>
    <m/>
    <m/>
    <m/>
    <m/>
    <m/>
    <m/>
    <m/>
    <m/>
  </r>
  <r>
    <s v="MEUNIER"/>
    <s v="Yann"/>
    <n v="20"/>
    <n v="20"/>
    <n v="20"/>
    <n v="20"/>
    <n v="20"/>
    <m/>
    <m/>
    <m/>
    <m/>
    <m/>
    <m/>
    <m/>
    <m/>
    <m/>
    <m/>
    <m/>
    <m/>
  </r>
  <r>
    <s v="MOLL "/>
    <s v="Armand"/>
    <m/>
    <m/>
    <m/>
    <m/>
    <m/>
    <m/>
    <m/>
    <m/>
    <m/>
    <m/>
    <m/>
    <m/>
    <m/>
    <m/>
    <m/>
    <m/>
    <m/>
  </r>
  <r>
    <s v="MOLLA"/>
    <s v="Romina"/>
    <n v="20"/>
    <n v="20"/>
    <m/>
    <m/>
    <m/>
    <m/>
    <m/>
    <m/>
    <m/>
    <m/>
    <m/>
    <m/>
    <m/>
    <m/>
    <m/>
    <m/>
    <m/>
  </r>
  <r>
    <s v="MOREL"/>
    <s v="Alexandre"/>
    <n v="60"/>
    <n v="60"/>
    <n v="60"/>
    <n v="60"/>
    <n v="60"/>
    <m/>
    <m/>
    <m/>
    <m/>
    <m/>
    <m/>
    <m/>
    <m/>
    <m/>
    <m/>
    <m/>
    <m/>
  </r>
  <r>
    <s v="MOREL"/>
    <s v="Virginie"/>
    <n v="60"/>
    <n v="60"/>
    <n v="60"/>
    <n v="60"/>
    <m/>
    <m/>
    <m/>
    <m/>
    <m/>
    <m/>
    <m/>
    <m/>
    <m/>
    <m/>
    <m/>
    <m/>
    <m/>
  </r>
  <r>
    <s v="MOSES"/>
    <s v="Jal"/>
    <n v="60"/>
    <m/>
    <m/>
    <m/>
    <m/>
    <m/>
    <m/>
    <m/>
    <m/>
    <m/>
    <m/>
    <m/>
    <m/>
    <m/>
    <m/>
    <m/>
    <m/>
  </r>
  <r>
    <s v="MOSSMAN"/>
    <s v="Tiaré"/>
    <n v="20"/>
    <m/>
    <m/>
    <m/>
    <m/>
    <m/>
    <m/>
    <m/>
    <m/>
    <m/>
    <m/>
    <m/>
    <m/>
    <m/>
    <m/>
    <m/>
    <m/>
  </r>
  <r>
    <s v="MOURAUD"/>
    <s v="Kévin"/>
    <n v="20"/>
    <n v="20"/>
    <n v="20"/>
    <n v="20"/>
    <n v="20"/>
    <n v="20"/>
    <m/>
    <m/>
    <m/>
    <m/>
    <m/>
    <m/>
    <m/>
    <m/>
    <m/>
    <m/>
    <m/>
  </r>
  <r>
    <s v="MOUSTOIFFA"/>
    <s v="Zaïna"/>
    <m/>
    <m/>
    <m/>
    <m/>
    <m/>
    <m/>
    <m/>
    <m/>
    <m/>
    <m/>
    <m/>
    <m/>
    <m/>
    <m/>
    <m/>
    <m/>
    <m/>
  </r>
  <r>
    <s v="MTIMET"/>
    <s v="Ridha"/>
    <m/>
    <m/>
    <m/>
    <m/>
    <m/>
    <m/>
    <m/>
    <m/>
    <m/>
    <m/>
    <m/>
    <m/>
    <m/>
    <m/>
    <m/>
    <m/>
    <m/>
  </r>
  <r>
    <s v="MZOURI"/>
    <s v="Chama"/>
    <m/>
    <m/>
    <m/>
    <m/>
    <m/>
    <m/>
    <m/>
    <m/>
    <m/>
    <m/>
    <m/>
    <m/>
    <m/>
    <m/>
    <m/>
    <m/>
    <m/>
  </r>
  <r>
    <s v="OULAD AYAD"/>
    <s v="Loubna"/>
    <m/>
    <m/>
    <m/>
    <m/>
    <m/>
    <m/>
    <m/>
    <m/>
    <m/>
    <m/>
    <m/>
    <m/>
    <m/>
    <m/>
    <m/>
    <m/>
    <m/>
  </r>
  <r>
    <s v="OUSMANE"/>
    <s v="Tidiane"/>
    <m/>
    <m/>
    <m/>
    <m/>
    <m/>
    <m/>
    <m/>
    <m/>
    <m/>
    <m/>
    <m/>
    <m/>
    <m/>
    <m/>
    <m/>
    <m/>
    <m/>
  </r>
  <r>
    <s v="PAGE "/>
    <s v="Francesca"/>
    <n v="60"/>
    <n v="60"/>
    <n v="60"/>
    <m/>
    <m/>
    <m/>
    <m/>
    <m/>
    <m/>
    <m/>
    <m/>
    <m/>
    <m/>
    <m/>
    <m/>
    <m/>
    <m/>
  </r>
  <r>
    <s v="PAUVIL"/>
    <s v="Pauline"/>
    <m/>
    <m/>
    <m/>
    <m/>
    <m/>
    <m/>
    <m/>
    <m/>
    <m/>
    <m/>
    <m/>
    <m/>
    <m/>
    <m/>
    <m/>
    <m/>
    <m/>
  </r>
  <r>
    <s v="PEKDURU"/>
    <s v="Pembe"/>
    <m/>
    <m/>
    <m/>
    <m/>
    <m/>
    <m/>
    <m/>
    <m/>
    <m/>
    <m/>
    <m/>
    <m/>
    <m/>
    <m/>
    <m/>
    <m/>
    <m/>
  </r>
  <r>
    <s v="PIERRE-LOUIS"/>
    <s v="Stephen"/>
    <m/>
    <m/>
    <m/>
    <m/>
    <m/>
    <m/>
    <m/>
    <m/>
    <m/>
    <m/>
    <m/>
    <m/>
    <m/>
    <m/>
    <m/>
    <m/>
    <m/>
  </r>
  <r>
    <s v="PINHEIRO"/>
    <s v="Alexandre"/>
    <n v="20"/>
    <m/>
    <m/>
    <m/>
    <m/>
    <m/>
    <m/>
    <m/>
    <m/>
    <m/>
    <m/>
    <m/>
    <m/>
    <m/>
    <m/>
    <m/>
    <m/>
  </r>
  <r>
    <s v="PINTO"/>
    <s v="Jason"/>
    <n v="60"/>
    <n v="60"/>
    <n v="60"/>
    <m/>
    <m/>
    <m/>
    <m/>
    <m/>
    <m/>
    <m/>
    <m/>
    <m/>
    <m/>
    <m/>
    <m/>
    <m/>
    <m/>
  </r>
  <r>
    <s v="PUZIN"/>
    <s v="Jacky"/>
    <m/>
    <m/>
    <m/>
    <m/>
    <m/>
    <m/>
    <m/>
    <m/>
    <m/>
    <m/>
    <m/>
    <m/>
    <m/>
    <m/>
    <m/>
    <m/>
    <m/>
  </r>
  <r>
    <s v="RAHZI"/>
    <s v="Abdelhakim"/>
    <m/>
    <m/>
    <m/>
    <m/>
    <m/>
    <m/>
    <m/>
    <m/>
    <m/>
    <m/>
    <m/>
    <m/>
    <m/>
    <m/>
    <m/>
    <m/>
    <m/>
  </r>
  <r>
    <s v="RIBOLLA"/>
    <s v="Fabien"/>
    <n v="20"/>
    <n v="20"/>
    <m/>
    <m/>
    <m/>
    <m/>
    <m/>
    <m/>
    <m/>
    <m/>
    <m/>
    <m/>
    <m/>
    <m/>
    <m/>
    <m/>
    <m/>
  </r>
  <r>
    <s v="ROIDA"/>
    <s v="Hamid"/>
    <m/>
    <m/>
    <m/>
    <m/>
    <m/>
    <m/>
    <m/>
    <m/>
    <m/>
    <m/>
    <m/>
    <m/>
    <m/>
    <m/>
    <m/>
    <m/>
    <m/>
  </r>
  <r>
    <s v="ROUSSEAUX"/>
    <s v="Frédéric"/>
    <n v="20"/>
    <n v="20"/>
    <n v="20"/>
    <m/>
    <m/>
    <m/>
    <m/>
    <m/>
    <m/>
    <m/>
    <m/>
    <m/>
    <m/>
    <m/>
    <m/>
    <m/>
    <m/>
  </r>
  <r>
    <s v="RUSITI"/>
    <s v="Silvano"/>
    <m/>
    <m/>
    <m/>
    <m/>
    <m/>
    <m/>
    <m/>
    <m/>
    <m/>
    <m/>
    <m/>
    <m/>
    <m/>
    <m/>
    <m/>
    <m/>
    <m/>
  </r>
  <r>
    <s v="SAEED"/>
    <s v="Sumaia"/>
    <n v="60"/>
    <n v="60"/>
    <n v="60"/>
    <m/>
    <m/>
    <m/>
    <m/>
    <m/>
    <m/>
    <m/>
    <m/>
    <m/>
    <m/>
    <m/>
    <m/>
    <m/>
    <m/>
  </r>
  <r>
    <s v="SATTA"/>
    <s v="Saadia"/>
    <n v="30"/>
    <n v="30"/>
    <n v="30"/>
    <m/>
    <m/>
    <m/>
    <m/>
    <m/>
    <m/>
    <m/>
    <m/>
    <m/>
    <m/>
    <m/>
    <m/>
    <m/>
    <m/>
  </r>
  <r>
    <s v="SAVOVA"/>
    <s v="Snejana"/>
    <n v="20"/>
    <n v="20"/>
    <n v="20"/>
    <n v="20"/>
    <m/>
    <m/>
    <m/>
    <m/>
    <m/>
    <m/>
    <m/>
    <m/>
    <m/>
    <m/>
    <m/>
    <m/>
    <m/>
  </r>
  <r>
    <s v="SAWAS"/>
    <s v="Fatina"/>
    <m/>
    <m/>
    <m/>
    <m/>
    <m/>
    <m/>
    <m/>
    <m/>
    <m/>
    <m/>
    <m/>
    <m/>
    <m/>
    <m/>
    <m/>
    <m/>
    <m/>
  </r>
  <r>
    <s v="SAYAH"/>
    <s v="Fatma"/>
    <n v="60"/>
    <n v="60"/>
    <n v="60"/>
    <n v="60"/>
    <n v="60"/>
    <m/>
    <m/>
    <m/>
    <m/>
    <m/>
    <m/>
    <m/>
    <m/>
    <m/>
    <m/>
    <m/>
    <m/>
  </r>
  <r>
    <s v="SIGLER"/>
    <s v="Fabrice"/>
    <n v="30"/>
    <n v="60"/>
    <n v="60"/>
    <m/>
    <m/>
    <m/>
    <m/>
    <m/>
    <m/>
    <m/>
    <m/>
    <m/>
    <m/>
    <m/>
    <m/>
    <m/>
    <m/>
  </r>
  <r>
    <s v="STHELY"/>
    <s v="Séverine"/>
    <m/>
    <m/>
    <m/>
    <m/>
    <m/>
    <m/>
    <m/>
    <m/>
    <m/>
    <m/>
    <m/>
    <m/>
    <m/>
    <m/>
    <m/>
    <m/>
    <m/>
  </r>
  <r>
    <s v="TELEMAQUE"/>
    <s v="Walesca"/>
    <m/>
    <m/>
    <m/>
    <m/>
    <n v="60"/>
    <m/>
    <m/>
    <m/>
    <m/>
    <m/>
    <m/>
    <m/>
    <m/>
    <m/>
    <m/>
    <m/>
    <m/>
  </r>
  <r>
    <s v="TIBHIRT"/>
    <s v="Mina"/>
    <m/>
    <m/>
    <m/>
    <m/>
    <m/>
    <m/>
    <m/>
    <m/>
    <m/>
    <m/>
    <m/>
    <m/>
    <m/>
    <m/>
    <m/>
    <m/>
    <m/>
  </r>
  <r>
    <s v="TOMAT"/>
    <s v="Antoine"/>
    <m/>
    <m/>
    <m/>
    <m/>
    <m/>
    <m/>
    <m/>
    <m/>
    <m/>
    <m/>
    <m/>
    <m/>
    <m/>
    <m/>
    <m/>
    <m/>
    <m/>
  </r>
  <r>
    <s v="URYN"/>
    <s v="Marcin-Pawel"/>
    <n v="20"/>
    <n v="20"/>
    <n v="20"/>
    <m/>
    <m/>
    <m/>
    <m/>
    <m/>
    <m/>
    <m/>
    <m/>
    <m/>
    <m/>
    <m/>
    <m/>
    <m/>
    <m/>
  </r>
  <r>
    <s v="VAUPRE"/>
    <s v="Kévin"/>
    <m/>
    <m/>
    <m/>
    <m/>
    <m/>
    <m/>
    <m/>
    <m/>
    <m/>
    <m/>
    <m/>
    <m/>
    <m/>
    <m/>
    <m/>
    <m/>
    <m/>
  </r>
  <r>
    <s v="VEGLIANTI"/>
    <s v="Olivier"/>
    <n v="20"/>
    <n v="20"/>
    <n v="20"/>
    <n v="20"/>
    <n v="20"/>
    <n v="20"/>
    <m/>
    <m/>
    <m/>
    <m/>
    <m/>
    <m/>
    <m/>
    <m/>
    <m/>
    <m/>
    <m/>
  </r>
  <r>
    <s v="VERRES"/>
    <s v="Alan"/>
    <m/>
    <m/>
    <m/>
    <m/>
    <m/>
    <m/>
    <m/>
    <m/>
    <m/>
    <m/>
    <m/>
    <m/>
    <m/>
    <m/>
    <m/>
    <m/>
    <m/>
  </r>
  <r>
    <s v="VISEUR"/>
    <s v="Severine"/>
    <m/>
    <m/>
    <m/>
    <m/>
    <m/>
    <m/>
    <m/>
    <m/>
    <m/>
    <m/>
    <m/>
    <m/>
    <m/>
    <m/>
    <m/>
    <m/>
    <m/>
  </r>
  <r>
    <s v="ZAID"/>
    <s v="Ilyas"/>
    <n v="60"/>
    <n v="60"/>
    <n v="60"/>
    <n v="60"/>
    <n v="60"/>
    <n v="60"/>
    <m/>
    <m/>
    <m/>
    <m/>
    <m/>
    <m/>
    <m/>
    <m/>
    <m/>
    <m/>
    <m/>
  </r>
  <r>
    <s v="ZARZAR"/>
    <s v="Ilhame"/>
    <m/>
    <m/>
    <m/>
    <m/>
    <m/>
    <m/>
    <m/>
    <m/>
    <m/>
    <m/>
    <m/>
    <m/>
    <m/>
    <m/>
    <m/>
    <m/>
    <m/>
  </r>
  <r>
    <s v="ZOUNOUH"/>
    <s v="El Houssaine"/>
    <n v="20"/>
    <n v="20"/>
    <n v="20"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s v="ABATI"/>
    <s v="Nazmije"/>
    <m/>
    <m/>
    <m/>
    <m/>
    <m/>
    <m/>
    <m/>
    <m/>
    <m/>
    <m/>
    <m/>
    <m/>
    <m/>
    <m/>
    <m/>
    <m/>
    <m/>
  </r>
  <r>
    <s v="ALI"/>
    <s v="Mariama"/>
    <m/>
    <m/>
    <m/>
    <m/>
    <m/>
    <m/>
    <m/>
    <m/>
    <m/>
    <m/>
    <m/>
    <m/>
    <m/>
    <m/>
    <m/>
    <m/>
    <m/>
  </r>
  <r>
    <s v="ANTOINAT"/>
    <s v="Jennifer"/>
    <m/>
    <m/>
    <m/>
    <m/>
    <m/>
    <m/>
    <m/>
    <m/>
    <m/>
    <m/>
    <m/>
    <m/>
    <m/>
    <m/>
    <m/>
    <m/>
    <m/>
  </r>
  <r>
    <s v="ARARI"/>
    <s v="Jennifer"/>
    <m/>
    <m/>
    <m/>
    <m/>
    <m/>
    <m/>
    <m/>
    <m/>
    <m/>
    <m/>
    <m/>
    <m/>
    <m/>
    <m/>
    <m/>
    <m/>
    <m/>
  </r>
  <r>
    <s v="BOTINAJ"/>
    <s v="Lule"/>
    <m/>
    <m/>
    <m/>
    <m/>
    <m/>
    <m/>
    <m/>
    <m/>
    <m/>
    <m/>
    <m/>
    <m/>
    <m/>
    <m/>
    <m/>
    <m/>
    <m/>
  </r>
  <r>
    <s v="BOURASSIN"/>
    <s v="Gaelle"/>
    <m/>
    <m/>
    <m/>
    <m/>
    <m/>
    <m/>
    <m/>
    <m/>
    <m/>
    <m/>
    <m/>
    <m/>
    <m/>
    <m/>
    <m/>
    <m/>
    <m/>
  </r>
  <r>
    <s v="CALARD"/>
    <s v="Johanna"/>
    <m/>
    <m/>
    <m/>
    <m/>
    <m/>
    <m/>
    <m/>
    <m/>
    <m/>
    <m/>
    <m/>
    <m/>
    <m/>
    <m/>
    <m/>
    <m/>
    <m/>
  </r>
  <r>
    <s v="CAMARA"/>
    <s v="Mafoudia"/>
    <m/>
    <m/>
    <m/>
    <m/>
    <m/>
    <m/>
    <m/>
    <m/>
    <m/>
    <m/>
    <m/>
    <m/>
    <m/>
    <m/>
    <m/>
    <m/>
    <m/>
  </r>
  <r>
    <s v="CHARNI"/>
    <s v="Hèdi"/>
    <m/>
    <m/>
    <m/>
    <m/>
    <m/>
    <m/>
    <m/>
    <m/>
    <m/>
    <m/>
    <m/>
    <m/>
    <m/>
    <m/>
    <m/>
    <m/>
    <m/>
  </r>
  <r>
    <s v="COMBEAU"/>
    <s v="Noémie"/>
    <m/>
    <m/>
    <m/>
    <m/>
    <m/>
    <m/>
    <m/>
    <m/>
    <m/>
    <m/>
    <m/>
    <m/>
    <m/>
    <m/>
    <m/>
    <m/>
    <m/>
  </r>
  <r>
    <s v="COTOS REGALADO"/>
    <s v="Nancy"/>
    <m/>
    <m/>
    <m/>
    <m/>
    <m/>
    <m/>
    <m/>
    <m/>
    <m/>
    <m/>
    <m/>
    <m/>
    <m/>
    <m/>
    <m/>
    <m/>
    <m/>
  </r>
  <r>
    <s v="DURMUS"/>
    <s v="Alev"/>
    <m/>
    <m/>
    <m/>
    <m/>
    <m/>
    <m/>
    <m/>
    <m/>
    <m/>
    <m/>
    <m/>
    <m/>
    <m/>
    <m/>
    <m/>
    <m/>
    <m/>
  </r>
  <r>
    <s v="GIORDANELLA"/>
    <s v="Rachel"/>
    <m/>
    <m/>
    <m/>
    <m/>
    <m/>
    <m/>
    <m/>
    <m/>
    <m/>
    <m/>
    <m/>
    <m/>
    <m/>
    <m/>
    <m/>
    <m/>
    <m/>
  </r>
  <r>
    <s v="HASSAN"/>
    <s v="Roueida"/>
    <m/>
    <m/>
    <m/>
    <m/>
    <m/>
    <m/>
    <m/>
    <m/>
    <m/>
    <m/>
    <m/>
    <m/>
    <m/>
    <m/>
    <m/>
    <m/>
    <m/>
  </r>
  <r>
    <s v="JAMAI"/>
    <s v="Miryam"/>
    <m/>
    <m/>
    <m/>
    <m/>
    <m/>
    <m/>
    <m/>
    <m/>
    <m/>
    <m/>
    <m/>
    <m/>
    <m/>
    <m/>
    <m/>
    <m/>
    <m/>
  </r>
  <r>
    <s v="KOSTURI-BASTRIU"/>
    <s v="Nazime"/>
    <m/>
    <m/>
    <m/>
    <m/>
    <m/>
    <m/>
    <m/>
    <m/>
    <m/>
    <m/>
    <m/>
    <m/>
    <m/>
    <m/>
    <m/>
    <m/>
    <m/>
  </r>
  <r>
    <s v="KOUYATE"/>
    <s v="Fanta"/>
    <m/>
    <m/>
    <m/>
    <m/>
    <m/>
    <m/>
    <m/>
    <m/>
    <m/>
    <m/>
    <m/>
    <m/>
    <m/>
    <m/>
    <m/>
    <m/>
    <m/>
  </r>
  <r>
    <s v="MATHON"/>
    <s v="Emilie"/>
    <m/>
    <m/>
    <m/>
    <m/>
    <m/>
    <m/>
    <m/>
    <m/>
    <m/>
    <m/>
    <m/>
    <m/>
    <m/>
    <m/>
    <m/>
    <m/>
    <m/>
  </r>
  <r>
    <s v="MCHINDRA"/>
    <s v="Yancoub"/>
    <m/>
    <m/>
    <m/>
    <m/>
    <m/>
    <m/>
    <m/>
    <m/>
    <m/>
    <m/>
    <m/>
    <m/>
    <m/>
    <m/>
    <m/>
    <m/>
    <m/>
  </r>
  <r>
    <s v="MGALLES"/>
    <s v="Khaled"/>
    <m/>
    <m/>
    <m/>
    <m/>
    <m/>
    <m/>
    <m/>
    <m/>
    <m/>
    <m/>
    <m/>
    <m/>
    <m/>
    <m/>
    <m/>
    <m/>
    <m/>
  </r>
  <r>
    <s v="MICHEL"/>
    <s v="Elodie"/>
    <m/>
    <m/>
    <m/>
    <m/>
    <m/>
    <m/>
    <m/>
    <m/>
    <m/>
    <m/>
    <m/>
    <m/>
    <m/>
    <m/>
    <m/>
    <m/>
    <m/>
  </r>
  <r>
    <s v="MOISSONNIER"/>
    <s v="Marie Claude"/>
    <m/>
    <m/>
    <m/>
    <m/>
    <m/>
    <m/>
    <m/>
    <m/>
    <m/>
    <m/>
    <m/>
    <m/>
    <m/>
    <m/>
    <m/>
    <m/>
    <m/>
  </r>
  <r>
    <s v="MOREL"/>
    <s v="Anthony"/>
    <m/>
    <m/>
    <m/>
    <m/>
    <m/>
    <m/>
    <m/>
    <m/>
    <m/>
    <m/>
    <m/>
    <m/>
    <m/>
    <m/>
    <m/>
    <m/>
    <m/>
  </r>
  <r>
    <s v="MURATI"/>
    <s v="Anxhelina"/>
    <m/>
    <m/>
    <m/>
    <m/>
    <m/>
    <m/>
    <m/>
    <m/>
    <m/>
    <m/>
    <m/>
    <m/>
    <m/>
    <m/>
    <m/>
    <m/>
    <m/>
  </r>
  <r>
    <s v="MURY"/>
    <s v="Alexis"/>
    <m/>
    <m/>
    <m/>
    <m/>
    <m/>
    <m/>
    <m/>
    <m/>
    <m/>
    <m/>
    <m/>
    <m/>
    <m/>
    <m/>
    <m/>
    <m/>
    <m/>
  </r>
  <r>
    <s v="NABI ZADA"/>
    <s v="Ghulam"/>
    <m/>
    <m/>
    <m/>
    <m/>
    <m/>
    <m/>
    <m/>
    <m/>
    <m/>
    <m/>
    <m/>
    <m/>
    <m/>
    <m/>
    <m/>
    <m/>
    <m/>
  </r>
  <r>
    <s v="NAILLOD"/>
    <s v="Amélie"/>
    <m/>
    <m/>
    <m/>
    <m/>
    <m/>
    <m/>
    <m/>
    <m/>
    <m/>
    <m/>
    <m/>
    <m/>
    <m/>
    <m/>
    <m/>
    <m/>
    <m/>
  </r>
  <r>
    <s v="NEUER"/>
    <s v="Friederike"/>
    <m/>
    <m/>
    <m/>
    <m/>
    <m/>
    <m/>
    <m/>
    <m/>
    <m/>
    <m/>
    <m/>
    <m/>
    <m/>
    <m/>
    <m/>
    <m/>
    <m/>
  </r>
  <r>
    <s v="PANDOU"/>
    <s v="Olivier"/>
    <m/>
    <m/>
    <m/>
    <m/>
    <m/>
    <m/>
    <m/>
    <m/>
    <m/>
    <m/>
    <m/>
    <m/>
    <m/>
    <m/>
    <m/>
    <m/>
    <m/>
  </r>
  <r>
    <s v="PERDRIX"/>
    <s v="Dylan"/>
    <m/>
    <m/>
    <m/>
    <m/>
    <m/>
    <m/>
    <m/>
    <m/>
    <m/>
    <m/>
    <m/>
    <m/>
    <m/>
    <m/>
    <m/>
    <m/>
    <m/>
  </r>
  <r>
    <s v="PERRIN"/>
    <s v="Frédéric"/>
    <m/>
    <m/>
    <m/>
    <m/>
    <m/>
    <m/>
    <m/>
    <m/>
    <m/>
    <m/>
    <m/>
    <m/>
    <m/>
    <m/>
    <m/>
    <m/>
    <m/>
  </r>
  <r>
    <s v="PIERROT"/>
    <s v="Carmen"/>
    <m/>
    <m/>
    <m/>
    <m/>
    <m/>
    <m/>
    <m/>
    <m/>
    <m/>
    <m/>
    <m/>
    <m/>
    <m/>
    <m/>
    <m/>
    <m/>
    <m/>
  </r>
  <r>
    <s v="POTKI"/>
    <s v="Sharifeh"/>
    <m/>
    <m/>
    <m/>
    <m/>
    <m/>
    <m/>
    <m/>
    <m/>
    <m/>
    <m/>
    <m/>
    <m/>
    <m/>
    <m/>
    <m/>
    <m/>
    <m/>
  </r>
  <r>
    <s v="ROBARDEY"/>
    <s v="Mathieu"/>
    <m/>
    <m/>
    <m/>
    <m/>
    <m/>
    <m/>
    <m/>
    <m/>
    <m/>
    <m/>
    <m/>
    <m/>
    <m/>
    <m/>
    <m/>
    <m/>
    <m/>
  </r>
  <r>
    <s v="ROUSSEAU"/>
    <s v="Stéphanie"/>
    <m/>
    <m/>
    <m/>
    <m/>
    <m/>
    <m/>
    <m/>
    <m/>
    <m/>
    <m/>
    <m/>
    <m/>
    <m/>
    <m/>
    <m/>
    <m/>
    <m/>
  </r>
  <r>
    <s v="SALLERON"/>
    <s v="Ophélie"/>
    <m/>
    <m/>
    <m/>
    <m/>
    <m/>
    <m/>
    <m/>
    <m/>
    <m/>
    <m/>
    <m/>
    <m/>
    <m/>
    <m/>
    <m/>
    <m/>
    <m/>
  </r>
  <r>
    <s v="SIGLER"/>
    <s v="Frédéric"/>
    <m/>
    <m/>
    <m/>
    <m/>
    <m/>
    <m/>
    <m/>
    <m/>
    <m/>
    <m/>
    <m/>
    <m/>
    <m/>
    <m/>
    <m/>
    <m/>
    <m/>
  </r>
  <r>
    <s v="SLIMANI"/>
    <s v="Zahra"/>
    <m/>
    <m/>
    <m/>
    <m/>
    <m/>
    <m/>
    <m/>
    <m/>
    <m/>
    <m/>
    <m/>
    <m/>
    <m/>
    <m/>
    <m/>
    <m/>
    <m/>
  </r>
  <r>
    <s v="SOKOLOV"/>
    <s v="Sergey"/>
    <m/>
    <m/>
    <m/>
    <m/>
    <m/>
    <m/>
    <m/>
    <m/>
    <m/>
    <m/>
    <m/>
    <m/>
    <m/>
    <m/>
    <m/>
    <m/>
    <m/>
  </r>
  <r>
    <s v="SOLNCEV"/>
    <s v="Maxim"/>
    <m/>
    <m/>
    <m/>
    <m/>
    <m/>
    <m/>
    <m/>
    <m/>
    <m/>
    <m/>
    <m/>
    <m/>
    <m/>
    <m/>
    <m/>
    <m/>
    <m/>
  </r>
  <r>
    <s v="THOUMIAND"/>
    <s v="Angélique"/>
    <m/>
    <m/>
    <m/>
    <m/>
    <m/>
    <m/>
    <m/>
    <m/>
    <m/>
    <m/>
    <m/>
    <m/>
    <m/>
    <m/>
    <m/>
    <m/>
    <m/>
  </r>
  <r>
    <s v="VALENTINI"/>
    <s v="Arianna"/>
    <m/>
    <m/>
    <m/>
    <m/>
    <m/>
    <m/>
    <m/>
    <m/>
    <m/>
    <m/>
    <m/>
    <m/>
    <m/>
    <m/>
    <m/>
    <m/>
    <m/>
  </r>
  <r>
    <s v="YALCIN ESSANHI"/>
    <s v="Elif"/>
    <m/>
    <m/>
    <m/>
    <m/>
    <m/>
    <m/>
    <m/>
    <m/>
    <m/>
    <m/>
    <m/>
    <m/>
    <m/>
    <m/>
    <m/>
    <m/>
    <m/>
  </r>
  <r>
    <s v="ZAHTI"/>
    <s v="Abdellah"/>
    <m/>
    <m/>
    <m/>
    <m/>
    <m/>
    <m/>
    <m/>
    <m/>
    <m/>
    <m/>
    <m/>
    <m/>
    <m/>
    <m/>
    <m/>
    <m/>
    <m/>
  </r>
  <r>
    <s v="ZAKHARCHENKO"/>
    <s v="Volodymyr"/>
    <m/>
    <m/>
    <m/>
    <m/>
    <m/>
    <m/>
    <m/>
    <m/>
    <m/>
    <m/>
    <m/>
    <m/>
    <m/>
    <m/>
    <m/>
    <m/>
    <m/>
  </r>
  <r>
    <s v="ZINKAL"/>
    <s v="Narguzeli"/>
    <m/>
    <m/>
    <m/>
    <m/>
    <m/>
    <m/>
    <m/>
    <m/>
    <m/>
    <m/>
    <m/>
    <m/>
    <m/>
    <m/>
    <m/>
    <m/>
    <m/>
  </r>
  <r>
    <s v="WETER"/>
    <s v="Betty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ABDOULAYE ISSAKH"/>
    <s v="Yay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HMADI"/>
    <s v="Dib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IOUAZ"/>
    <s v="Khadij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MARI"/>
    <s v="Yamin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RIFI"/>
    <s v="Sabr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THOUMANI"/>
    <s v="Mar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CAR"/>
    <s v="Mariat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HAR"/>
    <s v="Lau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ITICHE"/>
    <s v="Karim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RAT"/>
    <s v="Sayed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KELE"/>
    <s v="Eteferahu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LFASSI"/>
    <s v="Maria Dolore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NAISSA"/>
    <s v="Rad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N EL OUALI"/>
    <s v="Anoua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NOIT"/>
    <s v="Xavier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NZEKHROUFA"/>
    <s v="Abdelghani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RTHILLOT"/>
    <s v="Lé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LANC"/>
    <s v="Méliss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NNET"/>
    <s v="Cédric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UILLOUX"/>
    <s v="Nikolas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UVET"/>
    <s v="Christin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UVIER"/>
    <s v="Vaness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RACH"/>
    <s v="Fatih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RECANI"/>
    <s v="Arja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RISSON"/>
    <s v="Amel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RUNET"/>
    <s v="Caro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RUZEAU"/>
    <s v="Lau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UATTIER"/>
    <s v="Christel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ULINGE"/>
    <s v="Corenti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EESAY"/>
    <s v="Ser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ESSIN"/>
    <s v="Patrick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ACON COTOS"/>
    <s v="Yesic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ARNAY"/>
    <s v="Cindy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AVE"/>
    <s v="Baptist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OMETTON"/>
    <s v="Lyd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AOUD"/>
    <s v="Bo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A SILVA GONCALVES"/>
    <s v="Samue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BIJA"/>
    <s v="Hafid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ECAILLON"/>
    <s v="Candid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EMIRKAZIK"/>
    <s v="Ramazan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DOTHAL"/>
    <s v="Just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EL MOUSTAOUI"/>
    <s v="Sadik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ESPRIT"/>
    <s v="Jessick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ERREIRA"/>
    <s v="Julie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ETET"/>
    <s v="Jennife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ETET"/>
    <s v="Laura"/>
    <m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OBERT"/>
    <s v="Edwig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OKBULUT"/>
    <s v="Eda"/>
    <m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DZI-ALIJA"/>
    <s v="Erdan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MMOUMI"/>
    <s v="Mohamme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SSANI"/>
    <s v="Koulthoumi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OUICHI"/>
    <s v="Hikmet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LINDA"/>
    <s v="Léopol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RADAVUT"/>
    <s v="Pemb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SEMI "/>
    <s v="Elsaïd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YRE"/>
    <s v="Fatou K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IM"/>
    <s v="Stépha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ULIKOVA"/>
    <s v="Olén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ARABA"/>
    <s v="Said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MBERT"/>
    <s v="Jennifer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ENOIR"/>
    <s v="Sabr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EONARDE"/>
    <s v="Bibia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IKIDI"/>
    <s v="Quekto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OUCIF"/>
    <s v="Ine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ARRET"/>
    <s v="Ala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ERCIER"/>
    <s v="Florent"/>
    <m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EUNIER"/>
    <s v="Yan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LL "/>
    <s v="Arman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LLA"/>
    <s v="Romin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REL"/>
    <s v="Alexand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REL"/>
    <s v="Virgin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SES"/>
    <s v="Ja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SSMAN"/>
    <s v="Tiaré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URAUD"/>
    <s v="Kévi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USTOIFFA"/>
    <s v="Zaï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TIMET"/>
    <s v="Ridh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ZOURI"/>
    <s v="Cham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OULAD AYAD"/>
    <s v="Loub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OUSMANE"/>
    <s v="Tidia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AGE "/>
    <s v="Francesc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AUVIL"/>
    <s v="Paul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EKDURU"/>
    <s v="Pemb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ERRE-LOUIS"/>
    <s v="Stephe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NHEIRO"/>
    <s v="Alexandr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NTO"/>
    <s v="Jaso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UZIN"/>
    <s v="Jack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AHZI"/>
    <s v="Abdelhaki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IBOLLA"/>
    <s v="Fabie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OIDA"/>
    <s v="Hamid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OUSSEAUX"/>
    <s v="Frédéric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USITI"/>
    <s v="Silvano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EED"/>
    <s v="Suma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TTA"/>
    <s v="Saad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VOVA"/>
    <s v="Sneja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WAS"/>
    <s v="Fat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YAH"/>
    <s v="Fatm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IGLER"/>
    <s v="Fabric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THELY"/>
    <s v="Séveri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ELEMAQUE"/>
    <s v="Walesc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IBHIRT"/>
    <s v="M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OMAT"/>
    <s v="Antoi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URYN"/>
    <s v="Marcin-Pawe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AUPRE"/>
    <s v="Kévi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EGLIANTI"/>
    <s v="Olivie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ERRES"/>
    <s v="Alan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ISEUR"/>
    <s v="Severine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ZAID"/>
    <s v="Ilya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ZARZAR"/>
    <s v="Ilhame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m/>
    <m/>
    <m/>
    <m/>
    <m/>
    <m/>
    <m/>
    <m/>
    <m/>
    <s v="SITUATION"/>
    <m/>
    <m/>
    <m/>
    <m/>
    <m/>
    <s v="(chiffres à cumuler / mois"/>
    <s v="(chiffres à cumuler / mois"/>
    <m/>
    <x v="0"/>
    <x v="0"/>
    <x v="0"/>
    <m/>
    <m/>
    <m/>
    <m/>
    <m/>
    <m/>
    <m/>
    <m/>
    <m/>
    <m/>
    <m/>
    <m/>
    <m/>
    <m/>
    <m/>
    <m/>
  </r>
  <r>
    <x v="1"/>
    <s v="AHMADI"/>
    <s v="Diba"/>
    <n v="36"/>
    <s v="Master, diplôme d'études approfondies, diplôme d'études supérieures spécialisées, diplôme d'ingénieur"/>
    <s v="Pierre Goujon"/>
    <d v="2025-09-03T00:00:00"/>
    <d v="2025-10-01T00:00:00"/>
    <d v="2025-10-01T00:00:00"/>
    <d v="2026-03-30T00:00:00"/>
    <s v="Renouvellement"/>
    <m/>
    <d v="1900-06-28T00:00:00"/>
    <s v="Langue"/>
    <m/>
    <m/>
    <n v="1"/>
    <n v="1"/>
    <m/>
    <x v="0"/>
    <x v="0"/>
    <x v="0"/>
    <m/>
    <n v="1"/>
    <n v="1"/>
    <m/>
    <m/>
    <m/>
    <m/>
    <m/>
    <m/>
    <m/>
    <m/>
    <m/>
    <m/>
    <m/>
    <m/>
    <m/>
  </r>
  <r>
    <x v="1"/>
    <s v="ACHBAKOU"/>
    <s v="Naïma"/>
    <n v="46"/>
    <s v="Aucun diplôme"/>
    <s v="Pierre Goujon"/>
    <d v="2026-03-05T00:00:00"/>
    <d v="2026-06-15T00:00:00"/>
    <d v="2026-06-15T00:00:00"/>
    <d v="2026-12-12T00:00:00"/>
    <m/>
    <m/>
    <d v="1900-06-28T00:00:00"/>
    <s v="Langue"/>
    <s v="Mobilité"/>
    <m/>
    <m/>
    <m/>
    <m/>
    <x v="0"/>
    <x v="0"/>
    <x v="0"/>
    <m/>
    <m/>
    <m/>
    <m/>
    <m/>
    <m/>
    <m/>
    <m/>
    <m/>
    <m/>
    <m/>
    <m/>
    <m/>
    <m/>
    <m/>
    <m/>
  </r>
  <r>
    <x v="1"/>
    <s v="AIOUAZ"/>
    <s v="Khadija"/>
    <n v="34"/>
    <m/>
    <s v="Croix Blanche"/>
    <d v="2025-09-15T00:00:00"/>
    <d v="2025-10-08T00:00:00"/>
    <m/>
    <d v="1900-06-28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AMARI"/>
    <s v="Yamina"/>
    <n v="49"/>
    <s v="Aucun diplôme"/>
    <s v="Croix Blanche"/>
    <d v="2025-08-05T00:00:00"/>
    <d v="2025-09-22T00:00:00"/>
    <d v="2025-10-21T00:00:00"/>
    <d v="2026-04-19T00:00:00"/>
    <s v="Renouvellement"/>
    <m/>
    <d v="1900-06-28T00:00:00"/>
    <s v="Langue"/>
    <s v="Aidante (époux)"/>
    <m/>
    <n v="3"/>
    <m/>
    <m/>
    <x v="0"/>
    <x v="0"/>
    <x v="0"/>
    <m/>
    <n v="1"/>
    <m/>
    <m/>
    <m/>
    <m/>
    <m/>
    <m/>
    <m/>
    <m/>
    <m/>
    <m/>
    <m/>
    <m/>
    <m/>
    <m/>
  </r>
  <r>
    <x v="1"/>
    <s v="ARIFI"/>
    <s v="Sabrina"/>
    <n v="25"/>
    <s v="Baccalauréat"/>
    <s v="Croix Blanche"/>
    <d v="2025-07-28T00:00:00"/>
    <d v="2026-01-27T00:00:00"/>
    <d v="2026-01-27T00:00:00"/>
    <d v="2026-07-26T00:00:00"/>
    <m/>
    <m/>
    <d v="1900-06-28T00:00:00"/>
    <m/>
    <m/>
    <m/>
    <n v="3"/>
    <m/>
    <m/>
    <x v="0"/>
    <x v="0"/>
    <x v="0"/>
    <m/>
    <n v="1"/>
    <m/>
    <m/>
    <m/>
    <m/>
    <m/>
    <m/>
    <m/>
    <m/>
    <m/>
    <m/>
    <m/>
    <m/>
    <m/>
    <m/>
  </r>
  <r>
    <x v="1"/>
    <s v="ATHOUMANI"/>
    <s v="Marie"/>
    <n v="38"/>
    <s v="Aucun diplôme"/>
    <s v="Croix Blanche"/>
    <d v="2025-06-04T00:00:00"/>
    <d v="2025-08-21T00:00:00"/>
    <d v="2025-08-21T00:00:00"/>
    <d v="2026-08-20T00:00:00"/>
    <s v="Renouvellement"/>
    <m/>
    <d v="1900-06-28T00:00:00"/>
    <s v="Langue"/>
    <s v="Garde enfant"/>
    <m/>
    <m/>
    <m/>
    <m/>
    <x v="0"/>
    <x v="0"/>
    <x v="0"/>
    <m/>
    <n v="1"/>
    <m/>
    <m/>
    <m/>
    <m/>
    <m/>
    <m/>
    <m/>
    <m/>
    <m/>
    <m/>
    <m/>
    <m/>
    <m/>
    <m/>
  </r>
  <r>
    <x v="1"/>
    <s v="AYACH"/>
    <s v="Samia"/>
    <n v="26"/>
    <s v="CAP, BEP"/>
    <s v="Croix Blanche"/>
    <d v="2026-03-23T00:00:00"/>
    <d v="2026-05-11T00:00:00"/>
    <d v="2026-05-11T00:00:00"/>
    <d v="2026-11-07T00:00:00"/>
    <m/>
    <m/>
    <d v="1900-06-28T00:00:00"/>
    <s v="Santé"/>
    <m/>
    <m/>
    <m/>
    <m/>
    <m/>
    <x v="0"/>
    <x v="0"/>
    <x v="0"/>
    <m/>
    <m/>
    <m/>
    <m/>
    <m/>
    <m/>
    <m/>
    <m/>
    <m/>
    <m/>
    <m/>
    <m/>
    <m/>
    <m/>
    <m/>
    <m/>
  </r>
  <r>
    <x v="1"/>
    <s v="BACAR"/>
    <s v="Mariata"/>
    <n v="27"/>
    <s v="Baccalauréat"/>
    <s v="Pierre Goujon"/>
    <d v="2025-05-23T00:00:00"/>
    <d v="2025-10-30T00:00:00"/>
    <d v="2025-10-30T00:00:00"/>
    <d v="2026-10-29T00:00:00"/>
    <s v="Renouvellement"/>
    <m/>
    <d v="1900-06-28T00:00:00"/>
    <s v="Permis "/>
    <m/>
    <m/>
    <n v="6"/>
    <n v="2"/>
    <m/>
    <x v="0"/>
    <x v="0"/>
    <x v="0"/>
    <m/>
    <n v="1"/>
    <m/>
    <m/>
    <m/>
    <m/>
    <m/>
    <m/>
    <m/>
    <m/>
    <m/>
    <m/>
    <m/>
    <m/>
    <m/>
    <s v="Cap Rebond"/>
  </r>
  <r>
    <x v="1"/>
    <s v="BAHAR"/>
    <s v="Laura"/>
    <n v="32"/>
    <s v="Aucun diplôme"/>
    <s v="Croix Blanche"/>
    <m/>
    <d v="2026-01-28T00:00:00"/>
    <d v="2026-01-27T00:00:00"/>
    <d v="2026-07-26T00:00:00"/>
    <m/>
    <m/>
    <d v="1900-06-28T00:00:00"/>
    <s v="Santé"/>
    <m/>
    <m/>
    <n v="1"/>
    <m/>
    <m/>
    <x v="0"/>
    <x v="0"/>
    <x v="0"/>
    <m/>
    <n v="1"/>
    <m/>
    <m/>
    <m/>
    <m/>
    <m/>
    <m/>
    <m/>
    <m/>
    <m/>
    <m/>
    <m/>
    <m/>
    <m/>
    <s v="CPA"/>
  </r>
  <r>
    <x v="1"/>
    <s v="BAITICHE"/>
    <s v="Karima"/>
    <n v="30"/>
    <s v="Aucun diplôme"/>
    <s v="Croix Blanche"/>
    <d v="2025-07-11T00:00:00"/>
    <d v="2025-08-01T00:00:00"/>
    <d v="2025-08-01T00:00:00"/>
    <d v="2026-07-31T00:00:00"/>
    <s v="Renouvellement"/>
    <m/>
    <d v="1900-06-28T00:00:00"/>
    <s v="Posture pro"/>
    <s v="Santé mentale"/>
    <s v="Mobilité (utilisation TC)"/>
    <n v="2"/>
    <m/>
    <m/>
    <x v="0"/>
    <x v="0"/>
    <x v="0"/>
    <m/>
    <n v="1"/>
    <m/>
    <m/>
    <m/>
    <m/>
    <m/>
    <m/>
    <m/>
    <m/>
    <m/>
    <m/>
    <m/>
    <m/>
    <m/>
    <s v="Cap Rebond"/>
  </r>
  <r>
    <x v="2"/>
    <s v="BANTADIA"/>
    <s v="Ulrich"/>
    <n v="27"/>
    <m/>
    <s v="Pierre Goujon"/>
    <d v="2026-01-07T00:00:00"/>
    <d v="2026-01-27T00:00:00"/>
    <d v="2026-01-27T00:00:00"/>
    <d v="2026-08-01T00:00:00"/>
    <m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ASSUS"/>
    <s v="Jason"/>
    <n v="35"/>
    <s v="CAP, BEP"/>
    <s v="Croix Blanche"/>
    <d v="2026-03-17T00:00:00"/>
    <d v="2026-04-01T00:00:00"/>
    <d v="2026-04-01T00:00:00"/>
    <d v="2026-09-28T00:00:00"/>
    <m/>
    <m/>
    <d v="1900-06-28T00:00:00"/>
    <s v="Mobilité"/>
    <m/>
    <m/>
    <m/>
    <m/>
    <m/>
    <x v="0"/>
    <x v="0"/>
    <x v="0"/>
    <m/>
    <m/>
    <m/>
    <m/>
    <m/>
    <m/>
    <m/>
    <m/>
    <m/>
    <m/>
    <m/>
    <m/>
    <m/>
    <m/>
    <m/>
    <m/>
  </r>
  <r>
    <x v="1"/>
    <s v="BEAURY"/>
    <s v="Virginie"/>
    <n v="53"/>
    <m/>
    <s v="Croix Blanche"/>
    <d v="2026-03-09T00:00:00"/>
    <d v="2026-04-09T00:00:00"/>
    <d v="2026-04-09T00:00:00"/>
    <d v="2026-10-06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BEKELE"/>
    <s v="Eteferahu"/>
    <n v="55"/>
    <s v="Aucun diplôme"/>
    <s v="Pierre Goujon"/>
    <d v="2025-11-18T00:00:00"/>
    <d v="2025-12-02T00:00:00"/>
    <d v="2025-12-18T00:00:00"/>
    <d v="2026-06-16T00:00:00"/>
    <s v="Tripartite"/>
    <m/>
    <d v="1900-06-28T00:00:00"/>
    <s v="Langue"/>
    <s v="Illetrisme"/>
    <m/>
    <m/>
    <m/>
    <m/>
    <x v="0"/>
    <x v="0"/>
    <x v="0"/>
    <m/>
    <n v="1"/>
    <n v="1"/>
    <m/>
    <m/>
    <m/>
    <m/>
    <m/>
    <m/>
    <m/>
    <m/>
    <m/>
    <m/>
    <m/>
    <m/>
    <s v="Cap Rebond"/>
  </r>
  <r>
    <x v="1"/>
    <s v="BELFASSI"/>
    <s v="Maria Dolores"/>
    <n v="43"/>
    <s v="Aucun diplôme"/>
    <s v="Croix Blanche"/>
    <d v="2025-10-29T00:00:00"/>
    <d v="2025-12-01T00:00:00"/>
    <d v="2025-12-01T00:00:00"/>
    <d v="2026-05-30T00:00:00"/>
    <m/>
    <m/>
    <d v="1900-06-28T00:00:00"/>
    <s v="Santé"/>
    <s v="Enfant TSA"/>
    <s v="Langue"/>
    <m/>
    <m/>
    <m/>
    <x v="0"/>
    <x v="0"/>
    <x v="0"/>
    <m/>
    <n v="1"/>
    <m/>
    <m/>
    <m/>
    <m/>
    <m/>
    <m/>
    <m/>
    <m/>
    <m/>
    <m/>
    <m/>
    <m/>
    <m/>
    <m/>
  </r>
  <r>
    <x v="1"/>
    <s v="BENAISSA"/>
    <s v="Radia"/>
    <n v="53"/>
    <s v="Aucun diplôme"/>
    <s v="Croix Blanche"/>
    <d v="2025-10-10T00:00:00"/>
    <d v="2025-11-20T00:00:00"/>
    <d v="2025-11-20T00:00:00"/>
    <d v="2026-05-19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EN EL OUALI"/>
    <s v="Anouar"/>
    <n v="27"/>
    <s v="CAP, BEP"/>
    <s v="Pierre Goujon"/>
    <d v="2025-06-19T00:00:00"/>
    <d v="2026-01-27T00:00:00"/>
    <d v="2026-01-27T00:00:00"/>
    <d v="2026-07-26T00:00:00"/>
    <m/>
    <m/>
    <d v="1900-06-28T00:00:00"/>
    <s v="Permis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ENMELLOUK BENMOUSSA"/>
    <s v="Abdelkader"/>
    <n v="47"/>
    <s v="Aucun diplôme"/>
    <s v="Croix Blanche"/>
    <d v="2026-03-16T00:00:00"/>
    <d v="2026-04-08T00:00:00"/>
    <d v="2026-04-08T00:00:00"/>
    <d v="2026-10-05T00:00:00"/>
    <m/>
    <m/>
    <d v="1900-06-28T00:00:00"/>
    <m/>
    <m/>
    <m/>
    <m/>
    <n v="1"/>
    <m/>
    <x v="0"/>
    <x v="0"/>
    <x v="0"/>
    <m/>
    <n v="1"/>
    <m/>
    <m/>
    <m/>
    <m/>
    <m/>
    <m/>
    <m/>
    <m/>
    <m/>
    <m/>
    <m/>
    <m/>
    <m/>
    <m/>
  </r>
  <r>
    <x v="2"/>
    <s v="BENOIT"/>
    <s v="Xavier"/>
    <n v="36"/>
    <s v="Aucun diplôme"/>
    <s v="Pierre Goujon"/>
    <d v="2025-09-03T00:00:00"/>
    <d v="2025-09-25T00:00:00"/>
    <d v="2026-01-28T00:00:00"/>
    <d v="2026-07-27T00:00:00"/>
    <m/>
    <m/>
    <d v="1900-06-28T00:00:00"/>
    <m/>
    <m/>
    <m/>
    <n v="2"/>
    <m/>
    <m/>
    <x v="0"/>
    <x v="0"/>
    <x v="0"/>
    <m/>
    <n v="1"/>
    <m/>
    <m/>
    <m/>
    <m/>
    <m/>
    <m/>
    <m/>
    <m/>
    <m/>
    <m/>
    <m/>
    <m/>
    <m/>
    <m/>
  </r>
  <r>
    <x v="2"/>
    <s v="BENZEKHROUFA"/>
    <s v="Abdelghani"/>
    <n v="49"/>
    <s v="CAP, BEP"/>
    <s v="Pierre Goujon"/>
    <d v="2026-01-23T00:00:00"/>
    <d v="2026-02-12T00:00:00"/>
    <d v="2026-02-12T00:00:00"/>
    <d v="2026-08-11T00:00:00"/>
    <m/>
    <m/>
    <d v="1900-06-28T00:00:00"/>
    <m/>
    <m/>
    <m/>
    <n v="1"/>
    <m/>
    <m/>
    <x v="0"/>
    <x v="0"/>
    <x v="0"/>
    <m/>
    <m/>
    <m/>
    <m/>
    <m/>
    <m/>
    <m/>
    <m/>
    <m/>
    <m/>
    <m/>
    <m/>
    <m/>
    <m/>
    <m/>
    <m/>
  </r>
  <r>
    <x v="1"/>
    <s v="BERGER"/>
    <s v="Stéphanie"/>
    <n v="48"/>
    <s v="DEUG, BTS, DUT, DEUST"/>
    <s v="Croix Blanche"/>
    <d v="2026-03-24T00:00:00"/>
    <d v="2026-04-15T00:00:00"/>
    <d v="2026-04-15T00:00:00"/>
    <d v="2026-10-12T00:00:00"/>
    <m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BERTHILLOT"/>
    <s v="Léa"/>
    <n v="27"/>
    <s v="CAP, BEP"/>
    <s v="Croix Blanche"/>
    <d v="2026-02-06T00:00:00"/>
    <d v="2026-02-25T00:00:00"/>
    <d v="2026-02-25T00:00:00"/>
    <d v="2026-08-24T00:00:00"/>
    <m/>
    <m/>
    <d v="1900-06-28T00:00:00"/>
    <s v="Santé"/>
    <m/>
    <m/>
    <n v="2"/>
    <n v="1"/>
    <m/>
    <x v="0"/>
    <x v="0"/>
    <x v="0"/>
    <m/>
    <n v="1"/>
    <m/>
    <m/>
    <m/>
    <m/>
    <m/>
    <m/>
    <m/>
    <m/>
    <m/>
    <m/>
    <m/>
    <m/>
    <m/>
    <m/>
  </r>
  <r>
    <x v="2"/>
    <s v="BIDET"/>
    <s v="Rodolphe"/>
    <n v="27"/>
    <s v="Baccalauréat"/>
    <s v="Pierre Goujon"/>
    <d v="2026-04-21T00:00:00"/>
    <d v="2026-05-21T00:00:00"/>
    <s v="SDP  "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BLANC"/>
    <s v="Mélissa"/>
    <n v="31"/>
    <s v="Aucun diplôme"/>
    <s v="Croix Blanche"/>
    <d v="2025-07-11T00:00:00"/>
    <d v="2025-07-29T00:00:00"/>
    <d v="2025-07-29T00:00:00"/>
    <d v="2026-07-28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ONNET"/>
    <s v="Cédric"/>
    <n v="31"/>
    <s v="CAP, BEP"/>
    <s v="Croix Blanche"/>
    <d v="2025-07-02T00:00:00"/>
    <d v="2025-07-21T00:00:00"/>
    <d v="2025-07-21T00:00:00"/>
    <d v="2026-07-20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n v="1"/>
    <m/>
    <m/>
    <m/>
    <m/>
    <m/>
  </r>
  <r>
    <x v="2"/>
    <s v="BOUILLOUX"/>
    <s v="Nikolas"/>
    <n v="45"/>
    <s v="Licence, licence professionnelle"/>
    <s v="Croix Blanche"/>
    <d v="2025-12-15T00:00:00"/>
    <d v="2025-12-23T00:00:00"/>
    <d v="2026-01-28T00:00:00"/>
    <d v="2026-07-27T00:00:00"/>
    <m/>
    <m/>
    <d v="1900-06-28T00:00:00"/>
    <m/>
    <m/>
    <m/>
    <n v="3"/>
    <m/>
    <m/>
    <x v="0"/>
    <x v="0"/>
    <x v="0"/>
    <m/>
    <n v="1"/>
    <m/>
    <m/>
    <m/>
    <m/>
    <m/>
    <m/>
    <m/>
    <m/>
    <m/>
    <m/>
    <m/>
    <m/>
    <m/>
    <m/>
  </r>
  <r>
    <x v="2"/>
    <s v="BOUFIM"/>
    <s v="Fouad"/>
    <n v="42"/>
    <s v="CAP, BEP"/>
    <s v="Pierre Goujon"/>
    <d v="2026-04-29T00:00:00"/>
    <d v="2026-05-27T00:00:00"/>
    <d v="2026-06-09T00:00:00"/>
    <d v="2026-12-06T00:00:00"/>
    <m/>
    <m/>
    <d v="1900-06-28T00:00:00"/>
    <s v="Suspsension permis"/>
    <m/>
    <m/>
    <n v="1"/>
    <m/>
    <m/>
    <x v="0"/>
    <x v="0"/>
    <x v="0"/>
    <m/>
    <m/>
    <m/>
    <m/>
    <m/>
    <m/>
    <m/>
    <m/>
    <m/>
    <m/>
    <m/>
    <m/>
    <m/>
    <m/>
    <m/>
    <m/>
  </r>
  <r>
    <x v="1"/>
    <s v="BOYRAZ"/>
    <s v="Merve"/>
    <n v="28"/>
    <m/>
    <s v="Pierre Goujon"/>
    <d v="2026-03-05T00:00:00"/>
    <d v="2026-03-31T00:00:00"/>
    <d v="2026-03-31T00:00:00"/>
    <d v="2026-09-27T00:00:00"/>
    <m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BRECANI"/>
    <s v="Arjana"/>
    <n v="48"/>
    <s v="Aucun diplôme"/>
    <s v="Pierre Goujon"/>
    <d v="2025-06-25T00:00:00"/>
    <d v="2025-07-30T00:00:00"/>
    <d v="2025-07-30T00:00:00"/>
    <d v="2026-07-29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BRUNET"/>
    <s v="Carole"/>
    <n v="37"/>
    <s v="CAP, BEP"/>
    <s v="Croix Blanche"/>
    <d v="2025-06-04T00:00:00"/>
    <d v="2025-09-02T00:00:00"/>
    <d v="2025-09-02T00:00:00"/>
    <d v="2026-09-01T00:00:00"/>
    <s v="Renouvellement"/>
    <m/>
    <d v="1900-06-28T00:00:00"/>
    <s v="Santé mentale"/>
    <s v="Permis suspendu"/>
    <m/>
    <m/>
    <m/>
    <m/>
    <x v="0"/>
    <x v="0"/>
    <x v="0"/>
    <m/>
    <n v="1"/>
    <m/>
    <m/>
    <m/>
    <m/>
    <m/>
    <m/>
    <m/>
    <m/>
    <m/>
    <m/>
    <m/>
    <m/>
    <m/>
    <m/>
  </r>
  <r>
    <x v="1"/>
    <s v="BRUZEAU"/>
    <s v="Laura"/>
    <n v="25"/>
    <m/>
    <s v="Pierre Goujon"/>
    <d v="2025-09-03T00:00:00"/>
    <d v="2025-10-01T00:00:00"/>
    <d v="2025-10-01T00:00:00"/>
    <d v="2026-03-30T00:00:00"/>
    <s v="Tripartite"/>
    <m/>
    <d v="1900-06-28T00:00:00"/>
    <s v="Aidante "/>
    <s v="Enfant handicapé"/>
    <m/>
    <m/>
    <m/>
    <m/>
    <x v="0"/>
    <x v="0"/>
    <x v="0"/>
    <m/>
    <n v="1"/>
    <m/>
    <m/>
    <m/>
    <m/>
    <m/>
    <m/>
    <m/>
    <m/>
    <m/>
    <m/>
    <m/>
    <m/>
    <m/>
    <m/>
  </r>
  <r>
    <x v="1"/>
    <s v="BUATTIER"/>
    <s v="Christelle"/>
    <n v="51"/>
    <s v="Baccalauréat"/>
    <s v="Croix Blanche"/>
    <d v="2025-07-08T00:00:00"/>
    <d v="2025-09-10T00:00:00"/>
    <d v="2025-09-10T00:00:00"/>
    <d v="2026-03-09T00:00:00"/>
    <m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ULINGE"/>
    <s v="Corentin"/>
    <n v="26"/>
    <s v="Aucun diplôme"/>
    <s v="Pierre Goujon"/>
    <d v="2026-02-04T00:00:00"/>
    <d v="2026-02-13T00:00:00"/>
    <d v="2026-02-13T00:00:00"/>
    <d v="2026-08-12T00:00:00"/>
    <m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CHARNAY"/>
    <s v="Cindy"/>
    <m/>
    <m/>
    <s v="Croix Blanche"/>
    <d v="2025-12-04T00:00:00"/>
    <d v="2025-12-23T00:00:00"/>
    <m/>
    <d v="1900-06-28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CHAVE"/>
    <s v="Baptiste"/>
    <n v="31"/>
    <s v="Baccalauréat"/>
    <s v="Pierre Goujon"/>
    <d v="2025-09-05T00:00:00"/>
    <d v="2025-10-01T00:00:00"/>
    <d v="2025-10-01T00:00:00"/>
    <d v="2026-09-30T00:00:00"/>
    <s v="Renouvellement"/>
    <m/>
    <d v="1900-06-28T00:00:00"/>
    <s v="Santé"/>
    <s v="Conduite"/>
    <m/>
    <n v="2"/>
    <m/>
    <m/>
    <x v="0"/>
    <x v="0"/>
    <x v="0"/>
    <m/>
    <n v="1"/>
    <m/>
    <m/>
    <m/>
    <m/>
    <m/>
    <m/>
    <m/>
    <m/>
    <m/>
    <m/>
    <m/>
    <m/>
    <m/>
    <m/>
  </r>
  <r>
    <x v="1"/>
    <s v="CHOMETTON"/>
    <s v="Lydie"/>
    <n v="34"/>
    <s v="CAP, BEP"/>
    <s v="Pierre Goujon"/>
    <d v="2025-07-09T00:00:00"/>
    <d v="2025-07-22T00:00:00"/>
    <d v="2025-07-22T00:00:00"/>
    <d v="2026-07-21T00:00:00"/>
    <s v="Renouvellement"/>
    <m/>
    <d v="1900-06-28T00:00:00"/>
    <s v="Santé mentale"/>
    <m/>
    <m/>
    <n v="1"/>
    <m/>
    <m/>
    <x v="0"/>
    <x v="0"/>
    <x v="0"/>
    <m/>
    <n v="1"/>
    <m/>
    <m/>
    <m/>
    <m/>
    <m/>
    <m/>
    <m/>
    <m/>
    <m/>
    <m/>
    <n v="1"/>
    <m/>
    <m/>
    <m/>
  </r>
  <r>
    <x v="2"/>
    <s v="DAOUD"/>
    <s v="Boina"/>
    <n v="45"/>
    <s v="Aucun diplôme"/>
    <s v="Croix Blanche"/>
    <d v="2025-06-25T00:00:00"/>
    <d v="2025-09-24T00:00:00"/>
    <d v="2025-09-24T00:00:00"/>
    <d v="2026-09-23T00:00:00"/>
    <s v="Renouvellement"/>
    <m/>
    <d v="1900-06-28T00:00:00"/>
    <s v="Garde enfant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DA SILVA GONCALVES"/>
    <s v="Samuel"/>
    <n v="30"/>
    <s v="CAP, BEP"/>
    <s v="Pierre Goujon"/>
    <d v="2025-08-22T00:00:00"/>
    <d v="2025-09-23T00:00:00"/>
    <d v="2025-09-23T00:00:00"/>
    <d v="2026-03-22T00:00:00"/>
    <s v="Renouvellement"/>
    <m/>
    <d v="1900-06-28T00:00:00"/>
    <s v="Santé"/>
    <m/>
    <m/>
    <n v="2"/>
    <m/>
    <m/>
    <x v="0"/>
    <x v="0"/>
    <x v="0"/>
    <m/>
    <n v="1"/>
    <m/>
    <m/>
    <m/>
    <m/>
    <m/>
    <m/>
    <m/>
    <m/>
    <m/>
    <m/>
    <m/>
    <m/>
    <m/>
    <m/>
  </r>
  <r>
    <x v="1"/>
    <s v="DBIJA"/>
    <s v="Hafida"/>
    <n v="50"/>
    <s v="CAP, BEP"/>
    <s v="Pierre Goujon"/>
    <d v="2026-02-06T00:00:00"/>
    <d v="2026-02-25T00:00:00"/>
    <d v="2026-02-25T00:00:00"/>
    <d v="2026-08-24T00:00:00"/>
    <m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DECAILLON"/>
    <s v="Candide"/>
    <n v="54"/>
    <s v="Aucun diplôme"/>
    <s v="Pierre Goujon"/>
    <d v="2025-08-01T00:00:00"/>
    <d v="2025-09-08T00:00:00"/>
    <d v="2025-09-08T00:00:00"/>
    <d v="2026-09-07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n v="1"/>
    <m/>
    <m/>
    <m/>
    <m/>
    <m/>
  </r>
  <r>
    <x v="1"/>
    <s v="DUPUPED"/>
    <s v="Nathalie"/>
    <n v="47"/>
    <s v="CAP, BEP"/>
    <s v="Croix Blanche"/>
    <d v="2026-05-05T00:00:00"/>
    <d v="2026-06-12T00:00:00"/>
    <d v="2026-06-12T00:00:00"/>
    <d v="2026-12-09T00:00:00"/>
    <m/>
    <m/>
    <d v="1900-06-28T00:00:00"/>
    <s v="Santé"/>
    <m/>
    <m/>
    <m/>
    <m/>
    <m/>
    <x v="0"/>
    <x v="0"/>
    <x v="0"/>
    <m/>
    <m/>
    <m/>
    <m/>
    <m/>
    <m/>
    <m/>
    <m/>
    <m/>
    <m/>
    <m/>
    <m/>
    <m/>
    <m/>
    <m/>
    <m/>
  </r>
  <r>
    <x v="2"/>
    <s v="EL MOUSTAOUI"/>
    <s v="Sadik"/>
    <n v="42"/>
    <m/>
    <s v="Croix Blanche"/>
    <d v="2025-08-18T00:00:00"/>
    <d v="2025-09-16T00:00:00"/>
    <d v="2025-10-23T00:00:00"/>
    <d v="2026-04-21T00:00:00"/>
    <m/>
    <m/>
    <d v="1900-06-28T00:00:00"/>
    <s v="Santé mentale"/>
    <m/>
    <m/>
    <m/>
    <m/>
    <m/>
    <x v="0"/>
    <x v="0"/>
    <x v="0"/>
    <m/>
    <m/>
    <m/>
    <m/>
    <m/>
    <m/>
    <m/>
    <m/>
    <m/>
    <m/>
    <m/>
    <m/>
    <m/>
    <m/>
    <m/>
    <m/>
  </r>
  <r>
    <x v="1"/>
    <s v="FETET"/>
    <s v="Jennifer"/>
    <n v="35"/>
    <s v="Aucun diplôme"/>
    <s v="Croix Blanche"/>
    <d v="2025-08-06T00:00:00"/>
    <d v="2025-09-10T00:00:00"/>
    <d v="2025-09-10T00:00:00"/>
    <d v="2026-09-05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FETET"/>
    <s v="Laura"/>
    <n v="31"/>
    <s v="CAP, BEP"/>
    <s v="Pierre Goujon"/>
    <d v="2025-06-20T00:00:00"/>
    <d v="2025-07-24T00:00:00"/>
    <d v="2025-07-24T00:00:00"/>
    <d v="2026-07-19T00:00:00"/>
    <s v="Renouvellement"/>
    <m/>
    <d v="1900-06-28T00:00:00"/>
    <s v="Garde enfant"/>
    <m/>
    <m/>
    <m/>
    <n v="2"/>
    <m/>
    <x v="0"/>
    <x v="0"/>
    <x v="0"/>
    <m/>
    <n v="1"/>
    <m/>
    <m/>
    <m/>
    <m/>
    <m/>
    <m/>
    <m/>
    <m/>
    <m/>
    <m/>
    <m/>
    <m/>
    <m/>
    <m/>
  </r>
  <r>
    <x v="2"/>
    <s v="FIEMS"/>
    <s v="Grégory"/>
    <n v="38"/>
    <s v="CAP, BEP"/>
    <s v="Pierre Goujon"/>
    <d v="2026-04-21T00:00:00"/>
    <d v="2026-05-11T00:00:00"/>
    <d v="2026-06-04T00:00:00"/>
    <d v="2026-12-01T00:00:00"/>
    <m/>
    <m/>
    <d v="1900-06-28T00:00:00"/>
    <s v="Véhicule"/>
    <s v="Santé mentale"/>
    <m/>
    <m/>
    <m/>
    <m/>
    <x v="0"/>
    <x v="0"/>
    <x v="0"/>
    <m/>
    <m/>
    <m/>
    <m/>
    <m/>
    <m/>
    <m/>
    <m/>
    <m/>
    <m/>
    <m/>
    <m/>
    <m/>
    <m/>
    <m/>
    <m/>
  </r>
  <r>
    <x v="1"/>
    <s v="GASHI"/>
    <s v="Melihate"/>
    <n v="46"/>
    <m/>
    <s v="Croix Blanche"/>
    <d v="2026-05-28T00:00:00"/>
    <d v="2026-06-12T00:00:00"/>
    <d v="2026-06-12T00:00:00"/>
    <d v="2026-12-09T00:00:00"/>
    <m/>
    <m/>
    <d v="1900-06-28T00:00:00"/>
    <s v="Santé mentale"/>
    <m/>
    <m/>
    <m/>
    <m/>
    <m/>
    <x v="0"/>
    <x v="0"/>
    <x v="0"/>
    <m/>
    <m/>
    <m/>
    <m/>
    <m/>
    <m/>
    <m/>
    <m/>
    <m/>
    <m/>
    <m/>
    <m/>
    <m/>
    <m/>
    <m/>
    <m/>
  </r>
  <r>
    <x v="1"/>
    <s v="GOBERT"/>
    <s v="Edwige"/>
    <n v="33"/>
    <s v="CAP, BEP"/>
    <s v="Croix Blanche"/>
    <n v="46004"/>
    <d v="2025-09-26T00:00:00"/>
    <d v="2025-09-26T00:00:00"/>
    <d v="2026-09-25T00:00:00"/>
    <s v="Renouvellement"/>
    <m/>
    <d v="1900-06-28T00:00:00"/>
    <s v="Garde enfant"/>
    <s v="Santé"/>
    <m/>
    <m/>
    <m/>
    <m/>
    <x v="0"/>
    <x v="0"/>
    <x v="0"/>
    <m/>
    <n v="1"/>
    <m/>
    <m/>
    <m/>
    <m/>
    <m/>
    <m/>
    <m/>
    <m/>
    <m/>
    <m/>
    <m/>
    <m/>
    <m/>
    <m/>
  </r>
  <r>
    <x v="1"/>
    <s v="GOKBULUT"/>
    <s v="Eda"/>
    <n v="27"/>
    <s v="CAP, BEP"/>
    <s v="Croix Blanche"/>
    <d v="2025-07-17T00:00:00"/>
    <d v="2025-07-31T00:00:00"/>
    <d v="2025-07-31T00:00:00"/>
    <d v="2026-07-30T00:00:00"/>
    <s v="Renouvellement"/>
    <m/>
    <d v="1900-06-28T00:00:00"/>
    <s v="Garde enfant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HADZI-ALIJA"/>
    <s v="Erdan"/>
    <n v="32"/>
    <s v="Aucun diplôme"/>
    <s v="Croix Blanche"/>
    <d v="2025-08-04T00:00:00"/>
    <d v="2025-09-08T00:00:00"/>
    <d v="2026-02-27T00:00:00"/>
    <d v="2026-08-26T00:00:00"/>
    <m/>
    <m/>
    <d v="1900-06-28T00:00:00"/>
    <m/>
    <m/>
    <m/>
    <m/>
    <n v="1"/>
    <m/>
    <x v="0"/>
    <x v="0"/>
    <x v="0"/>
    <m/>
    <n v="1"/>
    <m/>
    <m/>
    <m/>
    <m/>
    <m/>
    <m/>
    <m/>
    <m/>
    <m/>
    <m/>
    <m/>
    <m/>
    <m/>
    <m/>
  </r>
  <r>
    <x v="2"/>
    <s v="HAMMOUMI"/>
    <s v="Mohammed"/>
    <n v="29"/>
    <s v="Baccalauréat"/>
    <s v="Croix Blanche"/>
    <d v="2026-01-07T00:00:00"/>
    <d v="2026-01-21T00:00:00"/>
    <d v="2026-01-21T00:00:00"/>
    <d v="2026-07-20T00:00:00"/>
    <m/>
    <m/>
    <d v="1900-06-28T00:00:00"/>
    <m/>
    <m/>
    <m/>
    <m/>
    <n v="2"/>
    <m/>
    <x v="0"/>
    <x v="0"/>
    <x v="0"/>
    <m/>
    <n v="1"/>
    <m/>
    <m/>
    <m/>
    <m/>
    <m/>
    <m/>
    <m/>
    <m/>
    <m/>
    <m/>
    <m/>
    <m/>
    <m/>
    <m/>
  </r>
  <r>
    <x v="1"/>
    <s v="HASSANI"/>
    <s v="Koulthoumi"/>
    <n v="42"/>
    <s v="Aucun diplôme"/>
    <s v="Croix Blanche"/>
    <d v="2025-10-08T00:00:00"/>
    <d v="2025-01-13T00:00:00"/>
    <d v="2026-01-13T00:00:00"/>
    <d v="2026-07-12T00:00:00"/>
    <m/>
    <m/>
    <d v="1900-06-28T00:00:00"/>
    <s v="Santé"/>
    <m/>
    <m/>
    <n v="5"/>
    <m/>
    <m/>
    <x v="0"/>
    <x v="0"/>
    <x v="0"/>
    <m/>
    <n v="1"/>
    <m/>
    <m/>
    <m/>
    <m/>
    <m/>
    <m/>
    <m/>
    <m/>
    <m/>
    <m/>
    <n v="1"/>
    <m/>
    <m/>
    <m/>
  </r>
  <r>
    <x v="1"/>
    <s v="HOUICHI"/>
    <s v="Hikmet"/>
    <n v="44"/>
    <s v="Doctorat, habilitation à diriger des recherches"/>
    <s v="Pierre Goujon"/>
    <d v="2025-08-22T00:00:00"/>
    <d v="2025-09-23T00:00:00"/>
    <d v="2025-09-23T00:00:00"/>
    <d v="2026-09-22T00:00:00"/>
    <s v="Renouvellement"/>
    <m/>
    <d v="1900-06-28T00:00:00"/>
    <m/>
    <m/>
    <m/>
    <m/>
    <n v="1"/>
    <m/>
    <x v="0"/>
    <x v="0"/>
    <x v="0"/>
    <m/>
    <n v="1"/>
    <m/>
    <m/>
    <m/>
    <m/>
    <m/>
    <m/>
    <m/>
    <m/>
    <m/>
    <m/>
    <m/>
    <m/>
    <m/>
    <m/>
  </r>
  <r>
    <x v="1"/>
    <s v="IBADIOUNE"/>
    <s v="Jamila"/>
    <n v="44"/>
    <m/>
    <s v="Croix Blanche"/>
    <d v="2025-10-22T00:00:00"/>
    <d v="2026-03-12T00:00:00"/>
    <d v="2026-03-12T00:00:00"/>
    <d v="2026-09-08T00:00:00"/>
    <m/>
    <m/>
    <d v="1900-06-28T00:00:00"/>
    <s v="Garde enfants"/>
    <s v="Permis"/>
    <m/>
    <n v="4"/>
    <n v="1"/>
    <m/>
    <x v="0"/>
    <x v="0"/>
    <x v="0"/>
    <m/>
    <n v="1"/>
    <m/>
    <m/>
    <m/>
    <m/>
    <m/>
    <m/>
    <m/>
    <m/>
    <m/>
    <m/>
    <m/>
    <m/>
    <m/>
    <m/>
  </r>
  <r>
    <x v="1"/>
    <s v="IMMEDIATO"/>
    <s v="Eva"/>
    <n v="41"/>
    <s v="Baccalauréat"/>
    <s v="Pierre Goujon"/>
    <d v="2026-03-09T00:00:00"/>
    <d v="2026-04-23T00:00:00"/>
    <d v="2026-04-23T00:00:00"/>
    <d v="2026-10-20T00:00:00"/>
    <m/>
    <m/>
    <d v="1900-06-28T00:00:00"/>
    <s v="Véhicule"/>
    <m/>
    <m/>
    <n v="4"/>
    <m/>
    <m/>
    <x v="0"/>
    <x v="0"/>
    <x v="0"/>
    <m/>
    <n v="1"/>
    <m/>
    <m/>
    <m/>
    <m/>
    <m/>
    <m/>
    <m/>
    <m/>
    <m/>
    <m/>
    <m/>
    <m/>
    <m/>
    <m/>
  </r>
  <r>
    <x v="2"/>
    <s v="KALINDA"/>
    <s v="Léopold"/>
    <n v="28"/>
    <s v="Master, diplôme d'études approfondies, diplôme d'études supérieures spécialisées, diplôme d'ingénieur"/>
    <s v="Croix Blanche"/>
    <d v="2026-01-29T00:00:00"/>
    <d v="2026-02-12T00:00:00"/>
    <d v="2026-02-12T00:00:00"/>
    <d v="2026-08-11T00:00:00"/>
    <m/>
    <m/>
    <d v="1900-06-28T00:00:00"/>
    <s v="Permis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KARADAVUT"/>
    <s v="Pembe"/>
    <n v="56"/>
    <s v="Aucun diplôme"/>
    <s v="Croix Blanche"/>
    <d v="2025-12-12T00:00:00"/>
    <d v="2026-01-27T00:00:00"/>
    <d v="2026-02-05T00:00:00"/>
    <d v="2026-08-04T00:00:00"/>
    <m/>
    <m/>
    <d v="1900-06-28T00:00:00"/>
    <s v="Santé"/>
    <m/>
    <m/>
    <n v="1"/>
    <m/>
    <m/>
    <x v="0"/>
    <x v="0"/>
    <x v="0"/>
    <m/>
    <n v="1"/>
    <m/>
    <m/>
    <m/>
    <m/>
    <m/>
    <m/>
    <m/>
    <m/>
    <m/>
    <m/>
    <n v="1"/>
    <m/>
    <m/>
    <m/>
  </r>
  <r>
    <x v="1"/>
    <s v="KASEMI "/>
    <s v="Elsaïda"/>
    <n v="25"/>
    <s v="Baccalauréat"/>
    <s v="Croix Blanche"/>
    <d v="2025-12-14T00:00:00"/>
    <d v="2025-12-22T00:00:00"/>
    <d v="2026-01-05T00:00:00"/>
    <d v="2026-07-04T00:00:00"/>
    <m/>
    <m/>
    <d v="1900-06-28T00:00:00"/>
    <s v="Garde enfant"/>
    <m/>
    <m/>
    <n v="1"/>
    <m/>
    <m/>
    <x v="0"/>
    <x v="0"/>
    <x v="0"/>
    <m/>
    <n v="1"/>
    <m/>
    <m/>
    <m/>
    <m/>
    <m/>
    <m/>
    <m/>
    <m/>
    <m/>
    <m/>
    <m/>
    <m/>
    <m/>
    <m/>
  </r>
  <r>
    <x v="1"/>
    <s v="KAYRE"/>
    <s v="Fatou Kine"/>
    <n v="35"/>
    <s v="Licence, licence professionnelle"/>
    <s v="Pierre Goujon"/>
    <d v="2026-01-07T00:00:00"/>
    <d v="2026-01-22T00:00:00"/>
    <d v="2026-01-22T00:00:00"/>
    <d v="2026-07-21T00:00:00"/>
    <m/>
    <m/>
    <d v="1900-06-28T00:00:00"/>
    <m/>
    <m/>
    <m/>
    <n v="1"/>
    <n v="2"/>
    <m/>
    <x v="1"/>
    <x v="0"/>
    <x v="1"/>
    <d v="2026-05-01T00:00:00"/>
    <n v="1"/>
    <m/>
    <m/>
    <m/>
    <m/>
    <m/>
    <m/>
    <m/>
    <m/>
    <m/>
    <m/>
    <m/>
    <m/>
    <m/>
    <m/>
  </r>
  <r>
    <x v="2"/>
    <s v="KIM"/>
    <s v="Stéphane"/>
    <n v="55"/>
    <s v="CAP, BEP"/>
    <s v="Croix Blanche"/>
    <d v="2026-01-29T00:00:00"/>
    <d v="2026-02-19T00:00:00"/>
    <d v="2026-02-19T00:00:00"/>
    <d v="2026-08-18T00:00:00"/>
    <m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KULIKOVA"/>
    <s v="Oléna"/>
    <n v="44"/>
    <m/>
    <s v="Croix Blanche"/>
    <d v="2025-07-28T00:00:00"/>
    <d v="2025-10-09T00:00:00"/>
    <d v="2026-01-28T00:00:00"/>
    <d v="2026-07-27T00:00:00"/>
    <m/>
    <m/>
    <d v="1900-06-28T00:00:00"/>
    <s v="Langue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LIKIDI"/>
    <s v="Quektor"/>
    <n v="47"/>
    <s v="Aucun diplôme"/>
    <s v="Pierre Goujon"/>
    <d v="2026-02-06T00:00:00"/>
    <d v="2026-02-18T00:00:00"/>
    <d v="2026-02-18T00:00:00"/>
    <d v="2026-08-17T00:00:00"/>
    <m/>
    <m/>
    <d v="1900-06-28T00:00:00"/>
    <m/>
    <m/>
    <m/>
    <n v="2"/>
    <m/>
    <m/>
    <x v="0"/>
    <x v="0"/>
    <x v="0"/>
    <m/>
    <n v="1"/>
    <m/>
    <m/>
    <m/>
    <m/>
    <m/>
    <m/>
    <m/>
    <m/>
    <m/>
    <m/>
    <m/>
    <m/>
    <m/>
    <m/>
  </r>
  <r>
    <x v="1"/>
    <s v="LOUCIF"/>
    <s v="Ines"/>
    <n v="30"/>
    <s v="CAP, BEP"/>
    <s v="Pierre Goujon"/>
    <d v="2025-06-25T00:00:00"/>
    <d v="2025-07-28T00:00:00"/>
    <d v="2025-07-28T00:00:00"/>
    <d v="2026-07-27T00:00:00"/>
    <s v="Renouvellement"/>
    <m/>
    <d v="1900-06-28T00:00:00"/>
    <s v="Santé mentale"/>
    <s v="Garde enfant"/>
    <m/>
    <n v="2"/>
    <m/>
    <m/>
    <x v="0"/>
    <x v="0"/>
    <x v="0"/>
    <m/>
    <n v="1"/>
    <m/>
    <m/>
    <m/>
    <m/>
    <m/>
    <m/>
    <m/>
    <m/>
    <m/>
    <m/>
    <m/>
    <m/>
    <m/>
    <m/>
  </r>
  <r>
    <x v="2"/>
    <s v="MARRET"/>
    <s v="Alan"/>
    <n v="26"/>
    <s v="CAP, BEP"/>
    <s v="Pierre Goujon"/>
    <d v="2026-01-30T00:00:00"/>
    <d v="2026-02-16T00:00:00"/>
    <d v="2026-02-16T00:00:00"/>
    <d v="2026-08-15T00:00:00"/>
    <m/>
    <m/>
    <d v="1900-06-28T00:00:00"/>
    <m/>
    <m/>
    <m/>
    <n v="1"/>
    <m/>
    <m/>
    <x v="0"/>
    <x v="0"/>
    <x v="0"/>
    <m/>
    <n v="1"/>
    <m/>
    <m/>
    <m/>
    <m/>
    <m/>
    <m/>
    <m/>
    <m/>
    <m/>
    <m/>
    <m/>
    <m/>
    <m/>
    <m/>
  </r>
  <r>
    <x v="2"/>
    <s v="MCHINDRA"/>
    <s v="Yancoub"/>
    <n v="30"/>
    <s v="Aucun diplôme"/>
    <s v="Croix Blanche"/>
    <d v="2025-07-16T00:00:00"/>
    <d v="2025-09-22T00:00:00"/>
    <d v="2025-10-29T00:00:00"/>
    <d v="2026-10-28T00:00:00"/>
    <s v="Renouvellement"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MENIHEYA"/>
    <s v="Zakaria"/>
    <n v="32"/>
    <s v="CAP, BEP"/>
    <s v="Pierre Goujon"/>
    <d v="2026-05-26T00:00:00"/>
    <d v="2026-06-11T00:00:00"/>
    <d v="2026-06-11T00:00:00"/>
    <d v="2026-10-29T00:00:00"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MERCIER"/>
    <s v="Florent"/>
    <n v="53"/>
    <m/>
    <s v="Croix Blanche"/>
    <d v="2025-06-18T00:00:00"/>
    <d v="2025-07-30T00:00:00"/>
    <d v="2026-07-30T00:00:00"/>
    <d v="2026-07-29T00:00:00"/>
    <s v="Renouvellement"/>
    <m/>
    <d v="1900-06-28T00:00:00"/>
    <s v="Santé"/>
    <s v="Mobilité"/>
    <m/>
    <m/>
    <m/>
    <m/>
    <x v="0"/>
    <x v="0"/>
    <x v="0"/>
    <m/>
    <n v="1"/>
    <m/>
    <m/>
    <m/>
    <m/>
    <m/>
    <m/>
    <m/>
    <m/>
    <m/>
    <m/>
    <m/>
    <m/>
    <m/>
    <m/>
  </r>
  <r>
    <x v="2"/>
    <s v="MEUNIER"/>
    <s v="Yann"/>
    <n v="45"/>
    <s v="CAP, BEP"/>
    <s v="Pierre Goujon"/>
    <d v="2025-06-20T00:00:00"/>
    <d v="2025-08-04T00:00:00"/>
    <d v="2025-08-04T00:00:00"/>
    <d v="2026-08-03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MMADI"/>
    <s v="Nasbata"/>
    <n v="36"/>
    <s v="Titre pro"/>
    <s v="Croix Blanche"/>
    <d v="2026-04-28T00:00:00"/>
    <d v="2026-05-28T00:00:00"/>
    <d v="2026-05-28T00:00:00"/>
    <d v="2026-11-24T00:00:00"/>
    <m/>
    <m/>
    <d v="1900-06-28T00:00:00"/>
    <s v="Permis"/>
    <s v="Mère isolée"/>
    <m/>
    <m/>
    <m/>
    <m/>
    <x v="0"/>
    <x v="0"/>
    <x v="0"/>
    <m/>
    <m/>
    <m/>
    <m/>
    <m/>
    <m/>
    <m/>
    <m/>
    <m/>
    <m/>
    <m/>
    <m/>
    <m/>
    <m/>
    <m/>
    <m/>
  </r>
  <r>
    <x v="2"/>
    <s v="MOLL "/>
    <s v="Armand"/>
    <n v="59"/>
    <s v="CAP, BEP"/>
    <s v="Croix Blanche"/>
    <d v="2026-01-20T00:00:00"/>
    <d v="2026-01-28T00:00:00"/>
    <d v="2026-01-28T00:00:00"/>
    <d v="2026-07-27T00:00:00"/>
    <m/>
    <m/>
    <d v="1900-06-28T00:00:00"/>
    <s v="Mobilité"/>
    <m/>
    <m/>
    <n v="2"/>
    <m/>
    <m/>
    <x v="0"/>
    <x v="0"/>
    <x v="0"/>
    <m/>
    <n v="1"/>
    <m/>
    <m/>
    <m/>
    <m/>
    <m/>
    <m/>
    <m/>
    <m/>
    <m/>
    <m/>
    <m/>
    <m/>
    <m/>
    <m/>
  </r>
  <r>
    <x v="1"/>
    <s v="MOLLA"/>
    <s v="Romina"/>
    <n v="35"/>
    <s v="Baccalauréat"/>
    <s v="Pierre Goujon"/>
    <d v="2025-09-08T00:00:00"/>
    <d v="2025-12-23T00:00:00"/>
    <d v="2025-12-23T00:00:00"/>
    <d v="2026-06-21T00:00:00"/>
    <s v="Renouvellement"/>
    <m/>
    <d v="1900-06-28T00:00:00"/>
    <s v="Langue"/>
    <s v="Aidante"/>
    <m/>
    <n v="1"/>
    <m/>
    <m/>
    <x v="0"/>
    <x v="0"/>
    <x v="0"/>
    <m/>
    <n v="1"/>
    <n v="1"/>
    <m/>
    <m/>
    <m/>
    <m/>
    <m/>
    <m/>
    <m/>
    <m/>
    <m/>
    <m/>
    <m/>
    <m/>
    <m/>
  </r>
  <r>
    <x v="1"/>
    <s v="MONIN"/>
    <s v="Nathalie"/>
    <n v="57"/>
    <s v="CAP, BEP"/>
    <s v="Pierre Goujon"/>
    <d v="2026-03-26T00:00:00"/>
    <d v="2026-04-16T00:00:00"/>
    <d v="2026-04-16T00:00:00"/>
    <d v="2026-10-13T00:00:00"/>
    <m/>
    <m/>
    <d v="1900-06-28T00:00:00"/>
    <m/>
    <m/>
    <m/>
    <n v="2"/>
    <m/>
    <m/>
    <x v="0"/>
    <x v="0"/>
    <x v="0"/>
    <m/>
    <n v="1"/>
    <m/>
    <m/>
    <m/>
    <m/>
    <m/>
    <m/>
    <m/>
    <m/>
    <m/>
    <m/>
    <m/>
    <m/>
    <m/>
    <m/>
  </r>
  <r>
    <x v="2"/>
    <s v="MOREL"/>
    <s v="Alexandre"/>
    <n v="27"/>
    <s v="Aucun diplôme"/>
    <s v="Pierre Goujon"/>
    <d v="2025-07-17T00:00:00"/>
    <d v="2025-07-28T00:00:00"/>
    <d v="2025-07-28T00:00:00"/>
    <d v="2026-07-27T00:00:00"/>
    <s v="Renouvellement"/>
    <m/>
    <d v="1900-06-28T00:00:00"/>
    <s v="Santé   "/>
    <s v="Santé mentale"/>
    <m/>
    <n v="1"/>
    <m/>
    <m/>
    <x v="0"/>
    <x v="0"/>
    <x v="0"/>
    <m/>
    <n v="1"/>
    <m/>
    <m/>
    <m/>
    <m/>
    <m/>
    <m/>
    <m/>
    <m/>
    <m/>
    <m/>
    <m/>
    <m/>
    <m/>
    <m/>
  </r>
  <r>
    <x v="1"/>
    <s v="MOREL"/>
    <s v="Virginie"/>
    <n v="47"/>
    <s v="Aucun diplôme"/>
    <s v="Pierre Goujon"/>
    <d v="2025-05-23T00:00:00"/>
    <d v="2025-08-06T00:00:00"/>
    <d v="2025-08-06T00:00:00"/>
    <d v="2026-08-05T00:00:00"/>
    <s v="Renouvellement"/>
    <m/>
    <d v="1900-06-28T00:00:00"/>
    <s v="Logement"/>
    <s v="Mobilité"/>
    <m/>
    <n v="1"/>
    <m/>
    <m/>
    <x v="0"/>
    <x v="0"/>
    <x v="0"/>
    <m/>
    <n v="1"/>
    <m/>
    <m/>
    <m/>
    <m/>
    <m/>
    <m/>
    <m/>
    <m/>
    <m/>
    <m/>
    <m/>
    <m/>
    <m/>
    <m/>
  </r>
  <r>
    <x v="2"/>
    <s v="MOSES"/>
    <s v="Jal"/>
    <n v="27"/>
    <s v="Aucun diplôme"/>
    <s v="Pierre Goujon"/>
    <d v="2025-12-19T00:00:00"/>
    <d v="2026-01-14T00:00:00"/>
    <d v="2026-01-14T00:00:00"/>
    <d v="2026-07-13T00:00:00"/>
    <m/>
    <m/>
    <d v="1900-06-28T00:00:00"/>
    <s v="Mobilité"/>
    <m/>
    <m/>
    <n v="2"/>
    <n v="10"/>
    <m/>
    <x v="0"/>
    <x v="0"/>
    <x v="0"/>
    <m/>
    <n v="1"/>
    <m/>
    <m/>
    <m/>
    <m/>
    <m/>
    <m/>
    <m/>
    <m/>
    <m/>
    <m/>
    <m/>
    <m/>
    <m/>
    <m/>
  </r>
  <r>
    <x v="1"/>
    <s v="MOSSMAN"/>
    <s v="Tiaré"/>
    <n v="51"/>
    <s v="Aucun diplôme"/>
    <s v="Pierre Goujon"/>
    <d v="2025-09-03T00:00:00"/>
    <d v="2025-12-24T00:00:00"/>
    <d v="2025-12-24T00:00:00"/>
    <d v="2026-06-22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n v="1"/>
    <m/>
    <m/>
    <m/>
    <m/>
    <m/>
  </r>
  <r>
    <x v="1"/>
    <s v="MOURSAL IBET"/>
    <s v="Kaltouma"/>
    <n v="46"/>
    <m/>
    <s v="Croix Blanche"/>
    <d v="2026-01-06T00:00:00"/>
    <s v="09/04/206"/>
    <s v="SDP radiee"/>
    <m/>
    <m/>
    <m/>
    <d v="1900-06-28T00:00:00"/>
    <s v="Santé"/>
    <m/>
    <m/>
    <m/>
    <m/>
    <m/>
    <x v="0"/>
    <x v="0"/>
    <x v="0"/>
    <m/>
    <m/>
    <m/>
    <m/>
    <m/>
    <m/>
    <m/>
    <m/>
    <m/>
    <m/>
    <m/>
    <m/>
    <m/>
    <m/>
    <m/>
    <m/>
  </r>
  <r>
    <x v="1"/>
    <s v="MOUSTOIFFA"/>
    <s v="Zaïna"/>
    <n v="59"/>
    <s v="Aucun diplôme"/>
    <s v="Pierre Goujon"/>
    <d v="2025-12-11T00:00:00"/>
    <d v="2025-12-19T00:00:00"/>
    <d v="2025-12-19T00:00:00"/>
    <d v="2026-06-17T00:00:00"/>
    <s v="Renouvellement"/>
    <m/>
    <d v="1900-06-28T00:00:00"/>
    <s v="Santé"/>
    <s v="Langue"/>
    <m/>
    <m/>
    <m/>
    <m/>
    <x v="0"/>
    <x v="0"/>
    <x v="0"/>
    <m/>
    <n v="1"/>
    <m/>
    <m/>
    <m/>
    <m/>
    <m/>
    <m/>
    <m/>
    <m/>
    <n v="1"/>
    <m/>
    <m/>
    <m/>
    <m/>
    <m/>
  </r>
  <r>
    <x v="2"/>
    <s v="MTIMET"/>
    <s v="Ridha"/>
    <n v="55"/>
    <m/>
    <s v="Croix Blanche"/>
    <d v="2025-06-25T00:00:00"/>
    <d v="2025-10-23T00:00:00"/>
    <d v="2026-01-21T00:00:00"/>
    <d v="2026-07-20T00:00:00"/>
    <m/>
    <m/>
    <d v="1900-06-28T00:00:00"/>
    <s v="Santé"/>
    <m/>
    <m/>
    <n v="1"/>
    <m/>
    <m/>
    <x v="0"/>
    <x v="0"/>
    <x v="0"/>
    <m/>
    <n v="1"/>
    <m/>
    <m/>
    <m/>
    <m/>
    <m/>
    <m/>
    <m/>
    <m/>
    <m/>
    <m/>
    <m/>
    <m/>
    <m/>
    <m/>
  </r>
  <r>
    <x v="1"/>
    <s v="NOEL"/>
    <s v="Jennifer"/>
    <n v="39"/>
    <s v="Aucun diplôme"/>
    <s v="Pierre Goujon"/>
    <d v="2026-03-20T00:00:00"/>
    <d v="2026-04-09T00:00:00"/>
    <d v="2026-04-09T00:00:00"/>
    <d v="2026-10-06T00:00:00"/>
    <m/>
    <m/>
    <d v="1900-06-28T00:00:00"/>
    <m/>
    <m/>
    <m/>
    <n v="1"/>
    <m/>
    <m/>
    <x v="0"/>
    <x v="0"/>
    <x v="0"/>
    <m/>
    <m/>
    <m/>
    <m/>
    <m/>
    <m/>
    <m/>
    <m/>
    <m/>
    <m/>
    <m/>
    <m/>
    <m/>
    <m/>
    <m/>
    <m/>
  </r>
  <r>
    <x v="1"/>
    <s v="OSIPOVA"/>
    <s v="Margarita"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OULAD AYAD"/>
    <s v="Loubna"/>
    <n v="49"/>
    <s v="Licence, licence professionnelle"/>
    <s v="Pierre Goujon"/>
    <d v="2026-02-11T00:00:00"/>
    <d v="2026-02-26T00:00:00"/>
    <d v="2026-02-26T00:00:00"/>
    <d v="2026-08-25T00:00:00"/>
    <m/>
    <m/>
    <d v="1900-06-28T00:00:00"/>
    <m/>
    <m/>
    <m/>
    <n v="1"/>
    <n v="1"/>
    <m/>
    <x v="0"/>
    <x v="0"/>
    <x v="0"/>
    <m/>
    <n v="1"/>
    <m/>
    <m/>
    <m/>
    <m/>
    <m/>
    <m/>
    <m/>
    <m/>
    <m/>
    <m/>
    <m/>
    <m/>
    <m/>
    <m/>
  </r>
  <r>
    <x v="2"/>
    <s v="OUSMANE"/>
    <s v="Tidiane"/>
    <n v="30"/>
    <s v="CAP, BEP"/>
    <s v="Croix Blanche"/>
    <d v="2026-01-22T00:00:00"/>
    <d v="2026-01-26T00:00:00"/>
    <d v="2026-02-05T00:00:00"/>
    <d v="2026-08-04T00:00:00"/>
    <m/>
    <m/>
    <d v="1900-06-28T00:00:00"/>
    <s v="Santé mentale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PAGE "/>
    <s v="Francesca"/>
    <n v="32"/>
    <s v="CAP, BEP"/>
    <s v="Croix Blanche"/>
    <d v="2025-10-17T00:00:00"/>
    <d v="2025-10-30T00:00:00"/>
    <d v="2025-10-30T00:00:00"/>
    <d v="2026-10-29T00:00:00"/>
    <s v="Renouvellement"/>
    <m/>
    <d v="1900-06-28T00:00:00"/>
    <s v="Permis"/>
    <m/>
    <m/>
    <n v="2"/>
    <m/>
    <m/>
    <x v="0"/>
    <x v="0"/>
    <x v="0"/>
    <m/>
    <n v="1"/>
    <m/>
    <m/>
    <m/>
    <m/>
    <m/>
    <m/>
    <m/>
    <m/>
    <m/>
    <m/>
    <m/>
    <m/>
    <m/>
    <m/>
  </r>
  <r>
    <x v="1"/>
    <s v="PAUVIL"/>
    <s v="Pauline"/>
    <n v="58"/>
    <s v="Aucun diplôme"/>
    <s v="Pierre Goujon"/>
    <d v="2025-06-17T00:00:00"/>
    <d v="2025-09-30T00:00:00"/>
    <d v="2025-09-30T00:00:00"/>
    <d v="2026-09-29T00:00:00"/>
    <s v="Renouvellement"/>
    <m/>
    <d v="1900-06-28T00:00:00"/>
    <s v="Santé  "/>
    <s v="Illetrisme"/>
    <s v="Logement"/>
    <m/>
    <m/>
    <m/>
    <x v="0"/>
    <x v="0"/>
    <x v="0"/>
    <m/>
    <n v="1"/>
    <m/>
    <m/>
    <m/>
    <m/>
    <m/>
    <m/>
    <m/>
    <m/>
    <m/>
    <m/>
    <m/>
    <m/>
    <m/>
    <m/>
  </r>
  <r>
    <x v="1"/>
    <s v="PEKDURU"/>
    <s v="Pembe"/>
    <n v="59"/>
    <s v="Aucun diplôme"/>
    <s v="Pierre Goujon"/>
    <d v="2025-06-17T00:00:00"/>
    <d v="2025-08-19T00:00:00"/>
    <d v="2025-10-01T00:00:00"/>
    <d v="2026-03-30T00:00:00"/>
    <s v="REO SOCIALE"/>
    <m/>
    <d v="1900-06-28T00:00:00"/>
    <s v="Santé"/>
    <s v="Illetrisme"/>
    <s v="Aucune expérience professionnelle"/>
    <m/>
    <m/>
    <m/>
    <x v="0"/>
    <x v="0"/>
    <x v="0"/>
    <m/>
    <n v="1"/>
    <m/>
    <m/>
    <m/>
    <m/>
    <m/>
    <m/>
    <m/>
    <m/>
    <m/>
    <m/>
    <m/>
    <m/>
    <m/>
    <m/>
  </r>
  <r>
    <x v="2"/>
    <s v="PIERRE-LOUIS"/>
    <s v="Stephen"/>
    <n v="33"/>
    <s v="CAP, BEP"/>
    <s v="Pierre Goujon"/>
    <d v="2026-01-09T00:00:00"/>
    <d v="2026-01-26T00:00:00"/>
    <d v="2026-01-26T00:00:00"/>
    <d v="2026-07-25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PINTO"/>
    <s v="Jason"/>
    <n v="29"/>
    <s v="Aucun diplôme"/>
    <s v="Croix Blanche"/>
    <d v="2025-08-28T00:00:00"/>
    <d v="2025-10-21T00:00:00"/>
    <d v="2025-10-21T00:00:00"/>
    <d v="2026-10-20T00:00:00"/>
    <s v="Renouvellement"/>
    <m/>
    <d v="1900-06-28T00:00:00"/>
    <s v="Permis"/>
    <m/>
    <m/>
    <n v="5"/>
    <n v="1"/>
    <m/>
    <x v="0"/>
    <x v="0"/>
    <x v="0"/>
    <m/>
    <n v="1"/>
    <m/>
    <m/>
    <m/>
    <m/>
    <m/>
    <m/>
    <m/>
    <m/>
    <m/>
    <m/>
    <m/>
    <m/>
    <m/>
    <m/>
  </r>
  <r>
    <x v="1"/>
    <s v="POCHEBONNE"/>
    <s v="Prescillia"/>
    <n v="33"/>
    <s v="CAP, BEP"/>
    <s v="Croix Blanche"/>
    <d v="2026-03-03T00:00:00"/>
    <d v="2026-04-02T00:00:00"/>
    <d v="2026-04-02T00:00:00"/>
    <d v="2026-09-29T00:00:00"/>
    <m/>
    <m/>
    <d v="1900-06-28T00:00:00"/>
    <s v="Enfant malade"/>
    <s v="Monoparentalité"/>
    <m/>
    <m/>
    <m/>
    <m/>
    <x v="0"/>
    <x v="0"/>
    <x v="0"/>
    <m/>
    <n v="1"/>
    <m/>
    <m/>
    <m/>
    <m/>
    <m/>
    <m/>
    <m/>
    <m/>
    <m/>
    <m/>
    <m/>
    <m/>
    <m/>
    <m/>
  </r>
  <r>
    <x v="2"/>
    <s v="PUZIN"/>
    <s v="Jacky"/>
    <n v="39"/>
    <s v="Aucun diplôme"/>
    <s v="Pierre Goujon"/>
    <d v="2025-06-20T00:00:00"/>
    <d v="2025-08-22T00:00:00"/>
    <d v="2025-08-22T00:00:00"/>
    <d v="2026-02-18T00:00:00"/>
    <s v="Renouvellement"/>
    <m/>
    <d v="1900-06-28T00:00:00"/>
    <s v="Permis 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RAMOUL"/>
    <s v="Mohcin"/>
    <n v="40"/>
    <s v="Aucun diplôme"/>
    <s v="Croix Blanche"/>
    <d v="2026-02-19T00:00:00"/>
    <d v="2026-04-01T00:00:00"/>
    <d v="2026-04-01T00:00:00"/>
    <d v="2026-09-28T00:00:00"/>
    <m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RHAZI"/>
    <s v="Abdelhakim"/>
    <n v="54"/>
    <s v="Aucun diplôme"/>
    <s v="Croix Blanche"/>
    <d v="2025-07-08T00:00:00"/>
    <d v="2025-07-16T00:00:00"/>
    <d v="2025-07-16T00:00:00"/>
    <d v="2026-07-15T00:00:00"/>
    <s v="Renouvellement"/>
    <m/>
    <d v="1900-06-28T00:00:00"/>
    <s v="Santé"/>
    <m/>
    <m/>
    <m/>
    <m/>
    <m/>
    <x v="0"/>
    <x v="0"/>
    <x v="0"/>
    <m/>
    <m/>
    <m/>
    <m/>
    <m/>
    <m/>
    <m/>
    <m/>
    <m/>
    <m/>
    <n v="1"/>
    <m/>
    <m/>
    <m/>
    <m/>
    <m/>
  </r>
  <r>
    <x v="2"/>
    <s v="RIBOLLA"/>
    <s v="Fabien"/>
    <n v="44"/>
    <s v="CAP, BEP"/>
    <s v="Pierre Goujon"/>
    <d v="2025-06-19T00:00:00"/>
    <d v="2025-08-22T00:00:00"/>
    <d v="2025-08-22T00:00:00"/>
    <d v="2026-08-21T00:00:00"/>
    <s v="Renouvellement"/>
    <m/>
    <d v="1900-06-28T00:00:00"/>
    <s v="Voiture 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ROIDA"/>
    <s v="Hamid"/>
    <n v="57"/>
    <s v="CAP, BEP"/>
    <s v="Pierre Goujon"/>
    <d v="2025-06-19T00:00:00"/>
    <d v="2005-09-08T00:00:00"/>
    <d v="2025-12-03T00:00:00"/>
    <d v="2026-06-01T00:00:00"/>
    <s v="Renouvellement"/>
    <m/>
    <d v="1900-06-28T00:00:00"/>
    <s v="Santé"/>
    <m/>
    <m/>
    <m/>
    <m/>
    <m/>
    <x v="0"/>
    <x v="0"/>
    <x v="0"/>
    <m/>
    <m/>
    <m/>
    <m/>
    <m/>
    <m/>
    <m/>
    <m/>
    <m/>
    <m/>
    <n v="1"/>
    <m/>
    <m/>
    <m/>
    <m/>
    <m/>
  </r>
  <r>
    <x v="2"/>
    <s v="ROUSSEAUX"/>
    <s v="Frédéric"/>
    <n v="54"/>
    <s v="Aucun diplôme"/>
    <s v="Pierre Goujon"/>
    <d v="2025-06-17T00:00:00"/>
    <d v="2025-08-25T00:00:00"/>
    <d v="2025-08-25T00:00:00"/>
    <d v="2026-02-21T00:00:00"/>
    <s v="Tripartite"/>
    <m/>
    <d v="1900-06-28T00:00:00"/>
    <s v="Santé mentale"/>
    <s v="Addiction"/>
    <m/>
    <m/>
    <m/>
    <m/>
    <x v="0"/>
    <x v="0"/>
    <x v="0"/>
    <m/>
    <n v="1"/>
    <m/>
    <m/>
    <m/>
    <m/>
    <m/>
    <m/>
    <m/>
    <m/>
    <m/>
    <m/>
    <m/>
    <m/>
    <m/>
    <m/>
  </r>
  <r>
    <x v="2"/>
    <s v="RUSITI"/>
    <s v="Silvano"/>
    <n v="34"/>
    <s v="Aucun diplôme"/>
    <s v="Pierre Goujon"/>
    <d v="2026-01-30T00:00:00"/>
    <d v="2026-02-10T00:00:00"/>
    <d v="2026-02-10T00:00:00"/>
    <d v="2026-08-09T00:00:00"/>
    <m/>
    <m/>
    <d v="1900-06-28T00:00:00"/>
    <s v="Santé"/>
    <m/>
    <m/>
    <m/>
    <m/>
    <m/>
    <x v="0"/>
    <x v="0"/>
    <x v="0"/>
    <m/>
    <n v="1"/>
    <m/>
    <m/>
    <m/>
    <m/>
    <m/>
    <m/>
    <m/>
    <m/>
    <m/>
    <m/>
    <m/>
    <m/>
    <m/>
    <m/>
  </r>
  <r>
    <x v="1"/>
    <s v="SAEED"/>
    <s v="Sumaia"/>
    <n v="43"/>
    <s v="Aucun diplôme"/>
    <s v="Croix Blanche"/>
    <d v="2025-06-11T00:00:00"/>
    <d v="2025-08-06T00:00:00"/>
    <d v="2025-08-06T00:00:00"/>
    <d v="2026-08-05T00:00:00"/>
    <s v="Renouvellement"/>
    <m/>
    <d v="1900-06-28T00:00:00"/>
    <s v="Santé  "/>
    <s v="Langue"/>
    <m/>
    <m/>
    <m/>
    <m/>
    <x v="0"/>
    <x v="0"/>
    <x v="0"/>
    <m/>
    <n v="1"/>
    <m/>
    <m/>
    <m/>
    <m/>
    <m/>
    <m/>
    <m/>
    <m/>
    <m/>
    <m/>
    <m/>
    <m/>
    <m/>
    <m/>
  </r>
  <r>
    <x v="1"/>
    <s v="SATTA"/>
    <s v="Saadia"/>
    <n v="45"/>
    <s v="Aucun diplôme"/>
    <s v="Pierre Goujon"/>
    <d v="2025-07-08T00:00:00"/>
    <d v="2025-08-22T00:00:00"/>
    <d v="2025-08-22T00:00:00"/>
    <d v="2026-08-21T00:00:00"/>
    <s v="Renouvellement"/>
    <m/>
    <d v="1900-06-28T00:00:00"/>
    <s v="Langue"/>
    <m/>
    <m/>
    <m/>
    <m/>
    <m/>
    <x v="0"/>
    <x v="0"/>
    <x v="0"/>
    <m/>
    <n v="1"/>
    <n v="1"/>
    <m/>
    <m/>
    <m/>
    <m/>
    <m/>
    <m/>
    <m/>
    <m/>
    <m/>
    <m/>
    <m/>
    <m/>
    <m/>
  </r>
  <r>
    <x v="1"/>
    <s v="SAVOVA"/>
    <s v="Snejana"/>
    <n v="46"/>
    <s v="Aucun diplôme"/>
    <s v="Croix Blanche"/>
    <d v="2025-06-26T00:00:00"/>
    <d v="2025-08-04T00:00:00"/>
    <d v="2025-08-04T00:00:00"/>
    <d v="2026-08-03T00:00:00"/>
    <s v="Renouvellement"/>
    <m/>
    <d v="1900-06-28T00:00:00"/>
    <s v="Santé"/>
    <m/>
    <m/>
    <m/>
    <m/>
    <m/>
    <x v="0"/>
    <x v="0"/>
    <x v="0"/>
    <m/>
    <n v="1"/>
    <m/>
    <m/>
    <m/>
    <m/>
    <m/>
    <m/>
    <m/>
    <m/>
    <n v="1"/>
    <m/>
    <m/>
    <m/>
    <m/>
    <m/>
  </r>
  <r>
    <x v="1"/>
    <s v="SAWAS"/>
    <s v="Fatina"/>
    <n v="50"/>
    <s v="Aucun diplôme"/>
    <s v="Pierre Goujon"/>
    <d v="2025-12-10T00:00:00"/>
    <d v="2026-01-08T00:00:00"/>
    <d v="2026-01-08T00:00:00"/>
    <d v="2026-07-07T00:00:00"/>
    <m/>
    <m/>
    <d v="1900-06-28T00:00:00"/>
    <s v="Langue"/>
    <s v="Santé"/>
    <m/>
    <m/>
    <m/>
    <m/>
    <x v="0"/>
    <x v="0"/>
    <x v="0"/>
    <m/>
    <n v="1"/>
    <m/>
    <m/>
    <m/>
    <m/>
    <m/>
    <m/>
    <m/>
    <m/>
    <m/>
    <m/>
    <m/>
    <m/>
    <m/>
    <m/>
  </r>
  <r>
    <x v="1"/>
    <s v="SAYAH"/>
    <s v="Fatma"/>
    <n v="42"/>
    <s v="Aucun diplôme"/>
    <s v="Croix Blanche"/>
    <d v="2025-06-18T00:00:00"/>
    <d v="2025-08-06T00:00:00"/>
    <d v="2025-08-06T00:00:00"/>
    <d v="2026-08-05T00:00:00"/>
    <s v="Renouvellement"/>
    <m/>
    <d v="1900-06-28T00:00:00"/>
    <s v="Langue"/>
    <m/>
    <m/>
    <n v="1"/>
    <m/>
    <m/>
    <x v="0"/>
    <x v="0"/>
    <x v="0"/>
    <m/>
    <n v="1"/>
    <n v="1"/>
    <m/>
    <m/>
    <m/>
    <m/>
    <m/>
    <m/>
    <m/>
    <m/>
    <m/>
    <m/>
    <m/>
    <m/>
    <m/>
  </r>
  <r>
    <x v="1"/>
    <s v="STHELY"/>
    <s v="Séverine"/>
    <n v="42"/>
    <s v="CAP, BEP"/>
    <s v="Pierre Goujon"/>
    <d v="2026-02-05T00:00:00"/>
    <d v="2026-02-18T00:00:00"/>
    <d v="2026-02-26T00:00:00"/>
    <d v="2026-08-25T00:00:00"/>
    <m/>
    <m/>
    <d v="1900-06-28T00:00:00"/>
    <m/>
    <m/>
    <m/>
    <n v="4"/>
    <m/>
    <m/>
    <x v="0"/>
    <x v="0"/>
    <x v="0"/>
    <m/>
    <n v="1"/>
    <m/>
    <m/>
    <m/>
    <m/>
    <m/>
    <m/>
    <m/>
    <m/>
    <m/>
    <m/>
    <m/>
    <m/>
    <m/>
    <m/>
  </r>
  <r>
    <x v="2"/>
    <s v="TUMASYAN"/>
    <s v="Garik"/>
    <n v="32"/>
    <s v="Aucun diplôme"/>
    <s v="Croix Blanche"/>
    <d v="2026-03-06T00:00:00"/>
    <d v="2026-05-18T00:00:00"/>
    <d v="2026-05-18T00:00:00"/>
    <d v="2026-11-14T00:00:00"/>
    <m/>
    <m/>
    <d v="1900-06-28T00:00:00"/>
    <s v="Langue"/>
    <m/>
    <m/>
    <m/>
    <m/>
    <m/>
    <x v="0"/>
    <x v="0"/>
    <x v="0"/>
    <m/>
    <m/>
    <m/>
    <m/>
    <m/>
    <m/>
    <m/>
    <m/>
    <m/>
    <m/>
    <m/>
    <m/>
    <m/>
    <m/>
    <m/>
    <m/>
  </r>
  <r>
    <x v="2"/>
    <s v="TOMAT"/>
    <s v="Antoine"/>
    <n v="47"/>
    <s v="Baccalauréat"/>
    <s v="Croix Blanche"/>
    <d v="2025-12-15T00:00:00"/>
    <d v="2025-12-23T00:00:00"/>
    <d v="2026-01-19T00:00:00"/>
    <d v="2026-07-18T00:00:00"/>
    <m/>
    <m/>
    <d v="1900-06-28T00:00:00"/>
    <s v="Permis"/>
    <m/>
    <m/>
    <n v="7"/>
    <n v="2"/>
    <m/>
    <x v="0"/>
    <x v="0"/>
    <x v="0"/>
    <m/>
    <n v="1"/>
    <m/>
    <m/>
    <m/>
    <m/>
    <m/>
    <m/>
    <m/>
    <m/>
    <m/>
    <m/>
    <m/>
    <m/>
    <m/>
    <m/>
  </r>
  <r>
    <x v="1"/>
    <s v="TORRES"/>
    <s v="Julie"/>
    <n v="37"/>
    <s v="Licence, licence professionnelle"/>
    <s v="Pierre Goujon"/>
    <d v="2026-03-03T00:00:00"/>
    <d v="2026-04-09T00:00:00"/>
    <d v="2026-04-09T00:00:00"/>
    <d v="2026-10-06T00:00:00"/>
    <m/>
    <m/>
    <d v="1900-06-28T00:00:00"/>
    <m/>
    <m/>
    <m/>
    <m/>
    <m/>
    <m/>
    <x v="1"/>
    <x v="0"/>
    <x v="2"/>
    <d v="2026-06-25T00:00:00"/>
    <n v="1"/>
    <m/>
    <m/>
    <m/>
    <m/>
    <m/>
    <m/>
    <m/>
    <m/>
    <m/>
    <m/>
    <m/>
    <m/>
    <m/>
    <m/>
  </r>
  <r>
    <x v="2"/>
    <s v="URYN"/>
    <s v="Marcin-Pawel"/>
    <n v="51"/>
    <s v="Aucun diplôme"/>
    <s v="Pierre Goujon"/>
    <d v="2025-06-30T00:00:00"/>
    <d v="2025-09-09T00:00:00"/>
    <d v="2025-09-09T00:00:00"/>
    <d v="2026-09-08T00:00:00"/>
    <s v="Renouvellement"/>
    <m/>
    <d v="1900-06-28T00:00:00"/>
    <s v="Santé"/>
    <s v="Mobilité"/>
    <m/>
    <m/>
    <m/>
    <n v="1"/>
    <x v="0"/>
    <x v="0"/>
    <x v="0"/>
    <m/>
    <n v="1"/>
    <m/>
    <m/>
    <m/>
    <m/>
    <m/>
    <m/>
    <m/>
    <m/>
    <m/>
    <m/>
    <m/>
    <m/>
    <m/>
    <m/>
  </r>
  <r>
    <x v="2"/>
    <s v="VAUPRE"/>
    <s v="Kévin"/>
    <n v="26"/>
    <s v="CAP, BEP"/>
    <s v="Pierre Goujon"/>
    <d v="2026-01-30T00:00:00"/>
    <d v="2026-02-10T00:00:00"/>
    <d v="2026-02-10T00:00:00"/>
    <d v="2026-08-09T00:00:00"/>
    <m/>
    <m/>
    <d v="1900-06-28T00:00:00"/>
    <m/>
    <m/>
    <m/>
    <m/>
    <m/>
    <m/>
    <x v="0"/>
    <x v="0"/>
    <x v="0"/>
    <m/>
    <n v="1"/>
    <m/>
    <m/>
    <m/>
    <m/>
    <m/>
    <m/>
    <m/>
    <m/>
    <m/>
    <m/>
    <m/>
    <m/>
    <n v="1"/>
    <m/>
  </r>
  <r>
    <x v="2"/>
    <s v="VEGLIANTI"/>
    <s v="Olivier"/>
    <n v="49"/>
    <s v="Aucun diplôme"/>
    <s v="Croix Blanche"/>
    <d v="2025-06-13T00:00:00"/>
    <d v="2025-07-31T00:00:00"/>
    <d v="2025-07-31T00:00:00"/>
    <d v="2026-07-30T00:00:00"/>
    <s v="Renouvellement"/>
    <m/>
    <d v="1900-06-28T00:00:00"/>
    <s v="Santé mentale"/>
    <s v="Posture pro"/>
    <m/>
    <n v="1"/>
    <m/>
    <m/>
    <x v="0"/>
    <x v="0"/>
    <x v="0"/>
    <m/>
    <n v="1"/>
    <m/>
    <m/>
    <m/>
    <m/>
    <m/>
    <m/>
    <m/>
    <m/>
    <m/>
    <m/>
    <m/>
    <m/>
    <m/>
    <m/>
  </r>
  <r>
    <x v="2"/>
    <s v="VERRES"/>
    <s v="Alan"/>
    <n v="30"/>
    <s v="Aucun diplôme"/>
    <s v="Croix Blanche"/>
    <d v="2025-08-01T00:00:00"/>
    <d v="2025-10-08T00:00:00"/>
    <d v="2026-03-11T00:00:00"/>
    <d v="2026-09-07T00:00:00"/>
    <m/>
    <m/>
    <d v="1900-06-28T00:00:00"/>
    <s v="Mobilité"/>
    <m/>
    <m/>
    <n v="1"/>
    <m/>
    <m/>
    <x v="0"/>
    <x v="0"/>
    <x v="0"/>
    <m/>
    <n v="1"/>
    <m/>
    <m/>
    <m/>
    <m/>
    <m/>
    <m/>
    <m/>
    <m/>
    <m/>
    <m/>
    <m/>
    <m/>
    <m/>
    <m/>
  </r>
  <r>
    <x v="2"/>
    <s v="ZAID"/>
    <s v="Ilyas"/>
    <n v="36"/>
    <s v="Licence, licence professionnelle"/>
    <s v="Croix Blanche"/>
    <d v="2025-07-03T00:00:00"/>
    <d v="2025-07-21T00:00:00"/>
    <d v="2025-07-21T00:00:00"/>
    <d v="2026-07-20T00:00:00"/>
    <s v="Renouvellement"/>
    <m/>
    <d v="1900-06-28T00:00:00"/>
    <s v="Expérience pro"/>
    <s v="Posture pro"/>
    <m/>
    <n v="6"/>
    <n v="1"/>
    <m/>
    <x v="0"/>
    <x v="0"/>
    <x v="0"/>
    <m/>
    <n v="1"/>
    <m/>
    <m/>
    <m/>
    <m/>
    <m/>
    <m/>
    <m/>
    <m/>
    <m/>
    <m/>
    <m/>
    <m/>
    <m/>
    <n v="1"/>
  </r>
  <r>
    <x v="1"/>
    <s v="ZARZAR"/>
    <s v="Ilhame"/>
    <n v="32"/>
    <s v="Aucun diplôme"/>
    <s v="Croix Blanche"/>
    <d v="2025-06-19T00:00:00"/>
    <d v="2025-08-20T00:00:00"/>
    <d v="2026-03-16T00:00:00"/>
    <d v="2026-09-12T00:00:00"/>
    <m/>
    <m/>
    <d v="1900-06-28T00:00:00"/>
    <s v="Santé"/>
    <m/>
    <m/>
    <m/>
    <m/>
    <m/>
    <x v="0"/>
    <x v="0"/>
    <x v="0"/>
    <m/>
    <m/>
    <m/>
    <m/>
    <m/>
    <m/>
    <m/>
    <m/>
    <m/>
    <m/>
    <m/>
    <m/>
    <m/>
    <m/>
    <m/>
    <m/>
  </r>
  <r>
    <x v="2"/>
    <s v="ZOUNOUH"/>
    <s v="El Houssaine"/>
    <n v="61"/>
    <s v="Aucun diplôme"/>
    <s v="Pierre Goujon"/>
    <d v="2025-06-30T00:00:00"/>
    <d v="2025-08-27T00:00:00"/>
    <d v="2025-08-27T00:00:00"/>
    <d v="2026-08-26T00:00:00"/>
    <s v="Renouvellement"/>
    <m/>
    <d v="1900-06-28T00:00:00"/>
    <s v="Age"/>
    <s v="Posture pro"/>
    <m/>
    <n v="17"/>
    <m/>
    <m/>
    <x v="0"/>
    <x v="0"/>
    <x v="0"/>
    <m/>
    <n v="1"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ABATI"/>
    <s v="Nazmije"/>
    <n v="61"/>
    <m/>
    <s v="Croix Blanche"/>
    <d v="2025-07-31T00:00:00"/>
    <d v="2025-09-04T00:00:00"/>
    <m/>
    <m/>
    <m/>
    <m/>
    <d v="1900-06-28T00:00:00"/>
    <m/>
    <m/>
    <m/>
    <m/>
    <m/>
    <m/>
    <x v="2"/>
    <x v="1"/>
    <x v="0"/>
    <d v="2025-10-20T00:00:00"/>
    <n v="1"/>
    <m/>
    <m/>
    <m/>
    <m/>
    <m/>
    <m/>
    <m/>
    <m/>
    <m/>
    <m/>
    <m/>
    <m/>
    <m/>
    <m/>
  </r>
  <r>
    <x v="2"/>
    <s v="ABDOULAYE ISSAKH"/>
    <s v="Yaya"/>
    <n v="40"/>
    <m/>
    <s v="Pierre Goujon"/>
    <d v="2025-09-19T00:00:00"/>
    <d v="2025-10-09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ALI"/>
    <s v="Mariama"/>
    <n v="32"/>
    <m/>
    <s v="Croix Blanche"/>
    <d v="2025-04-18T00:00:00"/>
    <d v="2025-08-14T00:00:00"/>
    <m/>
    <m/>
    <m/>
    <m/>
    <d v="1900-06-28T00:00:00"/>
    <m/>
    <m/>
    <m/>
    <m/>
    <m/>
    <m/>
    <x v="2"/>
    <x v="2"/>
    <x v="0"/>
    <m/>
    <m/>
    <m/>
    <m/>
    <m/>
    <m/>
    <m/>
    <m/>
    <m/>
    <m/>
    <m/>
    <m/>
    <m/>
    <m/>
    <m/>
    <m/>
  </r>
  <r>
    <x v="1"/>
    <s v="ANTOINAT"/>
    <s v="Jennifer"/>
    <n v="40"/>
    <m/>
    <s v="Pierre Goujon"/>
    <d v="2025-07-08T00:00:00"/>
    <d v="2025-07-23T00:00:00"/>
    <m/>
    <m/>
    <m/>
    <m/>
    <d v="1900-06-28T00:00:00"/>
    <m/>
    <m/>
    <m/>
    <m/>
    <m/>
    <m/>
    <x v="2"/>
    <x v="1"/>
    <x v="0"/>
    <d v="2025-09-04T00:00:00"/>
    <m/>
    <m/>
    <m/>
    <m/>
    <m/>
    <m/>
    <m/>
    <m/>
    <m/>
    <m/>
    <m/>
    <m/>
    <m/>
    <m/>
    <m/>
  </r>
  <r>
    <x v="1"/>
    <s v="ARARI"/>
    <s v="Jennifer"/>
    <n v="39"/>
    <m/>
    <s v="Croix Blanche"/>
    <d v="2025-06-30T00:00:00"/>
    <d v="2025-08-07T00:00:00"/>
    <m/>
    <m/>
    <m/>
    <m/>
    <d v="1900-06-28T00:00:00"/>
    <m/>
    <m/>
    <m/>
    <m/>
    <m/>
    <m/>
    <x v="2"/>
    <x v="1"/>
    <x v="0"/>
    <m/>
    <m/>
    <m/>
    <m/>
    <m/>
    <m/>
    <m/>
    <m/>
    <m/>
    <m/>
    <m/>
    <m/>
    <m/>
    <m/>
    <m/>
    <m/>
  </r>
  <r>
    <x v="1"/>
    <s v="BARA"/>
    <s v="Assetou"/>
    <n v="39"/>
    <s v="Aucun diplôme"/>
    <s v="Pierre Goujon"/>
    <d v="2026-03-19T00:00:00"/>
    <d v="2026-04-02T00:00:00"/>
    <d v="2026-04-02T00:00:00"/>
    <d v="2026-09-29T00:00:00"/>
    <m/>
    <m/>
    <d v="1900-06-28T00:00:00"/>
    <m/>
    <m/>
    <m/>
    <m/>
    <m/>
    <m/>
    <x v="2"/>
    <x v="3"/>
    <x v="3"/>
    <d v="2026-04-21T00:00:00"/>
    <m/>
    <m/>
    <m/>
    <m/>
    <m/>
    <m/>
    <m/>
    <m/>
    <m/>
    <m/>
    <m/>
    <m/>
    <m/>
    <m/>
    <m/>
  </r>
  <r>
    <x v="2"/>
    <s v="BARAT"/>
    <s v="Sayed"/>
    <n v="32"/>
    <m/>
    <s v="Croix Blanche"/>
    <d v="2025-07-08T00:00:00"/>
    <d v="2025-08-20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BOTINAJ"/>
    <s v="Lule"/>
    <n v="63"/>
    <s v="Aucun diplôme"/>
    <s v="Pierre Goujon"/>
    <d v="2025-09-04T00:00:00"/>
    <d v="2025-09-29T00:00:00"/>
    <m/>
    <m/>
    <m/>
    <m/>
    <d v="1900-06-28T00:00:00"/>
    <m/>
    <m/>
    <m/>
    <m/>
    <m/>
    <m/>
    <x v="2"/>
    <x v="1"/>
    <x v="0"/>
    <d v="2025-11-05T00:00:00"/>
    <m/>
    <m/>
    <m/>
    <m/>
    <m/>
    <m/>
    <m/>
    <m/>
    <m/>
    <m/>
    <m/>
    <m/>
    <m/>
    <m/>
    <m/>
  </r>
  <r>
    <x v="1"/>
    <s v="BOURASSIN"/>
    <s v="Gaelle"/>
    <n v="45"/>
    <m/>
    <s v="Pierre Goujon"/>
    <d v="2025-07-02T00:00:00"/>
    <d v="2025-07-28T00:00:00"/>
    <m/>
    <m/>
    <m/>
    <m/>
    <d v="1900-06-28T00:00:00"/>
    <m/>
    <m/>
    <m/>
    <m/>
    <m/>
    <m/>
    <x v="2"/>
    <x v="1"/>
    <x v="0"/>
    <d v="2025-10-27T00:00:00"/>
    <n v="1"/>
    <m/>
    <m/>
    <m/>
    <m/>
    <m/>
    <m/>
    <m/>
    <m/>
    <m/>
    <m/>
    <m/>
    <m/>
    <m/>
    <m/>
  </r>
  <r>
    <x v="1"/>
    <s v="BOUVET"/>
    <s v="Christina"/>
    <n v="49"/>
    <s v="Aucun diplôme"/>
    <s v="Pierre Goujon"/>
    <d v="2025-05-28T00:00:00"/>
    <d v="2025-08-25T00:00:00"/>
    <d v="2025-11-27T00:00:00"/>
    <d v="2026-05-26T00:00:00"/>
    <m/>
    <m/>
    <d v="1900-06-28T00:00:00"/>
    <s v="Santé"/>
    <s v="Mobilité"/>
    <m/>
    <m/>
    <m/>
    <m/>
    <x v="4"/>
    <x v="0"/>
    <x v="0"/>
    <d v="2026-03-01T00:00:00"/>
    <n v="1"/>
    <m/>
    <m/>
    <m/>
    <m/>
    <m/>
    <m/>
    <m/>
    <m/>
    <m/>
    <m/>
    <m/>
    <m/>
    <m/>
    <m/>
  </r>
  <r>
    <x v="1"/>
    <s v="BOUVIER"/>
    <s v="Vanessa"/>
    <n v="36"/>
    <s v="CAP, BEP"/>
    <s v="Croix Blanche"/>
    <d v="2025-06-30T00:00:00"/>
    <d v="2025-09-19T00:00:00"/>
    <d v="2025-11-07T00:00:00"/>
    <d v="2026-05-06T00:00:00"/>
    <m/>
    <m/>
    <d v="1900-06-28T00:00:00"/>
    <m/>
    <m/>
    <m/>
    <m/>
    <m/>
    <m/>
    <x v="1"/>
    <x v="0"/>
    <x v="1"/>
    <d v="2026-04-01T00:00:00"/>
    <n v="1"/>
    <m/>
    <m/>
    <m/>
    <m/>
    <m/>
    <m/>
    <m/>
    <m/>
    <m/>
    <m/>
    <m/>
    <m/>
    <m/>
    <m/>
  </r>
  <r>
    <x v="1"/>
    <s v="BRACH"/>
    <s v="Fatiha"/>
    <n v="41"/>
    <m/>
    <s v="Croix Blanche"/>
    <d v="2025-06-17T00:00:00"/>
    <d v="2025-08-25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BRISSON"/>
    <s v="Amelie"/>
    <n v="38"/>
    <s v="CAP, BEP"/>
    <s v="Pierre Goujon"/>
    <d v="2025-09-17T00:00:00"/>
    <d v="2025-10-16T00:00:00"/>
    <d v="2025-10-16T00:00:00"/>
    <d v="2026-04-14T00:00:00"/>
    <m/>
    <m/>
    <d v="1900-06-28T00:00:00"/>
    <s v="Santé mentale"/>
    <m/>
    <m/>
    <m/>
    <m/>
    <m/>
    <x v="2"/>
    <x v="1"/>
    <x v="0"/>
    <d v="2026-04-13T00:00:00"/>
    <n v="1"/>
    <m/>
    <m/>
    <m/>
    <m/>
    <m/>
    <m/>
    <m/>
    <m/>
    <m/>
    <m/>
    <m/>
    <m/>
    <m/>
    <m/>
  </r>
  <r>
    <x v="1"/>
    <s v="CALARD"/>
    <s v="Johanna"/>
    <n v="27"/>
    <s v="Aucun diplôme"/>
    <s v="Croix Blanche"/>
    <d v="2026-01-14T00:00:00"/>
    <d v="2026-01-28T00:00:00"/>
    <m/>
    <m/>
    <m/>
    <m/>
    <d v="1900-06-28T00:00:00"/>
    <m/>
    <m/>
    <m/>
    <m/>
    <m/>
    <m/>
    <x v="2"/>
    <x v="1"/>
    <x v="0"/>
    <d v="2026-02-24T00:00:00"/>
    <n v="1"/>
    <m/>
    <m/>
    <m/>
    <m/>
    <m/>
    <m/>
    <m/>
    <m/>
    <m/>
    <m/>
    <m/>
    <m/>
    <m/>
    <m/>
  </r>
  <r>
    <x v="1"/>
    <s v="CAMARA"/>
    <s v="Mafoudia"/>
    <n v="35"/>
    <m/>
    <s v="Pierre Goujon"/>
    <d v="2025-06-18T00:00:00"/>
    <d v="2025-07-30T00:00:00"/>
    <m/>
    <m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CEESAY"/>
    <s v="Serra"/>
    <n v="26"/>
    <s v="Aucun diplôme"/>
    <s v="Pierre Goujon"/>
    <d v="2025-12-17T00:00:00"/>
    <d v="2026-01-09T00:00:00"/>
    <d v="2026-01-09T00:00:00"/>
    <d v="2026-07-08T00:00:00"/>
    <m/>
    <m/>
    <d v="1900-06-28T00:00:00"/>
    <s v="Langue"/>
    <s v="Garde enfant"/>
    <m/>
    <m/>
    <m/>
    <m/>
    <x v="4"/>
    <x v="0"/>
    <x v="0"/>
    <d v="2026-04-01T00:00:00"/>
    <n v="1"/>
    <m/>
    <m/>
    <m/>
    <m/>
    <m/>
    <m/>
    <m/>
    <m/>
    <m/>
    <m/>
    <m/>
    <m/>
    <m/>
    <m/>
  </r>
  <r>
    <x v="2"/>
    <s v="CESSIN"/>
    <s v="Patrick"/>
    <n v="31"/>
    <m/>
    <s v="Pierre Goujon"/>
    <d v="2025-07-31T00:00:00"/>
    <d v="2025-09-24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CHACON COTOS"/>
    <s v="Yesica"/>
    <n v="43"/>
    <m/>
    <s v="Pierre Goujon"/>
    <d v="2025-11-21T00:00:00"/>
    <d v="2025-12-09T00:00:00"/>
    <d v="2025-12-09T00:00:00"/>
    <d v="2026-06-07T00:00:00"/>
    <m/>
    <m/>
    <d v="1900-06-28T00:00:00"/>
    <m/>
    <m/>
    <m/>
    <m/>
    <m/>
    <m/>
    <x v="4"/>
    <x v="4"/>
    <x v="0"/>
    <d v="2026-04-16T00:00:00"/>
    <n v="1"/>
    <m/>
    <m/>
    <m/>
    <m/>
    <m/>
    <m/>
    <m/>
    <m/>
    <m/>
    <m/>
    <m/>
    <m/>
    <m/>
    <m/>
  </r>
  <r>
    <x v="2"/>
    <s v="CHARNI"/>
    <s v="Hèdi"/>
    <n v="62"/>
    <m/>
    <s v="Pierre Goujon"/>
    <d v="2025-07-08T00:00:00"/>
    <d v="2025-08-25T00:00:00"/>
    <m/>
    <m/>
    <m/>
    <m/>
    <d v="1900-06-28T00:00:00"/>
    <m/>
    <m/>
    <m/>
    <m/>
    <m/>
    <m/>
    <x v="2"/>
    <x v="1"/>
    <x v="0"/>
    <m/>
    <m/>
    <m/>
    <m/>
    <m/>
    <m/>
    <m/>
    <m/>
    <m/>
    <m/>
    <m/>
    <m/>
    <m/>
    <m/>
    <m/>
    <m/>
  </r>
  <r>
    <x v="1"/>
    <s v="COMBEAU"/>
    <s v="Noémie"/>
    <m/>
    <m/>
    <s v="Croix Blanche"/>
    <m/>
    <d v="2025-11-25T00:00:00"/>
    <m/>
    <m/>
    <m/>
    <m/>
    <d v="1900-06-28T00:00:00"/>
    <m/>
    <m/>
    <m/>
    <m/>
    <m/>
    <m/>
    <x v="4"/>
    <x v="0"/>
    <x v="0"/>
    <d v="2026-03-02T00:00:00"/>
    <m/>
    <m/>
    <m/>
    <m/>
    <m/>
    <m/>
    <m/>
    <m/>
    <m/>
    <m/>
    <m/>
    <m/>
    <m/>
    <m/>
    <m/>
  </r>
  <r>
    <x v="1"/>
    <s v="COTOS REGALADO"/>
    <s v="Nancy"/>
    <n v="63"/>
    <s v="Aucun diplôme"/>
    <s v="Croix Blanche"/>
    <d v="2025-06-24T00:00:00"/>
    <d v="2025-09-25T00:00:00"/>
    <m/>
    <m/>
    <m/>
    <m/>
    <d v="1900-06-28T00:00:00"/>
    <m/>
    <m/>
    <m/>
    <m/>
    <m/>
    <m/>
    <x v="2"/>
    <x v="5"/>
    <x v="0"/>
    <d v="2025-12-16T00:00:00"/>
    <n v="1"/>
    <m/>
    <m/>
    <m/>
    <m/>
    <m/>
    <m/>
    <m/>
    <m/>
    <m/>
    <m/>
    <m/>
    <m/>
    <m/>
    <m/>
  </r>
  <r>
    <x v="2"/>
    <s v="DEMIRKAZIK"/>
    <s v="Ramazan"/>
    <n v="57"/>
    <m/>
    <s v="Croix Blanche"/>
    <d v="2025-08-14T00:00:00"/>
    <d v="2025-09-16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2"/>
    <s v="DIALLO"/>
    <s v="Abdulaye"/>
    <n v="33"/>
    <m/>
    <s v="Croix Blanche"/>
    <d v="2025-07-17T00:00:00"/>
    <m/>
    <m/>
    <m/>
    <m/>
    <m/>
    <d v="1900-06-28T00:00:00"/>
    <m/>
    <m/>
    <m/>
    <m/>
    <m/>
    <m/>
    <x v="2"/>
    <x v="4"/>
    <x v="0"/>
    <d v="2026-06-12T00:00:00"/>
    <m/>
    <m/>
    <m/>
    <m/>
    <m/>
    <m/>
    <m/>
    <m/>
    <m/>
    <m/>
    <m/>
    <m/>
    <m/>
    <m/>
    <m/>
  </r>
  <r>
    <x v="1"/>
    <s v="DOTHAL"/>
    <s v="Justine"/>
    <n v="30"/>
    <s v="Aucun diplôme"/>
    <s v="Croix Blanche"/>
    <d v="2025-08-01T00:00:00"/>
    <d v="2025-09-08T00:00:00"/>
    <d v="2025-09-08T00:00:00"/>
    <d v="2026-03-07T00:00:00"/>
    <s v="Réo FT"/>
    <m/>
    <d v="1900-06-28T00:00:00"/>
    <s v="Santé"/>
    <s v="Santé mentale"/>
    <s v="Aidante familiale"/>
    <n v="2"/>
    <m/>
    <m/>
    <x v="2"/>
    <x v="3"/>
    <x v="3"/>
    <d v="2026-03-24T00:00:00"/>
    <n v="1"/>
    <m/>
    <m/>
    <m/>
    <m/>
    <m/>
    <m/>
    <m/>
    <m/>
    <m/>
    <m/>
    <m/>
    <m/>
    <m/>
    <m/>
  </r>
  <r>
    <x v="1"/>
    <s v="DUCROZET"/>
    <s v="Sylvianne"/>
    <n v="58"/>
    <s v="Baccalauréat"/>
    <s v="Croix Blanche"/>
    <d v="2026-03-24T00:00:00"/>
    <d v="2026-05-12T00:00:00"/>
    <d v="2026-05-12T00:00:00"/>
    <d v="2026-11-08T00:00:00"/>
    <m/>
    <m/>
    <d v="1900-06-28T00:00:00"/>
    <s v="Santé mentale "/>
    <m/>
    <m/>
    <m/>
    <m/>
    <m/>
    <x v="2"/>
    <x v="1"/>
    <x v="0"/>
    <d v="2026-06-03T00:00:00"/>
    <n v="1"/>
    <m/>
    <m/>
    <m/>
    <m/>
    <m/>
    <m/>
    <m/>
    <m/>
    <m/>
    <m/>
    <m/>
    <m/>
    <m/>
    <m/>
  </r>
  <r>
    <x v="1"/>
    <s v="DURMUS"/>
    <s v="Alev"/>
    <n v="44"/>
    <m/>
    <s v="Pierre Goujon"/>
    <d v="2025-08-01T00:00:00"/>
    <d v="2025-09-08T00:00:00"/>
    <m/>
    <m/>
    <m/>
    <m/>
    <d v="1900-06-28T00:00:00"/>
    <m/>
    <m/>
    <m/>
    <m/>
    <m/>
    <m/>
    <x v="2"/>
    <x v="4"/>
    <x v="0"/>
    <d v="2025-10-09T00:00:00"/>
    <m/>
    <m/>
    <m/>
    <m/>
    <m/>
    <m/>
    <m/>
    <m/>
    <m/>
    <m/>
    <m/>
    <m/>
    <m/>
    <m/>
    <m/>
  </r>
  <r>
    <x v="1"/>
    <s v="ESPRIT"/>
    <s v="Jessicka"/>
    <n v="29"/>
    <s v="Baccalauréat"/>
    <m/>
    <m/>
    <d v="2026-01-20T00:00:00"/>
    <s v="SDP"/>
    <e v="#VALUE!"/>
    <m/>
    <m/>
    <d v="1900-06-28T00:00:00"/>
    <m/>
    <m/>
    <m/>
    <m/>
    <m/>
    <m/>
    <x v="1"/>
    <x v="3"/>
    <x v="3"/>
    <d v="2026-04-17T00:00:00"/>
    <m/>
    <m/>
    <m/>
    <m/>
    <m/>
    <m/>
    <m/>
    <m/>
    <m/>
    <m/>
    <m/>
    <m/>
    <m/>
    <m/>
    <m/>
  </r>
  <r>
    <x v="1"/>
    <s v="FAYDALI MANDEL"/>
    <s v="Nahide"/>
    <n v="53"/>
    <s v="CAP, BEP"/>
    <s v="Croix Blanche"/>
    <d v="2026-02-09T00:00:00"/>
    <d v="2026-04-13T00:00:00"/>
    <d v="2026-04-13T00:00:00"/>
    <d v="2026-10-10T00:00:00"/>
    <m/>
    <m/>
    <d v="1900-06-28T00:00:00"/>
    <s v="Santé mentale"/>
    <m/>
    <m/>
    <m/>
    <m/>
    <m/>
    <x v="2"/>
    <x v="1"/>
    <x v="0"/>
    <d v="2026-04-20T00:00:00"/>
    <m/>
    <m/>
    <m/>
    <m/>
    <m/>
    <m/>
    <m/>
    <m/>
    <m/>
    <m/>
    <m/>
    <m/>
    <m/>
    <m/>
    <m/>
  </r>
  <r>
    <x v="2"/>
    <s v="FERREIRA"/>
    <s v="Julien"/>
    <n v="37"/>
    <s v="CAP, BEP"/>
    <s v="Croix Blanche"/>
    <d v="2025-08-18T00:00:00"/>
    <d v="2025-09-30T00:00:00"/>
    <d v="2025-09-30T00:00:00"/>
    <d v="2026-03-29T00:00:00"/>
    <s v="Tripartite"/>
    <m/>
    <d v="1900-06-28T00:00:00"/>
    <s v="Santé mentale"/>
    <s v="Aidant familial"/>
    <m/>
    <m/>
    <m/>
    <m/>
    <x v="2"/>
    <x v="1"/>
    <x v="0"/>
    <d v="2026-06-09T00:00:00"/>
    <n v="1"/>
    <m/>
    <m/>
    <m/>
    <m/>
    <m/>
    <m/>
    <m/>
    <m/>
    <m/>
    <m/>
    <m/>
    <m/>
    <m/>
    <m/>
  </r>
  <r>
    <x v="1"/>
    <s v="GIORDANELLA"/>
    <s v="Rachel"/>
    <n v="63"/>
    <m/>
    <s v="Pierre Goujon"/>
    <d v="2025-07-31T00:00:00"/>
    <d v="2025-09-04T00:00:00"/>
    <m/>
    <m/>
    <m/>
    <m/>
    <d v="1900-06-28T00:00:00"/>
    <m/>
    <m/>
    <m/>
    <m/>
    <m/>
    <m/>
    <x v="2"/>
    <x v="5"/>
    <x v="0"/>
    <d v="2025-09-04T00:00:00"/>
    <m/>
    <m/>
    <m/>
    <m/>
    <m/>
    <m/>
    <m/>
    <m/>
    <m/>
    <m/>
    <m/>
    <m/>
    <m/>
    <m/>
    <m/>
  </r>
  <r>
    <x v="1"/>
    <s v="HASSAN"/>
    <s v="Roueida"/>
    <n v="46"/>
    <s v="Aucun diplôme"/>
    <s v="Pierre Goujon"/>
    <d v="2025-08-07T00:00:00"/>
    <d v="2025-10-06T00:00:00"/>
    <m/>
    <m/>
    <m/>
    <m/>
    <d v="1900-06-28T00:00:00"/>
    <m/>
    <m/>
    <m/>
    <m/>
    <m/>
    <m/>
    <x v="2"/>
    <x v="1"/>
    <x v="0"/>
    <d v="2025-11-13T00:00:00"/>
    <n v="1"/>
    <m/>
    <m/>
    <m/>
    <m/>
    <m/>
    <m/>
    <m/>
    <m/>
    <m/>
    <m/>
    <m/>
    <m/>
    <m/>
    <m/>
  </r>
  <r>
    <x v="1"/>
    <s v="JAMAI"/>
    <s v="Miryam"/>
    <n v="30"/>
    <m/>
    <s v="Croix Blanche"/>
    <d v="2025-05-23T00:00:00"/>
    <d v="2025-10-07T00:00:00"/>
    <m/>
    <m/>
    <m/>
    <m/>
    <d v="1900-06-28T00:00:00"/>
    <m/>
    <m/>
    <m/>
    <m/>
    <m/>
    <m/>
    <x v="2"/>
    <x v="2"/>
    <x v="0"/>
    <m/>
    <m/>
    <m/>
    <m/>
    <m/>
    <m/>
    <m/>
    <m/>
    <m/>
    <m/>
    <m/>
    <m/>
    <m/>
    <m/>
    <m/>
    <m/>
  </r>
  <r>
    <x v="1"/>
    <s v="KOSTURI-BASTRIU"/>
    <s v="Nazime"/>
    <n v="45"/>
    <m/>
    <s v="Croix Blanche"/>
    <d v="2025-06-19T00:00:00"/>
    <d v="2025-08-05T00:00:00"/>
    <m/>
    <m/>
    <m/>
    <m/>
    <d v="1900-06-28T00:00:00"/>
    <m/>
    <m/>
    <m/>
    <m/>
    <m/>
    <m/>
    <x v="2"/>
    <x v="1"/>
    <x v="0"/>
    <d v="2025-12-09T00:00:00"/>
    <m/>
    <m/>
    <m/>
    <m/>
    <m/>
    <m/>
    <m/>
    <m/>
    <m/>
    <m/>
    <m/>
    <m/>
    <m/>
    <m/>
    <m/>
  </r>
  <r>
    <x v="1"/>
    <s v="KOUYATE"/>
    <s v="Fanta"/>
    <n v="26"/>
    <m/>
    <s v="Croix Blanche"/>
    <d v="2025-06-13T00:00:00"/>
    <d v="2025-08-22T00:00:00"/>
    <m/>
    <m/>
    <m/>
    <m/>
    <d v="1900-06-28T00:00:00"/>
    <m/>
    <m/>
    <m/>
    <m/>
    <m/>
    <m/>
    <x v="1"/>
    <x v="4"/>
    <x v="4"/>
    <d v="2025-10-22T00:00:00"/>
    <n v="1"/>
    <m/>
    <m/>
    <m/>
    <m/>
    <m/>
    <m/>
    <m/>
    <m/>
    <m/>
    <m/>
    <m/>
    <m/>
    <m/>
    <m/>
  </r>
  <r>
    <x v="1"/>
    <s v="LAARABA"/>
    <s v="Saida"/>
    <n v="47"/>
    <m/>
    <s v="Croix Blanche"/>
    <d v="2025-05-07T00:00:00"/>
    <d v="2025-08-04T00:00:00"/>
    <m/>
    <d v="1900-06-28T00:00:00"/>
    <m/>
    <m/>
    <d v="1900-06-28T00:00:00"/>
    <s v="Santé"/>
    <m/>
    <m/>
    <m/>
    <m/>
    <m/>
    <x v="3"/>
    <x v="0"/>
    <x v="0"/>
    <m/>
    <m/>
    <m/>
    <m/>
    <m/>
    <m/>
    <m/>
    <m/>
    <m/>
    <m/>
    <m/>
    <m/>
    <m/>
    <m/>
    <m/>
    <m/>
  </r>
  <r>
    <x v="1"/>
    <s v="LAMBERT"/>
    <s v="Jennifer"/>
    <n v="34"/>
    <m/>
    <s v="Croix Blanche"/>
    <d v="2025-05-23T00:00:00"/>
    <d v="2025-08-25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LENOIR"/>
    <s v="Sabrina"/>
    <n v="45"/>
    <s v="Baccalauréat"/>
    <s v="Croix Blanche"/>
    <d v="2025-08-01T00:00:00"/>
    <d v="2025-09-19T00:00:00"/>
    <d v="2025-09-19T00:00:00"/>
    <d v="2026-03-18T00:00:00"/>
    <m/>
    <m/>
    <d v="1900-06-28T00:00:00"/>
    <s v="Santé"/>
    <s v="Enfants malades"/>
    <m/>
    <m/>
    <m/>
    <m/>
    <x v="5"/>
    <x v="0"/>
    <x v="0"/>
    <d v="2026-04-01T00:00:00"/>
    <m/>
    <m/>
    <m/>
    <m/>
    <m/>
    <m/>
    <m/>
    <m/>
    <m/>
    <m/>
    <m/>
    <m/>
    <m/>
    <m/>
    <m/>
  </r>
  <r>
    <x v="1"/>
    <s v="LEONARDE"/>
    <s v="Bibiane"/>
    <n v="28"/>
    <s v="Aucun diplôme"/>
    <s v="Croix Blanche"/>
    <d v="2025-06-25T00:00:00"/>
    <d v="2025-08-22T00:00:00"/>
    <d v="2025-08-22T00:00:00"/>
    <d v="2026-02-18T00:00:00"/>
    <m/>
    <m/>
    <d v="1900-06-28T00:00:00"/>
    <s v="Santé mentale"/>
    <m/>
    <m/>
    <m/>
    <m/>
    <m/>
    <x v="4"/>
    <x v="0"/>
    <x v="0"/>
    <d v="2026-02-13T00:00:00"/>
    <n v="1"/>
    <m/>
    <m/>
    <m/>
    <m/>
    <m/>
    <m/>
    <m/>
    <m/>
    <m/>
    <m/>
    <m/>
    <m/>
    <m/>
    <m/>
  </r>
  <r>
    <x v="1"/>
    <s v="MATHON"/>
    <s v="Emilie"/>
    <n v="45"/>
    <s v="Aucun diplôme"/>
    <s v="Croix Blanche"/>
    <d v="2025-06-06T00:00:00"/>
    <d v="2025-08-05T00:00:00"/>
    <m/>
    <m/>
    <m/>
    <m/>
    <d v="1900-06-28T00:00:00"/>
    <m/>
    <m/>
    <m/>
    <m/>
    <m/>
    <m/>
    <x v="1"/>
    <x v="4"/>
    <x v="4"/>
    <d v="2025-12-23T00:00:00"/>
    <n v="1"/>
    <m/>
    <m/>
    <m/>
    <m/>
    <m/>
    <m/>
    <m/>
    <m/>
    <m/>
    <m/>
    <m/>
    <m/>
    <m/>
    <m/>
  </r>
  <r>
    <x v="2"/>
    <s v="MGALLES"/>
    <s v="Khaled"/>
    <n v="39"/>
    <m/>
    <s v="Pierre Goujon"/>
    <d v="2025-07-18T00:00:00"/>
    <d v="2025-08-07T00:00:00"/>
    <m/>
    <m/>
    <m/>
    <m/>
    <d v="1900-06-28T00:00:00"/>
    <m/>
    <m/>
    <m/>
    <m/>
    <m/>
    <m/>
    <x v="4"/>
    <x v="4"/>
    <x v="5"/>
    <m/>
    <m/>
    <m/>
    <m/>
    <m/>
    <m/>
    <m/>
    <m/>
    <m/>
    <m/>
    <m/>
    <m/>
    <m/>
    <m/>
    <m/>
    <m/>
  </r>
  <r>
    <x v="1"/>
    <s v="MICHEL"/>
    <s v="Elodie"/>
    <n v="38"/>
    <s v="DEUG, BTS, DUT, DEUST"/>
    <s v="Pierre Goujon"/>
    <d v="2025-06-17T00:00:00"/>
    <d v="2025-08-04T00:00:00"/>
    <m/>
    <m/>
    <m/>
    <m/>
    <d v="1900-06-28T00:00:00"/>
    <m/>
    <m/>
    <m/>
    <m/>
    <m/>
    <m/>
    <x v="2"/>
    <x v="1"/>
    <x v="0"/>
    <d v="2025-12-16T00:00:00"/>
    <n v="1"/>
    <m/>
    <m/>
    <m/>
    <m/>
    <m/>
    <m/>
    <m/>
    <m/>
    <m/>
    <m/>
    <m/>
    <m/>
    <m/>
    <m/>
  </r>
  <r>
    <x v="1"/>
    <s v="MOISSONNIER"/>
    <s v="Marie Claude"/>
    <n v="66"/>
    <m/>
    <s v="Pierre Goujon"/>
    <d v="2025-06-17T00:00:00"/>
    <d v="2025-08-04T00:00:00"/>
    <m/>
    <m/>
    <m/>
    <m/>
    <d v="1900-06-28T00:00:00"/>
    <m/>
    <m/>
    <m/>
    <m/>
    <m/>
    <m/>
    <x v="2"/>
    <x v="5"/>
    <x v="0"/>
    <d v="2025-08-08T00:00:00"/>
    <m/>
    <m/>
    <m/>
    <m/>
    <m/>
    <m/>
    <m/>
    <m/>
    <m/>
    <m/>
    <m/>
    <m/>
    <m/>
    <m/>
    <m/>
  </r>
  <r>
    <x v="2"/>
    <s v="MOREL"/>
    <s v="Anthony"/>
    <n v="37"/>
    <m/>
    <s v="Pierre Goujon"/>
    <d v="2025-06-17T00:00:00"/>
    <d v="2025-08-05T00:00:00"/>
    <m/>
    <m/>
    <m/>
    <m/>
    <d v="1900-06-28T00:00:00"/>
    <m/>
    <m/>
    <m/>
    <m/>
    <m/>
    <m/>
    <x v="5"/>
    <x v="0"/>
    <x v="0"/>
    <d v="2026-02-13T00:00:00"/>
    <n v="1"/>
    <m/>
    <m/>
    <m/>
    <m/>
    <m/>
    <m/>
    <m/>
    <m/>
    <m/>
    <m/>
    <m/>
    <m/>
    <m/>
    <m/>
  </r>
  <r>
    <x v="2"/>
    <s v="MOURAUD"/>
    <s v="Kévin"/>
    <n v="36"/>
    <s v="Aucun diplôme"/>
    <s v="Pierre Goujon"/>
    <d v="2025-06-17T00:00:00"/>
    <d v="2025-08-06T00:00:00"/>
    <d v="2025-08-06T00:00:00"/>
    <d v="2026-08-05T00:00:00"/>
    <s v="Renouvellement"/>
    <m/>
    <d v="1900-06-28T00:00:00"/>
    <s v="Santé mentale"/>
    <s v="Expérience"/>
    <s v="Posture pro"/>
    <m/>
    <m/>
    <m/>
    <x v="2"/>
    <x v="1"/>
    <x v="0"/>
    <d v="2026-06-09T00:00:00"/>
    <n v="1"/>
    <m/>
    <m/>
    <m/>
    <m/>
    <m/>
    <m/>
    <m/>
    <m/>
    <m/>
    <m/>
    <m/>
    <m/>
    <m/>
    <m/>
  </r>
  <r>
    <x v="1"/>
    <s v="MURATI"/>
    <s v="Anxhelina"/>
    <n v="23"/>
    <m/>
    <s v="Pierre Goujon"/>
    <d v="2025-07-18T00:00:00"/>
    <d v="2025-08-28T00:00:00"/>
    <m/>
    <m/>
    <m/>
    <m/>
    <d v="1900-06-28T00:00:00"/>
    <m/>
    <m/>
    <m/>
    <m/>
    <m/>
    <m/>
    <x v="2"/>
    <x v="2"/>
    <x v="0"/>
    <m/>
    <m/>
    <m/>
    <m/>
    <m/>
    <m/>
    <m/>
    <m/>
    <m/>
    <m/>
    <m/>
    <m/>
    <m/>
    <m/>
    <m/>
    <m/>
  </r>
  <r>
    <x v="2"/>
    <s v="MURY"/>
    <s v="Alexis"/>
    <n v="35"/>
    <s v="CAP, BEP"/>
    <s v="Pierre Goujon"/>
    <d v="2025-08-18T00:00:00"/>
    <d v="2025-10-02T00:00:00"/>
    <m/>
    <m/>
    <m/>
    <m/>
    <d v="1900-06-28T00:00:00"/>
    <m/>
    <m/>
    <m/>
    <m/>
    <m/>
    <m/>
    <x v="4"/>
    <x v="0"/>
    <x v="0"/>
    <d v="2025-11-14T00:00:00"/>
    <n v="1"/>
    <m/>
    <m/>
    <m/>
    <m/>
    <m/>
    <m/>
    <m/>
    <m/>
    <m/>
    <m/>
    <m/>
    <m/>
    <m/>
    <m/>
  </r>
  <r>
    <x v="1"/>
    <s v="MZOURI"/>
    <s v="Chama"/>
    <n v="41"/>
    <m/>
    <s v="Pierre Goujon"/>
    <d v="2025-06-03T00:00:00"/>
    <d v="2025-08-07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2"/>
    <s v="NABI ZADA"/>
    <s v="Ghulam"/>
    <n v="61"/>
    <m/>
    <s v="Pierre Goujon"/>
    <d v="2025-09-11T00:00:00"/>
    <d v="2025-10-06T00:00:00"/>
    <m/>
    <m/>
    <m/>
    <m/>
    <d v="1900-06-28T00:00:00"/>
    <m/>
    <m/>
    <m/>
    <m/>
    <m/>
    <m/>
    <x v="2"/>
    <x v="1"/>
    <x v="0"/>
    <d v="2025-11-24T00:00:00"/>
    <m/>
    <m/>
    <m/>
    <m/>
    <m/>
    <m/>
    <m/>
    <m/>
    <m/>
    <m/>
    <m/>
    <m/>
    <m/>
    <m/>
    <m/>
  </r>
  <r>
    <x v="1"/>
    <s v="NAILLOD"/>
    <s v="Amélie"/>
    <n v="36"/>
    <m/>
    <s v="Croix Blanche"/>
    <d v="2025-06-16T00:00:00"/>
    <d v="2025-08-08T00:00:00"/>
    <m/>
    <m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NEUER"/>
    <s v="Friederike"/>
    <n v="39"/>
    <m/>
    <s v="Pierre Goujon"/>
    <d v="2025-06-26T00:00:00"/>
    <d v="2025-08-07T00:00:00"/>
    <m/>
    <m/>
    <m/>
    <m/>
    <d v="1900-06-28T00:00:00"/>
    <m/>
    <m/>
    <m/>
    <m/>
    <m/>
    <m/>
    <x v="2"/>
    <x v="4"/>
    <x v="0"/>
    <d v="2025-08-08T00:00:00"/>
    <m/>
    <m/>
    <m/>
    <m/>
    <m/>
    <m/>
    <m/>
    <m/>
    <m/>
    <m/>
    <m/>
    <m/>
    <m/>
    <m/>
    <m/>
  </r>
  <r>
    <x v="2"/>
    <s v="PANDOU"/>
    <s v="Olivier"/>
    <n v="33"/>
    <s v="Aucun diplôme"/>
    <s v="Pierre Goujon"/>
    <d v="2025-07-31T00:00:00"/>
    <d v="2025-09-17T00:00:00"/>
    <m/>
    <m/>
    <m/>
    <m/>
    <d v="1900-06-28T00:00:00"/>
    <m/>
    <m/>
    <m/>
    <m/>
    <m/>
    <m/>
    <x v="2"/>
    <x v="1"/>
    <x v="0"/>
    <d v="2025-12-18T00:00:00"/>
    <n v="1"/>
    <m/>
    <m/>
    <m/>
    <m/>
    <m/>
    <m/>
    <m/>
    <m/>
    <m/>
    <m/>
    <m/>
    <m/>
    <m/>
    <m/>
  </r>
  <r>
    <x v="2"/>
    <s v="PERDRIX"/>
    <s v="Dylan"/>
    <n v="28"/>
    <m/>
    <s v="Pierre Goujon"/>
    <d v="2025-06-19T00:00:00"/>
    <d v="2005-09-08T00:00:00"/>
    <m/>
    <m/>
    <m/>
    <m/>
    <d v="1900-06-28T00:00:00"/>
    <m/>
    <m/>
    <m/>
    <m/>
    <m/>
    <m/>
    <x v="2"/>
    <x v="1"/>
    <x v="0"/>
    <d v="2025-12-23T00:00:00"/>
    <m/>
    <m/>
    <m/>
    <m/>
    <m/>
    <m/>
    <m/>
    <m/>
    <m/>
    <m/>
    <m/>
    <m/>
    <m/>
    <m/>
    <m/>
  </r>
  <r>
    <x v="2"/>
    <s v="PERRIN"/>
    <s v="Frédéric"/>
    <n v="54"/>
    <s v="CAP, BEP"/>
    <s v="Pierre Goujon"/>
    <d v="2025-06-19T00:00:00"/>
    <d v="2025-08-20T00:00:00"/>
    <m/>
    <m/>
    <m/>
    <m/>
    <d v="1900-06-28T00:00:00"/>
    <m/>
    <m/>
    <m/>
    <m/>
    <m/>
    <m/>
    <x v="3"/>
    <x v="0"/>
    <x v="0"/>
    <d v="2025-10-22T00:00:00"/>
    <m/>
    <m/>
    <m/>
    <m/>
    <m/>
    <m/>
    <m/>
    <m/>
    <m/>
    <m/>
    <m/>
    <m/>
    <m/>
    <m/>
    <m/>
  </r>
  <r>
    <x v="1"/>
    <s v="PIERROT"/>
    <s v="Carmen"/>
    <n v="55"/>
    <m/>
    <s v="Pierre Goujon"/>
    <d v="2025-06-17T00:00:00"/>
    <d v="2025-09-05T00:00:00"/>
    <m/>
    <m/>
    <m/>
    <m/>
    <d v="1900-06-28T00:00:00"/>
    <m/>
    <m/>
    <m/>
    <m/>
    <m/>
    <m/>
    <x v="2"/>
    <x v="3"/>
    <x v="0"/>
    <d v="2025-09-05T00:00:00"/>
    <m/>
    <m/>
    <m/>
    <m/>
    <m/>
    <m/>
    <m/>
    <m/>
    <m/>
    <m/>
    <m/>
    <m/>
    <m/>
    <m/>
    <m/>
  </r>
  <r>
    <x v="2"/>
    <s v="PINHEIRO"/>
    <s v="Alexandre"/>
    <n v="43"/>
    <s v="CAP, BEP"/>
    <s v="Croix Blanche"/>
    <d v="2025-07-24T00:00:00"/>
    <d v="2025-12-22T00:00:00"/>
    <d v="2026-01-20T00:00:00"/>
    <d v="2026-07-19T00:00:00"/>
    <m/>
    <m/>
    <d v="1900-06-28T00:00:00"/>
    <s v="Santé"/>
    <m/>
    <m/>
    <m/>
    <m/>
    <m/>
    <x v="2"/>
    <x v="1"/>
    <x v="0"/>
    <d v="2026-06-09T00:00:00"/>
    <n v="1"/>
    <m/>
    <m/>
    <m/>
    <m/>
    <m/>
    <m/>
    <m/>
    <m/>
    <m/>
    <m/>
    <m/>
    <m/>
    <m/>
    <m/>
  </r>
  <r>
    <x v="1"/>
    <s v="POTKI"/>
    <s v="Sharifeh"/>
    <n v="53"/>
    <s v="Licence, licence professionnelle"/>
    <s v="Pierre Goujon"/>
    <d v="2025-05-21T00:00:00"/>
    <d v="2025-10-08T00:00:00"/>
    <m/>
    <m/>
    <m/>
    <m/>
    <d v="1900-06-28T00:00:00"/>
    <m/>
    <m/>
    <m/>
    <m/>
    <m/>
    <m/>
    <x v="1"/>
    <x v="4"/>
    <x v="4"/>
    <d v="2025-12-01T00:00:00"/>
    <n v="1"/>
    <m/>
    <m/>
    <m/>
    <m/>
    <m/>
    <m/>
    <m/>
    <m/>
    <m/>
    <m/>
    <m/>
    <m/>
    <m/>
    <m/>
  </r>
  <r>
    <x v="2"/>
    <s v="ROBARDEY"/>
    <s v="Mathieu"/>
    <n v="36"/>
    <s v="Aucun diplôme"/>
    <s v="Pierre Goujon"/>
    <d v="2025-07-16T00:00:00"/>
    <d v="2025-10-01T00:00:00"/>
    <m/>
    <m/>
    <m/>
    <m/>
    <d v="1900-06-28T00:00:00"/>
    <m/>
    <m/>
    <m/>
    <m/>
    <m/>
    <m/>
    <x v="1"/>
    <x v="3"/>
    <x v="3"/>
    <d v="2025-11-20T00:00:00"/>
    <n v="1"/>
    <m/>
    <m/>
    <m/>
    <m/>
    <m/>
    <m/>
    <m/>
    <m/>
    <m/>
    <m/>
    <m/>
    <m/>
    <m/>
    <m/>
  </r>
  <r>
    <x v="1"/>
    <s v="ROUSSEAU"/>
    <s v="Stéphanie"/>
    <n v="42"/>
    <m/>
    <s v="Croix Blanche"/>
    <d v="2025-06-11T00:00:00"/>
    <d v="2025-08-06T00:00:00"/>
    <m/>
    <m/>
    <m/>
    <m/>
    <d v="1900-06-28T00:00:00"/>
    <m/>
    <m/>
    <m/>
    <m/>
    <m/>
    <m/>
    <x v="4"/>
    <x v="0"/>
    <x v="0"/>
    <d v="2025-09-01T00:00:00"/>
    <m/>
    <m/>
    <m/>
    <m/>
    <m/>
    <m/>
    <m/>
    <m/>
    <m/>
    <m/>
    <m/>
    <m/>
    <m/>
    <m/>
    <m/>
  </r>
  <r>
    <x v="1"/>
    <s v="SALLERON"/>
    <s v="Ophélie"/>
    <n v="32"/>
    <s v="CAP, BEP"/>
    <s v="Pierre Goujon"/>
    <d v="2025-07-04T00:00:00"/>
    <d v="2025-07-23T00:00:00"/>
    <m/>
    <m/>
    <m/>
    <m/>
    <d v="1900-06-28T00:00:00"/>
    <m/>
    <m/>
    <m/>
    <m/>
    <m/>
    <m/>
    <x v="2"/>
    <x v="1"/>
    <x v="0"/>
    <d v="2026-02-25T00:00:00"/>
    <n v="1"/>
    <m/>
    <m/>
    <m/>
    <m/>
    <m/>
    <m/>
    <m/>
    <m/>
    <m/>
    <m/>
    <m/>
    <m/>
    <m/>
    <m/>
  </r>
  <r>
    <x v="2"/>
    <s v="SIGLER"/>
    <s v="Fabrice"/>
    <n v="52"/>
    <s v="CAP, BEP"/>
    <s v="Croix Blanche"/>
    <d v="2025-09-11T00:00:00"/>
    <d v="2025-10-09T00:00:00"/>
    <d v="2025-10-09T00:00:00"/>
    <d v="2026-10-08T00:00:00"/>
    <s v="Renouvellement"/>
    <m/>
    <d v="1900-06-28T00:00:00"/>
    <m/>
    <m/>
    <m/>
    <m/>
    <m/>
    <m/>
    <x v="1"/>
    <x v="3"/>
    <x v="3"/>
    <d v="2026-06-01T00:00:00"/>
    <n v="1"/>
    <m/>
    <m/>
    <m/>
    <m/>
    <m/>
    <m/>
    <m/>
    <m/>
    <m/>
    <m/>
    <m/>
    <m/>
    <m/>
    <m/>
  </r>
  <r>
    <x v="2"/>
    <s v="SIGLER"/>
    <s v="Frédéric"/>
    <n v="45"/>
    <m/>
    <s v="Pierre Goujon"/>
    <d v="2025-06-30T00:00:00"/>
    <d v="2025-09-10T00:00:00"/>
    <m/>
    <m/>
    <m/>
    <m/>
    <d v="1900-06-28T00:00:00"/>
    <m/>
    <m/>
    <m/>
    <m/>
    <m/>
    <m/>
    <x v="2"/>
    <x v="3"/>
    <x v="0"/>
    <d v="2025-09-10T00:00:00"/>
    <m/>
    <m/>
    <m/>
    <m/>
    <m/>
    <m/>
    <m/>
    <m/>
    <m/>
    <m/>
    <m/>
    <m/>
    <m/>
    <m/>
    <m/>
  </r>
  <r>
    <x v="1"/>
    <s v="SLIMANI"/>
    <s v="Zahra"/>
    <n v="56"/>
    <m/>
    <s v="Pierre Goujon"/>
    <d v="2025-07-09T00:00:00"/>
    <d v="2025-07-21T00:00:00"/>
    <m/>
    <m/>
    <m/>
    <m/>
    <d v="1900-06-28T00:00:00"/>
    <m/>
    <m/>
    <m/>
    <m/>
    <m/>
    <m/>
    <x v="6"/>
    <x v="0"/>
    <x v="0"/>
    <d v="2025-10-06T00:00:00"/>
    <n v="1"/>
    <m/>
    <m/>
    <m/>
    <m/>
    <m/>
    <m/>
    <m/>
    <m/>
    <m/>
    <m/>
    <m/>
    <m/>
    <m/>
    <m/>
  </r>
  <r>
    <x v="2"/>
    <s v="SOKOLOV"/>
    <s v="Sergey"/>
    <n v="55"/>
    <m/>
    <s v="Pierre Goujon"/>
    <d v="2025-06-30T00:00:00"/>
    <d v="2025-08-25T00:00:00"/>
    <m/>
    <m/>
    <m/>
    <m/>
    <d v="1900-06-28T00:00:00"/>
    <m/>
    <m/>
    <m/>
    <m/>
    <m/>
    <m/>
    <x v="2"/>
    <x v="4"/>
    <x v="0"/>
    <d v="2025-08-27T00:00:00"/>
    <m/>
    <m/>
    <m/>
    <m/>
    <m/>
    <m/>
    <m/>
    <m/>
    <m/>
    <m/>
    <m/>
    <m/>
    <m/>
    <m/>
    <m/>
  </r>
  <r>
    <x v="2"/>
    <s v="SOLNCEV"/>
    <s v="Maxim"/>
    <n v="35"/>
    <m/>
    <s v="Pierre Goujon"/>
    <d v="2025-06-24T00:00:00"/>
    <d v="2025-08-25T00:00:00"/>
    <m/>
    <m/>
    <m/>
    <m/>
    <d v="1900-06-28T00:00:00"/>
    <m/>
    <m/>
    <m/>
    <m/>
    <m/>
    <m/>
    <x v="2"/>
    <x v="4"/>
    <x v="0"/>
    <d v="2025-10-07T00:00:00"/>
    <m/>
    <m/>
    <m/>
    <m/>
    <m/>
    <m/>
    <m/>
    <m/>
    <m/>
    <m/>
    <m/>
    <m/>
    <m/>
    <m/>
    <m/>
  </r>
  <r>
    <x v="1"/>
    <s v="TELEMAQUE"/>
    <s v="Walesca"/>
    <n v="30"/>
    <s v="Aucun diplôme"/>
    <s v="Pierre Goujon"/>
    <d v="2025-05-27T00:00:00"/>
    <d v="2025-08-25T00:00:00"/>
    <d v="2025-08-25T00:00:00"/>
    <d v="2026-02-21T00:00:00"/>
    <s v="Renouvellement"/>
    <m/>
    <d v="1900-06-28T00:00:00"/>
    <s v="Santé mentale"/>
    <s v="Confiance"/>
    <m/>
    <m/>
    <m/>
    <m/>
    <x v="2"/>
    <x v="1"/>
    <x v="0"/>
    <d v="2026-05-28T00:00:00"/>
    <n v="1"/>
    <m/>
    <m/>
    <n v="1"/>
    <m/>
    <m/>
    <m/>
    <m/>
    <m/>
    <m/>
    <m/>
    <m/>
    <m/>
    <m/>
    <m/>
  </r>
  <r>
    <x v="1"/>
    <s v="THOUMIAND"/>
    <s v="Angélique"/>
    <n v="35"/>
    <s v="Baccalauréat"/>
    <s v="Croix Blanche"/>
    <d v="2025-09-25T00:00:00"/>
    <d v="2025-10-22T00:00:00"/>
    <m/>
    <m/>
    <m/>
    <m/>
    <d v="1900-06-28T00:00:00"/>
    <m/>
    <m/>
    <m/>
    <m/>
    <m/>
    <m/>
    <x v="2"/>
    <x v="2"/>
    <x v="0"/>
    <m/>
    <n v="1"/>
    <m/>
    <m/>
    <m/>
    <m/>
    <m/>
    <m/>
    <m/>
    <m/>
    <m/>
    <m/>
    <m/>
    <m/>
    <m/>
    <m/>
  </r>
  <r>
    <x v="1"/>
    <s v="TIBHIRT"/>
    <s v="Mina"/>
    <n v="55"/>
    <s v="Aucun diplôme"/>
    <s v="Croix Blanche"/>
    <d v="2026-02-04T00:00:00"/>
    <d v="2026-02-04T00:00:00"/>
    <d v="2026-02-04T00:00:00"/>
    <d v="2026-08-03T00:00:00"/>
    <m/>
    <m/>
    <d v="1900-06-28T00:00:00"/>
    <s v="Santé"/>
    <m/>
    <m/>
    <m/>
    <m/>
    <m/>
    <x v="2"/>
    <x v="1"/>
    <x v="0"/>
    <d v="2026-06-15T00:00:00"/>
    <n v="1"/>
    <m/>
    <m/>
    <m/>
    <m/>
    <m/>
    <m/>
    <m/>
    <m/>
    <m/>
    <m/>
    <m/>
    <m/>
    <m/>
    <m/>
  </r>
  <r>
    <x v="1"/>
    <s v="VALENTINI"/>
    <s v="Arianna"/>
    <n v="62"/>
    <m/>
    <s v="Croix Blanche"/>
    <d v="2025-06-26T00:00:00"/>
    <d v="2025-07-30T00:00:00"/>
    <m/>
    <m/>
    <m/>
    <m/>
    <d v="1900-06-28T00:00:00"/>
    <m/>
    <m/>
    <m/>
    <m/>
    <m/>
    <m/>
    <x v="2"/>
    <x v="5"/>
    <x v="0"/>
    <d v="2025-08-07T00:00:00"/>
    <m/>
    <m/>
    <m/>
    <m/>
    <m/>
    <m/>
    <m/>
    <m/>
    <m/>
    <m/>
    <m/>
    <m/>
    <m/>
    <m/>
    <m/>
  </r>
  <r>
    <x v="1"/>
    <s v="VISEUR"/>
    <s v="Severine"/>
    <n v="52"/>
    <m/>
    <s v="Pierre Goujon"/>
    <d v="2025-06-30T00:00:00"/>
    <d v="2025-08-26T00:00:00"/>
    <m/>
    <d v="1900-06-28T00:00:00"/>
    <m/>
    <m/>
    <d v="1900-06-28T00:00:00"/>
    <m/>
    <m/>
    <m/>
    <m/>
    <m/>
    <m/>
    <x v="3"/>
    <x v="0"/>
    <x v="0"/>
    <m/>
    <m/>
    <m/>
    <m/>
    <m/>
    <m/>
    <m/>
    <m/>
    <m/>
    <m/>
    <m/>
    <m/>
    <m/>
    <m/>
    <m/>
    <m/>
  </r>
  <r>
    <x v="1"/>
    <s v="YALCIN ESSANHI"/>
    <s v="Elif"/>
    <n v="25"/>
    <m/>
    <s v="Pierre Goujon"/>
    <d v="2025-04-30T00:00:00"/>
    <d v="2025-07-21T00:00:00"/>
    <m/>
    <m/>
    <m/>
    <m/>
    <d v="1900-06-28T00:00:00"/>
    <m/>
    <m/>
    <m/>
    <m/>
    <m/>
    <m/>
    <x v="1"/>
    <x v="4"/>
    <x v="1"/>
    <d v="2026-01-17T00:00:00"/>
    <n v="1"/>
    <m/>
    <m/>
    <m/>
    <m/>
    <m/>
    <m/>
    <m/>
    <m/>
    <m/>
    <m/>
    <m/>
    <m/>
    <m/>
    <m/>
  </r>
  <r>
    <x v="2"/>
    <s v="ZAHTI"/>
    <s v="Abdellah"/>
    <n v="46"/>
    <s v="Aucun diplôme"/>
    <s v="Croix Blanche"/>
    <d v="2025-05-19T00:00:00"/>
    <d v="2025-09-08T00:00:00"/>
    <m/>
    <m/>
    <m/>
    <m/>
    <d v="1900-06-28T00:00:00"/>
    <m/>
    <m/>
    <m/>
    <m/>
    <m/>
    <m/>
    <x v="2"/>
    <x v="3"/>
    <x v="0"/>
    <d v="2026-01-12T00:00:00"/>
    <n v="1"/>
    <m/>
    <m/>
    <m/>
    <m/>
    <m/>
    <m/>
    <m/>
    <m/>
    <m/>
    <m/>
    <m/>
    <m/>
    <m/>
    <m/>
  </r>
  <r>
    <x v="2"/>
    <s v="ZAKHARCHENKO"/>
    <s v="Volodymyr"/>
    <n v="46"/>
    <m/>
    <s v="Pierre Goujon"/>
    <d v="2025-06-26T00:00:00"/>
    <d v="2025-09-01T00:00:00"/>
    <m/>
    <m/>
    <m/>
    <m/>
    <d v="1900-06-28T00:00:00"/>
    <m/>
    <m/>
    <m/>
    <m/>
    <m/>
    <m/>
    <x v="2"/>
    <x v="1"/>
    <x v="0"/>
    <d v="2025-11-17T00:00:00"/>
    <n v="1"/>
    <m/>
    <m/>
    <m/>
    <m/>
    <m/>
    <m/>
    <m/>
    <m/>
    <m/>
    <m/>
    <m/>
    <m/>
    <m/>
    <m/>
  </r>
  <r>
    <x v="1"/>
    <s v="ZINKAL"/>
    <s v="Narguzeli"/>
    <n v="44"/>
    <m/>
    <s v="Croix Blanche"/>
    <d v="2025-06-23T00:00:00"/>
    <d v="2025-08-28T00:00:00"/>
    <m/>
    <m/>
    <m/>
    <m/>
    <d v="1900-06-28T00:00:00"/>
    <m/>
    <m/>
    <m/>
    <m/>
    <m/>
    <m/>
    <x v="2"/>
    <x v="1"/>
    <x v="0"/>
    <d v="2025-12-19T00:00:00"/>
    <n v="1"/>
    <m/>
    <m/>
    <m/>
    <m/>
    <m/>
    <m/>
    <m/>
    <m/>
    <m/>
    <m/>
    <m/>
    <m/>
    <m/>
    <m/>
  </r>
  <r>
    <x v="1"/>
    <s v="WETER"/>
    <s v="Betty"/>
    <n v="30"/>
    <s v="Aucun diplôme"/>
    <s v="Chatillon sur Chalaronne"/>
    <d v="2025-10-12T00:00:00"/>
    <d v="2026-01-13T00:00:00"/>
    <m/>
    <m/>
    <m/>
    <m/>
    <d v="1900-06-28T00:00:00"/>
    <m/>
    <m/>
    <m/>
    <m/>
    <m/>
    <m/>
    <x v="5"/>
    <x v="0"/>
    <x v="0"/>
    <d v="2026-03-11T00:00:00"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m/>
    <m/>
    <m/>
    <d v="1900-06-28T00:00:00"/>
    <m/>
    <m/>
    <m/>
    <m/>
    <m/>
    <m/>
    <x v="0"/>
    <x v="0"/>
    <x v="0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EAFFA-2297-45F1-99B8-0731DCD99331}" name="Tableau croisé dynamique4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EXE">
  <location ref="C21:D25" firstHeaderRow="1" firstDataRow="1" firstDataCol="1"/>
  <pivotFields count="38"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H/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0ABCD-38DE-45C1-8F3E-B92C55091CA6}" name="Tableau croisé dynamique3" cacheId="2" dataOnRows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1:B28" firstHeaderRow="1" firstDataRow="1" firstDataCol="1"/>
  <pivotFields count="38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Moyenne de âge" fld="3" subtotal="average" baseField="0" baseItem="556173691"/>
    <dataField name="Nombre de C.E SIGNE" fld="8" subtotal="count" baseField="0" baseItem="0"/>
    <dataField name="Nombre de BILAN PARCOURS (7eme mois)" fld="10" subtotal="count" baseField="0" baseItem="0"/>
    <dataField name="Somme de PMSMP (1 = oui)" fld="18" baseField="0" baseItem="0"/>
    <dataField name="Nombre de H/F" fld="0" subtotal="count" baseField="0" baseItem="0"/>
    <dataField name="Nombre de Saisie FSE" fld="23" subtotal="count" baseField="0" baseItem="0"/>
    <dataField name="Nombre de AIDE FINANCIERE 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AA106-8CC7-4C47-82E3-13647154C461}" name="Tableau croisé dynamique2" cacheId="0" dataOnRows="1" applyNumberFormats="0" applyBorderFormats="0" applyFontFormats="0" applyPatternFormats="0" applyAlignmentFormats="0" applyWidthHeightFormats="1" dataCaption="Bilan de parcours + démarches " updatedVersion="6" minRefreshableVersion="3" useAutoFormatting="1" itemPrintTitles="1" createdVersion="6" indent="0" outline="1" outlineData="1" multipleFieldFilters="0">
  <location ref="E3:F17" firstHeaderRow="1" firstDataRow="1" firstDataCol="1"/>
  <pivotFields count="19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-2"/>
  </rowFields>
  <row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rowItems>
  <colItems count="1">
    <i/>
  </colItems>
  <dataFields count="14">
    <dataField name="Somme de 1er mois" fld="2" baseField="0" baseItem="0"/>
    <dataField name="Somme de 2e mois" fld="3" baseField="0" baseItem="0"/>
    <dataField name="Somme de 3e mois" fld="4" baseField="0" baseItem="0"/>
    <dataField name="Somme de 4e mois" fld="5" baseField="0" baseItem="0"/>
    <dataField name="Somme de 5e mois" fld="6" baseField="0" baseItem="0"/>
    <dataField name="Somme de 6e mois" fld="7" baseField="0" baseItem="0"/>
    <dataField name="Nombre de demande" fld="8" subtotal="count" baseField="0" baseItem="0"/>
    <dataField name="Somme de Renouvellement" fld="10" baseField="0" baseItem="0"/>
    <dataField name="Somme de 8e mois" fld="11" baseField="0" baseItem="0"/>
    <dataField name="Somme de 9e mois" fld="12" baseField="0" baseItem="0"/>
    <dataField name="Somme de 10e mois" fld="13" baseField="0" baseItem="0"/>
    <dataField name="Somme de 11e mois" fld="14" baseField="0" baseItem="0"/>
    <dataField name="Somme de 12e mois" fld="15" baseField="0" baseItem="0"/>
    <dataField name="Somme de Préco Réo" fld="18" baseField="0" baseItem="55617369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4EB4E-DE59-43D9-964A-B5D2B638D80A}" name="Tableau croisé dynamique1" cacheId="1" dataOnRows="1" applyNumberFormats="0" applyBorderFormats="0" applyFontFormats="0" applyPatternFormats="0" applyAlignmentFormats="0" applyWidthHeightFormats="1" dataCaption="Sanction et Absence " updatedVersion="6" minRefreshableVersion="3" useAutoFormatting="1" itemPrintTitles="1" createdVersion="6" indent="0" outline="1" outlineData="1" multipleFieldFilters="0">
  <location ref="A3:B19" firstHeaderRow="1" firstDataRow="1" firstDataCol="1"/>
  <pivotFields count="30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numFmtId="14" showAll="0"/>
    <pivotField showAll="0"/>
  </pivotFields>
  <rowFields count="1">
    <field x="-2"/>
  </rowFields>
  <row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rowItems>
  <colItems count="1">
    <i/>
  </colItems>
  <dataFields count="16">
    <dataField name="Nombre de 1ER RDV" fld="2" subtotal="count" baseField="0" baseItem="0"/>
    <dataField name="Somme de 2EME" fld="3" baseField="0" baseItem="0"/>
    <dataField name="Nombre de 1er mois" fld="4" subtotal="count" baseField="0" baseItem="0"/>
    <dataField name="Nombre de 2e mois" fld="5" subtotal="count" baseField="0" baseItem="0"/>
    <dataField name="Somme de 3e mois" fld="6" baseField="0" baseItem="0"/>
    <dataField name="Somme de 4e mois" fld="7" baseField="0" baseItem="0"/>
    <dataField name="Somme de 5e mois" fld="8" baseField="0" baseItem="0"/>
    <dataField name="Nombre de 6e mois" fld="9" subtotal="count" baseField="0" baseItem="0"/>
    <dataField name="Nombre de 7e mois" fld="10" subtotal="count" baseField="0" baseItem="0"/>
    <dataField name="Nombre de 8e mois" fld="11" subtotal="count" baseField="0" baseItem="0"/>
    <dataField name="Nombre de 9e mois" fld="12" subtotal="count" baseField="0" baseItem="0"/>
    <dataField name="Nombre de 10e mois" fld="13" subtotal="count" baseField="0" baseItem="0"/>
    <dataField name="Nombre de 11e mois" fld="14" subtotal="count" baseField="0" baseItem="0"/>
    <dataField name="Nombre de 12e mois" fld="15" subtotal="count" baseField="0" baseItem="0"/>
    <dataField name="Somme de date demande étude de situation (Mail CDS)" fld="26" baseField="0" baseItem="0"/>
    <dataField name="Somme de Dde etude de situation.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5C388-47EE-49A4-9DB7-096380703383}" name="Tableau croisé dynamique6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ORTIES POSITIVES">
  <location ref="A31:B3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m="1" x="6"/>
        <item x="1"/>
        <item x="3"/>
        <item m="1" x="7"/>
        <item m="1" x="8"/>
        <item x="0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 v="1"/>
    </i>
    <i>
      <x v="2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mbre de types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02302-47E1-4C9D-A9F0-81A7DE6941B9}" name="Tableau croisé dynamique5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ORTIES">
  <location ref="E21:G43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m="1" x="8"/>
        <item x="5"/>
        <item x="4"/>
        <item x="1"/>
        <item x="6"/>
        <item x="2"/>
        <item x="0"/>
        <item m="1" x="7"/>
        <item x="3"/>
        <item t="default"/>
      </items>
    </pivotField>
    <pivotField axis="axisRow" dataField="1" showAll="0">
      <items count="9">
        <item m="1" x="6"/>
        <item x="3"/>
        <item x="4"/>
        <item m="1" x="7"/>
        <item x="1"/>
        <item x="5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9"/>
    <field x="20"/>
  </rowFields>
  <rowItems count="22">
    <i>
      <x v="1"/>
    </i>
    <i r="1">
      <x v="6"/>
    </i>
    <i>
      <x v="2"/>
    </i>
    <i r="1">
      <x v="2"/>
    </i>
    <i r="1">
      <x v="6"/>
    </i>
    <i>
      <x v="3"/>
    </i>
    <i r="1">
      <x v="1"/>
    </i>
    <i r="1">
      <x v="2"/>
    </i>
    <i r="1">
      <x v="6"/>
    </i>
    <i>
      <x v="4"/>
    </i>
    <i r="1">
      <x v="6"/>
    </i>
    <i>
      <x v="5"/>
    </i>
    <i r="1">
      <x v="1"/>
    </i>
    <i r="1">
      <x v="2"/>
    </i>
    <i r="1">
      <x v="4"/>
    </i>
    <i r="1">
      <x v="5"/>
    </i>
    <i r="1">
      <x v="7"/>
    </i>
    <i>
      <x v="6"/>
    </i>
    <i r="1">
      <x v="6"/>
    </i>
    <i>
      <x v="8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Motif de sortie" fld="19" subtotal="count" baseField="0" baseItem="0"/>
    <dataField name="Nombre de MOTIF de la REO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92A38-4EDF-49A2-AD68-0F3201E4DBB8}" name="Tableau1" displayName="Tableau1" ref="A1:AB109" totalsRowShown="0">
  <autoFilter ref="A1:AB109" xr:uid="{84ED51AE-A93A-4F21-9F36-400CBF590403}"/>
  <tableColumns count="28">
    <tableColumn id="1" xr3:uid="{84EF9C99-101E-4A5C-979C-42A4970CFAA3}" name="Nom"/>
    <tableColumn id="2" xr3:uid="{143DF3EC-A0C0-47CC-A3C5-A8C8C291372F}" name="Prénom"/>
    <tableColumn id="3" xr3:uid="{7E2A6E79-E5B4-4EE8-87F4-6CBD076DE8D6}" name="1er mois"/>
    <tableColumn id="4" xr3:uid="{56C0FA77-0F00-41C1-87AD-ECFF23CA1219}" name="2e mois"/>
    <tableColumn id="5" xr3:uid="{97702483-5B41-4BF6-94A1-13B95D740974}" name="3e mois"/>
    <tableColumn id="6" xr3:uid="{AB8DA126-658E-407C-A53B-E0B01A2C4B71}" name="4e mois"/>
    <tableColumn id="7" xr3:uid="{64394C82-C887-4EE9-92E8-6462350617A1}" name="5e mois"/>
    <tableColumn id="8" xr3:uid="{2077C54D-3A05-4C06-A229-7BB54E42BE4B}" name="6e mois"/>
    <tableColumn id="9" xr3:uid="{340F4D1B-5F99-4CD4-B454-266BB6BAB31C}" name="7e mois"/>
    <tableColumn id="10" xr3:uid="{FD440578-2626-4A1D-BD1F-AC4527F5F95A}" name="8e mois"/>
    <tableColumn id="11" xr3:uid="{4015FB0C-2578-4501-AF3C-DA5E6F048953}" name="9e mois"/>
    <tableColumn id="12" xr3:uid="{2E36B1A0-5A47-481D-AC83-4A0052032AAE}" name="10e mois"/>
    <tableColumn id="13" xr3:uid="{D5BA1CBE-CE7F-400D-BDCE-8F2A9950F17F}" name="11e mois"/>
    <tableColumn id="14" xr3:uid="{52A64F9E-BD69-4201-9675-157DB0FD5228}" name="12e mois"/>
    <tableColumn id="15" xr3:uid="{47E43882-EEA5-4D69-A963-C4B862AF43B2}" name="Dde etude de situation."/>
    <tableColumn id="16" xr3:uid="{843E9DE9-86D5-43E3-81E4-52A684200C86}" name="date de la demande "/>
    <tableColumn id="17" xr3:uid="{09765803-1B41-4B64-861E-4C80EF59A0F2}" name="Date courrier CDS (voir extraction transmise)"/>
    <tableColumn id="18" xr3:uid="{BFA96AB8-B951-4029-9AD5-4D598C1C2A99}" name="Délai 15 jours pour contact" dataDxfId="2"/>
    <tableColumn id="19" xr3:uid="{5573F777-69FB-4ABE-A77F-6034C8E2B8E0}" name="Contact BRSA - 15 jours  "/>
    <tableColumn id="20" xr3:uid="{B41D0923-0374-4F7A-B6E8-ECEDF440DDB8}" name="Mail INFO CDS  "/>
    <tableColumn id="21" xr3:uid="{AA441B44-9671-4BE8-ADEC-48D82DBF1E89}" name="Délai de 35 jours pour reprendre contact" dataDxfId="1"/>
    <tableColumn id="22" xr3:uid="{6CA899CE-F0E3-4091-8E86-0A30BD7DAFB8}" name="le BRSA s'est manifesté ? "/>
    <tableColumn id="23" xr3:uid="{E6EF8963-E161-4103-A69F-AAC5FF2B8A8C}" name="Mail d'info au CDS manifestation ou non dans les 35 jours  "/>
    <tableColumn id="24" xr3:uid="{B178E9FB-CC13-4481-B099-DC97BCA8EFF2}" name="Date CLI si le BRSA ne s'est pas manifesté au bout des 35 jours "/>
    <tableColumn id="25" xr3:uid="{5B88C5BB-4D8B-4674-ADDB-F38FEDB40376}" name="date demande étude de situation (Mail CDS)"/>
    <tableColumn id="26" xr3:uid="{5B0835BC-16D3-4675-AF97-179DCD8EC15F}" name="DATE courrier CDS"/>
    <tableColumn id="27" xr3:uid="{284E8E08-5B6B-4AAD-8F6B-0FE659A73C37}" name="35j pour reprendre contact date butoire " dataDxfId="0"/>
    <tableColumn id="28" xr3:uid="{72C13CC1-A651-4435-A217-378A41E4A7D2}" name="DATE C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btedwige01@gmail.com" TargetMode="External"/><Relationship Id="rId13" Type="http://schemas.openxmlformats.org/officeDocument/2006/relationships/hyperlink" Target="mailto:rabia.benaissa@sfr.fr" TargetMode="External"/><Relationship Id="rId18" Type="http://schemas.openxmlformats.org/officeDocument/2006/relationships/hyperlink" Target="mailto:fatinasawas9@gmail.com" TargetMode="External"/><Relationship Id="rId26" Type="http://schemas.openxmlformats.org/officeDocument/2006/relationships/hyperlink" Target="mailto:tidianeousmane82@gmail.com" TargetMode="External"/><Relationship Id="rId39" Type="http://schemas.openxmlformats.org/officeDocument/2006/relationships/hyperlink" Target="mailto:mosesjal98@gmail.com" TargetMode="External"/><Relationship Id="rId3" Type="http://schemas.openxmlformats.org/officeDocument/2006/relationships/hyperlink" Target="mailto:chaveb1994@gmail.com" TargetMode="External"/><Relationship Id="rId21" Type="http://schemas.openxmlformats.org/officeDocument/2006/relationships/hyperlink" Target="mailto:mtimetridha@yahoo.fr" TargetMode="External"/><Relationship Id="rId34" Type="http://schemas.openxmlformats.org/officeDocument/2006/relationships/hyperlink" Target="mailto:mr.pierrelouis.s@gmail.com" TargetMode="External"/><Relationship Id="rId42" Type="http://schemas.openxmlformats.org/officeDocument/2006/relationships/hyperlink" Target="mailto:killiannutin01@gmail.com" TargetMode="External"/><Relationship Id="rId7" Type="http://schemas.openxmlformats.org/officeDocument/2006/relationships/hyperlink" Target="mailto:marcinuryn01@gmail.com" TargetMode="External"/><Relationship Id="rId12" Type="http://schemas.openxmlformats.org/officeDocument/2006/relationships/hyperlink" Target="mailto:laurabruzeau@hotmail.fr" TargetMode="External"/><Relationship Id="rId17" Type="http://schemas.openxmlformats.org/officeDocument/2006/relationships/hyperlink" Target="mailto:elisea.kasemi1@gmail.com" TargetMode="External"/><Relationship Id="rId25" Type="http://schemas.openxmlformats.org/officeDocument/2006/relationships/hyperlink" Target="mailto:armandmoll66@gmail.com" TargetMode="External"/><Relationship Id="rId33" Type="http://schemas.openxmlformats.org/officeDocument/2006/relationships/hyperlink" Target="mailto:sabrina_arifi@outlook.fr" TargetMode="External"/><Relationship Id="rId38" Type="http://schemas.openxmlformats.org/officeDocument/2006/relationships/hyperlink" Target="mailto:maroquiii01@icloud.com" TargetMode="External"/><Relationship Id="rId2" Type="http://schemas.openxmlformats.org/officeDocument/2006/relationships/hyperlink" Target="mailto:marie13051987@gmail.com" TargetMode="External"/><Relationship Id="rId16" Type="http://schemas.openxmlformats.org/officeDocument/2006/relationships/hyperlink" Target="mailto:duroromina400@gmail.com" TargetMode="External"/><Relationship Id="rId20" Type="http://schemas.openxmlformats.org/officeDocument/2006/relationships/hyperlink" Target="mailto:amine.hamo@outlook.com" TargetMode="External"/><Relationship Id="rId29" Type="http://schemas.openxmlformats.org/officeDocument/2006/relationships/hyperlink" Target="mailto:kevinvaupre1@icloud.com" TargetMode="External"/><Relationship Id="rId41" Type="http://schemas.openxmlformats.org/officeDocument/2006/relationships/hyperlink" Target="mailto:foueddz0119@gmail.com" TargetMode="External"/><Relationship Id="rId1" Type="http://schemas.openxmlformats.org/officeDocument/2006/relationships/hyperlink" Target="mailto:rohullahaslamy477@gmail.com" TargetMode="External"/><Relationship Id="rId6" Type="http://schemas.openxmlformats.org/officeDocument/2006/relationships/hyperlink" Target="mailto:houichihikmet@gmail.com" TargetMode="External"/><Relationship Id="rId11" Type="http://schemas.openxmlformats.org/officeDocument/2006/relationships/hyperlink" Target="mailto:mariata.bcr98@gmail.com" TargetMode="External"/><Relationship Id="rId24" Type="http://schemas.openxmlformats.org/officeDocument/2006/relationships/hyperlink" Target="mailto:allessio2022@gmail.com" TargetMode="External"/><Relationship Id="rId32" Type="http://schemas.openxmlformats.org/officeDocument/2006/relationships/hyperlink" Target="mailto:koulouthoumihassani@yahoo.fr" TargetMode="External"/><Relationship Id="rId37" Type="http://schemas.openxmlformats.org/officeDocument/2006/relationships/hyperlink" Target="mailto:francescapage7@gmail.com" TargetMode="External"/><Relationship Id="rId40" Type="http://schemas.openxmlformats.org/officeDocument/2006/relationships/hyperlink" Target="mailto:fiems.gregory@gmail.com" TargetMode="External"/><Relationship Id="rId5" Type="http://schemas.openxmlformats.org/officeDocument/2006/relationships/hyperlink" Target="mailto:jenniferfetet00@gmail.com" TargetMode="External"/><Relationship Id="rId15" Type="http://schemas.openxmlformats.org/officeDocument/2006/relationships/hyperlink" Target="mailto:1981belfassi@gmail.com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mailto:silvanorusiti91@gmail.com" TargetMode="External"/><Relationship Id="rId36" Type="http://schemas.openxmlformats.org/officeDocument/2006/relationships/hyperlink" Target="mailto:leacaronath01@hotmail.com" TargetMode="External"/><Relationship Id="rId10" Type="http://schemas.openxmlformats.org/officeDocument/2006/relationships/hyperlink" Target="mailto:noredine.amari@outlook.fr" TargetMode="External"/><Relationship Id="rId19" Type="http://schemas.openxmlformats.org/officeDocument/2006/relationships/hyperlink" Target="mailto:antoinetomat@gmail.com" TargetMode="External"/><Relationship Id="rId31" Type="http://schemas.openxmlformats.org/officeDocument/2006/relationships/hyperlink" Target="mailto:audir9299@gmail.com" TargetMode="External"/><Relationship Id="rId4" Type="http://schemas.openxmlformats.org/officeDocument/2006/relationships/hyperlink" Target="mailto:sdasilvagoncalves1@gmail.com" TargetMode="External"/><Relationship Id="rId9" Type="http://schemas.openxmlformats.org/officeDocument/2006/relationships/hyperlink" Target="mailto:jason.pinto@hotmail.fr" TargetMode="External"/><Relationship Id="rId14" Type="http://schemas.openxmlformats.org/officeDocument/2006/relationships/hyperlink" Target="mailto:roidahamid2@gmail.com" TargetMode="External"/><Relationship Id="rId22" Type="http://schemas.openxmlformats.org/officeDocument/2006/relationships/hyperlink" Target="mailto:bahar-l@hotmail.fr" TargetMode="External"/><Relationship Id="rId27" Type="http://schemas.openxmlformats.org/officeDocument/2006/relationships/hyperlink" Target="mailto:pembekaradavut1@gmail.com" TargetMode="External"/><Relationship Id="rId30" Type="http://schemas.openxmlformats.org/officeDocument/2006/relationships/hyperlink" Target="mailto:lerob.hotmail.fr@gmail.com" TargetMode="External"/><Relationship Id="rId35" Type="http://schemas.openxmlformats.org/officeDocument/2006/relationships/hyperlink" Target="mailto:hafida-db@hotmail.fr" TargetMode="External"/><Relationship Id="rId4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da.koc.0104@outlook.fr" TargetMode="External"/><Relationship Id="rId13" Type="http://schemas.openxmlformats.org/officeDocument/2006/relationships/hyperlink" Target="mailto:melissa-blanc@live.com" TargetMode="External"/><Relationship Id="rId18" Type="http://schemas.openxmlformats.org/officeDocument/2006/relationships/hyperlink" Target="mailto:olivier.veglianti.pro@gmail.com" TargetMode="External"/><Relationship Id="rId26" Type="http://schemas.openxmlformats.org/officeDocument/2006/relationships/hyperlink" Target="mailto:ymeunier02@gmail.com" TargetMode="External"/><Relationship Id="rId3" Type="http://schemas.openxmlformats.org/officeDocument/2006/relationships/hyperlink" Target="mailto:walesca.telemaq@gmail.com" TargetMode="External"/><Relationship Id="rId21" Type="http://schemas.openxmlformats.org/officeDocument/2006/relationships/hyperlink" Target="mailto:sayahfatma@outlook.com" TargetMode="External"/><Relationship Id="rId7" Type="http://schemas.openxmlformats.org/officeDocument/2006/relationships/hyperlink" Target="mailto:lilith01volturi@gmail.com" TargetMode="External"/><Relationship Id="rId12" Type="http://schemas.openxmlformats.org/officeDocument/2006/relationships/hyperlink" Target="mailto:bulingecorentin@gmail.com" TargetMode="External"/><Relationship Id="rId17" Type="http://schemas.openxmlformats.org/officeDocument/2006/relationships/hyperlink" Target="mailto:saadiasatta@gmail.com" TargetMode="External"/><Relationship Id="rId25" Type="http://schemas.openxmlformats.org/officeDocument/2006/relationships/hyperlink" Target="mailto:bouilloux.niko@gmail.com" TargetMode="External"/><Relationship Id="rId2" Type="http://schemas.openxmlformats.org/officeDocument/2006/relationships/hyperlink" Target="mailto:kevinmouraud@yahoo.fr" TargetMode="External"/><Relationship Id="rId16" Type="http://schemas.openxmlformats.org/officeDocument/2006/relationships/hyperlink" Target="mailto:dragonyx.contact@gmail.com" TargetMode="External"/><Relationship Id="rId20" Type="http://schemas.openxmlformats.org/officeDocument/2006/relationships/hyperlink" Target="mailto:calyps.1213@gmail.com" TargetMode="External"/><Relationship Id="rId29" Type="http://schemas.openxmlformats.org/officeDocument/2006/relationships/hyperlink" Target="mailto:sumaiasaeed015@gmail.com" TargetMode="External"/><Relationship Id="rId1" Type="http://schemas.openxmlformats.org/officeDocument/2006/relationships/hyperlink" Target="mailto:sferreira47@yahoo.fr" TargetMode="External"/><Relationship Id="rId6" Type="http://schemas.openxmlformats.org/officeDocument/2006/relationships/hyperlink" Target="mailto:vanessa.bouvier@hotmail.fr" TargetMode="External"/><Relationship Id="rId11" Type="http://schemas.openxmlformats.org/officeDocument/2006/relationships/hyperlink" Target="mailto:minatibhirt8@gmail.com" TargetMode="External"/><Relationship Id="rId24" Type="http://schemas.openxmlformats.org/officeDocument/2006/relationships/hyperlink" Target="mailto:ines.loucif8595@gmail.com" TargetMode="External"/><Relationship Id="rId5" Type="http://schemas.openxmlformats.org/officeDocument/2006/relationships/hyperlink" Target="mailto:fabsig@free.fr" TargetMode="External"/><Relationship Id="rId15" Type="http://schemas.openxmlformats.org/officeDocument/2006/relationships/hyperlink" Target="mailto:xeno6156@gmail.com" TargetMode="External"/><Relationship Id="rId23" Type="http://schemas.openxmlformats.org/officeDocument/2006/relationships/hyperlink" Target="mailto:laurafetet95@gmail.com" TargetMode="External"/><Relationship Id="rId28" Type="http://schemas.openxmlformats.org/officeDocument/2006/relationships/hyperlink" Target="mailto:boina.daoud79@gmail.com" TargetMode="External"/><Relationship Id="rId10" Type="http://schemas.openxmlformats.org/officeDocument/2006/relationships/hyperlink" Target="mailto:kinekayre@gmail.com" TargetMode="External"/><Relationship Id="rId19" Type="http://schemas.openxmlformats.org/officeDocument/2006/relationships/hyperlink" Target="mailto:fabienspicy@gmail.com" TargetMode="External"/><Relationship Id="rId4" Type="http://schemas.openxmlformats.org/officeDocument/2006/relationships/hyperlink" Target="mailto:ilyaszaid89@gmail.com" TargetMode="External"/><Relationship Id="rId9" Type="http://schemas.openxmlformats.org/officeDocument/2006/relationships/hyperlink" Target="mailto:anniriviere2@gmail.com" TargetMode="External"/><Relationship Id="rId14" Type="http://schemas.openxmlformats.org/officeDocument/2006/relationships/hyperlink" Target="mailto:zounouh19641964@gmail.com" TargetMode="External"/><Relationship Id="rId22" Type="http://schemas.openxmlformats.org/officeDocument/2006/relationships/hyperlink" Target="mailto:savova0114@gmail.com" TargetMode="External"/><Relationship Id="rId27" Type="http://schemas.openxmlformats.org/officeDocument/2006/relationships/hyperlink" Target="mailto:carolebrunet@orange.fr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S237"/>
  <sheetViews>
    <sheetView tabSelected="1" zoomScale="90" zoomScaleNormal="90" workbookViewId="0">
      <pane xSplit="6" ySplit="8" topLeftCell="X76" activePane="bottomRight" state="frozen"/>
      <selection pane="topRight" activeCell="I1" sqref="I1"/>
      <selection pane="bottomLeft" activeCell="A8" sqref="A8"/>
      <selection pane="bottomRight" activeCell="X94" sqref="X94"/>
    </sheetView>
  </sheetViews>
  <sheetFormatPr baseColWidth="10" defaultColWidth="11.42578125" defaultRowHeight="15"/>
  <cols>
    <col min="1" max="1" width="15" style="52" customWidth="1"/>
    <col min="2" max="2" width="13.7109375" style="61" customWidth="1"/>
    <col min="3" max="3" width="19.28515625" style="73" customWidth="1"/>
    <col min="4" max="4" width="13.140625" style="73" bestFit="1" customWidth="1"/>
    <col min="5" max="5" width="6.28515625" style="74" customWidth="1"/>
    <col min="6" max="6" width="9.5703125" style="75" bestFit="1" customWidth="1"/>
    <col min="7" max="7" width="12.42578125" style="48" customWidth="1"/>
    <col min="8" max="9" width="13.28515625" style="106" customWidth="1"/>
    <col min="10" max="10" width="13.7109375" style="76" customWidth="1"/>
    <col min="11" max="11" width="13.7109375" style="77" customWidth="1"/>
    <col min="12" max="12" width="23" style="77" bestFit="1" customWidth="1"/>
    <col min="13" max="13" width="13.7109375" style="76" customWidth="1"/>
    <col min="14" max="14" width="13.7109375" style="77" customWidth="1"/>
    <col min="15" max="15" width="11.140625" style="76" customWidth="1"/>
    <col min="16" max="16" width="10.85546875" style="76" customWidth="1"/>
    <col min="17" max="17" width="10.28515625" style="76" customWidth="1"/>
    <col min="18" max="18" width="16.140625" style="76" customWidth="1"/>
    <col min="19" max="19" width="17.5703125" style="76" customWidth="1"/>
    <col min="20" max="20" width="14.7109375" style="74" customWidth="1"/>
    <col min="21" max="21" width="12.140625" style="64" customWidth="1"/>
    <col min="22" max="22" width="16.42578125" style="61" bestFit="1" customWidth="1"/>
    <col min="23" max="23" width="18.5703125" style="61" customWidth="1"/>
    <col min="24" max="25" width="13.7109375" style="77" customWidth="1"/>
    <col min="26" max="28" width="9.85546875" style="62" customWidth="1"/>
    <col min="29" max="29" width="9.85546875" style="62" bestFit="1" customWidth="1"/>
    <col min="30" max="30" width="9.28515625" style="61" customWidth="1"/>
    <col min="31" max="31" width="6.28515625" style="61" bestFit="1" customWidth="1"/>
    <col min="32" max="32" width="7.7109375" style="61" bestFit="1" customWidth="1"/>
    <col min="33" max="33" width="6.7109375" style="61" bestFit="1" customWidth="1"/>
    <col min="34" max="34" width="10" style="61" bestFit="1" customWidth="1"/>
    <col min="35" max="35" width="6.28515625" style="61" bestFit="1" customWidth="1"/>
    <col min="36" max="36" width="6.7109375" style="61" bestFit="1" customWidth="1"/>
    <col min="37" max="37" width="12.42578125" style="61" bestFit="1" customWidth="1"/>
    <col min="38" max="38" width="9.7109375" style="61" bestFit="1" customWidth="1"/>
    <col min="39" max="39" width="9" style="61" bestFit="1" customWidth="1"/>
    <col min="40" max="40" width="46.42578125" style="62" customWidth="1"/>
    <col min="41" max="41" width="17.140625" style="61" customWidth="1"/>
    <col min="42" max="42" width="34.5703125" style="61" bestFit="1" customWidth="1"/>
    <col min="43" max="16384" width="11.42578125" style="61"/>
  </cols>
  <sheetData>
    <row r="1" spans="1:45" ht="19.5" thickBot="1">
      <c r="G1" s="188"/>
      <c r="M1" s="401"/>
      <c r="N1" s="60"/>
    </row>
    <row r="2" spans="1:45" ht="18.75">
      <c r="A2" s="536" t="s">
        <v>62</v>
      </c>
      <c r="B2" s="537"/>
      <c r="C2" s="537"/>
      <c r="D2" s="537"/>
      <c r="E2" s="537"/>
      <c r="F2" s="537"/>
      <c r="G2" s="537"/>
      <c r="H2" s="538"/>
      <c r="I2" s="189"/>
      <c r="J2" s="192" t="s">
        <v>544</v>
      </c>
      <c r="K2" s="193"/>
      <c r="L2" s="193"/>
      <c r="M2" s="401"/>
      <c r="N2" s="63"/>
      <c r="O2" s="194"/>
      <c r="P2" s="194"/>
      <c r="Q2" s="194"/>
      <c r="R2" s="195"/>
      <c r="S2" s="112"/>
      <c r="T2" s="112"/>
      <c r="U2" s="59"/>
      <c r="V2" s="59"/>
      <c r="W2" s="59"/>
      <c r="X2" s="60"/>
      <c r="Y2" s="60"/>
    </row>
    <row r="3" spans="1:45" ht="18.75">
      <c r="A3" s="539" t="s">
        <v>1474</v>
      </c>
      <c r="B3" s="540"/>
      <c r="C3" s="540"/>
      <c r="D3" s="540"/>
      <c r="E3" s="540"/>
      <c r="F3" s="540"/>
      <c r="G3" s="540"/>
      <c r="H3" s="541"/>
      <c r="I3" s="190"/>
      <c r="J3" s="545" t="s">
        <v>522</v>
      </c>
      <c r="K3" s="546"/>
      <c r="L3" s="546"/>
      <c r="M3" s="546"/>
      <c r="N3" s="546"/>
      <c r="O3" s="546"/>
      <c r="P3" s="546"/>
      <c r="Q3" s="546"/>
      <c r="R3" s="547"/>
      <c r="S3" s="113"/>
      <c r="T3" s="113"/>
      <c r="X3" s="63"/>
      <c r="Y3" s="63"/>
    </row>
    <row r="4" spans="1:45" ht="19.5" thickBot="1">
      <c r="A4" s="542" t="s">
        <v>433</v>
      </c>
      <c r="B4" s="543"/>
      <c r="C4" s="543"/>
      <c r="D4" s="543"/>
      <c r="E4" s="543"/>
      <c r="F4" s="543"/>
      <c r="G4" s="543"/>
      <c r="H4" s="544"/>
      <c r="I4" s="191"/>
      <c r="J4" s="548" t="s">
        <v>523</v>
      </c>
      <c r="K4" s="549"/>
      <c r="L4" s="549"/>
      <c r="M4" s="549"/>
      <c r="N4" s="549"/>
      <c r="O4" s="549"/>
      <c r="P4" s="549"/>
      <c r="Q4" s="549"/>
      <c r="R4" s="550"/>
      <c r="S4" s="58"/>
      <c r="U4" s="66"/>
      <c r="V4" s="532"/>
      <c r="W4" s="532"/>
      <c r="X4" s="65"/>
      <c r="Y4" s="65"/>
    </row>
    <row r="5" spans="1:45" ht="56.65" customHeight="1" thickBot="1">
      <c r="A5" s="50" t="s">
        <v>997</v>
      </c>
      <c r="B5" s="67"/>
      <c r="C5" s="476" t="s">
        <v>1430</v>
      </c>
      <c r="D5" s="477">
        <f>+SUM(A9:A457)</f>
        <v>92</v>
      </c>
      <c r="E5" s="68"/>
      <c r="F5" s="69"/>
      <c r="G5" s="58"/>
      <c r="H5" s="104"/>
      <c r="I5" s="104"/>
      <c r="J5" s="58"/>
      <c r="K5" s="65"/>
      <c r="L5" s="65"/>
      <c r="O5" s="58"/>
      <c r="P5" s="58"/>
      <c r="Q5" s="58"/>
      <c r="R5" s="58"/>
      <c r="S5" s="58"/>
      <c r="T5" s="114"/>
      <c r="U5" s="534" t="s">
        <v>532</v>
      </c>
      <c r="V5" s="534"/>
      <c r="W5" s="534"/>
      <c r="X5" s="534"/>
      <c r="Y5" s="128"/>
      <c r="Z5" s="504" t="s">
        <v>617</v>
      </c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</row>
    <row r="6" spans="1:45" ht="31.5">
      <c r="A6" s="51"/>
      <c r="B6" s="70"/>
      <c r="C6" s="58"/>
      <c r="D6" s="58"/>
      <c r="E6" s="71"/>
      <c r="F6" s="72"/>
      <c r="G6" s="58"/>
      <c r="H6" s="104"/>
      <c r="I6" s="104"/>
      <c r="J6" s="512" t="s">
        <v>361</v>
      </c>
      <c r="K6" s="513"/>
      <c r="L6" s="65"/>
      <c r="M6" s="515" t="s">
        <v>361</v>
      </c>
      <c r="N6" s="516"/>
      <c r="O6" s="529" t="s">
        <v>33</v>
      </c>
      <c r="P6" s="530"/>
      <c r="Q6" s="531"/>
      <c r="R6" s="58"/>
      <c r="S6" s="58"/>
      <c r="T6" s="70"/>
      <c r="W6" s="180" t="s">
        <v>501</v>
      </c>
      <c r="X6" s="65"/>
      <c r="Y6" s="65"/>
      <c r="AO6" s="92"/>
      <c r="AP6" s="92"/>
    </row>
    <row r="7" spans="1:45" ht="60">
      <c r="B7" s="526" t="s">
        <v>1</v>
      </c>
      <c r="C7" s="528" t="s">
        <v>263</v>
      </c>
      <c r="D7" s="528" t="s">
        <v>264</v>
      </c>
      <c r="E7" s="521" t="s">
        <v>0</v>
      </c>
      <c r="F7" s="522" t="s">
        <v>2</v>
      </c>
      <c r="G7" s="523" t="s">
        <v>31</v>
      </c>
      <c r="H7" s="524" t="s">
        <v>32</v>
      </c>
      <c r="I7" s="525" t="s">
        <v>262</v>
      </c>
      <c r="J7" s="514" t="s">
        <v>524</v>
      </c>
      <c r="K7" s="514" t="s">
        <v>525</v>
      </c>
      <c r="L7" s="181" t="s">
        <v>526</v>
      </c>
      <c r="M7" s="517" t="s">
        <v>524</v>
      </c>
      <c r="N7" s="519" t="s">
        <v>1271</v>
      </c>
      <c r="O7" s="507">
        <v>1</v>
      </c>
      <c r="P7" s="507">
        <v>2</v>
      </c>
      <c r="Q7" s="507" t="s">
        <v>56</v>
      </c>
      <c r="R7" s="182" t="s">
        <v>379</v>
      </c>
      <c r="S7" s="182" t="s">
        <v>380</v>
      </c>
      <c r="T7" s="533" t="s">
        <v>531</v>
      </c>
      <c r="U7" s="535" t="s">
        <v>3</v>
      </c>
      <c r="V7" s="508" t="s">
        <v>537</v>
      </c>
      <c r="W7" s="508" t="s">
        <v>48</v>
      </c>
      <c r="X7" s="509" t="s">
        <v>593</v>
      </c>
      <c r="Y7" s="510" t="s">
        <v>607</v>
      </c>
      <c r="Z7" s="511" t="s">
        <v>521</v>
      </c>
      <c r="AA7" s="506" t="s">
        <v>518</v>
      </c>
      <c r="AB7" s="506" t="s">
        <v>519</v>
      </c>
      <c r="AC7" s="506" t="s">
        <v>477</v>
      </c>
      <c r="AD7" s="511" t="s">
        <v>520</v>
      </c>
      <c r="AE7" s="505" t="s">
        <v>470</v>
      </c>
      <c r="AF7" s="505" t="s">
        <v>471</v>
      </c>
      <c r="AG7" s="505" t="s">
        <v>472</v>
      </c>
      <c r="AH7" s="505" t="s">
        <v>473</v>
      </c>
      <c r="AI7" s="505" t="s">
        <v>474</v>
      </c>
      <c r="AJ7" s="505" t="s">
        <v>475</v>
      </c>
      <c r="AK7" s="505" t="s">
        <v>476</v>
      </c>
      <c r="AL7" s="505" t="s">
        <v>504</v>
      </c>
      <c r="AM7" s="505" t="s">
        <v>539</v>
      </c>
      <c r="AN7" s="527" t="s">
        <v>339</v>
      </c>
      <c r="AO7" s="92"/>
      <c r="AP7" s="92"/>
    </row>
    <row r="8" spans="1:45" s="49" customFormat="1" ht="24.75" thickBot="1">
      <c r="A8" s="52"/>
      <c r="B8" s="526"/>
      <c r="C8" s="528"/>
      <c r="D8" s="528"/>
      <c r="E8" s="521"/>
      <c r="F8" s="522"/>
      <c r="G8" s="523"/>
      <c r="H8" s="524"/>
      <c r="I8" s="525"/>
      <c r="J8" s="514"/>
      <c r="K8" s="514"/>
      <c r="L8" s="183" t="s">
        <v>527</v>
      </c>
      <c r="M8" s="518"/>
      <c r="N8" s="520"/>
      <c r="O8" s="507"/>
      <c r="P8" s="507"/>
      <c r="Q8" s="507"/>
      <c r="R8" s="182" t="s">
        <v>381</v>
      </c>
      <c r="S8" s="182" t="s">
        <v>381</v>
      </c>
      <c r="T8" s="533"/>
      <c r="U8" s="535"/>
      <c r="V8" s="508"/>
      <c r="W8" s="508"/>
      <c r="X8" s="509"/>
      <c r="Y8" s="510"/>
      <c r="Z8" s="511"/>
      <c r="AA8" s="506"/>
      <c r="AB8" s="506"/>
      <c r="AC8" s="506"/>
      <c r="AD8" s="511"/>
      <c r="AE8" s="505"/>
      <c r="AF8" s="505"/>
      <c r="AG8" s="505"/>
      <c r="AH8" s="505"/>
      <c r="AI8" s="505"/>
      <c r="AJ8" s="505"/>
      <c r="AK8" s="505"/>
      <c r="AL8" s="505"/>
      <c r="AM8" s="505"/>
      <c r="AN8" s="527" t="s">
        <v>58</v>
      </c>
      <c r="AO8" s="179"/>
      <c r="AP8" s="49" t="s">
        <v>1055</v>
      </c>
    </row>
    <row r="9" spans="1:45" s="222" customFormat="1" ht="25.5">
      <c r="A9" s="208">
        <v>1</v>
      </c>
      <c r="B9" s="211" t="s">
        <v>622</v>
      </c>
      <c r="C9" s="211" t="s">
        <v>623</v>
      </c>
      <c r="D9" s="211" t="s">
        <v>624</v>
      </c>
      <c r="E9" s="209">
        <v>36</v>
      </c>
      <c r="F9" s="210" t="s">
        <v>22</v>
      </c>
      <c r="G9" s="211" t="s">
        <v>69</v>
      </c>
      <c r="H9" s="309">
        <v>45903</v>
      </c>
      <c r="I9" s="309">
        <v>45931</v>
      </c>
      <c r="J9" s="212">
        <v>45931</v>
      </c>
      <c r="K9" s="213">
        <f>+J9+180</f>
        <v>46111</v>
      </c>
      <c r="L9" s="214" t="s">
        <v>479</v>
      </c>
      <c r="M9" s="402">
        <v>46114</v>
      </c>
      <c r="N9" s="89">
        <f>M9+180</f>
        <v>46294</v>
      </c>
      <c r="O9" s="211" t="s">
        <v>824</v>
      </c>
      <c r="P9" s="211"/>
      <c r="Q9" s="211"/>
      <c r="R9" s="215">
        <v>1</v>
      </c>
      <c r="S9" s="215">
        <v>1</v>
      </c>
      <c r="T9" s="215"/>
      <c r="U9" s="216"/>
      <c r="V9" s="217"/>
      <c r="W9" s="218"/>
      <c r="X9" s="219"/>
      <c r="Y9" s="421" t="s">
        <v>1280</v>
      </c>
      <c r="Z9" s="221">
        <v>1</v>
      </c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 t="s">
        <v>853</v>
      </c>
      <c r="AO9" s="310"/>
      <c r="AP9" s="310" t="s">
        <v>1492</v>
      </c>
      <c r="AQ9" s="311" t="s">
        <v>623</v>
      </c>
      <c r="AR9" s="312" t="s">
        <v>624</v>
      </c>
      <c r="AS9" s="313" t="s">
        <v>1160</v>
      </c>
    </row>
    <row r="10" spans="1:45" s="222" customFormat="1" ht="12.75">
      <c r="A10" s="208">
        <v>1</v>
      </c>
      <c r="B10" s="211" t="s">
        <v>622</v>
      </c>
      <c r="C10" s="211" t="s">
        <v>1266</v>
      </c>
      <c r="D10" s="211" t="s">
        <v>1267</v>
      </c>
      <c r="E10" s="209">
        <v>46</v>
      </c>
      <c r="F10" s="210" t="s">
        <v>29</v>
      </c>
      <c r="G10" s="211" t="s">
        <v>69</v>
      </c>
      <c r="H10" s="309">
        <v>46086</v>
      </c>
      <c r="I10" s="309">
        <v>46188</v>
      </c>
      <c r="J10" s="212">
        <v>46188</v>
      </c>
      <c r="K10" s="213">
        <f>+J10+180</f>
        <v>46368</v>
      </c>
      <c r="L10" s="213"/>
      <c r="M10" s="403"/>
      <c r="N10" s="404">
        <f>M10+180</f>
        <v>180</v>
      </c>
      <c r="O10" s="211" t="s">
        <v>824</v>
      </c>
      <c r="P10" s="211" t="s">
        <v>834</v>
      </c>
      <c r="Q10" s="211"/>
      <c r="R10" s="215"/>
      <c r="S10" s="215"/>
      <c r="T10" s="215"/>
      <c r="U10" s="216"/>
      <c r="V10" s="217"/>
      <c r="W10" s="218"/>
      <c r="X10" s="219"/>
      <c r="Y10" s="49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310"/>
      <c r="AP10" s="310" t="s">
        <v>1493</v>
      </c>
      <c r="AQ10" s="311"/>
      <c r="AR10" s="312"/>
      <c r="AS10" s="313"/>
    </row>
    <row r="11" spans="1:45" s="222" customFormat="1" ht="12.75">
      <c r="A11" s="208"/>
      <c r="B11" s="211" t="s">
        <v>1506</v>
      </c>
      <c r="C11" s="211" t="s">
        <v>912</v>
      </c>
      <c r="D11" s="211"/>
      <c r="E11" s="209"/>
      <c r="F11" s="210"/>
      <c r="G11" s="211"/>
      <c r="H11" s="309"/>
      <c r="I11" s="309"/>
      <c r="J11" s="212"/>
      <c r="K11" s="213"/>
      <c r="L11" s="213"/>
      <c r="M11" s="403"/>
      <c r="N11" s="404"/>
      <c r="O11" s="211"/>
      <c r="P11" s="211"/>
      <c r="Q11" s="211"/>
      <c r="R11" s="215"/>
      <c r="S11" s="215"/>
      <c r="T11" s="215"/>
      <c r="U11" s="216"/>
      <c r="V11" s="217"/>
      <c r="W11" s="218"/>
      <c r="X11" s="219"/>
      <c r="Y11" s="49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310"/>
      <c r="AP11" s="310"/>
      <c r="AQ11" s="311"/>
      <c r="AR11" s="312"/>
      <c r="AS11" s="313"/>
    </row>
    <row r="12" spans="1:45" s="440" customFormat="1" ht="12.75">
      <c r="A12" s="208">
        <v>1</v>
      </c>
      <c r="B12" s="296" t="s">
        <v>622</v>
      </c>
      <c r="C12" s="296" t="s">
        <v>1414</v>
      </c>
      <c r="D12" s="296" t="s">
        <v>1415</v>
      </c>
      <c r="E12" s="297">
        <v>26</v>
      </c>
      <c r="F12" s="298" t="s">
        <v>8</v>
      </c>
      <c r="G12" s="296" t="s">
        <v>68</v>
      </c>
      <c r="H12" s="395">
        <v>46197</v>
      </c>
      <c r="I12" s="395">
        <v>46205</v>
      </c>
      <c r="J12" s="437"/>
      <c r="K12" s="213"/>
      <c r="L12" s="213"/>
      <c r="M12" s="56"/>
      <c r="N12" s="404"/>
      <c r="O12" s="296" t="s">
        <v>839</v>
      </c>
      <c r="P12" s="296"/>
      <c r="Q12" s="296"/>
      <c r="R12" s="239"/>
      <c r="S12" s="239"/>
      <c r="T12" s="239"/>
      <c r="U12" s="216"/>
      <c r="V12" s="217"/>
      <c r="W12" s="438"/>
      <c r="X12" s="439"/>
      <c r="Y12" s="482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345"/>
      <c r="AO12" s="319"/>
      <c r="AP12" s="320" t="s">
        <v>1437</v>
      </c>
      <c r="AQ12" s="232"/>
      <c r="AR12" s="232"/>
      <c r="AS12" s="197"/>
    </row>
    <row r="13" spans="1:45" s="222" customFormat="1" ht="25.5">
      <c r="A13" s="208">
        <v>1</v>
      </c>
      <c r="B13" s="232" t="s">
        <v>622</v>
      </c>
      <c r="C13" s="232" t="s">
        <v>627</v>
      </c>
      <c r="D13" s="232" t="s">
        <v>628</v>
      </c>
      <c r="E13" s="231">
        <v>49</v>
      </c>
      <c r="F13" s="210" t="s">
        <v>29</v>
      </c>
      <c r="G13" s="232" t="s">
        <v>68</v>
      </c>
      <c r="H13" s="316">
        <v>45874</v>
      </c>
      <c r="I13" s="316">
        <v>45922</v>
      </c>
      <c r="J13" s="233">
        <v>45951</v>
      </c>
      <c r="K13" s="213">
        <f>+J13+180</f>
        <v>46131</v>
      </c>
      <c r="L13" s="214" t="s">
        <v>479</v>
      </c>
      <c r="M13" s="56">
        <v>46134</v>
      </c>
      <c r="N13" s="404">
        <f>M13+180</f>
        <v>46314</v>
      </c>
      <c r="O13" s="234" t="s">
        <v>824</v>
      </c>
      <c r="P13" s="234" t="s">
        <v>825</v>
      </c>
      <c r="Q13" s="232"/>
      <c r="R13" s="235">
        <v>3</v>
      </c>
      <c r="S13" s="235"/>
      <c r="T13" s="235"/>
      <c r="U13" s="216"/>
      <c r="V13" s="217"/>
      <c r="W13" s="218"/>
      <c r="X13" s="236"/>
      <c r="Y13" s="421" t="s">
        <v>1281</v>
      </c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 t="s">
        <v>1233</v>
      </c>
      <c r="AO13" s="317"/>
      <c r="AP13" s="318" t="s">
        <v>1018</v>
      </c>
      <c r="AQ13" s="311" t="s">
        <v>627</v>
      </c>
      <c r="AR13" s="312" t="s">
        <v>628</v>
      </c>
      <c r="AS13" s="313" t="s">
        <v>1161</v>
      </c>
    </row>
    <row r="14" spans="1:45" s="222" customFormat="1" ht="12.75">
      <c r="A14" s="208">
        <v>1</v>
      </c>
      <c r="B14" s="276" t="s">
        <v>622</v>
      </c>
      <c r="C14" s="276" t="s">
        <v>629</v>
      </c>
      <c r="D14" s="276" t="s">
        <v>316</v>
      </c>
      <c r="E14" s="274">
        <v>25</v>
      </c>
      <c r="F14" s="275" t="s">
        <v>11</v>
      </c>
      <c r="G14" s="276" t="s">
        <v>68</v>
      </c>
      <c r="H14" s="327">
        <v>45866</v>
      </c>
      <c r="I14" s="327">
        <v>46049</v>
      </c>
      <c r="J14" s="443">
        <v>46049</v>
      </c>
      <c r="K14" s="278">
        <f>+J14+180</f>
        <v>46229</v>
      </c>
      <c r="L14" s="214" t="s">
        <v>479</v>
      </c>
      <c r="M14" s="426">
        <v>46230</v>
      </c>
      <c r="N14" s="415">
        <f>M14+180</f>
        <v>46410</v>
      </c>
      <c r="O14" s="276"/>
      <c r="P14" s="276"/>
      <c r="Q14" s="276"/>
      <c r="R14" s="444">
        <v>3</v>
      </c>
      <c r="S14" s="444"/>
      <c r="T14" s="444"/>
      <c r="U14" s="282"/>
      <c r="V14" s="283"/>
      <c r="W14" s="284"/>
      <c r="X14" s="285"/>
      <c r="Y14" s="427" t="s">
        <v>1282</v>
      </c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 t="s">
        <v>1482</v>
      </c>
      <c r="AO14" s="328"/>
      <c r="AP14" s="328" t="s">
        <v>1019</v>
      </c>
      <c r="AQ14" s="311" t="s">
        <v>629</v>
      </c>
      <c r="AR14" s="312" t="s">
        <v>316</v>
      </c>
      <c r="AS14" s="313" t="s">
        <v>1162</v>
      </c>
    </row>
    <row r="15" spans="1:45" s="222" customFormat="1" ht="12.75">
      <c r="A15" s="208">
        <v>1</v>
      </c>
      <c r="B15" s="232" t="s">
        <v>622</v>
      </c>
      <c r="C15" s="232" t="s">
        <v>1464</v>
      </c>
      <c r="D15" s="232" t="s">
        <v>1465</v>
      </c>
      <c r="E15" s="231">
        <v>40</v>
      </c>
      <c r="F15" s="210"/>
      <c r="G15" s="232"/>
      <c r="H15" s="316"/>
      <c r="I15" s="316"/>
      <c r="J15" s="233"/>
      <c r="K15" s="213"/>
      <c r="L15" s="213"/>
      <c r="M15" s="56"/>
      <c r="N15" s="404"/>
      <c r="O15" s="495" t="s">
        <v>828</v>
      </c>
      <c r="P15" s="232"/>
      <c r="Q15" s="232"/>
      <c r="R15" s="235"/>
      <c r="S15" s="235"/>
      <c r="T15" s="235"/>
      <c r="U15" s="216"/>
      <c r="V15" s="217"/>
      <c r="W15" s="218"/>
      <c r="X15" s="236"/>
      <c r="Y15" s="422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320"/>
      <c r="AP15" s="320" t="s">
        <v>1494</v>
      </c>
      <c r="AQ15" s="428"/>
      <c r="AR15" s="232"/>
      <c r="AS15" s="331"/>
    </row>
    <row r="16" spans="1:45" s="222" customFormat="1" ht="25.5">
      <c r="A16" s="208">
        <v>1</v>
      </c>
      <c r="B16" s="232" t="s">
        <v>622</v>
      </c>
      <c r="C16" s="232" t="s">
        <v>630</v>
      </c>
      <c r="D16" s="232" t="s">
        <v>360</v>
      </c>
      <c r="E16" s="231">
        <v>38</v>
      </c>
      <c r="F16" s="210" t="s">
        <v>29</v>
      </c>
      <c r="G16" s="232" t="s">
        <v>68</v>
      </c>
      <c r="H16" s="316">
        <v>45812</v>
      </c>
      <c r="I16" s="316">
        <v>45890</v>
      </c>
      <c r="J16" s="237">
        <v>45890</v>
      </c>
      <c r="K16" s="213">
        <f>+J16+180</f>
        <v>46070</v>
      </c>
      <c r="L16" s="214" t="s">
        <v>479</v>
      </c>
      <c r="M16" s="405">
        <v>46115</v>
      </c>
      <c r="N16" s="404">
        <f>M16+180</f>
        <v>46295</v>
      </c>
      <c r="O16" s="238" t="s">
        <v>824</v>
      </c>
      <c r="P16" s="238" t="s">
        <v>826</v>
      </c>
      <c r="Q16" s="238" t="s">
        <v>843</v>
      </c>
      <c r="R16" s="239">
        <v>2</v>
      </c>
      <c r="S16" s="239"/>
      <c r="T16" s="240"/>
      <c r="U16" s="216"/>
      <c r="V16" s="217"/>
      <c r="W16" s="218"/>
      <c r="X16" s="236"/>
      <c r="Y16" s="421" t="s">
        <v>1283</v>
      </c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 t="s">
        <v>855</v>
      </c>
      <c r="AO16" s="319"/>
      <c r="AP16" s="320" t="s">
        <v>1020</v>
      </c>
      <c r="AQ16" s="312" t="s">
        <v>630</v>
      </c>
      <c r="AR16" s="312" t="s">
        <v>360</v>
      </c>
      <c r="AS16" s="313" t="s">
        <v>1163</v>
      </c>
    </row>
    <row r="17" spans="1:45" s="253" customFormat="1" ht="12.75">
      <c r="A17" s="423">
        <v>1</v>
      </c>
      <c r="B17" s="246" t="s">
        <v>622</v>
      </c>
      <c r="C17" s="246" t="s">
        <v>1145</v>
      </c>
      <c r="D17" s="246" t="s">
        <v>1146</v>
      </c>
      <c r="E17" s="244">
        <v>26</v>
      </c>
      <c r="F17" s="245" t="s">
        <v>8</v>
      </c>
      <c r="G17" s="246" t="s">
        <v>68</v>
      </c>
      <c r="H17" s="322">
        <v>46104</v>
      </c>
      <c r="I17" s="322">
        <v>46153</v>
      </c>
      <c r="J17" s="496">
        <v>46153</v>
      </c>
      <c r="K17" s="226">
        <f>+J17+180</f>
        <v>46333</v>
      </c>
      <c r="L17" s="226"/>
      <c r="M17" s="497"/>
      <c r="N17" s="425">
        <f>M17+180</f>
        <v>180</v>
      </c>
      <c r="O17" s="248" t="s">
        <v>828</v>
      </c>
      <c r="P17" s="248"/>
      <c r="Q17" s="248"/>
      <c r="R17" s="227"/>
      <c r="S17" s="227"/>
      <c r="T17" s="228"/>
      <c r="U17" s="228"/>
      <c r="V17" s="229"/>
      <c r="W17" s="250"/>
      <c r="X17" s="251"/>
      <c r="Y17" s="498" t="s">
        <v>1284</v>
      </c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 t="s">
        <v>1496</v>
      </c>
      <c r="AO17" s="314"/>
      <c r="AP17" s="315" t="s">
        <v>1493</v>
      </c>
    </row>
    <row r="18" spans="1:45" s="222" customFormat="1" ht="12.75">
      <c r="A18" s="208">
        <v>1</v>
      </c>
      <c r="B18" s="232" t="s">
        <v>619</v>
      </c>
      <c r="C18" s="232" t="s">
        <v>272</v>
      </c>
      <c r="D18" s="232" t="s">
        <v>1441</v>
      </c>
      <c r="E18" s="231">
        <v>33</v>
      </c>
      <c r="F18" s="210" t="s">
        <v>8</v>
      </c>
      <c r="G18" s="232" t="s">
        <v>68</v>
      </c>
      <c r="H18" s="316"/>
      <c r="I18" s="316">
        <v>46261</v>
      </c>
      <c r="J18" s="493"/>
      <c r="K18" s="213"/>
      <c r="L18" s="213"/>
      <c r="M18" s="406"/>
      <c r="N18" s="404"/>
      <c r="O18" s="238" t="s">
        <v>828</v>
      </c>
      <c r="P18" s="238"/>
      <c r="Q18" s="238"/>
      <c r="R18" s="239"/>
      <c r="S18" s="239"/>
      <c r="T18" s="216"/>
      <c r="U18" s="216"/>
      <c r="V18" s="217"/>
      <c r="W18" s="218"/>
      <c r="X18" s="236"/>
      <c r="Y18" s="4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319"/>
      <c r="AP18" s="320" t="s">
        <v>1025</v>
      </c>
    </row>
    <row r="19" spans="1:45" s="222" customFormat="1" ht="25.5">
      <c r="A19" s="208">
        <v>1</v>
      </c>
      <c r="B19" s="232" t="s">
        <v>622</v>
      </c>
      <c r="C19" s="232" t="s">
        <v>631</v>
      </c>
      <c r="D19" s="232" t="s">
        <v>632</v>
      </c>
      <c r="E19" s="231">
        <v>27</v>
      </c>
      <c r="F19" s="210" t="s">
        <v>11</v>
      </c>
      <c r="G19" s="232" t="s">
        <v>69</v>
      </c>
      <c r="H19" s="316">
        <v>45800</v>
      </c>
      <c r="I19" s="316">
        <v>45960</v>
      </c>
      <c r="J19" s="242">
        <v>45960</v>
      </c>
      <c r="K19" s="213">
        <f>+J19+180</f>
        <v>46140</v>
      </c>
      <c r="L19" s="214" t="s">
        <v>479</v>
      </c>
      <c r="M19" s="56">
        <v>46143</v>
      </c>
      <c r="N19" s="404">
        <f>M19+180</f>
        <v>46323</v>
      </c>
      <c r="O19" s="238" t="s">
        <v>827</v>
      </c>
      <c r="P19" s="238"/>
      <c r="Q19" s="238"/>
      <c r="R19" s="239">
        <v>11</v>
      </c>
      <c r="S19" s="239">
        <v>2</v>
      </c>
      <c r="T19" s="243"/>
      <c r="U19" s="216"/>
      <c r="V19" s="217"/>
      <c r="W19" s="218"/>
      <c r="X19" s="236"/>
      <c r="Y19" s="421" t="s">
        <v>1285</v>
      </c>
      <c r="Z19" s="221"/>
      <c r="AA19" s="221"/>
      <c r="AB19" s="221">
        <v>1</v>
      </c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 t="s">
        <v>1063</v>
      </c>
      <c r="AN19" s="221"/>
      <c r="AO19" s="321"/>
      <c r="AP19" s="310" t="s">
        <v>1021</v>
      </c>
      <c r="AQ19" s="312" t="s">
        <v>631</v>
      </c>
      <c r="AR19" s="312" t="s">
        <v>632</v>
      </c>
      <c r="AS19" s="313" t="s">
        <v>1164</v>
      </c>
    </row>
    <row r="20" spans="1:45" s="222" customFormat="1" ht="18" customHeight="1">
      <c r="A20" s="208">
        <v>1</v>
      </c>
      <c r="B20" s="232" t="s">
        <v>622</v>
      </c>
      <c r="C20" s="232" t="s">
        <v>633</v>
      </c>
      <c r="D20" s="232" t="s">
        <v>634</v>
      </c>
      <c r="E20" s="231">
        <v>32</v>
      </c>
      <c r="F20" s="210" t="s">
        <v>29</v>
      </c>
      <c r="G20" s="232" t="s">
        <v>68</v>
      </c>
      <c r="H20" s="316"/>
      <c r="I20" s="316">
        <v>46050</v>
      </c>
      <c r="J20" s="242">
        <v>46049</v>
      </c>
      <c r="K20" s="302">
        <f>+J20+180</f>
        <v>46229</v>
      </c>
      <c r="L20" s="214" t="s">
        <v>479</v>
      </c>
      <c r="M20" s="56">
        <v>46231</v>
      </c>
      <c r="N20" s="404">
        <f>M20+180</f>
        <v>46411</v>
      </c>
      <c r="O20" s="238" t="s">
        <v>828</v>
      </c>
      <c r="P20" s="238"/>
      <c r="Q20" s="238"/>
      <c r="R20" s="239">
        <v>1</v>
      </c>
      <c r="S20" s="239"/>
      <c r="T20" s="240"/>
      <c r="U20" s="216"/>
      <c r="V20" s="217"/>
      <c r="W20" s="218"/>
      <c r="X20" s="236"/>
      <c r="Y20" s="421" t="s">
        <v>1286</v>
      </c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 t="s">
        <v>1270</v>
      </c>
      <c r="AN20" s="221" t="s">
        <v>1233</v>
      </c>
      <c r="AO20" s="321" t="s">
        <v>1106</v>
      </c>
      <c r="AP20" s="310" t="s">
        <v>1022</v>
      </c>
      <c r="AQ20" s="312" t="s">
        <v>633</v>
      </c>
      <c r="AR20" s="312" t="s">
        <v>634</v>
      </c>
      <c r="AS20" s="313" t="s">
        <v>1165</v>
      </c>
    </row>
    <row r="21" spans="1:45" s="222" customFormat="1" ht="18" customHeight="1">
      <c r="A21" s="208">
        <v>1</v>
      </c>
      <c r="B21" s="232" t="s">
        <v>619</v>
      </c>
      <c r="C21" s="232" t="s">
        <v>1253</v>
      </c>
      <c r="D21" s="232" t="s">
        <v>1254</v>
      </c>
      <c r="E21" s="231">
        <v>27</v>
      </c>
      <c r="F21" s="210"/>
      <c r="G21" s="232" t="s">
        <v>69</v>
      </c>
      <c r="H21" s="316">
        <v>46029</v>
      </c>
      <c r="I21" s="316">
        <v>46049</v>
      </c>
      <c r="J21" s="242">
        <v>46049</v>
      </c>
      <c r="K21" s="213">
        <v>46235</v>
      </c>
      <c r="L21" s="214" t="s">
        <v>479</v>
      </c>
      <c r="M21" s="56">
        <v>46231</v>
      </c>
      <c r="N21" s="404">
        <f>M21+180</f>
        <v>46411</v>
      </c>
      <c r="O21" s="238" t="s">
        <v>839</v>
      </c>
      <c r="P21" s="238"/>
      <c r="Q21" s="238"/>
      <c r="R21" s="238"/>
      <c r="S21" s="238"/>
      <c r="T21" s="240"/>
      <c r="U21" s="216"/>
      <c r="V21" s="217"/>
      <c r="W21" s="218"/>
      <c r="X21" s="236"/>
      <c r="Y21" s="433" t="s">
        <v>1436</v>
      </c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 t="s">
        <v>1255</v>
      </c>
      <c r="AO21" s="319"/>
      <c r="AP21" s="320" t="s">
        <v>1497</v>
      </c>
      <c r="AQ21" s="312"/>
      <c r="AR21" s="312"/>
      <c r="AS21" s="313" t="s">
        <v>1520</v>
      </c>
    </row>
    <row r="22" spans="1:45" s="222" customFormat="1" ht="18" customHeight="1">
      <c r="A22" s="208">
        <v>1</v>
      </c>
      <c r="B22" s="232" t="s">
        <v>622</v>
      </c>
      <c r="C22" s="232" t="s">
        <v>1276</v>
      </c>
      <c r="D22" s="232" t="s">
        <v>1277</v>
      </c>
      <c r="E22" s="231">
        <v>29</v>
      </c>
      <c r="F22" s="210" t="s">
        <v>29</v>
      </c>
      <c r="G22" s="232" t="s">
        <v>69</v>
      </c>
      <c r="H22" s="316">
        <v>46183</v>
      </c>
      <c r="I22" s="316">
        <v>46197</v>
      </c>
      <c r="J22" s="242">
        <v>46197</v>
      </c>
      <c r="K22" s="213">
        <f>J22+180</f>
        <v>46377</v>
      </c>
      <c r="L22" s="213"/>
      <c r="M22" s="56"/>
      <c r="N22" s="404"/>
      <c r="O22" s="238" t="s">
        <v>1278</v>
      </c>
      <c r="P22" s="238"/>
      <c r="Q22" s="238"/>
      <c r="R22" s="238"/>
      <c r="S22" s="238"/>
      <c r="T22" s="240"/>
      <c r="U22" s="216"/>
      <c r="V22" s="217"/>
      <c r="W22" s="218"/>
      <c r="X22" s="236"/>
      <c r="Y22" s="433" t="s">
        <v>1421</v>
      </c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319"/>
      <c r="AP22" s="320" t="s">
        <v>1031</v>
      </c>
      <c r="AQ22" s="312"/>
      <c r="AR22" s="312"/>
      <c r="AS22" s="313"/>
    </row>
    <row r="23" spans="1:45" s="268" customFormat="1" ht="18" customHeight="1">
      <c r="A23" s="416">
        <v>1</v>
      </c>
      <c r="B23" s="257" t="s">
        <v>619</v>
      </c>
      <c r="C23" s="257" t="s">
        <v>1070</v>
      </c>
      <c r="D23" s="257" t="s">
        <v>776</v>
      </c>
      <c r="E23" s="255">
        <v>35</v>
      </c>
      <c r="F23" s="256" t="s">
        <v>8</v>
      </c>
      <c r="G23" s="257" t="s">
        <v>68</v>
      </c>
      <c r="H23" s="324">
        <v>46098</v>
      </c>
      <c r="I23" s="324">
        <v>46113</v>
      </c>
      <c r="J23" s="258">
        <v>46113</v>
      </c>
      <c r="K23" s="259">
        <f t="shared" ref="K23:K38" si="0">+J23+180</f>
        <v>46293</v>
      </c>
      <c r="L23" s="259"/>
      <c r="M23" s="417"/>
      <c r="N23" s="418">
        <f>M23+180</f>
        <v>180</v>
      </c>
      <c r="O23" s="260" t="s">
        <v>834</v>
      </c>
      <c r="P23" s="260"/>
      <c r="Q23" s="260"/>
      <c r="R23" s="260"/>
      <c r="S23" s="260"/>
      <c r="T23" s="262"/>
      <c r="U23" s="263"/>
      <c r="V23" s="264"/>
      <c r="W23" s="265"/>
      <c r="X23" s="266"/>
      <c r="Y23" s="271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67"/>
      <c r="AK23" s="267"/>
      <c r="AL23" s="267"/>
      <c r="AM23" s="267"/>
      <c r="AN23" s="267"/>
      <c r="AO23" s="419"/>
      <c r="AP23" s="325" t="s">
        <v>1048</v>
      </c>
      <c r="AQ23" s="257"/>
      <c r="AR23" s="257"/>
      <c r="AS23" s="420"/>
    </row>
    <row r="24" spans="1:45" s="222" customFormat="1" ht="18" customHeight="1">
      <c r="A24" s="208">
        <v>1</v>
      </c>
      <c r="B24" s="232" t="s">
        <v>622</v>
      </c>
      <c r="C24" s="232" t="s">
        <v>1144</v>
      </c>
      <c r="D24" s="232" t="s">
        <v>317</v>
      </c>
      <c r="E24" s="231">
        <v>53</v>
      </c>
      <c r="F24" s="210"/>
      <c r="G24" s="232" t="s">
        <v>68</v>
      </c>
      <c r="H24" s="316">
        <v>46090</v>
      </c>
      <c r="I24" s="316">
        <v>46121</v>
      </c>
      <c r="J24" s="242">
        <v>46121</v>
      </c>
      <c r="K24" s="213">
        <f t="shared" si="0"/>
        <v>46301</v>
      </c>
      <c r="L24" s="213"/>
      <c r="M24" s="56"/>
      <c r="N24" s="404">
        <f>M24+180</f>
        <v>180</v>
      </c>
      <c r="O24" s="238"/>
      <c r="P24" s="238"/>
      <c r="Q24" s="238"/>
      <c r="R24" s="238"/>
      <c r="S24" s="238"/>
      <c r="T24" s="240"/>
      <c r="U24" s="216"/>
      <c r="V24" s="217"/>
      <c r="W24" s="218"/>
      <c r="X24" s="236"/>
      <c r="Y24" s="49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319"/>
      <c r="AP24" s="320"/>
    </row>
    <row r="25" spans="1:45" s="222" customFormat="1" ht="25.5">
      <c r="A25" s="208">
        <v>1</v>
      </c>
      <c r="B25" s="232" t="s">
        <v>622</v>
      </c>
      <c r="C25" s="232" t="s">
        <v>639</v>
      </c>
      <c r="D25" s="232" t="s">
        <v>640</v>
      </c>
      <c r="E25" s="231">
        <v>55</v>
      </c>
      <c r="F25" s="210" t="s">
        <v>29</v>
      </c>
      <c r="G25" s="232" t="s">
        <v>69</v>
      </c>
      <c r="H25" s="316">
        <v>45979</v>
      </c>
      <c r="I25" s="316">
        <v>45993</v>
      </c>
      <c r="J25" s="254">
        <v>46009</v>
      </c>
      <c r="K25" s="213">
        <f t="shared" si="0"/>
        <v>46189</v>
      </c>
      <c r="L25" s="214" t="s">
        <v>530</v>
      </c>
      <c r="M25" s="56"/>
      <c r="N25" s="404">
        <f>M25+180</f>
        <v>180</v>
      </c>
      <c r="O25" s="238" t="s">
        <v>824</v>
      </c>
      <c r="P25" s="238" t="s">
        <v>832</v>
      </c>
      <c r="Q25" s="238"/>
      <c r="R25" s="239"/>
      <c r="S25" s="239"/>
      <c r="T25" s="240"/>
      <c r="U25" s="216"/>
      <c r="V25" s="217"/>
      <c r="W25" s="218"/>
      <c r="X25" s="236"/>
      <c r="Y25" s="421" t="s">
        <v>1288</v>
      </c>
      <c r="Z25" s="221">
        <v>1</v>
      </c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 t="s">
        <v>1063</v>
      </c>
      <c r="AN25" s="221" t="s">
        <v>858</v>
      </c>
      <c r="AO25" s="310"/>
      <c r="AP25" s="318" t="s">
        <v>1023</v>
      </c>
      <c r="AQ25" s="323" t="s">
        <v>639</v>
      </c>
      <c r="AR25" s="323" t="s">
        <v>640</v>
      </c>
      <c r="AS25" s="121"/>
    </row>
    <row r="26" spans="1:45" s="268" customFormat="1" ht="25.5">
      <c r="A26" s="208">
        <v>1</v>
      </c>
      <c r="B26" s="257" t="s">
        <v>622</v>
      </c>
      <c r="C26" s="257" t="s">
        <v>641</v>
      </c>
      <c r="D26" s="257" t="s">
        <v>642</v>
      </c>
      <c r="E26" s="255">
        <v>43</v>
      </c>
      <c r="F26" s="256" t="s">
        <v>29</v>
      </c>
      <c r="G26" s="257" t="s">
        <v>68</v>
      </c>
      <c r="H26" s="324">
        <v>45959</v>
      </c>
      <c r="I26" s="324">
        <v>45992</v>
      </c>
      <c r="J26" s="258">
        <v>45992</v>
      </c>
      <c r="K26" s="259">
        <f t="shared" si="0"/>
        <v>46172</v>
      </c>
      <c r="L26" s="259"/>
      <c r="M26" s="56"/>
      <c r="N26" s="404">
        <f>M26+180</f>
        <v>180</v>
      </c>
      <c r="O26" s="260" t="s">
        <v>828</v>
      </c>
      <c r="P26" s="260" t="s">
        <v>833</v>
      </c>
      <c r="Q26" s="260" t="s">
        <v>824</v>
      </c>
      <c r="R26" s="261"/>
      <c r="S26" s="261"/>
      <c r="T26" s="262"/>
      <c r="U26" s="263"/>
      <c r="V26" s="264"/>
      <c r="W26" s="265"/>
      <c r="X26" s="266"/>
      <c r="Y26" s="421" t="s">
        <v>1289</v>
      </c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  <c r="AM26" s="267"/>
      <c r="AN26" s="267" t="s">
        <v>856</v>
      </c>
      <c r="AO26" s="325"/>
      <c r="AP26" s="325" t="s">
        <v>1088</v>
      </c>
      <c r="AQ26" s="323" t="s">
        <v>641</v>
      </c>
      <c r="AR26" s="323" t="s">
        <v>642</v>
      </c>
      <c r="AS26" s="313" t="s">
        <v>1166</v>
      </c>
    </row>
    <row r="27" spans="1:45" s="222" customFormat="1" ht="36.6" customHeight="1">
      <c r="A27" s="208">
        <v>1</v>
      </c>
      <c r="B27" s="232" t="s">
        <v>622</v>
      </c>
      <c r="C27" s="232" t="s">
        <v>643</v>
      </c>
      <c r="D27" s="232" t="s">
        <v>644</v>
      </c>
      <c r="E27" s="231">
        <v>53</v>
      </c>
      <c r="F27" s="210" t="s">
        <v>29</v>
      </c>
      <c r="G27" s="232" t="s">
        <v>68</v>
      </c>
      <c r="H27" s="316">
        <v>45940</v>
      </c>
      <c r="I27" s="316">
        <v>45981</v>
      </c>
      <c r="J27" s="242">
        <v>45981</v>
      </c>
      <c r="K27" s="302">
        <f t="shared" si="0"/>
        <v>46161</v>
      </c>
      <c r="L27" s="214" t="s">
        <v>479</v>
      </c>
      <c r="M27" s="56">
        <v>46163</v>
      </c>
      <c r="N27" s="404">
        <f>M27+180</f>
        <v>46343</v>
      </c>
      <c r="O27" s="238"/>
      <c r="P27" s="238"/>
      <c r="Q27" s="238"/>
      <c r="R27" s="239"/>
      <c r="S27" s="239"/>
      <c r="T27" s="240"/>
      <c r="U27" s="216"/>
      <c r="V27" s="217"/>
      <c r="W27" s="218"/>
      <c r="X27" s="236"/>
      <c r="Y27" s="421" t="s">
        <v>1291</v>
      </c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 t="s">
        <v>859</v>
      </c>
      <c r="AO27" s="310" t="s">
        <v>1107</v>
      </c>
      <c r="AP27" s="318" t="s">
        <v>1024</v>
      </c>
      <c r="AQ27" s="323" t="s">
        <v>643</v>
      </c>
      <c r="AR27" s="323" t="s">
        <v>1167</v>
      </c>
      <c r="AS27" s="313" t="s">
        <v>1168</v>
      </c>
    </row>
    <row r="28" spans="1:45" s="222" customFormat="1" ht="25.5">
      <c r="A28" s="208">
        <v>1</v>
      </c>
      <c r="B28" s="232" t="s">
        <v>622</v>
      </c>
      <c r="C28" s="232" t="s">
        <v>1451</v>
      </c>
      <c r="D28" s="232" t="s">
        <v>1452</v>
      </c>
      <c r="E28" s="231">
        <v>55</v>
      </c>
      <c r="F28" s="210" t="s">
        <v>29</v>
      </c>
      <c r="G28" s="232" t="s">
        <v>68</v>
      </c>
      <c r="H28" s="316">
        <v>46086</v>
      </c>
      <c r="I28" s="316">
        <v>46262</v>
      </c>
      <c r="J28" s="242">
        <v>46262</v>
      </c>
      <c r="K28" s="302">
        <f t="shared" si="0"/>
        <v>46442</v>
      </c>
      <c r="L28" s="213"/>
      <c r="M28" s="56"/>
      <c r="N28" s="404"/>
      <c r="O28" s="238" t="s">
        <v>828</v>
      </c>
      <c r="P28" s="238" t="s">
        <v>830</v>
      </c>
      <c r="Q28" s="238"/>
      <c r="R28" s="239"/>
      <c r="S28" s="239"/>
      <c r="T28" s="240"/>
      <c r="U28" s="216"/>
      <c r="V28" s="217"/>
      <c r="W28" s="218"/>
      <c r="X28" s="236"/>
      <c r="Y28" s="4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 t="s">
        <v>1233</v>
      </c>
      <c r="AO28" s="310"/>
      <c r="AP28" s="318"/>
      <c r="AQ28" s="323"/>
      <c r="AR28" s="323"/>
      <c r="AS28" s="313"/>
    </row>
    <row r="29" spans="1:45" s="222" customFormat="1" ht="18" customHeight="1">
      <c r="A29" s="208">
        <v>1</v>
      </c>
      <c r="B29" s="232" t="s">
        <v>619</v>
      </c>
      <c r="C29" s="232" t="s">
        <v>645</v>
      </c>
      <c r="D29" s="232" t="s">
        <v>646</v>
      </c>
      <c r="E29" s="231">
        <v>27</v>
      </c>
      <c r="F29" s="210" t="s">
        <v>8</v>
      </c>
      <c r="G29" s="232" t="s">
        <v>69</v>
      </c>
      <c r="H29" s="316">
        <v>45827</v>
      </c>
      <c r="I29" s="316">
        <v>46049</v>
      </c>
      <c r="J29" s="242">
        <v>46049</v>
      </c>
      <c r="K29" s="213">
        <f t="shared" si="0"/>
        <v>46229</v>
      </c>
      <c r="L29" s="290" t="s">
        <v>479</v>
      </c>
      <c r="M29" s="56">
        <v>46231</v>
      </c>
      <c r="N29" s="404">
        <f t="shared" ref="N29:N36" si="1">M29+180</f>
        <v>46411</v>
      </c>
      <c r="O29" s="238" t="s">
        <v>839</v>
      </c>
      <c r="P29" s="238"/>
      <c r="Q29" s="238"/>
      <c r="R29" s="238"/>
      <c r="S29" s="238"/>
      <c r="T29" s="240"/>
      <c r="U29" s="216"/>
      <c r="V29" s="217"/>
      <c r="W29" s="218"/>
      <c r="X29" s="236"/>
      <c r="Y29" s="421" t="s">
        <v>1290</v>
      </c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 t="s">
        <v>1159</v>
      </c>
      <c r="AO29" s="310" t="s">
        <v>1108</v>
      </c>
      <c r="AP29" s="318" t="s">
        <v>1498</v>
      </c>
      <c r="AQ29" s="323" t="s">
        <v>645</v>
      </c>
      <c r="AR29" s="323" t="s">
        <v>646</v>
      </c>
      <c r="AS29" s="313" t="s">
        <v>1232</v>
      </c>
    </row>
    <row r="30" spans="1:45" s="222" customFormat="1" ht="18" customHeight="1">
      <c r="A30" s="208">
        <v>1</v>
      </c>
      <c r="B30" s="257" t="s">
        <v>619</v>
      </c>
      <c r="C30" s="257" t="s">
        <v>1078</v>
      </c>
      <c r="D30" s="257" t="s">
        <v>1079</v>
      </c>
      <c r="E30" s="255">
        <v>47</v>
      </c>
      <c r="F30" s="256" t="s">
        <v>29</v>
      </c>
      <c r="G30" s="257" t="s">
        <v>68</v>
      </c>
      <c r="H30" s="324">
        <v>46097</v>
      </c>
      <c r="I30" s="324">
        <v>46120</v>
      </c>
      <c r="J30" s="258">
        <v>46120</v>
      </c>
      <c r="K30" s="259">
        <f t="shared" si="0"/>
        <v>46300</v>
      </c>
      <c r="L30" s="259"/>
      <c r="M30" s="417"/>
      <c r="N30" s="418">
        <f t="shared" si="1"/>
        <v>180</v>
      </c>
      <c r="O30" s="260"/>
      <c r="P30" s="260"/>
      <c r="Q30" s="260"/>
      <c r="R30" s="260"/>
      <c r="S30" s="260">
        <v>1</v>
      </c>
      <c r="T30" s="262"/>
      <c r="U30" s="263"/>
      <c r="V30" s="264"/>
      <c r="W30" s="265"/>
      <c r="X30" s="266"/>
      <c r="Y30" s="447" t="s">
        <v>1292</v>
      </c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  <c r="AM30" s="267"/>
      <c r="AN30" s="267" t="s">
        <v>1400</v>
      </c>
      <c r="AO30" s="325"/>
      <c r="AP30" s="325"/>
    </row>
    <row r="31" spans="1:45" s="268" customFormat="1" ht="25.5">
      <c r="A31" s="208">
        <v>1</v>
      </c>
      <c r="B31" s="257" t="s">
        <v>619</v>
      </c>
      <c r="C31" s="257" t="s">
        <v>647</v>
      </c>
      <c r="D31" s="257" t="s">
        <v>648</v>
      </c>
      <c r="E31" s="255">
        <v>36</v>
      </c>
      <c r="F31" s="256" t="s">
        <v>29</v>
      </c>
      <c r="G31" s="257" t="s">
        <v>69</v>
      </c>
      <c r="H31" s="324">
        <v>45903</v>
      </c>
      <c r="I31" s="324">
        <v>45925</v>
      </c>
      <c r="J31" s="270">
        <v>46050</v>
      </c>
      <c r="K31" s="259">
        <f t="shared" si="0"/>
        <v>46230</v>
      </c>
      <c r="L31" s="259"/>
      <c r="M31" s="56"/>
      <c r="N31" s="404">
        <f t="shared" si="1"/>
        <v>180</v>
      </c>
      <c r="O31" s="260"/>
      <c r="P31" s="260"/>
      <c r="Q31" s="260"/>
      <c r="R31" s="260">
        <v>2</v>
      </c>
      <c r="S31" s="260"/>
      <c r="T31" s="262"/>
      <c r="U31" s="263"/>
      <c r="V31" s="264"/>
      <c r="W31" s="265"/>
      <c r="X31" s="266"/>
      <c r="Y31" s="421" t="s">
        <v>1293</v>
      </c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7"/>
      <c r="AM31" s="267"/>
      <c r="AN31" s="267" t="s">
        <v>860</v>
      </c>
      <c r="AO31" s="325" t="s">
        <v>1109</v>
      </c>
      <c r="AP31" s="325" t="s">
        <v>1025</v>
      </c>
      <c r="AQ31" s="257" t="s">
        <v>647</v>
      </c>
      <c r="AR31" s="257" t="s">
        <v>648</v>
      </c>
      <c r="AS31" s="326" t="s">
        <v>1169</v>
      </c>
    </row>
    <row r="32" spans="1:45" s="268" customFormat="1" ht="18" customHeight="1">
      <c r="A32" s="208">
        <v>1</v>
      </c>
      <c r="B32" s="257" t="s">
        <v>619</v>
      </c>
      <c r="C32" s="257" t="s">
        <v>649</v>
      </c>
      <c r="D32" s="257" t="s">
        <v>650</v>
      </c>
      <c r="E32" s="255">
        <v>49</v>
      </c>
      <c r="F32" s="256" t="s">
        <v>8</v>
      </c>
      <c r="G32" s="257" t="s">
        <v>69</v>
      </c>
      <c r="H32" s="324">
        <v>46045</v>
      </c>
      <c r="I32" s="324">
        <v>46065</v>
      </c>
      <c r="J32" s="258">
        <v>46065</v>
      </c>
      <c r="K32" s="259">
        <f t="shared" si="0"/>
        <v>46245</v>
      </c>
      <c r="L32" s="259"/>
      <c r="M32" s="56"/>
      <c r="N32" s="404">
        <f t="shared" si="1"/>
        <v>180</v>
      </c>
      <c r="O32" s="260"/>
      <c r="P32" s="260"/>
      <c r="Q32" s="260"/>
      <c r="R32" s="260">
        <v>1</v>
      </c>
      <c r="S32" s="260"/>
      <c r="T32" s="272"/>
      <c r="U32" s="263"/>
      <c r="V32" s="264"/>
      <c r="W32" s="265"/>
      <c r="X32" s="266"/>
      <c r="Y32" s="271"/>
      <c r="Z32" s="267"/>
      <c r="AA32" s="267"/>
      <c r="AB32" s="267"/>
      <c r="AC32" s="267"/>
      <c r="AD32" s="267"/>
      <c r="AE32" s="267"/>
      <c r="AF32" s="267"/>
      <c r="AG32" s="267"/>
      <c r="AH32" s="267"/>
      <c r="AI32" s="267"/>
      <c r="AJ32" s="267"/>
      <c r="AK32" s="267"/>
      <c r="AL32" s="267"/>
      <c r="AM32" s="267"/>
      <c r="AN32" s="267" t="s">
        <v>856</v>
      </c>
      <c r="AO32" s="325" t="s">
        <v>1110</v>
      </c>
      <c r="AP32" s="325" t="s">
        <v>1026</v>
      </c>
      <c r="AQ32" s="323" t="s">
        <v>649</v>
      </c>
      <c r="AR32" s="323" t="s">
        <v>650</v>
      </c>
      <c r="AS32" s="313" t="s">
        <v>1170</v>
      </c>
    </row>
    <row r="33" spans="1:45" s="222" customFormat="1" ht="18" customHeight="1">
      <c r="A33" s="208">
        <v>1</v>
      </c>
      <c r="B33" s="276" t="s">
        <v>622</v>
      </c>
      <c r="C33" s="276" t="s">
        <v>1087</v>
      </c>
      <c r="D33" s="276" t="s">
        <v>321</v>
      </c>
      <c r="E33" s="274">
        <v>48</v>
      </c>
      <c r="F33" s="275" t="s">
        <v>14</v>
      </c>
      <c r="G33" s="276" t="s">
        <v>68</v>
      </c>
      <c r="H33" s="327">
        <v>46105</v>
      </c>
      <c r="I33" s="327">
        <v>46127</v>
      </c>
      <c r="J33" s="277">
        <v>46127</v>
      </c>
      <c r="K33" s="278">
        <f t="shared" si="0"/>
        <v>46307</v>
      </c>
      <c r="L33" s="278"/>
      <c r="M33" s="426"/>
      <c r="N33" s="415">
        <f t="shared" si="1"/>
        <v>180</v>
      </c>
      <c r="O33" s="279"/>
      <c r="P33" s="279"/>
      <c r="Q33" s="279"/>
      <c r="R33" s="279"/>
      <c r="S33" s="279"/>
      <c r="T33" s="445"/>
      <c r="U33" s="282"/>
      <c r="V33" s="283"/>
      <c r="W33" s="284"/>
      <c r="X33" s="285"/>
      <c r="Y33" s="446" t="s">
        <v>1405</v>
      </c>
      <c r="Z33" s="287"/>
      <c r="AA33" s="287"/>
      <c r="AB33" s="287"/>
      <c r="AC33" s="287"/>
      <c r="AD33" s="287"/>
      <c r="AE33" s="287"/>
      <c r="AF33" s="287"/>
      <c r="AG33" s="287"/>
      <c r="AH33" s="287"/>
      <c r="AI33" s="287"/>
      <c r="AJ33" s="287"/>
      <c r="AK33" s="287"/>
      <c r="AL33" s="287"/>
      <c r="AM33" s="287"/>
      <c r="AN33" s="287" t="s">
        <v>1418</v>
      </c>
      <c r="AO33" s="328" t="s">
        <v>1111</v>
      </c>
      <c r="AP33" s="328" t="s">
        <v>1031</v>
      </c>
    </row>
    <row r="34" spans="1:45" s="288" customFormat="1" ht="18" customHeight="1">
      <c r="A34" s="208">
        <v>1</v>
      </c>
      <c r="B34" s="276" t="s">
        <v>622</v>
      </c>
      <c r="C34" s="276" t="s">
        <v>651</v>
      </c>
      <c r="D34" s="276" t="s">
        <v>652</v>
      </c>
      <c r="E34" s="274">
        <v>27</v>
      </c>
      <c r="F34" s="275" t="s">
        <v>8</v>
      </c>
      <c r="G34" s="276" t="s">
        <v>68</v>
      </c>
      <c r="H34" s="327">
        <v>46059</v>
      </c>
      <c r="I34" s="327">
        <v>46078</v>
      </c>
      <c r="J34" s="277">
        <v>46078</v>
      </c>
      <c r="K34" s="302">
        <f t="shared" si="0"/>
        <v>46258</v>
      </c>
      <c r="L34" s="214" t="s">
        <v>479</v>
      </c>
      <c r="M34" s="56">
        <v>46260</v>
      </c>
      <c r="N34" s="404">
        <f t="shared" si="1"/>
        <v>46440</v>
      </c>
      <c r="O34" s="279" t="s">
        <v>828</v>
      </c>
      <c r="P34" s="279"/>
      <c r="Q34" s="279"/>
      <c r="R34" s="280">
        <v>2</v>
      </c>
      <c r="S34" s="280">
        <v>1</v>
      </c>
      <c r="T34" s="281"/>
      <c r="U34" s="282"/>
      <c r="V34" s="283"/>
      <c r="W34" s="284"/>
      <c r="X34" s="285"/>
      <c r="Y34" s="421" t="s">
        <v>1294</v>
      </c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J34" s="287"/>
      <c r="AK34" s="287"/>
      <c r="AL34" s="287"/>
      <c r="AM34" s="287"/>
      <c r="AN34" s="287" t="s">
        <v>856</v>
      </c>
      <c r="AO34" s="328" t="s">
        <v>1155</v>
      </c>
      <c r="AP34" s="328" t="s">
        <v>1493</v>
      </c>
      <c r="AQ34" s="323" t="s">
        <v>651</v>
      </c>
      <c r="AR34" s="323" t="s">
        <v>652</v>
      </c>
      <c r="AS34" s="313" t="s">
        <v>1171</v>
      </c>
    </row>
    <row r="35" spans="1:45" s="222" customFormat="1" ht="18" customHeight="1">
      <c r="A35" s="208">
        <v>1</v>
      </c>
      <c r="B35" s="232" t="s">
        <v>619</v>
      </c>
      <c r="C35" s="232" t="s">
        <v>1156</v>
      </c>
      <c r="D35" s="232" t="s">
        <v>1157</v>
      </c>
      <c r="E35" s="231">
        <v>27</v>
      </c>
      <c r="F35" s="210" t="s">
        <v>11</v>
      </c>
      <c r="G35" s="232" t="s">
        <v>69</v>
      </c>
      <c r="H35" s="316">
        <v>46133</v>
      </c>
      <c r="I35" s="316">
        <v>46163</v>
      </c>
      <c r="J35" s="242">
        <v>46227</v>
      </c>
      <c r="K35" s="213">
        <f t="shared" si="0"/>
        <v>46407</v>
      </c>
      <c r="L35" s="213"/>
      <c r="M35" s="407"/>
      <c r="N35" s="404">
        <f t="shared" si="1"/>
        <v>180</v>
      </c>
      <c r="O35" s="238"/>
      <c r="P35" s="238"/>
      <c r="Q35" s="238"/>
      <c r="R35" s="239">
        <v>2</v>
      </c>
      <c r="S35" s="239"/>
      <c r="T35" s="240"/>
      <c r="U35" s="216"/>
      <c r="V35" s="217"/>
      <c r="W35" s="218"/>
      <c r="X35" s="236"/>
      <c r="Y35" s="433" t="s">
        <v>1422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 t="s">
        <v>1158</v>
      </c>
      <c r="AO35" s="320"/>
      <c r="AP35" s="320" t="s">
        <v>1485</v>
      </c>
    </row>
    <row r="36" spans="1:45" s="222" customFormat="1" ht="25.5">
      <c r="A36" s="208">
        <v>1</v>
      </c>
      <c r="B36" s="232" t="s">
        <v>619</v>
      </c>
      <c r="C36" s="232" t="s">
        <v>1259</v>
      </c>
      <c r="D36" s="232" t="s">
        <v>1260</v>
      </c>
      <c r="E36" s="231">
        <v>42</v>
      </c>
      <c r="F36" s="210" t="s">
        <v>8</v>
      </c>
      <c r="G36" s="232" t="s">
        <v>69</v>
      </c>
      <c r="H36" s="316">
        <v>46141</v>
      </c>
      <c r="I36" s="316">
        <v>46169</v>
      </c>
      <c r="J36" s="242">
        <v>46182</v>
      </c>
      <c r="K36" s="213">
        <f t="shared" si="0"/>
        <v>46362</v>
      </c>
      <c r="L36" s="213"/>
      <c r="M36" s="408"/>
      <c r="N36" s="404">
        <f t="shared" si="1"/>
        <v>180</v>
      </c>
      <c r="O36" s="239" t="s">
        <v>1481</v>
      </c>
      <c r="P36" s="238"/>
      <c r="Q36" s="238"/>
      <c r="R36" s="239">
        <v>1</v>
      </c>
      <c r="S36" s="239"/>
      <c r="T36" s="240"/>
      <c r="U36" s="216"/>
      <c r="V36" s="217"/>
      <c r="W36" s="218"/>
      <c r="X36" s="236"/>
      <c r="Y36" s="433" t="s">
        <v>1423</v>
      </c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320"/>
      <c r="AP36" s="320" t="s">
        <v>1488</v>
      </c>
      <c r="AQ36" s="232"/>
      <c r="AR36" s="232"/>
      <c r="AS36" s="331" t="s">
        <v>1261</v>
      </c>
    </row>
    <row r="37" spans="1:45" s="222" customFormat="1" ht="12.75">
      <c r="A37" s="208">
        <v>1</v>
      </c>
      <c r="B37" s="232" t="s">
        <v>622</v>
      </c>
      <c r="C37" s="232" t="s">
        <v>1410</v>
      </c>
      <c r="D37" s="232" t="s">
        <v>375</v>
      </c>
      <c r="E37" s="231">
        <v>46</v>
      </c>
      <c r="F37" s="210"/>
      <c r="G37" s="232" t="s">
        <v>68</v>
      </c>
      <c r="H37" s="316">
        <v>46185</v>
      </c>
      <c r="I37" s="316">
        <v>46204</v>
      </c>
      <c r="J37" s="242">
        <v>46204</v>
      </c>
      <c r="K37" s="213">
        <f t="shared" si="0"/>
        <v>46384</v>
      </c>
      <c r="L37" s="213"/>
      <c r="M37" s="408"/>
      <c r="N37" s="404"/>
      <c r="O37" s="239" t="s">
        <v>824</v>
      </c>
      <c r="P37" s="238"/>
      <c r="Q37" s="238"/>
      <c r="R37" s="239"/>
      <c r="S37" s="239"/>
      <c r="T37" s="240"/>
      <c r="U37" s="216"/>
      <c r="V37" s="217"/>
      <c r="W37" s="218"/>
      <c r="X37" s="236"/>
      <c r="Y37" s="24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320"/>
      <c r="AP37" s="320" t="s">
        <v>1487</v>
      </c>
      <c r="AQ37" s="232"/>
      <c r="AR37" s="232"/>
      <c r="AS37" s="331"/>
    </row>
    <row r="38" spans="1:45" s="222" customFormat="1" ht="12.75">
      <c r="A38" s="208">
        <v>1</v>
      </c>
      <c r="B38" s="232" t="s">
        <v>622</v>
      </c>
      <c r="C38" s="232" t="s">
        <v>1462</v>
      </c>
      <c r="D38" s="232" t="s">
        <v>304</v>
      </c>
      <c r="E38" s="231">
        <v>44</v>
      </c>
      <c r="F38" s="210" t="s">
        <v>11</v>
      </c>
      <c r="G38" s="232" t="s">
        <v>68</v>
      </c>
      <c r="H38" s="316">
        <v>46230</v>
      </c>
      <c r="I38" s="316">
        <v>46266</v>
      </c>
      <c r="J38" s="242">
        <v>46266</v>
      </c>
      <c r="K38" s="213">
        <f t="shared" si="0"/>
        <v>46446</v>
      </c>
      <c r="L38" s="213"/>
      <c r="M38" s="408"/>
      <c r="N38" s="404"/>
      <c r="O38" s="239"/>
      <c r="P38" s="238"/>
      <c r="Q38" s="238"/>
      <c r="R38" s="239">
        <v>1</v>
      </c>
      <c r="S38" s="239"/>
      <c r="T38" s="240"/>
      <c r="U38" s="216"/>
      <c r="V38" s="217"/>
      <c r="W38" s="218"/>
      <c r="X38" s="236"/>
      <c r="Y38" s="24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320"/>
      <c r="AP38" s="320" t="s">
        <v>1486</v>
      </c>
      <c r="AQ38" s="232"/>
      <c r="AR38" s="232"/>
      <c r="AS38" s="331"/>
    </row>
    <row r="39" spans="1:45" s="222" customFormat="1" ht="12.75">
      <c r="A39" s="208"/>
      <c r="B39" s="232" t="s">
        <v>619</v>
      </c>
      <c r="C39" s="232" t="s">
        <v>1483</v>
      </c>
      <c r="D39" s="232" t="s">
        <v>1484</v>
      </c>
      <c r="E39" s="231">
        <v>32</v>
      </c>
      <c r="F39" s="210"/>
      <c r="G39" s="232" t="s">
        <v>68</v>
      </c>
      <c r="H39" s="316"/>
      <c r="I39" s="316"/>
      <c r="J39" s="242"/>
      <c r="K39" s="213"/>
      <c r="L39" s="213"/>
      <c r="M39" s="408"/>
      <c r="N39" s="404"/>
      <c r="O39" s="239"/>
      <c r="P39" s="238"/>
      <c r="Q39" s="238"/>
      <c r="R39" s="239"/>
      <c r="S39" s="239"/>
      <c r="T39" s="240"/>
      <c r="U39" s="216"/>
      <c r="V39" s="217"/>
      <c r="W39" s="218"/>
      <c r="X39" s="236"/>
      <c r="Y39" s="24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320"/>
      <c r="AP39" s="320"/>
      <c r="AQ39" s="232"/>
      <c r="AR39" s="232"/>
      <c r="AS39" s="331"/>
    </row>
    <row r="40" spans="1:45" s="222" customFormat="1" ht="12.75">
      <c r="A40" s="208"/>
      <c r="B40" s="232" t="s">
        <v>619</v>
      </c>
      <c r="C40" s="232" t="s">
        <v>1449</v>
      </c>
      <c r="D40" s="232" t="s">
        <v>1450</v>
      </c>
      <c r="E40" s="231">
        <v>32</v>
      </c>
      <c r="F40" s="210"/>
      <c r="G40" s="232" t="s">
        <v>68</v>
      </c>
      <c r="H40" s="316"/>
      <c r="I40" s="316"/>
      <c r="J40" s="242"/>
      <c r="K40" s="213"/>
      <c r="L40" s="213"/>
      <c r="M40" s="408"/>
      <c r="N40" s="404"/>
      <c r="O40" s="239"/>
      <c r="P40" s="238"/>
      <c r="Q40" s="238"/>
      <c r="R40" s="239"/>
      <c r="S40" s="239"/>
      <c r="T40" s="240"/>
      <c r="U40" s="216"/>
      <c r="V40" s="217"/>
      <c r="W40" s="218"/>
      <c r="X40" s="236"/>
      <c r="Y40" s="24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320"/>
      <c r="AP40" s="320"/>
      <c r="AQ40" s="232"/>
      <c r="AR40" s="232"/>
      <c r="AS40" s="331"/>
    </row>
    <row r="41" spans="1:45" s="288" customFormat="1" ht="12.75">
      <c r="A41" s="208">
        <v>1</v>
      </c>
      <c r="B41" s="276" t="s">
        <v>622</v>
      </c>
      <c r="C41" s="276" t="s">
        <v>1065</v>
      </c>
      <c r="D41" s="276" t="s">
        <v>1066</v>
      </c>
      <c r="E41" s="274">
        <v>28</v>
      </c>
      <c r="F41" s="275"/>
      <c r="G41" s="276" t="s">
        <v>69</v>
      </c>
      <c r="H41" s="327">
        <v>46086</v>
      </c>
      <c r="I41" s="327">
        <v>46112</v>
      </c>
      <c r="J41" s="277">
        <v>46112</v>
      </c>
      <c r="K41" s="278">
        <f>+J41+180</f>
        <v>46292</v>
      </c>
      <c r="L41" s="213"/>
      <c r="M41" s="54"/>
      <c r="N41" s="404">
        <f>M41+180</f>
        <v>180</v>
      </c>
      <c r="O41" s="279"/>
      <c r="P41" s="279"/>
      <c r="Q41" s="279"/>
      <c r="R41" s="280"/>
      <c r="S41" s="280"/>
      <c r="T41" s="281"/>
      <c r="U41" s="282"/>
      <c r="V41" s="283"/>
      <c r="W41" s="284"/>
      <c r="X41" s="285"/>
      <c r="Y41" s="421" t="s">
        <v>1301</v>
      </c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328" t="s">
        <v>1114</v>
      </c>
      <c r="AP41" s="328" t="s">
        <v>1493</v>
      </c>
      <c r="AQ41" s="232"/>
      <c r="AR41" s="232"/>
      <c r="AS41" s="197"/>
    </row>
    <row r="42" spans="1:45" s="222" customFormat="1" ht="18" customHeight="1">
      <c r="A42" s="208">
        <v>1</v>
      </c>
      <c r="B42" s="232" t="s">
        <v>622</v>
      </c>
      <c r="C42" s="232" t="s">
        <v>671</v>
      </c>
      <c r="D42" s="232" t="s">
        <v>634</v>
      </c>
      <c r="E42" s="231">
        <v>25</v>
      </c>
      <c r="F42" s="210"/>
      <c r="G42" s="232" t="s">
        <v>69</v>
      </c>
      <c r="H42" s="316">
        <v>45903</v>
      </c>
      <c r="I42" s="316">
        <v>45931</v>
      </c>
      <c r="J42" s="242">
        <v>45931</v>
      </c>
      <c r="K42" s="213">
        <f>+J42+180</f>
        <v>46111</v>
      </c>
      <c r="L42" s="278" t="s">
        <v>530</v>
      </c>
      <c r="M42" s="56">
        <v>46114</v>
      </c>
      <c r="N42" s="404">
        <f>M42+180</f>
        <v>46294</v>
      </c>
      <c r="O42" s="238" t="s">
        <v>835</v>
      </c>
      <c r="P42" s="238" t="s">
        <v>836</v>
      </c>
      <c r="Q42" s="238"/>
      <c r="R42" s="239"/>
      <c r="S42" s="239"/>
      <c r="T42" s="240"/>
      <c r="U42" s="216"/>
      <c r="V42" s="217"/>
      <c r="W42" s="218"/>
      <c r="X42" s="236"/>
      <c r="Y42" s="421" t="s">
        <v>1305</v>
      </c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 t="s">
        <v>867</v>
      </c>
      <c r="AO42" s="320" t="s">
        <v>1002</v>
      </c>
      <c r="AP42" s="320" t="s">
        <v>1029</v>
      </c>
      <c r="AQ42" s="311" t="s">
        <v>671</v>
      </c>
      <c r="AR42" s="312" t="s">
        <v>634</v>
      </c>
      <c r="AS42" s="313" t="s">
        <v>1177</v>
      </c>
    </row>
    <row r="43" spans="1:45" s="268" customFormat="1" ht="51">
      <c r="A43" s="208">
        <v>1</v>
      </c>
      <c r="B43" s="257" t="s">
        <v>622</v>
      </c>
      <c r="C43" s="257" t="s">
        <v>672</v>
      </c>
      <c r="D43" s="257" t="s">
        <v>673</v>
      </c>
      <c r="E43" s="255">
        <v>51</v>
      </c>
      <c r="F43" s="256" t="s">
        <v>11</v>
      </c>
      <c r="G43" s="257" t="s">
        <v>68</v>
      </c>
      <c r="H43" s="324">
        <v>45846</v>
      </c>
      <c r="I43" s="324">
        <v>45910</v>
      </c>
      <c r="J43" s="258">
        <v>45910</v>
      </c>
      <c r="K43" s="259">
        <f>+J43+180</f>
        <v>46090</v>
      </c>
      <c r="L43" s="259"/>
      <c r="M43" s="56"/>
      <c r="N43" s="404">
        <f>M43+180</f>
        <v>180</v>
      </c>
      <c r="O43" s="260" t="s">
        <v>828</v>
      </c>
      <c r="P43" s="260"/>
      <c r="Q43" s="260"/>
      <c r="R43" s="261"/>
      <c r="S43" s="261"/>
      <c r="T43" s="262"/>
      <c r="U43" s="263"/>
      <c r="V43" s="264"/>
      <c r="W43" s="265"/>
      <c r="X43" s="266"/>
      <c r="Y43" s="421" t="s">
        <v>1306</v>
      </c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7"/>
      <c r="AL43" s="267"/>
      <c r="AM43" s="267"/>
      <c r="AN43" s="267" t="s">
        <v>868</v>
      </c>
      <c r="AO43" s="325" t="s">
        <v>1116</v>
      </c>
      <c r="AP43" s="325"/>
      <c r="AQ43" s="312" t="s">
        <v>672</v>
      </c>
      <c r="AR43" s="312" t="s">
        <v>673</v>
      </c>
      <c r="AS43" s="313"/>
    </row>
    <row r="44" spans="1:45" s="222" customFormat="1" ht="12.75">
      <c r="A44" s="208">
        <v>1</v>
      </c>
      <c r="B44" s="232" t="s">
        <v>619</v>
      </c>
      <c r="C44" s="232" t="s">
        <v>1434</v>
      </c>
      <c r="D44" s="232" t="s">
        <v>1435</v>
      </c>
      <c r="E44" s="231"/>
      <c r="F44" s="210"/>
      <c r="G44" s="232"/>
      <c r="H44" s="316"/>
      <c r="I44" s="316"/>
      <c r="J44" s="242"/>
      <c r="K44" s="213"/>
      <c r="L44" s="213"/>
      <c r="M44" s="56"/>
      <c r="N44" s="404"/>
      <c r="O44" s="238"/>
      <c r="P44" s="238"/>
      <c r="Q44" s="238"/>
      <c r="R44" s="239"/>
      <c r="S44" s="239"/>
      <c r="T44" s="216"/>
      <c r="U44" s="216"/>
      <c r="V44" s="217"/>
      <c r="W44" s="218"/>
      <c r="X44" s="236"/>
      <c r="Y44" s="478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320"/>
      <c r="AP44" s="320"/>
      <c r="AQ44" s="232"/>
      <c r="AR44" s="232"/>
      <c r="AS44" s="331"/>
    </row>
    <row r="45" spans="1:45" s="268" customFormat="1" ht="12.75">
      <c r="A45" s="208">
        <v>1</v>
      </c>
      <c r="B45" s="257" t="s">
        <v>622</v>
      </c>
      <c r="C45" s="257" t="s">
        <v>681</v>
      </c>
      <c r="D45" s="257" t="s">
        <v>682</v>
      </c>
      <c r="E45" s="255"/>
      <c r="F45" s="256"/>
      <c r="G45" s="257" t="s">
        <v>68</v>
      </c>
      <c r="H45" s="324">
        <v>45995</v>
      </c>
      <c r="I45" s="324">
        <v>46014</v>
      </c>
      <c r="J45" s="258"/>
      <c r="K45" s="259">
        <f>+J45+180</f>
        <v>180</v>
      </c>
      <c r="L45" s="259"/>
      <c r="M45" s="56"/>
      <c r="N45" s="404">
        <f>M45+180</f>
        <v>180</v>
      </c>
      <c r="O45" s="260"/>
      <c r="P45" s="261"/>
      <c r="Q45" s="261"/>
      <c r="R45" s="261"/>
      <c r="S45" s="261"/>
      <c r="T45" s="272"/>
      <c r="U45" s="263"/>
      <c r="V45" s="264"/>
      <c r="W45" s="265"/>
      <c r="X45" s="266"/>
      <c r="Y45" s="271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 t="s">
        <v>871</v>
      </c>
      <c r="AO45" s="325" t="s">
        <v>998</v>
      </c>
      <c r="AP45" s="325"/>
      <c r="AQ45" s="232"/>
      <c r="AR45" s="232"/>
      <c r="AS45" s="331"/>
    </row>
    <row r="46" spans="1:45" s="222" customFormat="1" ht="18" customHeight="1">
      <c r="A46" s="208">
        <v>1</v>
      </c>
      <c r="B46" s="232" t="s">
        <v>619</v>
      </c>
      <c r="C46" s="232" t="s">
        <v>683</v>
      </c>
      <c r="D46" s="232" t="s">
        <v>684</v>
      </c>
      <c r="E46" s="231">
        <v>31</v>
      </c>
      <c r="F46" s="210" t="s">
        <v>11</v>
      </c>
      <c r="G46" s="232" t="s">
        <v>69</v>
      </c>
      <c r="H46" s="316">
        <v>45905</v>
      </c>
      <c r="I46" s="316">
        <v>45931</v>
      </c>
      <c r="J46" s="242">
        <v>45931</v>
      </c>
      <c r="K46" s="213">
        <f>+J46+180</f>
        <v>46111</v>
      </c>
      <c r="L46" s="214" t="s">
        <v>479</v>
      </c>
      <c r="M46" s="56">
        <v>46114</v>
      </c>
      <c r="N46" s="404">
        <f>M46+180</f>
        <v>46294</v>
      </c>
      <c r="O46" s="238" t="s">
        <v>828</v>
      </c>
      <c r="P46" s="238" t="s">
        <v>1083</v>
      </c>
      <c r="Q46" s="238"/>
      <c r="R46" s="239">
        <v>2</v>
      </c>
      <c r="S46" s="239"/>
      <c r="T46" s="240"/>
      <c r="U46" s="216"/>
      <c r="V46" s="217"/>
      <c r="W46" s="218"/>
      <c r="X46" s="236"/>
      <c r="Y46" s="422" t="s">
        <v>1311</v>
      </c>
      <c r="Z46" s="221"/>
      <c r="AA46" s="221"/>
      <c r="AB46" s="221">
        <v>1</v>
      </c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320" t="s">
        <v>1004</v>
      </c>
      <c r="AP46" s="320" t="s">
        <v>1032</v>
      </c>
      <c r="AQ46" s="428" t="s">
        <v>683</v>
      </c>
      <c r="AR46" s="232" t="s">
        <v>684</v>
      </c>
      <c r="AS46" s="331" t="s">
        <v>1179</v>
      </c>
    </row>
    <row r="47" spans="1:45" s="222" customFormat="1" ht="18" customHeight="1">
      <c r="A47" s="208">
        <v>1</v>
      </c>
      <c r="B47" s="232" t="s">
        <v>622</v>
      </c>
      <c r="C47" s="232" t="s">
        <v>1445</v>
      </c>
      <c r="D47" s="232" t="s">
        <v>1446</v>
      </c>
      <c r="E47" s="231"/>
      <c r="F47" s="210"/>
      <c r="G47" s="232" t="s">
        <v>69</v>
      </c>
      <c r="H47" s="316"/>
      <c r="I47" s="316"/>
      <c r="J47" s="242"/>
      <c r="K47" s="213"/>
      <c r="L47" s="213"/>
      <c r="M47" s="56"/>
      <c r="N47" s="404"/>
      <c r="O47" s="238"/>
      <c r="P47" s="238"/>
      <c r="Q47" s="238"/>
      <c r="R47" s="239"/>
      <c r="S47" s="239"/>
      <c r="T47" s="240"/>
      <c r="U47" s="216"/>
      <c r="V47" s="217"/>
      <c r="W47" s="218"/>
      <c r="X47" s="236"/>
      <c r="Y47" s="422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320"/>
      <c r="AP47" s="320" t="s">
        <v>1501</v>
      </c>
      <c r="AQ47" s="428"/>
      <c r="AR47" s="232"/>
      <c r="AS47" s="331"/>
    </row>
    <row r="48" spans="1:45" s="222" customFormat="1" ht="18" customHeight="1">
      <c r="A48" s="208">
        <v>1</v>
      </c>
      <c r="B48" s="232" t="s">
        <v>619</v>
      </c>
      <c r="C48" s="232" t="s">
        <v>689</v>
      </c>
      <c r="D48" s="232" t="s">
        <v>690</v>
      </c>
      <c r="E48" s="231">
        <v>30</v>
      </c>
      <c r="F48" s="210" t="s">
        <v>8</v>
      </c>
      <c r="G48" s="232" t="s">
        <v>69</v>
      </c>
      <c r="H48" s="316">
        <v>45891</v>
      </c>
      <c r="I48" s="316">
        <v>45923</v>
      </c>
      <c r="J48" s="242">
        <v>45923</v>
      </c>
      <c r="K48" s="213">
        <f>+J48+180</f>
        <v>46103</v>
      </c>
      <c r="L48" s="214" t="s">
        <v>479</v>
      </c>
      <c r="M48" s="56">
        <v>46105</v>
      </c>
      <c r="N48" s="404">
        <f>M48+180</f>
        <v>46285</v>
      </c>
      <c r="O48" s="238" t="s">
        <v>828</v>
      </c>
      <c r="P48" s="238"/>
      <c r="Q48" s="238"/>
      <c r="R48" s="239">
        <v>2</v>
      </c>
      <c r="S48" s="239"/>
      <c r="T48" s="240"/>
      <c r="U48" s="216"/>
      <c r="V48" s="217"/>
      <c r="W48" s="218"/>
      <c r="X48" s="236"/>
      <c r="Y48" s="421" t="s">
        <v>1314</v>
      </c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 t="s">
        <v>1502</v>
      </c>
      <c r="AO48" s="310"/>
      <c r="AP48" s="321" t="s">
        <v>1034</v>
      </c>
      <c r="AQ48" s="312" t="s">
        <v>689</v>
      </c>
      <c r="AR48" s="312" t="s">
        <v>690</v>
      </c>
      <c r="AS48" s="313" t="s">
        <v>1182</v>
      </c>
    </row>
    <row r="49" spans="1:45" s="222" customFormat="1" ht="25.5">
      <c r="A49" s="208">
        <v>1</v>
      </c>
      <c r="B49" s="232" t="s">
        <v>622</v>
      </c>
      <c r="C49" s="232" t="s">
        <v>691</v>
      </c>
      <c r="D49" s="232" t="s">
        <v>375</v>
      </c>
      <c r="E49" s="231">
        <v>50</v>
      </c>
      <c r="F49" s="210" t="s">
        <v>8</v>
      </c>
      <c r="G49" s="232" t="s">
        <v>69</v>
      </c>
      <c r="H49" s="316">
        <v>46059</v>
      </c>
      <c r="I49" s="316">
        <v>46078</v>
      </c>
      <c r="J49" s="242">
        <v>46078</v>
      </c>
      <c r="K49" s="302">
        <f>+J49+180</f>
        <v>46258</v>
      </c>
      <c r="L49" s="214" t="s">
        <v>479</v>
      </c>
      <c r="M49" s="56">
        <v>46260</v>
      </c>
      <c r="N49" s="404">
        <f>M49+180</f>
        <v>46440</v>
      </c>
      <c r="O49" s="238" t="s">
        <v>828</v>
      </c>
      <c r="P49" s="239"/>
      <c r="Q49" s="239"/>
      <c r="R49" s="239"/>
      <c r="S49" s="239"/>
      <c r="T49" s="240"/>
      <c r="U49" s="216"/>
      <c r="V49" s="217"/>
      <c r="W49" s="218"/>
      <c r="X49" s="236"/>
      <c r="Y49" s="421" t="s">
        <v>1316</v>
      </c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 t="s">
        <v>873</v>
      </c>
      <c r="AO49" s="310" t="s">
        <v>1140</v>
      </c>
      <c r="AP49" s="321" t="s">
        <v>1117</v>
      </c>
      <c r="AQ49" s="312" t="s">
        <v>691</v>
      </c>
      <c r="AR49" s="312" t="s">
        <v>375</v>
      </c>
      <c r="AS49" s="313" t="s">
        <v>1183</v>
      </c>
    </row>
    <row r="50" spans="1:45" s="222" customFormat="1" ht="25.5">
      <c r="A50" s="208">
        <v>1</v>
      </c>
      <c r="B50" s="232" t="s">
        <v>622</v>
      </c>
      <c r="C50" s="296" t="s">
        <v>692</v>
      </c>
      <c r="D50" s="232" t="s">
        <v>693</v>
      </c>
      <c r="E50" s="231">
        <v>54</v>
      </c>
      <c r="F50" s="210" t="s">
        <v>29</v>
      </c>
      <c r="G50" s="232" t="s">
        <v>69</v>
      </c>
      <c r="H50" s="316">
        <v>45870</v>
      </c>
      <c r="I50" s="316">
        <v>45908</v>
      </c>
      <c r="J50" s="242">
        <v>45908</v>
      </c>
      <c r="K50" s="213">
        <f>+J50+180</f>
        <v>46088</v>
      </c>
      <c r="L50" s="290" t="s">
        <v>479</v>
      </c>
      <c r="M50" s="409">
        <v>46090</v>
      </c>
      <c r="N50" s="404">
        <f>M50+180</f>
        <v>46270</v>
      </c>
      <c r="O50" s="239"/>
      <c r="P50" s="239"/>
      <c r="Q50" s="239"/>
      <c r="R50" s="239"/>
      <c r="S50" s="239"/>
      <c r="T50" s="240"/>
      <c r="U50" s="216"/>
      <c r="V50" s="217"/>
      <c r="W50" s="218"/>
      <c r="X50" s="236"/>
      <c r="Y50" s="421" t="s">
        <v>1317</v>
      </c>
      <c r="Z50" s="221"/>
      <c r="AA50" s="221"/>
      <c r="AB50" s="221"/>
      <c r="AC50" s="221"/>
      <c r="AD50" s="221"/>
      <c r="AE50" s="221"/>
      <c r="AF50" s="221"/>
      <c r="AG50" s="221"/>
      <c r="AH50" s="221">
        <v>1</v>
      </c>
      <c r="AI50" s="221"/>
      <c r="AJ50" s="221"/>
      <c r="AK50" s="221"/>
      <c r="AL50" s="221"/>
      <c r="AM50" s="221"/>
      <c r="AN50" s="221" t="s">
        <v>874</v>
      </c>
      <c r="AO50" s="310" t="s">
        <v>1118</v>
      </c>
      <c r="AP50" s="310" t="s">
        <v>1119</v>
      </c>
      <c r="AQ50" s="312" t="s">
        <v>692</v>
      </c>
      <c r="AR50" s="312" t="s">
        <v>693</v>
      </c>
      <c r="AS50" s="313"/>
    </row>
    <row r="51" spans="1:45" s="222" customFormat="1" ht="12.75">
      <c r="A51" s="208">
        <v>1</v>
      </c>
      <c r="B51" s="232" t="s">
        <v>622</v>
      </c>
      <c r="C51" s="296" t="s">
        <v>1475</v>
      </c>
      <c r="D51" s="232" t="s">
        <v>1476</v>
      </c>
      <c r="E51" s="231"/>
      <c r="F51" s="210"/>
      <c r="G51" s="232"/>
      <c r="H51" s="316">
        <v>46199</v>
      </c>
      <c r="I51" s="316">
        <v>46226</v>
      </c>
      <c r="J51" s="242">
        <v>46226</v>
      </c>
      <c r="K51" s="213">
        <f>+J51+180</f>
        <v>46406</v>
      </c>
      <c r="L51" s="302"/>
      <c r="M51" s="409"/>
      <c r="N51" s="404"/>
      <c r="O51" s="239"/>
      <c r="P51" s="239"/>
      <c r="Q51" s="239"/>
      <c r="R51" s="239"/>
      <c r="S51" s="239"/>
      <c r="T51" s="240"/>
      <c r="U51" s="216"/>
      <c r="V51" s="217"/>
      <c r="W51" s="218"/>
      <c r="X51" s="236"/>
      <c r="Y51" s="490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310"/>
      <c r="AP51" s="310" t="s">
        <v>1489</v>
      </c>
      <c r="AQ51" s="312"/>
      <c r="AR51" s="312"/>
      <c r="AS51" s="313"/>
    </row>
    <row r="52" spans="1:45" s="222" customFormat="1" ht="12.75">
      <c r="A52" s="208">
        <v>1</v>
      </c>
      <c r="B52" s="232" t="s">
        <v>622</v>
      </c>
      <c r="C52" s="232" t="s">
        <v>1265</v>
      </c>
      <c r="D52" s="232" t="s">
        <v>1090</v>
      </c>
      <c r="E52" s="231">
        <v>47</v>
      </c>
      <c r="F52" s="210" t="s">
        <v>8</v>
      </c>
      <c r="G52" s="232" t="s">
        <v>68</v>
      </c>
      <c r="H52" s="316">
        <v>46147</v>
      </c>
      <c r="I52" s="316">
        <v>46185</v>
      </c>
      <c r="J52" s="242">
        <v>46185</v>
      </c>
      <c r="K52" s="213">
        <f>+J52+180</f>
        <v>46365</v>
      </c>
      <c r="L52" s="302"/>
      <c r="M52" s="54"/>
      <c r="N52" s="404">
        <f>M52+180</f>
        <v>180</v>
      </c>
      <c r="O52" s="238" t="s">
        <v>828</v>
      </c>
      <c r="P52" s="239"/>
      <c r="Q52" s="239"/>
      <c r="R52" s="239"/>
      <c r="S52" s="239"/>
      <c r="T52" s="240"/>
      <c r="U52" s="216"/>
      <c r="V52" s="217"/>
      <c r="W52" s="218"/>
      <c r="X52" s="236"/>
      <c r="Y52" s="49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 t="s">
        <v>1233</v>
      </c>
      <c r="AO52" s="310"/>
      <c r="AP52" s="310"/>
      <c r="AQ52" s="312"/>
      <c r="AR52" s="312"/>
      <c r="AS52" s="313"/>
    </row>
    <row r="53" spans="1:45" s="222" customFormat="1" ht="12.75">
      <c r="A53" s="208"/>
      <c r="B53" s="232" t="s">
        <v>622</v>
      </c>
      <c r="C53" s="232" t="s">
        <v>1444</v>
      </c>
      <c r="D53" s="232" t="s">
        <v>360</v>
      </c>
      <c r="E53" s="231">
        <v>26</v>
      </c>
      <c r="F53" s="210"/>
      <c r="G53" s="232"/>
      <c r="H53" s="316">
        <v>46223</v>
      </c>
      <c r="I53" s="316">
        <v>46248</v>
      </c>
      <c r="J53" s="242"/>
      <c r="K53" s="213"/>
      <c r="L53" s="302"/>
      <c r="M53" s="54"/>
      <c r="N53" s="404"/>
      <c r="O53" s="238"/>
      <c r="P53" s="239"/>
      <c r="Q53" s="239"/>
      <c r="R53" s="239"/>
      <c r="S53" s="239"/>
      <c r="T53" s="240"/>
      <c r="U53" s="216"/>
      <c r="V53" s="217"/>
      <c r="W53" s="218"/>
      <c r="X53" s="236"/>
      <c r="Y53" s="24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310"/>
      <c r="AP53" s="310"/>
      <c r="AQ53" s="312"/>
      <c r="AR53" s="312"/>
      <c r="AS53" s="313"/>
    </row>
    <row r="54" spans="1:45" s="222" customFormat="1" ht="12.75">
      <c r="A54" s="208"/>
      <c r="B54" s="232" t="s">
        <v>622</v>
      </c>
      <c r="C54" s="232" t="s">
        <v>1458</v>
      </c>
      <c r="D54" s="232" t="s">
        <v>1459</v>
      </c>
      <c r="E54" s="231">
        <v>42</v>
      </c>
      <c r="F54" s="210"/>
      <c r="G54" s="232" t="s">
        <v>69</v>
      </c>
      <c r="H54" s="316"/>
      <c r="I54" s="316"/>
      <c r="J54" s="242"/>
      <c r="K54" s="213"/>
      <c r="L54" s="302"/>
      <c r="M54" s="54"/>
      <c r="N54" s="404"/>
      <c r="O54" s="238"/>
      <c r="P54" s="239"/>
      <c r="Q54" s="239"/>
      <c r="R54" s="239"/>
      <c r="S54" s="239"/>
      <c r="T54" s="240"/>
      <c r="U54" s="216"/>
      <c r="V54" s="217"/>
      <c r="W54" s="218"/>
      <c r="X54" s="236"/>
      <c r="Y54" s="24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310"/>
      <c r="AP54" s="310"/>
      <c r="AQ54" s="312"/>
      <c r="AR54" s="312"/>
      <c r="AS54" s="313"/>
    </row>
    <row r="55" spans="1:45" s="268" customFormat="1" ht="18" customHeight="1">
      <c r="A55" s="208">
        <v>1</v>
      </c>
      <c r="B55" s="257" t="s">
        <v>619</v>
      </c>
      <c r="C55" s="257" t="s">
        <v>697</v>
      </c>
      <c r="D55" s="257" t="s">
        <v>698</v>
      </c>
      <c r="E55" s="255">
        <v>42</v>
      </c>
      <c r="F55" s="256"/>
      <c r="G55" s="257" t="s">
        <v>68</v>
      </c>
      <c r="H55" s="324">
        <v>45887</v>
      </c>
      <c r="I55" s="324">
        <v>45916</v>
      </c>
      <c r="J55" s="258">
        <v>45953</v>
      </c>
      <c r="K55" s="259">
        <f t="shared" ref="K55:K62" si="2">+J55+180</f>
        <v>46133</v>
      </c>
      <c r="L55" s="259"/>
      <c r="M55" s="56"/>
      <c r="N55" s="404">
        <f t="shared" ref="N55:N60" si="3">M55+180</f>
        <v>180</v>
      </c>
      <c r="O55" s="260" t="s">
        <v>830</v>
      </c>
      <c r="P55" s="261"/>
      <c r="Q55" s="261"/>
      <c r="R55" s="261"/>
      <c r="S55" s="261"/>
      <c r="T55" s="262"/>
      <c r="U55" s="263"/>
      <c r="V55" s="264"/>
      <c r="W55" s="265"/>
      <c r="X55" s="266"/>
      <c r="Y55" s="259"/>
      <c r="Z55" s="267"/>
      <c r="AA55" s="267"/>
      <c r="AB55" s="267"/>
      <c r="AC55" s="267"/>
      <c r="AD55" s="267"/>
      <c r="AE55" s="267"/>
      <c r="AF55" s="267"/>
      <c r="AG55" s="267"/>
      <c r="AH55" s="267"/>
      <c r="AI55" s="267"/>
      <c r="AJ55" s="267"/>
      <c r="AK55" s="267"/>
      <c r="AL55" s="267"/>
      <c r="AM55" s="267"/>
      <c r="AN55" s="267" t="s">
        <v>876</v>
      </c>
      <c r="AO55" s="310" t="s">
        <v>1007</v>
      </c>
      <c r="AP55" s="325"/>
      <c r="AQ55" s="312" t="s">
        <v>697</v>
      </c>
      <c r="AR55" s="312" t="s">
        <v>698</v>
      </c>
      <c r="AS55" s="121"/>
    </row>
    <row r="56" spans="1:45" s="222" customFormat="1" ht="18" customHeight="1">
      <c r="A56" s="208">
        <v>1</v>
      </c>
      <c r="B56" s="232" t="s">
        <v>622</v>
      </c>
      <c r="C56" s="232" t="s">
        <v>703</v>
      </c>
      <c r="D56" s="232" t="s">
        <v>704</v>
      </c>
      <c r="E56" s="231">
        <v>35</v>
      </c>
      <c r="F56" s="210" t="s">
        <v>29</v>
      </c>
      <c r="G56" s="232" t="s">
        <v>68</v>
      </c>
      <c r="H56" s="316">
        <v>45875</v>
      </c>
      <c r="I56" s="316">
        <v>45910</v>
      </c>
      <c r="J56" s="242">
        <v>45910</v>
      </c>
      <c r="K56" s="213">
        <f t="shared" si="2"/>
        <v>46090</v>
      </c>
      <c r="L56" s="214" t="s">
        <v>479</v>
      </c>
      <c r="M56" s="56">
        <v>46092</v>
      </c>
      <c r="N56" s="404">
        <f t="shared" si="3"/>
        <v>46272</v>
      </c>
      <c r="O56" s="238"/>
      <c r="P56" s="238"/>
      <c r="Q56" s="238"/>
      <c r="R56" s="238"/>
      <c r="S56" s="238"/>
      <c r="T56" s="240"/>
      <c r="U56" s="216"/>
      <c r="V56" s="217"/>
      <c r="W56" s="218"/>
      <c r="X56" s="236"/>
      <c r="Y56" s="421" t="s">
        <v>1320</v>
      </c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 t="s">
        <v>879</v>
      </c>
      <c r="AO56" s="320" t="s">
        <v>1121</v>
      </c>
      <c r="AP56" s="320" t="s">
        <v>1017</v>
      </c>
      <c r="AQ56" s="312" t="s">
        <v>703</v>
      </c>
      <c r="AR56" s="312" t="s">
        <v>704</v>
      </c>
      <c r="AS56" s="313" t="s">
        <v>1185</v>
      </c>
    </row>
    <row r="57" spans="1:45" s="222" customFormat="1" ht="25.5">
      <c r="A57" s="208">
        <v>1</v>
      </c>
      <c r="B57" s="232" t="s">
        <v>619</v>
      </c>
      <c r="C57" s="232" t="s">
        <v>1234</v>
      </c>
      <c r="D57" s="232" t="s">
        <v>1235</v>
      </c>
      <c r="E57" s="231">
        <v>38</v>
      </c>
      <c r="F57" s="210" t="s">
        <v>8</v>
      </c>
      <c r="G57" s="232" t="s">
        <v>69</v>
      </c>
      <c r="H57" s="316">
        <v>46133</v>
      </c>
      <c r="I57" s="316">
        <v>46153</v>
      </c>
      <c r="J57" s="242">
        <v>46177</v>
      </c>
      <c r="K57" s="213">
        <f t="shared" si="2"/>
        <v>46357</v>
      </c>
      <c r="L57" s="213"/>
      <c r="M57" s="56"/>
      <c r="N57" s="404">
        <f t="shared" si="3"/>
        <v>180</v>
      </c>
      <c r="O57" s="238" t="s">
        <v>1099</v>
      </c>
      <c r="P57" s="238" t="s">
        <v>830</v>
      </c>
      <c r="Q57" s="238"/>
      <c r="R57" s="238"/>
      <c r="S57" s="238"/>
      <c r="T57" s="240"/>
      <c r="U57" s="216"/>
      <c r="V57" s="217"/>
      <c r="W57" s="218"/>
      <c r="X57" s="236"/>
      <c r="Y57" s="433" t="s">
        <v>1424</v>
      </c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 t="s">
        <v>1503</v>
      </c>
      <c r="AO57" s="335"/>
      <c r="AP57" s="318"/>
      <c r="AQ57" s="323"/>
      <c r="AR57" s="323"/>
      <c r="AS57" s="313" t="s">
        <v>1258</v>
      </c>
    </row>
    <row r="58" spans="1:45" s="222" customFormat="1" ht="25.5">
      <c r="A58" s="208">
        <v>1</v>
      </c>
      <c r="B58" s="232" t="s">
        <v>622</v>
      </c>
      <c r="C58" s="232" t="s">
        <v>1246</v>
      </c>
      <c r="D58" s="232" t="s">
        <v>1247</v>
      </c>
      <c r="E58" s="231">
        <v>46</v>
      </c>
      <c r="F58" s="210"/>
      <c r="G58" s="232" t="s">
        <v>68</v>
      </c>
      <c r="H58" s="316">
        <v>46170</v>
      </c>
      <c r="I58" s="316">
        <v>46185</v>
      </c>
      <c r="J58" s="242">
        <v>46185</v>
      </c>
      <c r="K58" s="213">
        <f t="shared" si="2"/>
        <v>46365</v>
      </c>
      <c r="L58" s="213"/>
      <c r="M58" s="56"/>
      <c r="N58" s="404">
        <f t="shared" si="3"/>
        <v>180</v>
      </c>
      <c r="O58" s="238" t="s">
        <v>830</v>
      </c>
      <c r="P58" s="238"/>
      <c r="Q58" s="238"/>
      <c r="R58" s="238"/>
      <c r="S58" s="238"/>
      <c r="T58" s="240"/>
      <c r="U58" s="216"/>
      <c r="V58" s="217"/>
      <c r="W58" s="218"/>
      <c r="X58" s="236"/>
      <c r="Y58" s="49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 t="s">
        <v>1233</v>
      </c>
      <c r="AO58" s="335"/>
      <c r="AP58" s="318" t="s">
        <v>1233</v>
      </c>
      <c r="AQ58" s="323"/>
      <c r="AR58" s="323"/>
      <c r="AS58" s="313"/>
    </row>
    <row r="59" spans="1:45" s="253" customFormat="1" ht="25.5">
      <c r="A59" s="208">
        <v>1</v>
      </c>
      <c r="B59" s="232" t="s">
        <v>622</v>
      </c>
      <c r="C59" s="232" t="s">
        <v>705</v>
      </c>
      <c r="D59" s="400" t="s">
        <v>706</v>
      </c>
      <c r="E59" s="231">
        <v>33</v>
      </c>
      <c r="F59" s="432" t="s">
        <v>8</v>
      </c>
      <c r="G59" s="295" t="s">
        <v>68</v>
      </c>
      <c r="H59" s="240">
        <v>46004</v>
      </c>
      <c r="I59" s="237">
        <v>45926</v>
      </c>
      <c r="J59" s="242">
        <v>45926</v>
      </c>
      <c r="K59" s="213">
        <f t="shared" si="2"/>
        <v>46106</v>
      </c>
      <c r="L59" s="290" t="s">
        <v>479</v>
      </c>
      <c r="M59" s="56">
        <v>46108</v>
      </c>
      <c r="N59" s="404">
        <f t="shared" si="3"/>
        <v>46288</v>
      </c>
      <c r="O59" s="238" t="s">
        <v>826</v>
      </c>
      <c r="P59" s="238" t="s">
        <v>828</v>
      </c>
      <c r="Q59" s="238"/>
      <c r="R59" s="238"/>
      <c r="S59" s="238"/>
      <c r="T59" s="240"/>
      <c r="U59" s="216"/>
      <c r="V59" s="217"/>
      <c r="W59" s="218"/>
      <c r="X59" s="236"/>
      <c r="Y59" s="422" t="s">
        <v>1322</v>
      </c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 t="s">
        <v>881</v>
      </c>
      <c r="AO59" s="319" t="s">
        <v>1122</v>
      </c>
      <c r="AP59" s="320" t="s">
        <v>1233</v>
      </c>
      <c r="AQ59" s="312" t="s">
        <v>705</v>
      </c>
      <c r="AR59" s="312" t="s">
        <v>706</v>
      </c>
      <c r="AS59" s="313" t="s">
        <v>1187</v>
      </c>
    </row>
    <row r="60" spans="1:45" s="268" customFormat="1" ht="25.5">
      <c r="A60" s="416">
        <v>1</v>
      </c>
      <c r="B60" s="257" t="s">
        <v>619</v>
      </c>
      <c r="C60" s="257" t="s">
        <v>709</v>
      </c>
      <c r="D60" s="257" t="s">
        <v>710</v>
      </c>
      <c r="E60" s="255">
        <v>32</v>
      </c>
      <c r="F60" s="256" t="s">
        <v>29</v>
      </c>
      <c r="G60" s="257" t="s">
        <v>68</v>
      </c>
      <c r="H60" s="324">
        <v>45873</v>
      </c>
      <c r="I60" s="324">
        <v>45908</v>
      </c>
      <c r="J60" s="258">
        <v>46080</v>
      </c>
      <c r="K60" s="259">
        <f t="shared" si="2"/>
        <v>46260</v>
      </c>
      <c r="L60" s="259"/>
      <c r="M60" s="417"/>
      <c r="N60" s="418">
        <f t="shared" si="3"/>
        <v>180</v>
      </c>
      <c r="O60" s="260"/>
      <c r="P60" s="260"/>
      <c r="Q60" s="260"/>
      <c r="R60" s="260"/>
      <c r="S60" s="260">
        <v>1</v>
      </c>
      <c r="T60" s="262"/>
      <c r="U60" s="263"/>
      <c r="V60" s="264"/>
      <c r="W60" s="265"/>
      <c r="X60" s="266"/>
      <c r="Y60" s="447" t="s">
        <v>1324</v>
      </c>
      <c r="Z60" s="267"/>
      <c r="AA60" s="267"/>
      <c r="AB60" s="267"/>
      <c r="AC60" s="267"/>
      <c r="AD60" s="267"/>
      <c r="AE60" s="267"/>
      <c r="AF60" s="267"/>
      <c r="AG60" s="267"/>
      <c r="AH60" s="267"/>
      <c r="AI60" s="267"/>
      <c r="AJ60" s="267"/>
      <c r="AK60" s="267"/>
      <c r="AL60" s="267"/>
      <c r="AM60" s="267"/>
      <c r="AN60" s="267" t="s">
        <v>1400</v>
      </c>
      <c r="AO60" s="325" t="s">
        <v>1064</v>
      </c>
      <c r="AP60" s="325"/>
      <c r="AQ60" s="257" t="s">
        <v>709</v>
      </c>
      <c r="AR60" s="257" t="s">
        <v>710</v>
      </c>
      <c r="AS60" s="420"/>
    </row>
    <row r="61" spans="1:45" s="268" customFormat="1" ht="12.75">
      <c r="A61" s="416">
        <v>1</v>
      </c>
      <c r="B61" s="257" t="s">
        <v>619</v>
      </c>
      <c r="C61" s="257" t="s">
        <v>1411</v>
      </c>
      <c r="D61" s="257" t="s">
        <v>1412</v>
      </c>
      <c r="E61" s="255">
        <v>51</v>
      </c>
      <c r="F61" s="256" t="s">
        <v>8</v>
      </c>
      <c r="G61" s="257" t="s">
        <v>69</v>
      </c>
      <c r="H61" s="324">
        <v>46149</v>
      </c>
      <c r="I61" s="324">
        <v>46174</v>
      </c>
      <c r="J61" s="258">
        <v>46204</v>
      </c>
      <c r="K61" s="259">
        <f t="shared" si="2"/>
        <v>46384</v>
      </c>
      <c r="L61" s="259"/>
      <c r="M61" s="417"/>
      <c r="N61" s="418"/>
      <c r="O61" s="260" t="s">
        <v>828</v>
      </c>
      <c r="P61" s="260" t="s">
        <v>1398</v>
      </c>
      <c r="Q61" s="260" t="s">
        <v>1413</v>
      </c>
      <c r="R61" s="260"/>
      <c r="S61" s="260"/>
      <c r="T61" s="262"/>
      <c r="U61" s="263"/>
      <c r="V61" s="264"/>
      <c r="W61" s="265"/>
      <c r="X61" s="266"/>
      <c r="Y61" s="447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/>
      <c r="AO61" s="325"/>
      <c r="AP61" s="325"/>
      <c r="AQ61" s="257"/>
      <c r="AR61" s="257"/>
      <c r="AS61" s="420"/>
    </row>
    <row r="62" spans="1:45" s="222" customFormat="1" ht="25.5">
      <c r="A62" s="208">
        <v>1</v>
      </c>
      <c r="B62" s="232" t="s">
        <v>619</v>
      </c>
      <c r="C62" s="232" t="s">
        <v>711</v>
      </c>
      <c r="D62" s="232" t="s">
        <v>712</v>
      </c>
      <c r="E62" s="231">
        <v>29</v>
      </c>
      <c r="F62" s="210" t="s">
        <v>11</v>
      </c>
      <c r="G62" s="232" t="s">
        <v>68</v>
      </c>
      <c r="H62" s="316">
        <v>46029</v>
      </c>
      <c r="I62" s="316">
        <v>46043</v>
      </c>
      <c r="J62" s="293">
        <v>46043</v>
      </c>
      <c r="K62" s="213">
        <f t="shared" si="2"/>
        <v>46223</v>
      </c>
      <c r="L62" s="290" t="s">
        <v>479</v>
      </c>
      <c r="M62" s="56"/>
      <c r="N62" s="404">
        <f>M62+180</f>
        <v>180</v>
      </c>
      <c r="O62" s="238"/>
      <c r="P62" s="238"/>
      <c r="Q62" s="238"/>
      <c r="R62" s="238"/>
      <c r="S62" s="238">
        <v>2</v>
      </c>
      <c r="T62" s="240"/>
      <c r="U62" s="216"/>
      <c r="V62" s="217"/>
      <c r="W62" s="218"/>
      <c r="X62" s="236"/>
      <c r="Y62" s="421" t="s">
        <v>1325</v>
      </c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 t="s">
        <v>883</v>
      </c>
      <c r="AO62" s="310" t="s">
        <v>1123</v>
      </c>
      <c r="AP62" s="318" t="s">
        <v>1034</v>
      </c>
      <c r="AQ62" s="323" t="s">
        <v>711</v>
      </c>
      <c r="AR62" s="323" t="s">
        <v>712</v>
      </c>
      <c r="AS62" s="331" t="s">
        <v>1189</v>
      </c>
    </row>
    <row r="63" spans="1:45" s="222" customFormat="1" ht="12.75">
      <c r="A63" s="208"/>
      <c r="B63" s="232" t="s">
        <v>619</v>
      </c>
      <c r="C63" s="232" t="s">
        <v>1461</v>
      </c>
      <c r="D63" s="232" t="s">
        <v>364</v>
      </c>
      <c r="E63" s="231">
        <v>38</v>
      </c>
      <c r="F63" s="210"/>
      <c r="G63" s="232" t="s">
        <v>69</v>
      </c>
      <c r="H63" s="316"/>
      <c r="I63" s="316"/>
      <c r="J63" s="293"/>
      <c r="K63" s="213"/>
      <c r="L63" s="290"/>
      <c r="M63" s="56"/>
      <c r="N63" s="404"/>
      <c r="O63" s="238"/>
      <c r="P63" s="238"/>
      <c r="Q63" s="238"/>
      <c r="R63" s="238"/>
      <c r="S63" s="238"/>
      <c r="T63" s="240"/>
      <c r="U63" s="216"/>
      <c r="V63" s="217"/>
      <c r="W63" s="218"/>
      <c r="X63" s="236"/>
      <c r="Y63" s="4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310"/>
      <c r="AP63" s="318"/>
      <c r="AQ63" s="323"/>
      <c r="AR63" s="323"/>
      <c r="AS63" s="331"/>
    </row>
    <row r="64" spans="1:45" s="222" customFormat="1" ht="12.75">
      <c r="A64" s="208">
        <v>1</v>
      </c>
      <c r="B64" s="276" t="s">
        <v>622</v>
      </c>
      <c r="C64" s="276" t="s">
        <v>713</v>
      </c>
      <c r="D64" s="276" t="s">
        <v>714</v>
      </c>
      <c r="E64" s="274">
        <v>42</v>
      </c>
      <c r="F64" s="275" t="s">
        <v>29</v>
      </c>
      <c r="G64" s="276" t="s">
        <v>68</v>
      </c>
      <c r="H64" s="327">
        <v>45938</v>
      </c>
      <c r="I64" s="327">
        <v>45670</v>
      </c>
      <c r="J64" s="277">
        <v>46035</v>
      </c>
      <c r="K64" s="278">
        <f t="shared" ref="K64:K77" si="4">+J64+180</f>
        <v>46215</v>
      </c>
      <c r="L64" s="290" t="s">
        <v>479</v>
      </c>
      <c r="M64" s="426">
        <v>46217</v>
      </c>
      <c r="N64" s="415">
        <f t="shared" ref="N64:N74" si="5">M64+180</f>
        <v>46397</v>
      </c>
      <c r="O64" s="279" t="s">
        <v>828</v>
      </c>
      <c r="P64" s="279"/>
      <c r="Q64" s="279"/>
      <c r="R64" s="279">
        <v>5</v>
      </c>
      <c r="S64" s="279"/>
      <c r="T64" s="281"/>
      <c r="U64" s="282"/>
      <c r="V64" s="283"/>
      <c r="W64" s="284"/>
      <c r="X64" s="285"/>
      <c r="Y64" s="427" t="s">
        <v>1327</v>
      </c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>
        <v>1</v>
      </c>
      <c r="AK64" s="287"/>
      <c r="AL64" s="287"/>
      <c r="AM64" s="287"/>
      <c r="AN64" s="287" t="s">
        <v>1417</v>
      </c>
      <c r="AO64" s="328"/>
      <c r="AP64" s="328" t="s">
        <v>1037</v>
      </c>
      <c r="AQ64" s="276" t="s">
        <v>713</v>
      </c>
      <c r="AR64" s="276" t="s">
        <v>714</v>
      </c>
      <c r="AS64" s="331" t="s">
        <v>1190</v>
      </c>
    </row>
    <row r="65" spans="1:45" s="222" customFormat="1" ht="12.75">
      <c r="A65" s="208">
        <v>1</v>
      </c>
      <c r="B65" s="232" t="s">
        <v>622</v>
      </c>
      <c r="C65" s="232" t="s">
        <v>715</v>
      </c>
      <c r="D65" s="232" t="s">
        <v>716</v>
      </c>
      <c r="E65" s="231">
        <v>44</v>
      </c>
      <c r="F65" s="210" t="s">
        <v>25</v>
      </c>
      <c r="G65" s="232" t="s">
        <v>69</v>
      </c>
      <c r="H65" s="316">
        <v>45891</v>
      </c>
      <c r="I65" s="316">
        <v>45923</v>
      </c>
      <c r="J65" s="242">
        <v>45923</v>
      </c>
      <c r="K65" s="213">
        <f t="shared" si="4"/>
        <v>46103</v>
      </c>
      <c r="L65" s="214" t="s">
        <v>479</v>
      </c>
      <c r="M65" s="56">
        <v>46105</v>
      </c>
      <c r="N65" s="404">
        <f t="shared" si="5"/>
        <v>46285</v>
      </c>
      <c r="O65" s="238"/>
      <c r="P65" s="238"/>
      <c r="Q65" s="238"/>
      <c r="R65" s="238"/>
      <c r="S65" s="238">
        <v>1</v>
      </c>
      <c r="T65" s="240"/>
      <c r="U65" s="216"/>
      <c r="V65" s="217"/>
      <c r="W65" s="218"/>
      <c r="X65" s="236"/>
      <c r="Y65" s="421" t="s">
        <v>1328</v>
      </c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 t="s">
        <v>856</v>
      </c>
      <c r="AO65" s="310" t="s">
        <v>1009</v>
      </c>
      <c r="AP65" s="310" t="s">
        <v>1038</v>
      </c>
      <c r="AQ65" s="312" t="s">
        <v>715</v>
      </c>
      <c r="AR65" s="312" t="s">
        <v>716</v>
      </c>
      <c r="AS65" s="313" t="s">
        <v>1191</v>
      </c>
    </row>
    <row r="66" spans="1:45" s="222" customFormat="1" ht="25.5">
      <c r="A66" s="208">
        <v>1</v>
      </c>
      <c r="B66" s="232" t="s">
        <v>622</v>
      </c>
      <c r="C66" s="232" t="s">
        <v>1056</v>
      </c>
      <c r="D66" s="232" t="s">
        <v>1057</v>
      </c>
      <c r="E66" s="231">
        <v>44</v>
      </c>
      <c r="F66" s="210"/>
      <c r="G66" s="232" t="s">
        <v>68</v>
      </c>
      <c r="H66" s="316">
        <v>45952</v>
      </c>
      <c r="I66" s="316">
        <v>46093</v>
      </c>
      <c r="J66" s="242">
        <v>46093</v>
      </c>
      <c r="K66" s="213">
        <f t="shared" si="4"/>
        <v>46273</v>
      </c>
      <c r="L66" s="213"/>
      <c r="M66" s="56"/>
      <c r="N66" s="404">
        <f t="shared" si="5"/>
        <v>180</v>
      </c>
      <c r="O66" s="238" t="s">
        <v>1058</v>
      </c>
      <c r="P66" s="238" t="s">
        <v>839</v>
      </c>
      <c r="Q66" s="238"/>
      <c r="R66" s="238">
        <v>4</v>
      </c>
      <c r="S66" s="238">
        <v>1</v>
      </c>
      <c r="T66" s="240"/>
      <c r="U66" s="216"/>
      <c r="V66" s="217"/>
      <c r="W66" s="218"/>
      <c r="X66" s="236"/>
      <c r="Y66" s="421" t="s">
        <v>1329</v>
      </c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310"/>
      <c r="AP66" s="310" t="s">
        <v>1124</v>
      </c>
    </row>
    <row r="67" spans="1:45" s="222" customFormat="1" ht="12.75">
      <c r="A67" s="208">
        <v>1</v>
      </c>
      <c r="B67" s="232" t="s">
        <v>622</v>
      </c>
      <c r="C67" s="232" t="s">
        <v>1097</v>
      </c>
      <c r="D67" s="232" t="s">
        <v>1098</v>
      </c>
      <c r="E67" s="231">
        <v>41</v>
      </c>
      <c r="F67" s="210" t="s">
        <v>11</v>
      </c>
      <c r="G67" s="232" t="s">
        <v>69</v>
      </c>
      <c r="H67" s="316">
        <v>46090</v>
      </c>
      <c r="I67" s="316">
        <v>46135</v>
      </c>
      <c r="J67" s="242">
        <v>46135</v>
      </c>
      <c r="K67" s="213">
        <f t="shared" si="4"/>
        <v>46315</v>
      </c>
      <c r="L67" s="213"/>
      <c r="M67" s="56"/>
      <c r="N67" s="404">
        <f t="shared" si="5"/>
        <v>180</v>
      </c>
      <c r="O67" s="238" t="s">
        <v>1099</v>
      </c>
      <c r="P67" s="238"/>
      <c r="Q67" s="238"/>
      <c r="R67" s="238">
        <v>4</v>
      </c>
      <c r="S67" s="238"/>
      <c r="T67" s="240"/>
      <c r="U67" s="216"/>
      <c r="V67" s="217"/>
      <c r="W67" s="218"/>
      <c r="X67" s="236"/>
      <c r="Y67" s="433" t="s">
        <v>1406</v>
      </c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310"/>
      <c r="AP67" s="310" t="s">
        <v>1125</v>
      </c>
    </row>
    <row r="68" spans="1:45" s="288" customFormat="1" ht="12.75">
      <c r="A68" s="208">
        <v>1</v>
      </c>
      <c r="B68" s="276" t="s">
        <v>619</v>
      </c>
      <c r="C68" s="276" t="s">
        <v>717</v>
      </c>
      <c r="D68" s="276" t="s">
        <v>718</v>
      </c>
      <c r="E68" s="274">
        <v>28</v>
      </c>
      <c r="F68" s="275" t="s">
        <v>22</v>
      </c>
      <c r="G68" s="276" t="s">
        <v>68</v>
      </c>
      <c r="H68" s="336">
        <v>46051</v>
      </c>
      <c r="I68" s="336">
        <v>46065</v>
      </c>
      <c r="J68" s="277">
        <v>46065</v>
      </c>
      <c r="K68" s="278">
        <f t="shared" si="4"/>
        <v>46245</v>
      </c>
      <c r="L68" s="214" t="s">
        <v>479</v>
      </c>
      <c r="M68" s="56">
        <v>46247</v>
      </c>
      <c r="N68" s="404">
        <f t="shared" si="5"/>
        <v>46427</v>
      </c>
      <c r="O68" s="279" t="s">
        <v>839</v>
      </c>
      <c r="P68" s="279"/>
      <c r="Q68" s="279"/>
      <c r="R68" s="279"/>
      <c r="S68" s="279"/>
      <c r="T68" s="281"/>
      <c r="U68" s="282"/>
      <c r="V68" s="283"/>
      <c r="W68" s="284"/>
      <c r="X68" s="285"/>
      <c r="Y68" s="421" t="s">
        <v>1330</v>
      </c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 t="s">
        <v>884</v>
      </c>
      <c r="AO68" s="328" t="s">
        <v>1059</v>
      </c>
      <c r="AP68" s="328" t="s">
        <v>1126</v>
      </c>
      <c r="AQ68" s="312" t="s">
        <v>717</v>
      </c>
      <c r="AR68" s="312" t="s">
        <v>718</v>
      </c>
      <c r="AS68" s="313" t="s">
        <v>1192</v>
      </c>
    </row>
    <row r="69" spans="1:45" s="222" customFormat="1" ht="18" customHeight="1">
      <c r="A69" s="208">
        <v>1</v>
      </c>
      <c r="B69" s="232" t="s">
        <v>622</v>
      </c>
      <c r="C69" s="232" t="s">
        <v>719</v>
      </c>
      <c r="D69" s="232" t="s">
        <v>720</v>
      </c>
      <c r="E69" s="231">
        <v>56</v>
      </c>
      <c r="F69" s="210" t="s">
        <v>29</v>
      </c>
      <c r="G69" s="232" t="s">
        <v>68</v>
      </c>
      <c r="H69" s="337">
        <v>46003</v>
      </c>
      <c r="I69" s="337">
        <v>46049</v>
      </c>
      <c r="J69" s="242">
        <v>46058</v>
      </c>
      <c r="K69" s="302">
        <f t="shared" si="4"/>
        <v>46238</v>
      </c>
      <c r="L69" s="214" t="s">
        <v>479</v>
      </c>
      <c r="M69" s="56">
        <v>46240</v>
      </c>
      <c r="N69" s="404">
        <f t="shared" si="5"/>
        <v>46420</v>
      </c>
      <c r="O69" s="238" t="s">
        <v>828</v>
      </c>
      <c r="P69" s="238"/>
      <c r="Q69" s="238"/>
      <c r="R69" s="238">
        <v>1</v>
      </c>
      <c r="S69" s="238"/>
      <c r="T69" s="240"/>
      <c r="U69" s="216"/>
      <c r="V69" s="217"/>
      <c r="W69" s="218"/>
      <c r="X69" s="236"/>
      <c r="Y69" s="421" t="s">
        <v>1331</v>
      </c>
      <c r="Z69" s="221"/>
      <c r="AA69" s="221"/>
      <c r="AB69" s="221">
        <v>1</v>
      </c>
      <c r="AC69" s="221"/>
      <c r="AD69" s="221"/>
      <c r="AE69" s="221"/>
      <c r="AF69" s="221"/>
      <c r="AG69" s="221"/>
      <c r="AH69" s="221"/>
      <c r="AI69" s="221"/>
      <c r="AJ69" s="221">
        <v>1</v>
      </c>
      <c r="AK69" s="221"/>
      <c r="AL69" s="221"/>
      <c r="AM69" s="221"/>
      <c r="AN69" s="221" t="s">
        <v>856</v>
      </c>
      <c r="AO69" s="310"/>
      <c r="AP69" s="310" t="s">
        <v>1039</v>
      </c>
      <c r="AQ69" s="312" t="s">
        <v>719</v>
      </c>
      <c r="AR69" s="312" t="s">
        <v>720</v>
      </c>
      <c r="AS69" s="313" t="s">
        <v>1193</v>
      </c>
    </row>
    <row r="70" spans="1:45" s="222" customFormat="1" ht="25.5">
      <c r="A70" s="208">
        <v>1</v>
      </c>
      <c r="B70" s="232" t="s">
        <v>622</v>
      </c>
      <c r="C70" s="232" t="s">
        <v>721</v>
      </c>
      <c r="D70" s="232" t="s">
        <v>722</v>
      </c>
      <c r="E70" s="231">
        <v>25</v>
      </c>
      <c r="F70" s="210" t="s">
        <v>11</v>
      </c>
      <c r="G70" s="232" t="s">
        <v>68</v>
      </c>
      <c r="H70" s="337">
        <v>46005</v>
      </c>
      <c r="I70" s="337">
        <v>46013</v>
      </c>
      <c r="J70" s="242">
        <v>46027</v>
      </c>
      <c r="K70" s="302">
        <f t="shared" si="4"/>
        <v>46207</v>
      </c>
      <c r="L70" s="214" t="s">
        <v>479</v>
      </c>
      <c r="M70" s="56">
        <v>46209</v>
      </c>
      <c r="N70" s="404">
        <f t="shared" si="5"/>
        <v>46389</v>
      </c>
      <c r="O70" s="238" t="s">
        <v>826</v>
      </c>
      <c r="P70" s="238" t="s">
        <v>839</v>
      </c>
      <c r="Q70" s="238"/>
      <c r="R70" s="238">
        <v>1</v>
      </c>
      <c r="S70" s="238">
        <v>1</v>
      </c>
      <c r="T70" s="240"/>
      <c r="U70" s="216"/>
      <c r="V70" s="217"/>
      <c r="W70" s="218"/>
      <c r="X70" s="236"/>
      <c r="Y70" s="421" t="s">
        <v>1332</v>
      </c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 t="s">
        <v>856</v>
      </c>
      <c r="AO70" s="320"/>
      <c r="AP70" s="320" t="s">
        <v>1040</v>
      </c>
      <c r="AQ70" s="312" t="s">
        <v>1194</v>
      </c>
      <c r="AR70" s="312" t="s">
        <v>722</v>
      </c>
      <c r="AS70" s="313" t="s">
        <v>1195</v>
      </c>
    </row>
    <row r="71" spans="1:45" s="222" customFormat="1" ht="18" customHeight="1">
      <c r="A71" s="208">
        <v>1</v>
      </c>
      <c r="B71" s="295" t="s">
        <v>619</v>
      </c>
      <c r="C71" s="295" t="s">
        <v>725</v>
      </c>
      <c r="D71" s="295" t="s">
        <v>726</v>
      </c>
      <c r="E71" s="231">
        <v>55</v>
      </c>
      <c r="F71" s="210" t="s">
        <v>8</v>
      </c>
      <c r="G71" s="295" t="s">
        <v>68</v>
      </c>
      <c r="H71" s="337">
        <v>46051</v>
      </c>
      <c r="I71" s="337">
        <v>46072</v>
      </c>
      <c r="J71" s="242">
        <v>46072</v>
      </c>
      <c r="K71" s="302">
        <f t="shared" si="4"/>
        <v>46252</v>
      </c>
      <c r="L71" s="214" t="s">
        <v>479</v>
      </c>
      <c r="M71" s="56">
        <v>46254</v>
      </c>
      <c r="N71" s="404">
        <f t="shared" si="5"/>
        <v>46434</v>
      </c>
      <c r="O71" s="238" t="s">
        <v>828</v>
      </c>
      <c r="P71" s="238"/>
      <c r="Q71" s="238"/>
      <c r="R71" s="238"/>
      <c r="S71" s="238"/>
      <c r="T71" s="240"/>
      <c r="U71" s="216"/>
      <c r="V71" s="217"/>
      <c r="W71" s="218"/>
      <c r="X71" s="236"/>
      <c r="Y71" s="421" t="s">
        <v>1334</v>
      </c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 t="s">
        <v>1233</v>
      </c>
      <c r="AO71" s="310"/>
      <c r="AP71" s="310" t="s">
        <v>1041</v>
      </c>
    </row>
    <row r="72" spans="1:45" s="222" customFormat="1" ht="18" customHeight="1">
      <c r="A72" s="208">
        <v>1</v>
      </c>
      <c r="B72" s="295" t="s">
        <v>622</v>
      </c>
      <c r="C72" s="295" t="s">
        <v>727</v>
      </c>
      <c r="D72" s="295" t="s">
        <v>728</v>
      </c>
      <c r="E72" s="231">
        <v>44</v>
      </c>
      <c r="F72" s="210"/>
      <c r="G72" s="295" t="s">
        <v>68</v>
      </c>
      <c r="H72" s="337">
        <v>45866</v>
      </c>
      <c r="I72" s="337">
        <v>45939</v>
      </c>
      <c r="J72" s="242">
        <v>46050</v>
      </c>
      <c r="K72" s="302">
        <f t="shared" si="4"/>
        <v>46230</v>
      </c>
      <c r="L72" s="214" t="s">
        <v>479</v>
      </c>
      <c r="M72" s="56">
        <v>46232</v>
      </c>
      <c r="N72" s="404">
        <f t="shared" si="5"/>
        <v>46412</v>
      </c>
      <c r="O72" s="238" t="s">
        <v>824</v>
      </c>
      <c r="P72" s="238"/>
      <c r="Q72" s="238"/>
      <c r="R72" s="238"/>
      <c r="S72" s="238"/>
      <c r="T72" s="240"/>
      <c r="U72" s="216"/>
      <c r="V72" s="217"/>
      <c r="W72" s="218"/>
      <c r="X72" s="236"/>
      <c r="Y72" s="421" t="s">
        <v>1336</v>
      </c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310"/>
      <c r="AP72" s="318"/>
      <c r="AQ72" s="312" t="s">
        <v>727</v>
      </c>
      <c r="AR72" s="312" t="s">
        <v>728</v>
      </c>
      <c r="AS72" s="338" t="s">
        <v>1197</v>
      </c>
    </row>
    <row r="73" spans="1:45" s="222" customFormat="1" ht="18" customHeight="1">
      <c r="A73" s="208">
        <v>1</v>
      </c>
      <c r="B73" s="295" t="s">
        <v>619</v>
      </c>
      <c r="C73" s="295" t="s">
        <v>739</v>
      </c>
      <c r="D73" s="295" t="s">
        <v>740</v>
      </c>
      <c r="E73" s="231">
        <v>26</v>
      </c>
      <c r="F73" s="210" t="s">
        <v>8</v>
      </c>
      <c r="G73" s="295" t="s">
        <v>69</v>
      </c>
      <c r="H73" s="337">
        <v>46052</v>
      </c>
      <c r="I73" s="337">
        <v>46069</v>
      </c>
      <c r="J73" s="242">
        <v>46069</v>
      </c>
      <c r="K73" s="302">
        <f t="shared" si="4"/>
        <v>46249</v>
      </c>
      <c r="L73" s="214" t="s">
        <v>479</v>
      </c>
      <c r="M73" s="410">
        <v>46251</v>
      </c>
      <c r="N73" s="404">
        <f t="shared" si="5"/>
        <v>46431</v>
      </c>
      <c r="O73" s="238"/>
      <c r="P73" s="238"/>
      <c r="Q73" s="238"/>
      <c r="R73" s="238">
        <v>1</v>
      </c>
      <c r="S73" s="238"/>
      <c r="T73" s="240"/>
      <c r="U73" s="216"/>
      <c r="V73" s="217"/>
      <c r="W73" s="218"/>
      <c r="X73" s="236"/>
      <c r="Y73" s="421" t="s">
        <v>1340</v>
      </c>
      <c r="Z73" s="221"/>
      <c r="AA73" s="221"/>
      <c r="AB73" s="221">
        <v>1</v>
      </c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 t="s">
        <v>856</v>
      </c>
      <c r="AO73" s="320"/>
      <c r="AP73" s="320" t="s">
        <v>1127</v>
      </c>
    </row>
    <row r="74" spans="1:45" s="222" customFormat="1" ht="21" customHeight="1">
      <c r="A74" s="208">
        <v>1</v>
      </c>
      <c r="B74" s="296" t="s">
        <v>619</v>
      </c>
      <c r="C74" s="296" t="s">
        <v>944</v>
      </c>
      <c r="D74" s="296" t="s">
        <v>945</v>
      </c>
      <c r="E74" s="297">
        <v>30</v>
      </c>
      <c r="F74" s="298" t="s">
        <v>29</v>
      </c>
      <c r="G74" s="232" t="s">
        <v>68</v>
      </c>
      <c r="H74" s="316">
        <v>45854</v>
      </c>
      <c r="I74" s="316">
        <v>45922</v>
      </c>
      <c r="J74" s="242">
        <v>45959</v>
      </c>
      <c r="K74" s="213">
        <f t="shared" si="4"/>
        <v>46139</v>
      </c>
      <c r="L74" s="299" t="s">
        <v>479</v>
      </c>
      <c r="M74" s="56">
        <v>46142</v>
      </c>
      <c r="N74" s="404">
        <f t="shared" si="5"/>
        <v>46322</v>
      </c>
      <c r="O74" s="239"/>
      <c r="P74" s="239"/>
      <c r="Q74" s="238"/>
      <c r="R74" s="239"/>
      <c r="S74" s="239"/>
      <c r="T74" s="240"/>
      <c r="U74" s="216"/>
      <c r="V74" s="217"/>
      <c r="W74" s="218"/>
      <c r="X74" s="236"/>
      <c r="Y74" s="421" t="s">
        <v>1342</v>
      </c>
      <c r="Z74" s="300"/>
      <c r="AA74" s="300"/>
      <c r="AB74" s="300">
        <v>1</v>
      </c>
      <c r="AC74" s="300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300"/>
      <c r="AP74" s="301" t="s">
        <v>1128</v>
      </c>
      <c r="AQ74" s="311" t="s">
        <v>944</v>
      </c>
      <c r="AR74" s="323" t="s">
        <v>945</v>
      </c>
      <c r="AS74" s="313"/>
    </row>
    <row r="75" spans="1:45" s="222" customFormat="1" ht="21" customHeight="1">
      <c r="A75" s="208">
        <v>1</v>
      </c>
      <c r="B75" s="296" t="s">
        <v>619</v>
      </c>
      <c r="C75" s="296" t="s">
        <v>1472</v>
      </c>
      <c r="D75" s="296" t="s">
        <v>1473</v>
      </c>
      <c r="E75" s="297">
        <v>28</v>
      </c>
      <c r="F75" s="298" t="s">
        <v>8</v>
      </c>
      <c r="G75" s="232" t="s">
        <v>68</v>
      </c>
      <c r="H75" s="316">
        <v>46233</v>
      </c>
      <c r="I75" s="316">
        <v>46260</v>
      </c>
      <c r="J75" s="242">
        <v>46260</v>
      </c>
      <c r="K75" s="213">
        <f t="shared" si="4"/>
        <v>46440</v>
      </c>
      <c r="L75" s="399"/>
      <c r="M75" s="56"/>
      <c r="N75" s="404"/>
      <c r="O75" s="239" t="s">
        <v>828</v>
      </c>
      <c r="P75" s="239"/>
      <c r="Q75" s="238"/>
      <c r="R75" s="239">
        <v>8</v>
      </c>
      <c r="S75" s="239"/>
      <c r="T75" s="240"/>
      <c r="U75" s="216"/>
      <c r="V75" s="217"/>
      <c r="W75" s="218"/>
      <c r="X75" s="236"/>
      <c r="Y75" s="490"/>
      <c r="Z75" s="300"/>
      <c r="AA75" s="300"/>
      <c r="AB75" s="300"/>
      <c r="AC75" s="300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300"/>
      <c r="AP75" s="301" t="s">
        <v>1504</v>
      </c>
      <c r="AQ75" s="311"/>
      <c r="AR75" s="323"/>
      <c r="AS75" s="313"/>
    </row>
    <row r="76" spans="1:45" s="222" customFormat="1" ht="21" customHeight="1">
      <c r="A76" s="208">
        <v>1</v>
      </c>
      <c r="B76" s="296" t="s">
        <v>619</v>
      </c>
      <c r="C76" s="296" t="s">
        <v>1263</v>
      </c>
      <c r="D76" s="296" t="s">
        <v>1264</v>
      </c>
      <c r="E76" s="297">
        <v>32</v>
      </c>
      <c r="F76" s="298" t="s">
        <v>8</v>
      </c>
      <c r="G76" s="232" t="s">
        <v>69</v>
      </c>
      <c r="H76" s="316">
        <v>46168</v>
      </c>
      <c r="I76" s="316">
        <v>46184</v>
      </c>
      <c r="J76" s="242">
        <v>46184</v>
      </c>
      <c r="K76" s="213">
        <f t="shared" si="4"/>
        <v>46364</v>
      </c>
      <c r="L76" s="399"/>
      <c r="M76" s="56"/>
      <c r="N76" s="404">
        <f>M76+180</f>
        <v>180</v>
      </c>
      <c r="O76" s="239"/>
      <c r="P76" s="239"/>
      <c r="Q76" s="238"/>
      <c r="R76" s="239"/>
      <c r="S76" s="239"/>
      <c r="T76" s="240"/>
      <c r="U76" s="216"/>
      <c r="V76" s="217"/>
      <c r="W76" s="218"/>
      <c r="X76" s="236"/>
      <c r="Y76" s="433" t="s">
        <v>1425</v>
      </c>
      <c r="Z76" s="300"/>
      <c r="AA76" s="300"/>
      <c r="AB76" s="300"/>
      <c r="AC76" s="300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300" t="s">
        <v>1233</v>
      </c>
      <c r="AP76" s="301"/>
      <c r="AQ76" s="311"/>
      <c r="AR76" s="323"/>
      <c r="AS76" s="313"/>
    </row>
    <row r="77" spans="1:45" s="222" customFormat="1" ht="18" customHeight="1">
      <c r="A77" s="208">
        <v>1</v>
      </c>
      <c r="B77" s="295" t="s">
        <v>622</v>
      </c>
      <c r="C77" s="295" t="s">
        <v>1239</v>
      </c>
      <c r="D77" s="295" t="s">
        <v>1240</v>
      </c>
      <c r="E77" s="231">
        <v>36</v>
      </c>
      <c r="F77" s="210" t="s">
        <v>1241</v>
      </c>
      <c r="G77" s="295" t="s">
        <v>68</v>
      </c>
      <c r="H77" s="337">
        <v>46140</v>
      </c>
      <c r="I77" s="337">
        <v>46170</v>
      </c>
      <c r="J77" s="242">
        <v>46170</v>
      </c>
      <c r="K77" s="213">
        <f t="shared" si="4"/>
        <v>46350</v>
      </c>
      <c r="L77" s="302"/>
      <c r="M77" s="56"/>
      <c r="N77" s="404">
        <f>M77+180</f>
        <v>180</v>
      </c>
      <c r="O77" s="238" t="s">
        <v>839</v>
      </c>
      <c r="P77" s="238" t="s">
        <v>1242</v>
      </c>
      <c r="Q77" s="238"/>
      <c r="R77" s="238"/>
      <c r="S77" s="238"/>
      <c r="T77" s="216"/>
      <c r="U77" s="216"/>
      <c r="V77" s="217"/>
      <c r="W77" s="218"/>
      <c r="X77" s="236"/>
      <c r="Y77" s="433" t="s">
        <v>1426</v>
      </c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321"/>
      <c r="AP77" s="310" t="s">
        <v>1493</v>
      </c>
      <c r="AQ77" s="312"/>
      <c r="AR77" s="312"/>
      <c r="AS77" s="313"/>
    </row>
    <row r="78" spans="1:45" s="268" customFormat="1" ht="18" customHeight="1">
      <c r="A78" s="416"/>
      <c r="B78" s="383" t="s">
        <v>619</v>
      </c>
      <c r="C78" s="383" t="s">
        <v>1521</v>
      </c>
      <c r="D78" s="383" t="s">
        <v>1522</v>
      </c>
      <c r="E78" s="255"/>
      <c r="F78" s="256"/>
      <c r="G78" s="383" t="s">
        <v>68</v>
      </c>
      <c r="H78" s="392">
        <v>46202</v>
      </c>
      <c r="I78" s="392">
        <v>46259</v>
      </c>
      <c r="J78" s="258"/>
      <c r="K78" s="259"/>
      <c r="L78" s="501"/>
      <c r="M78" s="417"/>
      <c r="N78" s="418"/>
      <c r="O78" s="260"/>
      <c r="P78" s="260"/>
      <c r="Q78" s="260"/>
      <c r="R78" s="260"/>
      <c r="S78" s="260"/>
      <c r="T78" s="263"/>
      <c r="U78" s="263"/>
      <c r="V78" s="264"/>
      <c r="W78" s="265"/>
      <c r="X78" s="266"/>
      <c r="Y78" s="502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419"/>
      <c r="AP78" s="325"/>
      <c r="AQ78" s="503"/>
      <c r="AR78" s="503"/>
      <c r="AS78" s="326"/>
    </row>
    <row r="79" spans="1:45" s="222" customFormat="1" ht="18" customHeight="1">
      <c r="A79" s="208">
        <v>1</v>
      </c>
      <c r="B79" s="295" t="s">
        <v>619</v>
      </c>
      <c r="C79" s="345" t="s">
        <v>745</v>
      </c>
      <c r="D79" s="295" t="s">
        <v>746</v>
      </c>
      <c r="E79" s="231">
        <v>59</v>
      </c>
      <c r="F79" s="210" t="s">
        <v>8</v>
      </c>
      <c r="G79" s="295" t="s">
        <v>68</v>
      </c>
      <c r="H79" s="337">
        <v>46042</v>
      </c>
      <c r="I79" s="337">
        <v>46050</v>
      </c>
      <c r="J79" s="242">
        <v>46050</v>
      </c>
      <c r="K79" s="302">
        <f t="shared" ref="K79:K90" si="6">+J79+180</f>
        <v>46230</v>
      </c>
      <c r="L79" s="214" t="s">
        <v>479</v>
      </c>
      <c r="M79" s="56">
        <v>46232</v>
      </c>
      <c r="N79" s="404">
        <f>M79+180</f>
        <v>46412</v>
      </c>
      <c r="O79" s="238" t="s">
        <v>834</v>
      </c>
      <c r="P79" s="238"/>
      <c r="Q79" s="238"/>
      <c r="R79" s="238">
        <v>2</v>
      </c>
      <c r="S79" s="238"/>
      <c r="T79" s="243"/>
      <c r="U79" s="216"/>
      <c r="V79" s="217"/>
      <c r="W79" s="218"/>
      <c r="X79" s="236"/>
      <c r="Y79" s="421" t="s">
        <v>1347</v>
      </c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 t="s">
        <v>891</v>
      </c>
      <c r="AO79" s="320" t="s">
        <v>1096</v>
      </c>
      <c r="AP79" s="320" t="s">
        <v>1505</v>
      </c>
      <c r="AQ79" s="296" t="s">
        <v>745</v>
      </c>
      <c r="AR79" s="232" t="s">
        <v>746</v>
      </c>
      <c r="AS79" s="331" t="s">
        <v>1200</v>
      </c>
    </row>
    <row r="80" spans="1:45" s="222" customFormat="1" ht="18" customHeight="1">
      <c r="A80" s="208">
        <v>1</v>
      </c>
      <c r="B80" s="295" t="s">
        <v>622</v>
      </c>
      <c r="C80" s="295" t="s">
        <v>747</v>
      </c>
      <c r="D80" s="295" t="s">
        <v>748</v>
      </c>
      <c r="E80" s="231">
        <v>35</v>
      </c>
      <c r="F80" s="210" t="s">
        <v>11</v>
      </c>
      <c r="G80" s="295" t="s">
        <v>69</v>
      </c>
      <c r="H80" s="337">
        <v>45908</v>
      </c>
      <c r="I80" s="337">
        <v>46014</v>
      </c>
      <c r="J80" s="242">
        <v>46014</v>
      </c>
      <c r="K80" s="213">
        <f t="shared" si="6"/>
        <v>46194</v>
      </c>
      <c r="L80" s="214" t="s">
        <v>479</v>
      </c>
      <c r="M80" s="56">
        <v>46197</v>
      </c>
      <c r="N80" s="404">
        <f>M80+180</f>
        <v>46377</v>
      </c>
      <c r="O80" s="238" t="s">
        <v>824</v>
      </c>
      <c r="P80" s="238" t="s">
        <v>841</v>
      </c>
      <c r="Q80" s="238"/>
      <c r="R80" s="238">
        <v>1</v>
      </c>
      <c r="S80" s="238"/>
      <c r="T80" s="240"/>
      <c r="U80" s="216"/>
      <c r="V80" s="217"/>
      <c r="W80" s="218"/>
      <c r="X80" s="236"/>
      <c r="Y80" s="421" t="s">
        <v>1346</v>
      </c>
      <c r="Z80" s="221">
        <v>1</v>
      </c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 t="s">
        <v>856</v>
      </c>
      <c r="AO80" s="310"/>
      <c r="AP80" s="318" t="s">
        <v>1044</v>
      </c>
      <c r="AQ80" s="339" t="s">
        <v>747</v>
      </c>
      <c r="AR80" s="312" t="s">
        <v>748</v>
      </c>
      <c r="AS80" s="313" t="s">
        <v>1201</v>
      </c>
    </row>
    <row r="81" spans="1:45" s="288" customFormat="1" ht="18" customHeight="1">
      <c r="A81" s="208">
        <v>1</v>
      </c>
      <c r="B81" s="304" t="s">
        <v>619</v>
      </c>
      <c r="C81" s="304" t="s">
        <v>751</v>
      </c>
      <c r="D81" s="304" t="s">
        <v>752</v>
      </c>
      <c r="E81" s="303">
        <v>27</v>
      </c>
      <c r="F81" s="275" t="s">
        <v>29</v>
      </c>
      <c r="G81" s="304" t="s">
        <v>69</v>
      </c>
      <c r="H81" s="336">
        <v>46010</v>
      </c>
      <c r="I81" s="336">
        <v>46036</v>
      </c>
      <c r="J81" s="277">
        <v>46036</v>
      </c>
      <c r="K81" s="377">
        <f t="shared" si="6"/>
        <v>46216</v>
      </c>
      <c r="L81" s="214" t="s">
        <v>479</v>
      </c>
      <c r="M81" s="56">
        <v>46218</v>
      </c>
      <c r="N81" s="404">
        <f>M81+180</f>
        <v>46398</v>
      </c>
      <c r="O81" s="279" t="s">
        <v>834</v>
      </c>
      <c r="P81" s="279"/>
      <c r="Q81" s="279"/>
      <c r="R81" s="279">
        <v>2</v>
      </c>
      <c r="S81" s="279">
        <v>10</v>
      </c>
      <c r="T81" s="281"/>
      <c r="U81" s="282"/>
      <c r="V81" s="283"/>
      <c r="W81" s="284"/>
      <c r="X81" s="285"/>
      <c r="Y81" s="421" t="s">
        <v>1352</v>
      </c>
      <c r="Z81" s="287"/>
      <c r="AA81" s="287"/>
      <c r="AB81" s="287">
        <v>1</v>
      </c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287" t="s">
        <v>893</v>
      </c>
      <c r="AO81" s="328" t="s">
        <v>1431</v>
      </c>
      <c r="AP81" s="328" t="s">
        <v>1046</v>
      </c>
      <c r="AQ81" s="332" t="s">
        <v>751</v>
      </c>
      <c r="AR81" s="332" t="s">
        <v>752</v>
      </c>
      <c r="AS81" s="333" t="s">
        <v>1204</v>
      </c>
    </row>
    <row r="82" spans="1:45" s="253" customFormat="1" ht="18" customHeight="1">
      <c r="A82" s="423">
        <v>1</v>
      </c>
      <c r="B82" s="292" t="s">
        <v>622</v>
      </c>
      <c r="C82" s="292" t="s">
        <v>757</v>
      </c>
      <c r="D82" s="292" t="s">
        <v>758</v>
      </c>
      <c r="E82" s="340">
        <v>59</v>
      </c>
      <c r="F82" s="291" t="s">
        <v>29</v>
      </c>
      <c r="G82" s="291" t="s">
        <v>69</v>
      </c>
      <c r="H82" s="341">
        <v>46002</v>
      </c>
      <c r="I82" s="341">
        <v>46010</v>
      </c>
      <c r="J82" s="247">
        <v>46010</v>
      </c>
      <c r="K82" s="226">
        <f t="shared" si="6"/>
        <v>46190</v>
      </c>
      <c r="L82" s="226" t="s">
        <v>479</v>
      </c>
      <c r="M82" s="424">
        <v>46193</v>
      </c>
      <c r="N82" s="425">
        <f>M82+180</f>
        <v>46373</v>
      </c>
      <c r="O82" s="248" t="s">
        <v>828</v>
      </c>
      <c r="P82" s="248" t="s">
        <v>824</v>
      </c>
      <c r="Q82" s="248"/>
      <c r="R82" s="248"/>
      <c r="S82" s="248"/>
      <c r="T82" s="249"/>
      <c r="U82" s="228"/>
      <c r="V82" s="229"/>
      <c r="W82" s="250"/>
      <c r="X82" s="251"/>
      <c r="Y82" s="436" t="s">
        <v>1355</v>
      </c>
      <c r="Z82" s="230"/>
      <c r="AA82" s="230"/>
      <c r="AB82" s="230"/>
      <c r="AC82" s="230"/>
      <c r="AD82" s="230"/>
      <c r="AE82" s="230"/>
      <c r="AF82" s="230"/>
      <c r="AG82" s="230"/>
      <c r="AH82" s="230">
        <v>1</v>
      </c>
      <c r="AI82" s="230"/>
      <c r="AJ82" s="230"/>
      <c r="AK82" s="230"/>
      <c r="AL82" s="230"/>
      <c r="AM82" s="230"/>
      <c r="AN82" s="230"/>
      <c r="AO82" s="314" t="s">
        <v>1508</v>
      </c>
      <c r="AP82" s="315"/>
      <c r="AQ82" s="329" t="s">
        <v>757</v>
      </c>
      <c r="AR82" s="329" t="s">
        <v>758</v>
      </c>
      <c r="AS82" s="330"/>
    </row>
    <row r="83" spans="1:45" s="222" customFormat="1" ht="18" customHeight="1">
      <c r="A83" s="208">
        <v>1</v>
      </c>
      <c r="B83" s="295" t="s">
        <v>619</v>
      </c>
      <c r="C83" s="295" t="s">
        <v>759</v>
      </c>
      <c r="D83" s="295" t="s">
        <v>760</v>
      </c>
      <c r="E83" s="306">
        <v>55</v>
      </c>
      <c r="F83" s="197"/>
      <c r="G83" s="197" t="s">
        <v>68</v>
      </c>
      <c r="H83" s="337">
        <v>45833</v>
      </c>
      <c r="I83" s="337">
        <v>45953</v>
      </c>
      <c r="J83" s="242">
        <v>46043</v>
      </c>
      <c r="K83" s="302">
        <f t="shared" si="6"/>
        <v>46223</v>
      </c>
      <c r="L83" s="214" t="s">
        <v>479</v>
      </c>
      <c r="M83" s="56">
        <v>46225</v>
      </c>
      <c r="N83" s="404">
        <f>M83+180</f>
        <v>46405</v>
      </c>
      <c r="O83" s="238" t="s">
        <v>828</v>
      </c>
      <c r="P83" s="238"/>
      <c r="Q83" s="238"/>
      <c r="R83" s="238">
        <v>1</v>
      </c>
      <c r="S83" s="238"/>
      <c r="T83" s="240"/>
      <c r="U83" s="216"/>
      <c r="V83" s="217"/>
      <c r="W83" s="218"/>
      <c r="X83" s="236"/>
      <c r="Y83" s="421" t="s">
        <v>1356</v>
      </c>
      <c r="Z83" s="221"/>
      <c r="AA83" s="221"/>
      <c r="AB83" s="221"/>
      <c r="AC83" s="221"/>
      <c r="AD83" s="221"/>
      <c r="AE83" s="221"/>
      <c r="AF83" s="221"/>
      <c r="AG83" s="221"/>
      <c r="AH83" s="221">
        <v>1</v>
      </c>
      <c r="AI83" s="221"/>
      <c r="AJ83" s="221"/>
      <c r="AK83" s="221"/>
      <c r="AL83" s="221"/>
      <c r="AM83" s="221"/>
      <c r="AN83" s="221" t="s">
        <v>895</v>
      </c>
      <c r="AO83" s="320"/>
      <c r="AP83" s="320" t="s">
        <v>1490</v>
      </c>
      <c r="AQ83" s="296" t="s">
        <v>759</v>
      </c>
      <c r="AR83" s="232" t="s">
        <v>760</v>
      </c>
      <c r="AS83" s="331" t="s">
        <v>1206</v>
      </c>
    </row>
    <row r="84" spans="1:45" s="222" customFormat="1" ht="18" customHeight="1">
      <c r="A84" s="208">
        <v>1</v>
      </c>
      <c r="B84" s="295" t="s">
        <v>619</v>
      </c>
      <c r="C84" s="345" t="s">
        <v>1468</v>
      </c>
      <c r="D84" s="295" t="s">
        <v>1469</v>
      </c>
      <c r="E84" s="306">
        <v>34</v>
      </c>
      <c r="F84" s="197" t="s">
        <v>8</v>
      </c>
      <c r="G84" s="197" t="s">
        <v>68</v>
      </c>
      <c r="H84" s="337">
        <v>46233</v>
      </c>
      <c r="I84" s="337">
        <v>46259</v>
      </c>
      <c r="J84" s="242">
        <v>46259</v>
      </c>
      <c r="K84" s="213">
        <f t="shared" si="6"/>
        <v>46439</v>
      </c>
      <c r="L84" s="213"/>
      <c r="M84" s="56"/>
      <c r="N84" s="404"/>
      <c r="O84" s="238"/>
      <c r="P84" s="238"/>
      <c r="Q84" s="238"/>
      <c r="R84" s="238">
        <v>4</v>
      </c>
      <c r="S84" s="238"/>
      <c r="T84" s="240"/>
      <c r="U84" s="216"/>
      <c r="V84" s="217"/>
      <c r="W84" s="218"/>
      <c r="X84" s="236"/>
      <c r="Y84" s="213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320"/>
      <c r="AP84" s="320" t="s">
        <v>1491</v>
      </c>
      <c r="AQ84" s="232"/>
      <c r="AR84" s="232"/>
      <c r="AS84" s="500" t="s">
        <v>1519</v>
      </c>
    </row>
    <row r="85" spans="1:45" s="222" customFormat="1" ht="18" customHeight="1">
      <c r="A85" s="208">
        <v>1</v>
      </c>
      <c r="B85" s="295" t="s">
        <v>622</v>
      </c>
      <c r="C85" s="295" t="s">
        <v>1230</v>
      </c>
      <c r="D85" s="295" t="s">
        <v>1231</v>
      </c>
      <c r="E85" s="306">
        <v>43</v>
      </c>
      <c r="F85" s="197"/>
      <c r="G85" s="197" t="s">
        <v>68</v>
      </c>
      <c r="H85" s="337">
        <v>46220</v>
      </c>
      <c r="I85" s="337">
        <v>46169</v>
      </c>
      <c r="J85" s="242">
        <v>46169</v>
      </c>
      <c r="K85" s="213">
        <f t="shared" si="6"/>
        <v>46349</v>
      </c>
      <c r="L85" s="213"/>
      <c r="M85" s="56"/>
      <c r="N85" s="404">
        <f>M85+180</f>
        <v>180</v>
      </c>
      <c r="O85" s="238" t="s">
        <v>824</v>
      </c>
      <c r="P85" s="238"/>
      <c r="Q85" s="238"/>
      <c r="R85" s="238"/>
      <c r="S85" s="238"/>
      <c r="T85" s="240"/>
      <c r="U85" s="216"/>
      <c r="V85" s="217"/>
      <c r="W85" s="218"/>
      <c r="X85" s="236"/>
      <c r="Y85" s="482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320"/>
      <c r="AP85" s="320"/>
      <c r="AQ85" s="232"/>
      <c r="AR85" s="232"/>
      <c r="AS85" s="121"/>
    </row>
    <row r="86" spans="1:45" s="222" customFormat="1" ht="18" customHeight="1">
      <c r="A86" s="208">
        <v>1</v>
      </c>
      <c r="B86" s="295" t="s">
        <v>619</v>
      </c>
      <c r="C86" s="295" t="s">
        <v>1427</v>
      </c>
      <c r="D86" s="295" t="s">
        <v>1428</v>
      </c>
      <c r="E86" s="306">
        <v>55</v>
      </c>
      <c r="F86" s="197" t="s">
        <v>11</v>
      </c>
      <c r="G86" s="197" t="s">
        <v>68</v>
      </c>
      <c r="H86" s="337">
        <v>46202</v>
      </c>
      <c r="I86" s="337">
        <v>46227</v>
      </c>
      <c r="J86" s="242">
        <v>46227</v>
      </c>
      <c r="K86" s="213">
        <f t="shared" si="6"/>
        <v>46407</v>
      </c>
      <c r="L86" s="213"/>
      <c r="M86" s="56"/>
      <c r="N86" s="404"/>
      <c r="O86" s="238" t="s">
        <v>834</v>
      </c>
      <c r="P86" s="238" t="s">
        <v>830</v>
      </c>
      <c r="Q86" s="238"/>
      <c r="R86" s="238"/>
      <c r="S86" s="238"/>
      <c r="T86" s="240"/>
      <c r="U86" s="216"/>
      <c r="V86" s="217"/>
      <c r="W86" s="218"/>
      <c r="X86" s="236"/>
      <c r="Y86" s="482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 t="s">
        <v>1470</v>
      </c>
      <c r="AO86" s="320"/>
      <c r="AP86" s="320" t="s">
        <v>1509</v>
      </c>
      <c r="AQ86" s="232"/>
      <c r="AR86" s="232"/>
      <c r="AS86" s="121"/>
    </row>
    <row r="87" spans="1:45" s="288" customFormat="1" ht="18" customHeight="1">
      <c r="A87" s="273">
        <v>1</v>
      </c>
      <c r="B87" s="304" t="s">
        <v>622</v>
      </c>
      <c r="C87" s="304" t="s">
        <v>763</v>
      </c>
      <c r="D87" s="304" t="s">
        <v>764</v>
      </c>
      <c r="E87" s="303">
        <v>49</v>
      </c>
      <c r="F87" s="381" t="s">
        <v>17</v>
      </c>
      <c r="G87" s="381" t="s">
        <v>69</v>
      </c>
      <c r="H87" s="336">
        <v>46064</v>
      </c>
      <c r="I87" s="336">
        <v>46079</v>
      </c>
      <c r="J87" s="277">
        <v>46079</v>
      </c>
      <c r="K87" s="289">
        <f t="shared" si="6"/>
        <v>46259</v>
      </c>
      <c r="L87" s="278"/>
      <c r="M87" s="426"/>
      <c r="N87" s="415">
        <f>M87+180</f>
        <v>180</v>
      </c>
      <c r="O87" s="279"/>
      <c r="P87" s="279"/>
      <c r="Q87" s="279"/>
      <c r="R87" s="279">
        <v>1</v>
      </c>
      <c r="S87" s="279">
        <v>1</v>
      </c>
      <c r="T87" s="281"/>
      <c r="U87" s="282"/>
      <c r="V87" s="283"/>
      <c r="W87" s="284"/>
      <c r="X87" s="285"/>
      <c r="Y87" s="427" t="s">
        <v>1358</v>
      </c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 t="s">
        <v>1402</v>
      </c>
      <c r="AO87" s="328" t="s">
        <v>1133</v>
      </c>
      <c r="AP87" s="328"/>
      <c r="AQ87" s="276"/>
      <c r="AR87" s="276"/>
      <c r="AS87" s="381"/>
    </row>
    <row r="88" spans="1:45" s="222" customFormat="1" ht="18" customHeight="1">
      <c r="A88" s="208">
        <v>1</v>
      </c>
      <c r="B88" s="295" t="s">
        <v>619</v>
      </c>
      <c r="C88" s="429" t="s">
        <v>765</v>
      </c>
      <c r="D88" s="295" t="s">
        <v>766</v>
      </c>
      <c r="E88" s="306">
        <v>30</v>
      </c>
      <c r="F88" s="197" t="s">
        <v>8</v>
      </c>
      <c r="G88" s="197" t="s">
        <v>68</v>
      </c>
      <c r="H88" s="337">
        <v>46044</v>
      </c>
      <c r="I88" s="337">
        <v>46048</v>
      </c>
      <c r="J88" s="242">
        <v>46058</v>
      </c>
      <c r="K88" s="269">
        <f t="shared" si="6"/>
        <v>46238</v>
      </c>
      <c r="L88" s="213"/>
      <c r="M88" s="56"/>
      <c r="N88" s="404">
        <f>M88+180</f>
        <v>180</v>
      </c>
      <c r="O88" s="238" t="s">
        <v>830</v>
      </c>
      <c r="P88" s="238"/>
      <c r="Q88" s="238"/>
      <c r="R88" s="238"/>
      <c r="S88" s="238"/>
      <c r="T88" s="240"/>
      <c r="U88" s="216"/>
      <c r="V88" s="217"/>
      <c r="W88" s="218"/>
      <c r="X88" s="236"/>
      <c r="Y88" s="421" t="s">
        <v>1359</v>
      </c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 t="s">
        <v>896</v>
      </c>
      <c r="AO88" s="319" t="s">
        <v>1134</v>
      </c>
      <c r="AP88" s="320" t="s">
        <v>1048</v>
      </c>
      <c r="AQ88" s="323" t="s">
        <v>765</v>
      </c>
      <c r="AR88" s="323" t="s">
        <v>766</v>
      </c>
      <c r="AS88" s="313" t="s">
        <v>1207</v>
      </c>
    </row>
    <row r="89" spans="1:45" s="222" customFormat="1" ht="18" customHeight="1">
      <c r="A89" s="208">
        <v>1</v>
      </c>
      <c r="B89" s="295" t="s">
        <v>622</v>
      </c>
      <c r="C89" s="295" t="s">
        <v>767</v>
      </c>
      <c r="D89" s="295" t="s">
        <v>768</v>
      </c>
      <c r="E89" s="306">
        <v>32</v>
      </c>
      <c r="F89" s="197" t="s">
        <v>8</v>
      </c>
      <c r="G89" s="197" t="s">
        <v>68</v>
      </c>
      <c r="H89" s="337">
        <v>45947</v>
      </c>
      <c r="I89" s="337">
        <v>45960</v>
      </c>
      <c r="J89" s="242">
        <v>45960</v>
      </c>
      <c r="K89" s="213">
        <f t="shared" si="6"/>
        <v>46140</v>
      </c>
      <c r="L89" s="214" t="s">
        <v>479</v>
      </c>
      <c r="M89" s="88">
        <v>46143</v>
      </c>
      <c r="N89" s="404">
        <f>M89+180</f>
        <v>46323</v>
      </c>
      <c r="O89" s="238" t="s">
        <v>839</v>
      </c>
      <c r="P89" s="238"/>
      <c r="Q89" s="238"/>
      <c r="R89" s="238">
        <v>2</v>
      </c>
      <c r="S89" s="238"/>
      <c r="T89" s="240"/>
      <c r="U89" s="216"/>
      <c r="V89" s="217"/>
      <c r="W89" s="218"/>
      <c r="X89" s="236"/>
      <c r="Y89" s="421" t="s">
        <v>1360</v>
      </c>
      <c r="Z89" s="221"/>
      <c r="AA89" s="221"/>
      <c r="AB89" s="221">
        <v>1</v>
      </c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 t="s">
        <v>897</v>
      </c>
      <c r="AO89" s="310" t="s">
        <v>1153</v>
      </c>
      <c r="AP89" s="318" t="s">
        <v>1049</v>
      </c>
      <c r="AQ89" s="323" t="s">
        <v>767</v>
      </c>
      <c r="AR89" s="323" t="s">
        <v>768</v>
      </c>
      <c r="AS89" s="313" t="s">
        <v>1208</v>
      </c>
    </row>
    <row r="90" spans="1:45" s="222" customFormat="1" ht="18" customHeight="1">
      <c r="A90" s="208">
        <v>1</v>
      </c>
      <c r="B90" s="295" t="s">
        <v>622</v>
      </c>
      <c r="C90" s="295" t="s">
        <v>769</v>
      </c>
      <c r="D90" s="295" t="s">
        <v>770</v>
      </c>
      <c r="E90" s="306">
        <v>58</v>
      </c>
      <c r="F90" s="197" t="s">
        <v>29</v>
      </c>
      <c r="G90" s="197" t="s">
        <v>69</v>
      </c>
      <c r="H90" s="337">
        <v>45825</v>
      </c>
      <c r="I90" s="337">
        <v>45930</v>
      </c>
      <c r="J90" s="242">
        <v>45930</v>
      </c>
      <c r="K90" s="213">
        <f t="shared" si="6"/>
        <v>46110</v>
      </c>
      <c r="L90" s="290" t="s">
        <v>479</v>
      </c>
      <c r="M90" s="88">
        <v>46112</v>
      </c>
      <c r="N90" s="404">
        <f>M90+180</f>
        <v>46292</v>
      </c>
      <c r="O90" s="238" t="s">
        <v>845</v>
      </c>
      <c r="P90" s="238" t="s">
        <v>832</v>
      </c>
      <c r="Q90" s="238" t="s">
        <v>843</v>
      </c>
      <c r="R90" s="238"/>
      <c r="S90" s="238"/>
      <c r="T90" s="240"/>
      <c r="U90" s="216"/>
      <c r="V90" s="217"/>
      <c r="W90" s="218"/>
      <c r="X90" s="236"/>
      <c r="Y90" s="421" t="s">
        <v>1362</v>
      </c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 t="s">
        <v>898</v>
      </c>
      <c r="AO90" s="342"/>
      <c r="AP90" s="320" t="s">
        <v>1233</v>
      </c>
      <c r="AQ90" s="232" t="s">
        <v>769</v>
      </c>
      <c r="AR90" s="232" t="s">
        <v>770</v>
      </c>
      <c r="AS90" s="197"/>
    </row>
    <row r="91" spans="1:45" s="222" customFormat="1" ht="18" customHeight="1">
      <c r="A91" s="208"/>
      <c r="B91" s="295" t="s">
        <v>622</v>
      </c>
      <c r="C91" s="295" t="s">
        <v>1442</v>
      </c>
      <c r="D91" s="295" t="s">
        <v>1443</v>
      </c>
      <c r="E91" s="306"/>
      <c r="F91" s="197"/>
      <c r="G91" s="197"/>
      <c r="H91" s="337"/>
      <c r="I91" s="337"/>
      <c r="J91" s="242"/>
      <c r="K91" s="213"/>
      <c r="L91" s="290"/>
      <c r="M91" s="88"/>
      <c r="N91" s="404"/>
      <c r="O91" s="238"/>
      <c r="P91" s="238"/>
      <c r="Q91" s="238"/>
      <c r="R91" s="238"/>
      <c r="S91" s="238"/>
      <c r="T91" s="240"/>
      <c r="U91" s="216"/>
      <c r="V91" s="217"/>
      <c r="W91" s="218"/>
      <c r="X91" s="236"/>
      <c r="Y91" s="4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342"/>
      <c r="AP91" s="320"/>
      <c r="AQ91" s="232"/>
      <c r="AR91" s="232"/>
      <c r="AS91" s="197"/>
    </row>
    <row r="92" spans="1:45" s="222" customFormat="1" ht="18" customHeight="1">
      <c r="A92" s="208"/>
      <c r="B92" s="295" t="s">
        <v>619</v>
      </c>
      <c r="C92" s="345" t="s">
        <v>1471</v>
      </c>
      <c r="D92" s="295" t="s">
        <v>1469</v>
      </c>
      <c r="E92" s="306">
        <v>26</v>
      </c>
      <c r="F92" s="197"/>
      <c r="G92" s="197" t="s">
        <v>69</v>
      </c>
      <c r="H92" s="337"/>
      <c r="I92" s="337"/>
      <c r="J92" s="242"/>
      <c r="K92" s="213"/>
      <c r="L92" s="269"/>
      <c r="M92" s="56"/>
      <c r="N92" s="404"/>
      <c r="O92" s="238"/>
      <c r="P92" s="238"/>
      <c r="Q92" s="238"/>
      <c r="R92" s="238"/>
      <c r="S92" s="238"/>
      <c r="T92" s="240"/>
      <c r="U92" s="216"/>
      <c r="V92" s="217"/>
      <c r="W92" s="218"/>
      <c r="X92" s="236"/>
      <c r="Y92" s="422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319"/>
      <c r="AP92" s="320"/>
      <c r="AQ92" s="232"/>
      <c r="AR92" s="232"/>
      <c r="AS92" s="197"/>
    </row>
    <row r="93" spans="1:45" s="222" customFormat="1" ht="18" customHeight="1">
      <c r="A93" s="208"/>
      <c r="B93" s="295" t="s">
        <v>622</v>
      </c>
      <c r="C93" s="345" t="s">
        <v>1479</v>
      </c>
      <c r="D93" s="295" t="s">
        <v>1480</v>
      </c>
      <c r="E93" s="306">
        <v>27</v>
      </c>
      <c r="F93" s="197"/>
      <c r="G93" s="197"/>
      <c r="H93" s="337">
        <v>46240</v>
      </c>
      <c r="I93" s="337">
        <v>46266</v>
      </c>
      <c r="J93" s="242"/>
      <c r="K93" s="213"/>
      <c r="L93" s="269"/>
      <c r="M93" s="56"/>
      <c r="N93" s="404"/>
      <c r="O93" s="238"/>
      <c r="P93" s="238"/>
      <c r="Q93" s="238"/>
      <c r="R93" s="238"/>
      <c r="S93" s="238"/>
      <c r="T93" s="240"/>
      <c r="U93" s="216"/>
      <c r="V93" s="217"/>
      <c r="W93" s="218"/>
      <c r="X93" s="236"/>
      <c r="Y93" s="422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319"/>
      <c r="AP93" s="320"/>
      <c r="AQ93" s="232"/>
      <c r="AR93" s="232"/>
      <c r="AS93" s="197"/>
    </row>
    <row r="94" spans="1:45" s="222" customFormat="1" ht="18" customHeight="1">
      <c r="A94" s="208">
        <v>1</v>
      </c>
      <c r="B94" s="295" t="s">
        <v>619</v>
      </c>
      <c r="C94" s="295" t="s">
        <v>1237</v>
      </c>
      <c r="D94" s="295" t="s">
        <v>1238</v>
      </c>
      <c r="E94" s="306">
        <v>38</v>
      </c>
      <c r="F94" s="197" t="s">
        <v>11</v>
      </c>
      <c r="G94" s="197" t="s">
        <v>69</v>
      </c>
      <c r="H94" s="337">
        <v>46128</v>
      </c>
      <c r="I94" s="337">
        <v>46199</v>
      </c>
      <c r="J94" s="242">
        <v>46199</v>
      </c>
      <c r="K94" s="213">
        <f>+J94+180</f>
        <v>46379</v>
      </c>
      <c r="L94" s="269"/>
      <c r="M94" s="56"/>
      <c r="N94" s="404"/>
      <c r="O94" s="238" t="s">
        <v>830</v>
      </c>
      <c r="P94" s="238" t="s">
        <v>1398</v>
      </c>
      <c r="Q94" s="238"/>
      <c r="R94" s="238"/>
      <c r="S94" s="238"/>
      <c r="T94" s="240"/>
      <c r="U94" s="216"/>
      <c r="V94" s="217"/>
      <c r="W94" s="218"/>
      <c r="X94" s="236"/>
      <c r="Y94" s="48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319"/>
      <c r="AP94" s="320" t="s">
        <v>1511</v>
      </c>
      <c r="AQ94" s="232"/>
      <c r="AR94" s="232"/>
      <c r="AS94" s="197"/>
    </row>
    <row r="95" spans="1:45" s="222" customFormat="1" ht="18" customHeight="1">
      <c r="A95" s="208">
        <v>1</v>
      </c>
      <c r="B95" s="295" t="s">
        <v>619</v>
      </c>
      <c r="C95" s="295" t="s">
        <v>772</v>
      </c>
      <c r="D95" s="295" t="s">
        <v>773</v>
      </c>
      <c r="E95" s="306">
        <v>33</v>
      </c>
      <c r="F95" s="210" t="s">
        <v>8</v>
      </c>
      <c r="G95" s="295" t="s">
        <v>69</v>
      </c>
      <c r="H95" s="337">
        <v>46031</v>
      </c>
      <c r="I95" s="337">
        <v>46048</v>
      </c>
      <c r="J95" s="242">
        <v>46048</v>
      </c>
      <c r="K95" s="302">
        <f>+J95+180</f>
        <v>46228</v>
      </c>
      <c r="L95" s="214" t="s">
        <v>479</v>
      </c>
      <c r="M95" s="56">
        <v>46230</v>
      </c>
      <c r="N95" s="404">
        <f>M95+180</f>
        <v>46410</v>
      </c>
      <c r="O95" s="238" t="s">
        <v>828</v>
      </c>
      <c r="P95" s="238"/>
      <c r="Q95" s="238"/>
      <c r="R95" s="238"/>
      <c r="S95" s="238"/>
      <c r="T95" s="215"/>
      <c r="U95" s="216"/>
      <c r="V95" s="217"/>
      <c r="W95" s="218"/>
      <c r="X95" s="236"/>
      <c r="Y95" s="421" t="s">
        <v>1364</v>
      </c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 t="s">
        <v>856</v>
      </c>
      <c r="AO95" s="310"/>
      <c r="AP95" s="318" t="s">
        <v>1512</v>
      </c>
      <c r="AQ95" s="312" t="s">
        <v>772</v>
      </c>
      <c r="AR95" s="312" t="s">
        <v>773</v>
      </c>
      <c r="AS95" s="313" t="s">
        <v>1209</v>
      </c>
    </row>
    <row r="96" spans="1:45" s="222" customFormat="1" ht="18" customHeight="1">
      <c r="A96" s="208">
        <v>1</v>
      </c>
      <c r="B96" s="295" t="s">
        <v>619</v>
      </c>
      <c r="C96" s="295" t="s">
        <v>775</v>
      </c>
      <c r="D96" s="295" t="s">
        <v>776</v>
      </c>
      <c r="E96" s="306">
        <v>29</v>
      </c>
      <c r="F96" s="210" t="s">
        <v>29</v>
      </c>
      <c r="G96" s="295" t="s">
        <v>68</v>
      </c>
      <c r="H96" s="337">
        <v>45897</v>
      </c>
      <c r="I96" s="337">
        <v>45951</v>
      </c>
      <c r="J96" s="242">
        <v>45951</v>
      </c>
      <c r="K96" s="213">
        <f>+J96+180</f>
        <v>46131</v>
      </c>
      <c r="L96" s="214" t="s">
        <v>479</v>
      </c>
      <c r="M96" s="56">
        <v>46134</v>
      </c>
      <c r="N96" s="404">
        <f>M96+180</f>
        <v>46314</v>
      </c>
      <c r="O96" s="238" t="s">
        <v>839</v>
      </c>
      <c r="P96" s="238"/>
      <c r="Q96" s="238"/>
      <c r="R96" s="238">
        <v>5</v>
      </c>
      <c r="S96" s="238">
        <v>1</v>
      </c>
      <c r="T96" s="240"/>
      <c r="U96" s="216"/>
      <c r="V96" s="217"/>
      <c r="W96" s="218"/>
      <c r="X96" s="236"/>
      <c r="Y96" s="421" t="s">
        <v>1366</v>
      </c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 t="s">
        <v>899</v>
      </c>
      <c r="AO96" s="310"/>
      <c r="AP96" s="310" t="s">
        <v>1049</v>
      </c>
      <c r="AQ96" s="312" t="s">
        <v>775</v>
      </c>
      <c r="AR96" s="312" t="s">
        <v>776</v>
      </c>
      <c r="AS96" s="313" t="s">
        <v>1211</v>
      </c>
    </row>
    <row r="97" spans="1:45" s="222" customFormat="1" ht="18" customHeight="1">
      <c r="A97" s="208"/>
      <c r="B97" s="295" t="s">
        <v>619</v>
      </c>
      <c r="C97" s="295" t="s">
        <v>1447</v>
      </c>
      <c r="D97" s="295" t="s">
        <v>1448</v>
      </c>
      <c r="E97" s="306">
        <v>36</v>
      </c>
      <c r="F97" s="210"/>
      <c r="G97" s="295" t="s">
        <v>68</v>
      </c>
      <c r="H97" s="337">
        <v>46241</v>
      </c>
      <c r="I97" s="337"/>
      <c r="J97" s="242"/>
      <c r="K97" s="213"/>
      <c r="L97" s="214"/>
      <c r="M97" s="56"/>
      <c r="N97" s="404"/>
      <c r="O97" s="238"/>
      <c r="P97" s="238"/>
      <c r="Q97" s="238"/>
      <c r="R97" s="238"/>
      <c r="S97" s="238"/>
      <c r="T97" s="240"/>
      <c r="U97" s="216"/>
      <c r="V97" s="217"/>
      <c r="W97" s="218"/>
      <c r="X97" s="236"/>
      <c r="Y97" s="4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310"/>
      <c r="AP97" s="310"/>
      <c r="AQ97" s="488"/>
      <c r="AR97" s="488"/>
      <c r="AS97" s="489"/>
    </row>
    <row r="98" spans="1:45" s="222" customFormat="1" ht="18" customHeight="1">
      <c r="A98" s="208">
        <v>1</v>
      </c>
      <c r="B98" s="295" t="s">
        <v>622</v>
      </c>
      <c r="C98" s="295" t="s">
        <v>1074</v>
      </c>
      <c r="D98" s="295" t="s">
        <v>1075</v>
      </c>
      <c r="E98" s="306">
        <v>33</v>
      </c>
      <c r="F98" s="210" t="s">
        <v>8</v>
      </c>
      <c r="G98" s="295" t="s">
        <v>68</v>
      </c>
      <c r="H98" s="337">
        <v>46084</v>
      </c>
      <c r="I98" s="337">
        <v>46114</v>
      </c>
      <c r="J98" s="242">
        <v>46114</v>
      </c>
      <c r="K98" s="213">
        <f t="shared" ref="K98:K105" si="7">+J98+180</f>
        <v>46294</v>
      </c>
      <c r="L98" s="213"/>
      <c r="M98" s="54"/>
      <c r="N98" s="404">
        <f t="shared" ref="N98:N104" si="8">M98+180</f>
        <v>180</v>
      </c>
      <c r="O98" s="238" t="s">
        <v>1076</v>
      </c>
      <c r="P98" s="238" t="s">
        <v>1077</v>
      </c>
      <c r="Q98" s="238"/>
      <c r="R98" s="238"/>
      <c r="S98" s="238"/>
      <c r="T98" s="240"/>
      <c r="U98" s="216"/>
      <c r="V98" s="217"/>
      <c r="W98" s="218"/>
      <c r="X98" s="236"/>
      <c r="Y98" s="421" t="s">
        <v>1367</v>
      </c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310"/>
      <c r="AP98" s="310" t="s">
        <v>907</v>
      </c>
    </row>
    <row r="99" spans="1:45" s="222" customFormat="1" ht="18" customHeight="1">
      <c r="A99" s="208">
        <v>1</v>
      </c>
      <c r="B99" s="295" t="s">
        <v>619</v>
      </c>
      <c r="C99" s="429" t="s">
        <v>777</v>
      </c>
      <c r="D99" s="295" t="s">
        <v>778</v>
      </c>
      <c r="E99" s="306">
        <v>39</v>
      </c>
      <c r="F99" s="210" t="s">
        <v>29</v>
      </c>
      <c r="G99" s="295" t="s">
        <v>69</v>
      </c>
      <c r="H99" s="337">
        <v>45828</v>
      </c>
      <c r="I99" s="337">
        <v>45891</v>
      </c>
      <c r="J99" s="242">
        <v>45891</v>
      </c>
      <c r="K99" s="213">
        <f t="shared" si="7"/>
        <v>46071</v>
      </c>
      <c r="L99" s="269" t="s">
        <v>479</v>
      </c>
      <c r="M99" s="54"/>
      <c r="N99" s="404">
        <f t="shared" si="8"/>
        <v>180</v>
      </c>
      <c r="O99" s="238" t="s">
        <v>827</v>
      </c>
      <c r="P99" s="238"/>
      <c r="Q99" s="238"/>
      <c r="R99" s="238"/>
      <c r="S99" s="238"/>
      <c r="T99" s="240"/>
      <c r="U99" s="216"/>
      <c r="V99" s="217"/>
      <c r="W99" s="218"/>
      <c r="X99" s="236"/>
      <c r="Y99" s="421" t="s">
        <v>1369</v>
      </c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 t="s">
        <v>900</v>
      </c>
      <c r="AO99" s="310" t="s">
        <v>1102</v>
      </c>
      <c r="AP99" s="310" t="s">
        <v>1135</v>
      </c>
      <c r="AQ99" s="312" t="s">
        <v>777</v>
      </c>
      <c r="AR99" s="312" t="s">
        <v>778</v>
      </c>
      <c r="AS99" s="121"/>
    </row>
    <row r="100" spans="1:45" s="222" customFormat="1" ht="18" customHeight="1">
      <c r="A100" s="208">
        <v>1</v>
      </c>
      <c r="B100" s="295" t="s">
        <v>619</v>
      </c>
      <c r="C100" s="295" t="s">
        <v>1068</v>
      </c>
      <c r="D100" s="295" t="s">
        <v>1069</v>
      </c>
      <c r="E100" s="306">
        <v>40</v>
      </c>
      <c r="F100" s="210" t="s">
        <v>29</v>
      </c>
      <c r="G100" s="295" t="s">
        <v>68</v>
      </c>
      <c r="H100" s="337">
        <v>46072</v>
      </c>
      <c r="I100" s="337">
        <v>46113</v>
      </c>
      <c r="J100" s="242">
        <v>46113</v>
      </c>
      <c r="K100" s="213">
        <f t="shared" si="7"/>
        <v>46293</v>
      </c>
      <c r="L100" s="213"/>
      <c r="M100" s="54"/>
      <c r="N100" s="404">
        <f t="shared" si="8"/>
        <v>180</v>
      </c>
      <c r="O100" s="238" t="s">
        <v>828</v>
      </c>
      <c r="P100" s="238"/>
      <c r="Q100" s="238"/>
      <c r="R100" s="238"/>
      <c r="S100" s="238"/>
      <c r="T100" s="240"/>
      <c r="U100" s="216"/>
      <c r="V100" s="217"/>
      <c r="W100" s="218"/>
      <c r="X100" s="236"/>
      <c r="Y100" s="433" t="s">
        <v>1407</v>
      </c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 t="s">
        <v>1243</v>
      </c>
      <c r="AO100" s="310"/>
      <c r="AP100" s="310" t="s">
        <v>1513</v>
      </c>
    </row>
    <row r="101" spans="1:45" s="222" customFormat="1" ht="18" customHeight="1">
      <c r="A101" s="208">
        <v>1</v>
      </c>
      <c r="B101" s="295" t="s">
        <v>619</v>
      </c>
      <c r="C101" s="382" t="s">
        <v>1060</v>
      </c>
      <c r="D101" s="295" t="s">
        <v>779</v>
      </c>
      <c r="E101" s="306">
        <v>54</v>
      </c>
      <c r="F101" s="210" t="s">
        <v>29</v>
      </c>
      <c r="G101" s="295" t="s">
        <v>68</v>
      </c>
      <c r="H101" s="316">
        <v>45846</v>
      </c>
      <c r="I101" s="316">
        <v>45854</v>
      </c>
      <c r="J101" s="242">
        <v>45854</v>
      </c>
      <c r="K101" s="213">
        <f t="shared" si="7"/>
        <v>46034</v>
      </c>
      <c r="L101" s="290" t="s">
        <v>479</v>
      </c>
      <c r="M101" s="56">
        <v>46039</v>
      </c>
      <c r="N101" s="485">
        <f t="shared" si="8"/>
        <v>46219</v>
      </c>
      <c r="O101" s="238" t="s">
        <v>828</v>
      </c>
      <c r="P101" s="238"/>
      <c r="Q101" s="238"/>
      <c r="R101" s="238"/>
      <c r="S101" s="238"/>
      <c r="T101" s="240"/>
      <c r="U101" s="216"/>
      <c r="V101" s="217"/>
      <c r="W101" s="218"/>
      <c r="X101" s="236"/>
      <c r="Y101" s="241"/>
      <c r="Z101" s="221"/>
      <c r="AA101" s="221"/>
      <c r="AB101" s="221"/>
      <c r="AC101" s="221"/>
      <c r="AD101" s="221"/>
      <c r="AE101" s="221"/>
      <c r="AF101" s="221"/>
      <c r="AG101" s="221"/>
      <c r="AH101" s="221">
        <v>1</v>
      </c>
      <c r="AI101" s="221"/>
      <c r="AJ101" s="221"/>
      <c r="AK101" s="221"/>
      <c r="AL101" s="221"/>
      <c r="AM101" s="221"/>
      <c r="AN101" s="221" t="s">
        <v>901</v>
      </c>
      <c r="AO101" s="321" t="s">
        <v>1011</v>
      </c>
      <c r="AP101" s="318" t="s">
        <v>1249</v>
      </c>
      <c r="AQ101" s="312" t="s">
        <v>1212</v>
      </c>
      <c r="AR101" s="312" t="s">
        <v>779</v>
      </c>
      <c r="AS101" s="121"/>
    </row>
    <row r="102" spans="1:45" s="222" customFormat="1" ht="18" customHeight="1">
      <c r="A102" s="208">
        <v>1</v>
      </c>
      <c r="B102" s="295" t="s">
        <v>619</v>
      </c>
      <c r="C102" s="295" t="s">
        <v>781</v>
      </c>
      <c r="D102" s="295" t="s">
        <v>782</v>
      </c>
      <c r="E102" s="306">
        <v>57</v>
      </c>
      <c r="F102" s="210" t="s">
        <v>8</v>
      </c>
      <c r="G102" s="295" t="s">
        <v>69</v>
      </c>
      <c r="H102" s="398">
        <v>45827</v>
      </c>
      <c r="I102" s="398">
        <v>38603</v>
      </c>
      <c r="J102" s="242">
        <v>45994</v>
      </c>
      <c r="K102" s="213">
        <f t="shared" si="7"/>
        <v>46174</v>
      </c>
      <c r="L102" s="290" t="s">
        <v>479</v>
      </c>
      <c r="M102" s="56">
        <v>46177</v>
      </c>
      <c r="N102" s="404">
        <f t="shared" si="8"/>
        <v>46357</v>
      </c>
      <c r="O102" s="238" t="s">
        <v>828</v>
      </c>
      <c r="P102" s="238"/>
      <c r="Q102" s="238"/>
      <c r="R102" s="238"/>
      <c r="S102" s="238"/>
      <c r="T102" s="240"/>
      <c r="U102" s="216"/>
      <c r="V102" s="217"/>
      <c r="W102" s="218"/>
      <c r="X102" s="236"/>
      <c r="Y102" s="491"/>
      <c r="Z102" s="221"/>
      <c r="AA102" s="221"/>
      <c r="AB102" s="221"/>
      <c r="AC102" s="221"/>
      <c r="AD102" s="221"/>
      <c r="AE102" s="221"/>
      <c r="AF102" s="221"/>
      <c r="AG102" s="221"/>
      <c r="AH102" s="221">
        <v>1</v>
      </c>
      <c r="AI102" s="221"/>
      <c r="AJ102" s="221"/>
      <c r="AK102" s="221"/>
      <c r="AL102" s="221"/>
      <c r="AM102" s="221"/>
      <c r="AN102" s="221" t="s">
        <v>902</v>
      </c>
      <c r="AO102" s="320" t="s">
        <v>1152</v>
      </c>
      <c r="AP102" s="320"/>
      <c r="AQ102" s="232" t="s">
        <v>781</v>
      </c>
      <c r="AR102" s="232" t="s">
        <v>782</v>
      </c>
      <c r="AS102" s="331" t="s">
        <v>1214</v>
      </c>
    </row>
    <row r="103" spans="1:45" s="222" customFormat="1" ht="18" customHeight="1">
      <c r="A103" s="208">
        <v>1</v>
      </c>
      <c r="B103" s="295" t="s">
        <v>619</v>
      </c>
      <c r="C103" s="295" t="s">
        <v>785</v>
      </c>
      <c r="D103" s="343" t="s">
        <v>786</v>
      </c>
      <c r="E103" s="306">
        <v>34</v>
      </c>
      <c r="F103" s="210" t="s">
        <v>29</v>
      </c>
      <c r="G103" s="295" t="s">
        <v>69</v>
      </c>
      <c r="H103" s="316">
        <v>46052</v>
      </c>
      <c r="I103" s="316">
        <v>46063</v>
      </c>
      <c r="J103" s="242">
        <v>46063</v>
      </c>
      <c r="K103" s="213">
        <f t="shared" si="7"/>
        <v>46243</v>
      </c>
      <c r="L103" s="214" t="s">
        <v>479</v>
      </c>
      <c r="M103" s="56">
        <v>46245</v>
      </c>
      <c r="N103" s="404">
        <f t="shared" si="8"/>
        <v>46425</v>
      </c>
      <c r="O103" s="238" t="s">
        <v>828</v>
      </c>
      <c r="P103" s="238"/>
      <c r="Q103" s="238"/>
      <c r="R103" s="238"/>
      <c r="S103" s="238"/>
      <c r="T103" s="240"/>
      <c r="U103" s="216"/>
      <c r="V103" s="217"/>
      <c r="W103" s="218"/>
      <c r="X103" s="236"/>
      <c r="Y103" s="421" t="s">
        <v>1373</v>
      </c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 t="s">
        <v>856</v>
      </c>
      <c r="AO103" s="310" t="s">
        <v>1132</v>
      </c>
      <c r="AP103" s="310"/>
      <c r="AQ103" s="312" t="s">
        <v>785</v>
      </c>
      <c r="AR103" s="312" t="s">
        <v>786</v>
      </c>
      <c r="AS103" s="313" t="s">
        <v>1215</v>
      </c>
    </row>
    <row r="104" spans="1:45" s="222" customFormat="1" ht="18" customHeight="1">
      <c r="A104" s="208">
        <v>1</v>
      </c>
      <c r="B104" s="232" t="s">
        <v>622</v>
      </c>
      <c r="C104" s="232" t="s">
        <v>793</v>
      </c>
      <c r="D104" s="232" t="s">
        <v>794</v>
      </c>
      <c r="E104" s="231">
        <v>50</v>
      </c>
      <c r="F104" s="210" t="s">
        <v>29</v>
      </c>
      <c r="G104" s="232" t="s">
        <v>69</v>
      </c>
      <c r="H104" s="316">
        <v>46001</v>
      </c>
      <c r="I104" s="316">
        <v>46030</v>
      </c>
      <c r="J104" s="242">
        <v>46030</v>
      </c>
      <c r="K104" s="269">
        <f t="shared" si="7"/>
        <v>46210</v>
      </c>
      <c r="L104" s="242"/>
      <c r="M104" s="53"/>
      <c r="N104" s="404">
        <f t="shared" si="8"/>
        <v>180</v>
      </c>
      <c r="O104" s="238" t="s">
        <v>824</v>
      </c>
      <c r="P104" s="238" t="s">
        <v>828</v>
      </c>
      <c r="Q104" s="238"/>
      <c r="R104" s="238"/>
      <c r="S104" s="238"/>
      <c r="T104" s="240"/>
      <c r="U104" s="216"/>
      <c r="V104" s="217"/>
      <c r="W104" s="218"/>
      <c r="X104" s="242"/>
      <c r="Y104" s="422" t="s">
        <v>1378</v>
      </c>
      <c r="Z104" s="221"/>
      <c r="AA104" s="221"/>
      <c r="AB104" s="221"/>
      <c r="AC104" s="221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221"/>
      <c r="AO104" s="320"/>
      <c r="AP104" s="320" t="s">
        <v>1514</v>
      </c>
      <c r="AQ104" s="232" t="s">
        <v>793</v>
      </c>
      <c r="AR104" s="232" t="s">
        <v>794</v>
      </c>
      <c r="AS104" s="331" t="s">
        <v>1220</v>
      </c>
    </row>
    <row r="105" spans="1:45" s="222" customFormat="1" ht="12.75">
      <c r="A105" s="208"/>
      <c r="B105" s="400" t="s">
        <v>622</v>
      </c>
      <c r="C105" s="400" t="s">
        <v>1460</v>
      </c>
      <c r="D105" s="232" t="s">
        <v>391</v>
      </c>
      <c r="E105" s="231">
        <v>32</v>
      </c>
      <c r="F105" s="210" t="s">
        <v>1477</v>
      </c>
      <c r="G105" s="232" t="s">
        <v>69</v>
      </c>
      <c r="H105" s="316">
        <v>45894</v>
      </c>
      <c r="I105" s="316">
        <v>46265</v>
      </c>
      <c r="J105" s="242">
        <v>46265</v>
      </c>
      <c r="K105" s="213">
        <f t="shared" si="7"/>
        <v>46445</v>
      </c>
      <c r="L105" s="237"/>
      <c r="M105" s="56"/>
      <c r="N105" s="485"/>
      <c r="O105" s="239" t="s">
        <v>844</v>
      </c>
      <c r="P105" s="239"/>
      <c r="Q105" s="239"/>
      <c r="R105" s="239"/>
      <c r="S105" s="239"/>
      <c r="T105" s="240"/>
      <c r="U105" s="216"/>
      <c r="V105" s="217"/>
      <c r="W105" s="218"/>
      <c r="X105" s="242"/>
      <c r="Y105" s="494"/>
      <c r="Z105" s="221"/>
      <c r="AA105" s="221"/>
      <c r="AB105" s="221"/>
      <c r="AC105" s="221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221" t="s">
        <v>1478</v>
      </c>
      <c r="AO105" s="319"/>
      <c r="AP105" s="320"/>
      <c r="AQ105" s="232"/>
      <c r="AR105" s="232"/>
      <c r="AS105" s="331"/>
    </row>
    <row r="106" spans="1:45" s="222" customFormat="1" ht="12.75">
      <c r="A106" s="208"/>
      <c r="B106" s="400" t="s">
        <v>619</v>
      </c>
      <c r="C106" s="400" t="s">
        <v>1456</v>
      </c>
      <c r="D106" s="232" t="s">
        <v>1457</v>
      </c>
      <c r="E106" s="231">
        <v>40</v>
      </c>
      <c r="F106" s="210"/>
      <c r="G106" s="232" t="s">
        <v>69</v>
      </c>
      <c r="H106" s="316"/>
      <c r="I106" s="316"/>
      <c r="J106" s="242"/>
      <c r="K106" s="213"/>
      <c r="L106" s="237"/>
      <c r="M106" s="56"/>
      <c r="N106" s="485"/>
      <c r="O106" s="239"/>
      <c r="P106" s="239"/>
      <c r="Q106" s="239"/>
      <c r="R106" s="239"/>
      <c r="S106" s="239"/>
      <c r="T106" s="240"/>
      <c r="U106" s="216"/>
      <c r="V106" s="217"/>
      <c r="W106" s="218"/>
      <c r="X106" s="242"/>
      <c r="Y106" s="490"/>
      <c r="Z106" s="221"/>
      <c r="AA106" s="221"/>
      <c r="AB106" s="221"/>
      <c r="AC106" s="221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221"/>
      <c r="AO106" s="319"/>
      <c r="AP106" s="320"/>
      <c r="AQ106" s="232"/>
      <c r="AR106" s="232"/>
      <c r="AS106" s="331"/>
    </row>
    <row r="107" spans="1:45" s="253" customFormat="1" ht="18" customHeight="1">
      <c r="A107" s="273">
        <v>1</v>
      </c>
      <c r="B107" s="441" t="s">
        <v>619</v>
      </c>
      <c r="C107" s="441" t="s">
        <v>1150</v>
      </c>
      <c r="D107" s="441" t="s">
        <v>1151</v>
      </c>
      <c r="E107" s="379">
        <v>32</v>
      </c>
      <c r="F107" s="380" t="s">
        <v>29</v>
      </c>
      <c r="G107" s="304" t="s">
        <v>68</v>
      </c>
      <c r="H107" s="336">
        <v>46087</v>
      </c>
      <c r="I107" s="336">
        <v>46160</v>
      </c>
      <c r="J107" s="277">
        <v>46160</v>
      </c>
      <c r="K107" s="278">
        <f t="shared" ref="K107:K112" si="9">+J107+180</f>
        <v>46340</v>
      </c>
      <c r="L107" s="285"/>
      <c r="M107" s="442"/>
      <c r="N107" s="415">
        <f>M107+180</f>
        <v>180</v>
      </c>
      <c r="O107" s="279" t="s">
        <v>824</v>
      </c>
      <c r="P107" s="279"/>
      <c r="Q107" s="279"/>
      <c r="R107" s="279"/>
      <c r="S107" s="279"/>
      <c r="T107" s="281"/>
      <c r="U107" s="282"/>
      <c r="V107" s="283"/>
      <c r="W107" s="284"/>
      <c r="X107" s="285"/>
      <c r="Y107" s="286"/>
      <c r="Z107" s="287"/>
      <c r="AA107" s="287"/>
      <c r="AB107" s="287"/>
      <c r="AC107" s="287"/>
      <c r="AD107" s="381"/>
      <c r="AE107" s="381"/>
      <c r="AF107" s="381"/>
      <c r="AG107" s="381"/>
      <c r="AH107" s="381"/>
      <c r="AI107" s="381"/>
      <c r="AJ107" s="381"/>
      <c r="AK107" s="381"/>
      <c r="AL107" s="381"/>
      <c r="AM107" s="381"/>
      <c r="AN107" s="287" t="s">
        <v>1416</v>
      </c>
      <c r="AO107" s="390"/>
      <c r="AP107" s="328"/>
      <c r="AQ107" s="332"/>
      <c r="AR107" s="332"/>
      <c r="AS107" s="381"/>
    </row>
    <row r="108" spans="1:45" s="288" customFormat="1" ht="18" customHeight="1">
      <c r="A108" s="273">
        <v>1</v>
      </c>
      <c r="B108" s="378" t="s">
        <v>619</v>
      </c>
      <c r="C108" s="378" t="s">
        <v>805</v>
      </c>
      <c r="D108" s="378" t="s">
        <v>806</v>
      </c>
      <c r="E108" s="379">
        <v>47</v>
      </c>
      <c r="F108" s="380" t="s">
        <v>11</v>
      </c>
      <c r="G108" s="276" t="s">
        <v>68</v>
      </c>
      <c r="H108" s="327">
        <v>46006</v>
      </c>
      <c r="I108" s="327">
        <v>46014</v>
      </c>
      <c r="J108" s="277">
        <v>46041</v>
      </c>
      <c r="K108" s="278">
        <f t="shared" si="9"/>
        <v>46221</v>
      </c>
      <c r="L108" s="285"/>
      <c r="M108" s="414"/>
      <c r="N108" s="415">
        <f>M108+180</f>
        <v>180</v>
      </c>
      <c r="O108" s="279" t="s">
        <v>839</v>
      </c>
      <c r="P108" s="279"/>
      <c r="Q108" s="279"/>
      <c r="R108" s="279">
        <v>7</v>
      </c>
      <c r="S108" s="279">
        <v>2</v>
      </c>
      <c r="T108" s="281"/>
      <c r="U108" s="282" t="s">
        <v>41</v>
      </c>
      <c r="V108" s="283"/>
      <c r="W108" s="284" t="s">
        <v>46</v>
      </c>
      <c r="X108" s="285">
        <v>46204</v>
      </c>
      <c r="Y108" s="421" t="s">
        <v>1386</v>
      </c>
      <c r="Z108" s="287"/>
      <c r="AA108" s="287"/>
      <c r="AB108" s="287"/>
      <c r="AC108" s="287"/>
      <c r="AD108" s="381"/>
      <c r="AE108" s="381"/>
      <c r="AF108" s="381"/>
      <c r="AG108" s="381"/>
      <c r="AH108" s="381"/>
      <c r="AI108" s="381"/>
      <c r="AJ108" s="381"/>
      <c r="AK108" s="381"/>
      <c r="AL108" s="381"/>
      <c r="AM108" s="381"/>
      <c r="AN108" s="287" t="s">
        <v>1515</v>
      </c>
      <c r="AO108" s="390" t="s">
        <v>1105</v>
      </c>
      <c r="AP108" s="328" t="s">
        <v>1516</v>
      </c>
      <c r="AQ108" s="332" t="s">
        <v>805</v>
      </c>
      <c r="AR108" s="332" t="s">
        <v>806</v>
      </c>
      <c r="AS108" s="333" t="s">
        <v>1224</v>
      </c>
    </row>
    <row r="109" spans="1:45" s="222" customFormat="1" ht="18" customHeight="1">
      <c r="A109" s="208">
        <v>1</v>
      </c>
      <c r="B109" s="296" t="s">
        <v>619</v>
      </c>
      <c r="C109" s="296" t="s">
        <v>807</v>
      </c>
      <c r="D109" s="296" t="s">
        <v>808</v>
      </c>
      <c r="E109" s="297">
        <v>51</v>
      </c>
      <c r="F109" s="298" t="s">
        <v>29</v>
      </c>
      <c r="G109" s="232" t="s">
        <v>69</v>
      </c>
      <c r="H109" s="316">
        <v>45838</v>
      </c>
      <c r="I109" s="316">
        <v>45909</v>
      </c>
      <c r="J109" s="242">
        <v>45909</v>
      </c>
      <c r="K109" s="213">
        <f t="shared" si="9"/>
        <v>46089</v>
      </c>
      <c r="L109" s="214" t="s">
        <v>479</v>
      </c>
      <c r="M109" s="56">
        <v>46091</v>
      </c>
      <c r="N109" s="485">
        <f>M109+180</f>
        <v>46271</v>
      </c>
      <c r="O109" s="238" t="s">
        <v>828</v>
      </c>
      <c r="P109" s="238" t="s">
        <v>834</v>
      </c>
      <c r="Q109" s="238"/>
      <c r="R109" s="238"/>
      <c r="S109" s="238"/>
      <c r="T109" s="240">
        <v>1</v>
      </c>
      <c r="U109" s="216"/>
      <c r="V109" s="217"/>
      <c r="W109" s="218"/>
      <c r="X109" s="236"/>
      <c r="Y109" s="421" t="s">
        <v>1388</v>
      </c>
      <c r="Z109" s="221"/>
      <c r="AA109" s="221"/>
      <c r="AB109" s="221"/>
      <c r="AC109" s="221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221" t="s">
        <v>856</v>
      </c>
      <c r="AO109" s="310" t="s">
        <v>1015</v>
      </c>
      <c r="AP109" s="310" t="s">
        <v>1043</v>
      </c>
      <c r="AQ109" s="312" t="s">
        <v>807</v>
      </c>
      <c r="AR109" s="312" t="s">
        <v>808</v>
      </c>
      <c r="AS109" s="313" t="s">
        <v>1225</v>
      </c>
    </row>
    <row r="110" spans="1:45" s="222" customFormat="1" ht="18" customHeight="1">
      <c r="A110" s="208">
        <v>1</v>
      </c>
      <c r="B110" s="296" t="s">
        <v>619</v>
      </c>
      <c r="C110" s="296" t="s">
        <v>1419</v>
      </c>
      <c r="D110" s="296" t="s">
        <v>1420</v>
      </c>
      <c r="E110" s="297">
        <v>56</v>
      </c>
      <c r="F110" s="298"/>
      <c r="G110" s="232" t="s">
        <v>69</v>
      </c>
      <c r="H110" s="316">
        <v>46199</v>
      </c>
      <c r="I110" s="316">
        <v>46220</v>
      </c>
      <c r="J110" s="242">
        <v>46220</v>
      </c>
      <c r="K110" s="213">
        <f t="shared" si="9"/>
        <v>46400</v>
      </c>
      <c r="L110" s="213"/>
      <c r="M110" s="56"/>
      <c r="N110" s="404"/>
      <c r="O110" s="238" t="s">
        <v>843</v>
      </c>
      <c r="P110" s="238" t="s">
        <v>828</v>
      </c>
      <c r="Q110" s="238"/>
      <c r="R110" s="238"/>
      <c r="S110" s="238"/>
      <c r="T110" s="240"/>
      <c r="U110" s="216"/>
      <c r="V110" s="217"/>
      <c r="W110" s="218"/>
      <c r="X110" s="236"/>
      <c r="Y110" s="421"/>
      <c r="Z110" s="221"/>
      <c r="AA110" s="221"/>
      <c r="AB110" s="221"/>
      <c r="AC110" s="221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221"/>
      <c r="AO110" s="310"/>
      <c r="AP110" s="310"/>
      <c r="AQ110" s="312"/>
      <c r="AR110" s="312"/>
      <c r="AS110" s="313"/>
    </row>
    <row r="111" spans="1:45" s="222" customFormat="1" ht="18" customHeight="1">
      <c r="A111" s="208">
        <v>1</v>
      </c>
      <c r="B111" s="345" t="s">
        <v>619</v>
      </c>
      <c r="C111" s="345" t="s">
        <v>809</v>
      </c>
      <c r="D111" s="345" t="s">
        <v>756</v>
      </c>
      <c r="E111" s="297">
        <v>26</v>
      </c>
      <c r="F111" s="298" t="s">
        <v>8</v>
      </c>
      <c r="G111" s="295" t="s">
        <v>69</v>
      </c>
      <c r="H111" s="337">
        <v>46052</v>
      </c>
      <c r="I111" s="337">
        <v>46063</v>
      </c>
      <c r="J111" s="242">
        <v>46063</v>
      </c>
      <c r="K111" s="213">
        <f t="shared" si="9"/>
        <v>46243</v>
      </c>
      <c r="L111" s="214" t="s">
        <v>479</v>
      </c>
      <c r="M111" s="56">
        <v>46245</v>
      </c>
      <c r="N111" s="404">
        <f>M111+180</f>
        <v>46425</v>
      </c>
      <c r="O111" s="238"/>
      <c r="P111" s="238"/>
      <c r="Q111" s="238"/>
      <c r="R111" s="238"/>
      <c r="S111" s="238"/>
      <c r="T111" s="240"/>
      <c r="U111" s="216"/>
      <c r="V111" s="217"/>
      <c r="W111" s="218"/>
      <c r="X111" s="236"/>
      <c r="Y111" s="421" t="s">
        <v>1389</v>
      </c>
      <c r="Z111" s="221"/>
      <c r="AA111" s="221"/>
      <c r="AB111" s="221"/>
      <c r="AC111" s="221"/>
      <c r="AD111" s="197"/>
      <c r="AE111" s="197"/>
      <c r="AF111" s="197"/>
      <c r="AG111" s="197"/>
      <c r="AH111" s="197"/>
      <c r="AI111" s="197"/>
      <c r="AJ111" s="197"/>
      <c r="AK111" s="197"/>
      <c r="AL111" s="197">
        <v>1</v>
      </c>
      <c r="AM111" s="197"/>
      <c r="AN111" s="221" t="s">
        <v>856</v>
      </c>
      <c r="AO111" s="310" t="s">
        <v>1138</v>
      </c>
      <c r="AP111" s="310" t="s">
        <v>1048</v>
      </c>
      <c r="AQ111" s="312" t="s">
        <v>809</v>
      </c>
      <c r="AR111" s="312" t="s">
        <v>756</v>
      </c>
      <c r="AS111" s="313" t="s">
        <v>1226</v>
      </c>
    </row>
    <row r="112" spans="1:45" s="253" customFormat="1" ht="18" customHeight="1">
      <c r="A112" s="423">
        <v>1</v>
      </c>
      <c r="B112" s="225" t="s">
        <v>619</v>
      </c>
      <c r="C112" s="225" t="s">
        <v>811</v>
      </c>
      <c r="D112" s="225" t="s">
        <v>740</v>
      </c>
      <c r="E112" s="223">
        <v>30</v>
      </c>
      <c r="F112" s="224" t="s">
        <v>29</v>
      </c>
      <c r="G112" s="246" t="s">
        <v>68</v>
      </c>
      <c r="H112" s="322">
        <v>45870</v>
      </c>
      <c r="I112" s="322">
        <v>45938</v>
      </c>
      <c r="J112" s="307">
        <v>46092</v>
      </c>
      <c r="K112" s="226">
        <f t="shared" si="9"/>
        <v>46272</v>
      </c>
      <c r="L112" s="226"/>
      <c r="M112" s="424"/>
      <c r="N112" s="425">
        <f>M112+180</f>
        <v>180</v>
      </c>
      <c r="O112" s="248" t="s">
        <v>834</v>
      </c>
      <c r="P112" s="248"/>
      <c r="Q112" s="248"/>
      <c r="R112" s="248">
        <v>1</v>
      </c>
      <c r="S112" s="248"/>
      <c r="T112" s="249"/>
      <c r="U112" s="228"/>
      <c r="V112" s="229"/>
      <c r="W112" s="250"/>
      <c r="X112" s="247"/>
      <c r="Y112" s="498" t="s">
        <v>1391</v>
      </c>
      <c r="Z112" s="230"/>
      <c r="AA112" s="230"/>
      <c r="AB112" s="230"/>
      <c r="AC112" s="230"/>
      <c r="AD112" s="291"/>
      <c r="AE112" s="291"/>
      <c r="AF112" s="291"/>
      <c r="AG112" s="291"/>
      <c r="AH112" s="291"/>
      <c r="AI112" s="291"/>
      <c r="AJ112" s="291"/>
      <c r="AK112" s="291"/>
      <c r="AL112" s="291"/>
      <c r="AM112" s="291"/>
      <c r="AN112" s="230" t="s">
        <v>1517</v>
      </c>
      <c r="AO112" s="499"/>
      <c r="AP112" s="315"/>
      <c r="AQ112" s="246" t="s">
        <v>811</v>
      </c>
      <c r="AR112" s="246" t="s">
        <v>740</v>
      </c>
      <c r="AS112" s="291"/>
    </row>
    <row r="113" spans="1:45" s="222" customFormat="1" ht="18" customHeight="1">
      <c r="A113" s="208"/>
      <c r="B113" s="296" t="s">
        <v>622</v>
      </c>
      <c r="C113" s="296" t="s">
        <v>1454</v>
      </c>
      <c r="D113" s="296" t="s">
        <v>1455</v>
      </c>
      <c r="E113" s="297">
        <v>49</v>
      </c>
      <c r="F113" s="298"/>
      <c r="G113" s="232" t="s">
        <v>69</v>
      </c>
      <c r="H113" s="316"/>
      <c r="I113" s="316"/>
      <c r="J113" s="200"/>
      <c r="K113" s="213"/>
      <c r="L113" s="213"/>
      <c r="M113" s="56"/>
      <c r="N113" s="404"/>
      <c r="O113" s="238"/>
      <c r="P113" s="238"/>
      <c r="Q113" s="238"/>
      <c r="R113" s="238"/>
      <c r="S113" s="238"/>
      <c r="T113" s="240"/>
      <c r="U113" s="216"/>
      <c r="V113" s="217"/>
      <c r="W113" s="218"/>
      <c r="X113" s="242"/>
      <c r="Y113" s="490"/>
      <c r="Z113" s="221"/>
      <c r="AA113" s="221"/>
      <c r="AB113" s="221"/>
      <c r="AC113" s="221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221"/>
      <c r="AO113" s="346"/>
      <c r="AP113" s="320"/>
      <c r="AQ113" s="232"/>
      <c r="AR113" s="232"/>
      <c r="AS113" s="121"/>
    </row>
    <row r="114" spans="1:45" s="253" customFormat="1" ht="18" customHeight="1">
      <c r="A114" s="208">
        <v>1</v>
      </c>
      <c r="B114" s="225" t="s">
        <v>622</v>
      </c>
      <c r="C114" s="225" t="s">
        <v>816</v>
      </c>
      <c r="D114" s="225" t="s">
        <v>817</v>
      </c>
      <c r="E114" s="223">
        <v>32</v>
      </c>
      <c r="F114" s="224" t="s">
        <v>29</v>
      </c>
      <c r="G114" s="246" t="s">
        <v>68</v>
      </c>
      <c r="H114" s="322">
        <v>45827</v>
      </c>
      <c r="I114" s="322">
        <v>45889</v>
      </c>
      <c r="J114" s="307">
        <v>46097</v>
      </c>
      <c r="K114" s="226">
        <f>+J114+180</f>
        <v>46277</v>
      </c>
      <c r="L114" s="226"/>
      <c r="M114" s="53"/>
      <c r="N114" s="404">
        <f>M114+180</f>
        <v>180</v>
      </c>
      <c r="O114" s="248" t="s">
        <v>828</v>
      </c>
      <c r="P114" s="248" t="s">
        <v>1403</v>
      </c>
      <c r="Q114" s="248"/>
      <c r="R114" s="248"/>
      <c r="S114" s="248"/>
      <c r="T114" s="249"/>
      <c r="U114" s="228"/>
      <c r="V114" s="229"/>
      <c r="W114" s="250"/>
      <c r="X114" s="247"/>
      <c r="Y114" s="252"/>
      <c r="Z114" s="230"/>
      <c r="AA114" s="230"/>
      <c r="AB114" s="230"/>
      <c r="AC114" s="230"/>
      <c r="AD114" s="291"/>
      <c r="AE114" s="291"/>
      <c r="AF114" s="291"/>
      <c r="AG114" s="291"/>
      <c r="AH114" s="291"/>
      <c r="AI114" s="291"/>
      <c r="AJ114" s="291"/>
      <c r="AK114" s="291"/>
      <c r="AL114" s="291"/>
      <c r="AM114" s="291"/>
      <c r="AN114" s="230" t="s">
        <v>1518</v>
      </c>
      <c r="AO114" s="347"/>
      <c r="AP114" s="315"/>
      <c r="AQ114" s="246" t="s">
        <v>816</v>
      </c>
      <c r="AR114" s="246" t="s">
        <v>817</v>
      </c>
      <c r="AS114" s="291"/>
    </row>
    <row r="116" spans="1:45" s="52" customFormat="1" ht="18" customHeight="1">
      <c r="A116" s="79"/>
      <c r="B116" s="139"/>
      <c r="C116" s="139"/>
      <c r="D116" s="139"/>
      <c r="E116" s="140"/>
      <c r="F116" s="141"/>
      <c r="G116" s="83"/>
      <c r="H116" s="105"/>
      <c r="I116" s="105"/>
      <c r="J116" s="53"/>
      <c r="K116" s="85"/>
      <c r="L116" s="85"/>
      <c r="M116" s="54"/>
      <c r="N116" s="404">
        <f t="shared" ref="N116:N123" si="10">M116+180</f>
        <v>180</v>
      </c>
      <c r="O116" s="86"/>
      <c r="P116" s="86"/>
      <c r="Q116" s="86"/>
      <c r="R116" s="86"/>
      <c r="S116" s="86"/>
      <c r="T116" s="81"/>
      <c r="U116" s="90"/>
      <c r="V116" s="91"/>
      <c r="W116" s="54"/>
      <c r="X116" s="56"/>
      <c r="Y116" s="89"/>
      <c r="Z116" s="55"/>
      <c r="AA116" s="55"/>
      <c r="AB116" s="55"/>
      <c r="AC116" s="55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5"/>
    </row>
    <row r="117" spans="1:45" s="52" customFormat="1" ht="18" customHeight="1">
      <c r="A117" s="79"/>
      <c r="B117" s="185"/>
      <c r="C117" s="185"/>
      <c r="D117" s="185"/>
      <c r="E117" s="186"/>
      <c r="F117" s="184"/>
      <c r="G117" s="53"/>
      <c r="H117" s="143"/>
      <c r="I117" s="143"/>
      <c r="J117" s="54"/>
      <c r="K117" s="85"/>
      <c r="L117" s="89"/>
      <c r="M117" s="54"/>
      <c r="N117" s="404">
        <f t="shared" si="10"/>
        <v>180</v>
      </c>
      <c r="O117" s="86"/>
      <c r="P117" s="86"/>
      <c r="Q117" s="86"/>
      <c r="R117" s="86"/>
      <c r="S117" s="86"/>
      <c r="T117" s="81"/>
      <c r="U117" s="90"/>
      <c r="V117" s="91"/>
      <c r="W117" s="54"/>
      <c r="X117" s="85"/>
      <c r="Y117" s="89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</row>
    <row r="118" spans="1:45" s="52" customFormat="1" ht="18" customHeight="1">
      <c r="A118" s="79"/>
      <c r="B118" s="185"/>
      <c r="C118" s="185"/>
      <c r="D118" s="185"/>
      <c r="E118" s="186"/>
      <c r="F118" s="184"/>
      <c r="G118" s="53"/>
      <c r="H118" s="143"/>
      <c r="I118" s="143"/>
      <c r="J118" s="54"/>
      <c r="K118" s="85"/>
      <c r="L118" s="89"/>
      <c r="M118" s="54"/>
      <c r="N118" s="404">
        <f t="shared" si="10"/>
        <v>180</v>
      </c>
      <c r="O118" s="86"/>
      <c r="P118" s="86"/>
      <c r="Q118" s="86"/>
      <c r="R118" s="86"/>
      <c r="S118" s="86"/>
      <c r="T118" s="81"/>
      <c r="U118" s="90"/>
      <c r="V118" s="91"/>
      <c r="W118" s="54"/>
      <c r="X118" s="85"/>
      <c r="Y118" s="89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</row>
    <row r="119" spans="1:45" s="52" customFormat="1" ht="18" customHeight="1">
      <c r="A119" s="79"/>
      <c r="B119" s="185"/>
      <c r="C119" s="185"/>
      <c r="D119" s="185"/>
      <c r="E119" s="186"/>
      <c r="F119" s="184"/>
      <c r="G119" s="53"/>
      <c r="H119" s="143"/>
      <c r="I119" s="143"/>
      <c r="J119" s="54"/>
      <c r="K119" s="85"/>
      <c r="L119" s="89"/>
      <c r="M119" s="56"/>
      <c r="N119" s="404">
        <f t="shared" si="10"/>
        <v>180</v>
      </c>
      <c r="O119" s="86"/>
      <c r="P119" s="86"/>
      <c r="Q119" s="86"/>
      <c r="R119" s="86"/>
      <c r="S119" s="86"/>
      <c r="T119" s="81"/>
      <c r="U119" s="90"/>
      <c r="V119" s="91"/>
      <c r="W119" s="54"/>
      <c r="X119" s="85"/>
      <c r="Y119" s="89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</row>
    <row r="120" spans="1:45" s="52" customFormat="1" ht="18" customHeight="1">
      <c r="A120" s="79"/>
      <c r="B120" s="139"/>
      <c r="C120" s="139"/>
      <c r="D120" s="139"/>
      <c r="E120" s="140"/>
      <c r="F120" s="141"/>
      <c r="G120" s="83"/>
      <c r="H120" s="105"/>
      <c r="I120" s="105"/>
      <c r="J120" s="53"/>
      <c r="K120" s="85"/>
      <c r="L120" s="85"/>
      <c r="M120" s="54"/>
      <c r="N120" s="404">
        <f t="shared" si="10"/>
        <v>180</v>
      </c>
      <c r="O120" s="86"/>
      <c r="P120" s="86"/>
      <c r="Q120" s="86"/>
      <c r="R120" s="86"/>
      <c r="S120" s="86"/>
      <c r="T120" s="81"/>
      <c r="U120" s="90"/>
      <c r="V120" s="91"/>
      <c r="W120" s="54"/>
      <c r="X120" s="56"/>
      <c r="Y120" s="89"/>
      <c r="Z120" s="55"/>
      <c r="AA120" s="55"/>
      <c r="AB120" s="55"/>
      <c r="AC120" s="55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5"/>
    </row>
    <row r="121" spans="1:45" s="52" customFormat="1" ht="18" customHeight="1">
      <c r="A121" s="79"/>
      <c r="B121" s="139"/>
      <c r="C121" s="139"/>
      <c r="D121" s="139"/>
      <c r="E121" s="140"/>
      <c r="F121" s="141"/>
      <c r="G121" s="83"/>
      <c r="H121" s="105"/>
      <c r="I121" s="105"/>
      <c r="J121" s="53"/>
      <c r="K121" s="85"/>
      <c r="L121" s="85"/>
      <c r="M121" s="54"/>
      <c r="N121" s="404">
        <f t="shared" si="10"/>
        <v>180</v>
      </c>
      <c r="O121" s="86"/>
      <c r="P121" s="86"/>
      <c r="Q121" s="86"/>
      <c r="R121" s="86"/>
      <c r="S121" s="86"/>
      <c r="T121" s="81"/>
      <c r="U121" s="90"/>
      <c r="V121" s="91"/>
      <c r="W121" s="54"/>
      <c r="X121" s="56"/>
      <c r="Y121" s="89"/>
      <c r="Z121" s="55"/>
      <c r="AA121" s="55"/>
      <c r="AB121" s="55"/>
      <c r="AC121" s="55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5"/>
    </row>
    <row r="122" spans="1:45" s="52" customFormat="1" ht="18" customHeight="1">
      <c r="A122" s="79"/>
      <c r="B122" s="142"/>
      <c r="C122" s="142"/>
      <c r="D122" s="142"/>
      <c r="E122" s="184"/>
      <c r="F122" s="141"/>
      <c r="G122" s="144"/>
      <c r="H122" s="143"/>
      <c r="I122" s="143"/>
      <c r="J122" s="54"/>
      <c r="K122" s="85"/>
      <c r="L122" s="89"/>
      <c r="M122" s="54"/>
      <c r="N122" s="404">
        <f t="shared" si="10"/>
        <v>180</v>
      </c>
      <c r="O122" s="86"/>
      <c r="P122" s="86"/>
      <c r="Q122" s="86"/>
      <c r="R122" s="86"/>
      <c r="S122" s="86"/>
      <c r="T122" s="81"/>
      <c r="U122" s="90"/>
      <c r="V122" s="91"/>
      <c r="W122" s="54"/>
      <c r="X122" s="85"/>
      <c r="Y122" s="89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</row>
    <row r="123" spans="1:45" s="52" customFormat="1" ht="18" customHeight="1">
      <c r="A123" s="449"/>
      <c r="B123" s="450"/>
      <c r="C123" s="450"/>
      <c r="D123" s="450"/>
      <c r="E123" s="451"/>
      <c r="F123" s="452"/>
      <c r="G123" s="453"/>
      <c r="H123" s="454"/>
      <c r="I123" s="454"/>
      <c r="J123" s="455"/>
      <c r="K123" s="456"/>
      <c r="L123" s="456"/>
      <c r="M123" s="455"/>
      <c r="N123" s="457">
        <f t="shared" si="10"/>
        <v>180</v>
      </c>
      <c r="O123" s="458"/>
      <c r="P123" s="458"/>
      <c r="Q123" s="458"/>
      <c r="R123" s="458"/>
      <c r="S123" s="458"/>
      <c r="T123" s="459"/>
      <c r="U123" s="460"/>
      <c r="V123" s="461"/>
      <c r="W123" s="455"/>
      <c r="X123" s="456"/>
      <c r="Y123" s="462"/>
      <c r="Z123" s="463"/>
      <c r="AA123" s="463"/>
      <c r="AB123" s="463"/>
      <c r="AC123" s="463"/>
      <c r="AD123" s="464"/>
      <c r="AE123" s="464"/>
      <c r="AF123" s="464"/>
      <c r="AG123" s="464"/>
      <c r="AH123" s="464"/>
      <c r="AI123" s="464"/>
      <c r="AJ123" s="464"/>
      <c r="AK123" s="464"/>
      <c r="AL123" s="464"/>
      <c r="AM123" s="464"/>
      <c r="AN123" s="463"/>
    </row>
    <row r="124" spans="1:45" s="149" customFormat="1">
      <c r="A124" s="53"/>
      <c r="E124" s="150"/>
      <c r="F124" s="151"/>
      <c r="G124" s="146"/>
      <c r="H124" s="145"/>
      <c r="I124" s="145"/>
      <c r="J124" s="150"/>
      <c r="K124" s="152"/>
      <c r="L124" s="152"/>
      <c r="M124" s="150"/>
      <c r="N124" s="404">
        <f t="shared" ref="N124:N175" si="11">M124+180</f>
        <v>180</v>
      </c>
      <c r="O124" s="150"/>
      <c r="P124" s="150"/>
      <c r="Q124" s="150"/>
      <c r="R124" s="150"/>
      <c r="S124" s="150"/>
      <c r="T124" s="150"/>
      <c r="U124" s="81"/>
      <c r="X124" s="152"/>
      <c r="Y124" s="152"/>
      <c r="Z124" s="153"/>
      <c r="AA124" s="153"/>
      <c r="AB124" s="153"/>
      <c r="AC124" s="153"/>
      <c r="AN124" s="153"/>
    </row>
    <row r="125" spans="1:45" s="149" customFormat="1">
      <c r="A125" s="53"/>
      <c r="E125" s="150"/>
      <c r="F125" s="151"/>
      <c r="G125" s="146"/>
      <c r="H125" s="145"/>
      <c r="I125" s="145"/>
      <c r="J125" s="150"/>
      <c r="K125" s="152"/>
      <c r="L125" s="152"/>
      <c r="M125" s="150"/>
      <c r="N125" s="404">
        <f t="shared" si="11"/>
        <v>180</v>
      </c>
      <c r="O125" s="150"/>
      <c r="P125" s="150"/>
      <c r="Q125" s="150"/>
      <c r="R125" s="150"/>
      <c r="S125" s="150"/>
      <c r="T125" s="150"/>
      <c r="U125" s="81"/>
      <c r="X125" s="152"/>
      <c r="Y125" s="152"/>
      <c r="Z125" s="153"/>
      <c r="AA125" s="153"/>
      <c r="AB125" s="153"/>
      <c r="AC125" s="153"/>
      <c r="AN125" s="153"/>
    </row>
    <row r="126" spans="1:45" s="466" customFormat="1">
      <c r="A126" s="53"/>
      <c r="C126" s="467"/>
      <c r="D126" s="467"/>
      <c r="E126" s="468"/>
      <c r="F126" s="469"/>
      <c r="G126" s="470"/>
      <c r="H126" s="471"/>
      <c r="I126" s="471"/>
      <c r="J126" s="472"/>
      <c r="K126" s="473"/>
      <c r="L126" s="473"/>
      <c r="M126" s="150"/>
      <c r="N126" s="404">
        <f t="shared" si="11"/>
        <v>180</v>
      </c>
      <c r="O126" s="472"/>
      <c r="P126" s="472"/>
      <c r="Q126" s="472"/>
      <c r="R126" s="472"/>
      <c r="S126" s="472"/>
      <c r="T126" s="468"/>
      <c r="U126" s="474"/>
      <c r="X126" s="473"/>
      <c r="Y126" s="473"/>
      <c r="Z126" s="475"/>
      <c r="AA126" s="475"/>
      <c r="AB126" s="475"/>
      <c r="AC126" s="475"/>
      <c r="AN126" s="475"/>
    </row>
    <row r="127" spans="1:45" s="466" customFormat="1">
      <c r="A127" s="53"/>
      <c r="C127" s="467"/>
      <c r="D127" s="467"/>
      <c r="E127" s="468"/>
      <c r="F127" s="469"/>
      <c r="G127" s="470"/>
      <c r="H127" s="471"/>
      <c r="I127" s="471"/>
      <c r="J127" s="472"/>
      <c r="K127" s="473"/>
      <c r="L127" s="473"/>
      <c r="M127" s="150"/>
      <c r="N127" s="404">
        <f t="shared" si="11"/>
        <v>180</v>
      </c>
      <c r="O127" s="472"/>
      <c r="P127" s="472"/>
      <c r="Q127" s="472"/>
      <c r="R127" s="472"/>
      <c r="S127" s="472"/>
      <c r="T127" s="468"/>
      <c r="U127" s="474"/>
      <c r="X127" s="473"/>
      <c r="Y127" s="473"/>
      <c r="Z127" s="475"/>
      <c r="AA127" s="475"/>
      <c r="AB127" s="475"/>
      <c r="AC127" s="475"/>
      <c r="AN127" s="475"/>
    </row>
    <row r="128" spans="1:45" s="466" customFormat="1">
      <c r="A128" s="53"/>
      <c r="C128" s="467"/>
      <c r="D128" s="467"/>
      <c r="E128" s="468"/>
      <c r="F128" s="469"/>
      <c r="G128" s="470"/>
      <c r="H128" s="471"/>
      <c r="I128" s="471"/>
      <c r="J128" s="472"/>
      <c r="K128" s="473"/>
      <c r="L128" s="473"/>
      <c r="M128" s="150"/>
      <c r="N128" s="404">
        <f t="shared" si="11"/>
        <v>180</v>
      </c>
      <c r="O128" s="472"/>
      <c r="P128" s="472"/>
      <c r="Q128" s="472"/>
      <c r="R128" s="472"/>
      <c r="S128" s="472"/>
      <c r="T128" s="468"/>
      <c r="U128" s="474"/>
      <c r="X128" s="473"/>
      <c r="Y128" s="473"/>
      <c r="Z128" s="475"/>
      <c r="AA128" s="475"/>
      <c r="AB128" s="475"/>
      <c r="AC128" s="475"/>
      <c r="AN128" s="475"/>
    </row>
    <row r="129" spans="1:40" s="466" customFormat="1">
      <c r="A129" s="53"/>
      <c r="C129" s="467"/>
      <c r="D129" s="467"/>
      <c r="E129" s="468"/>
      <c r="F129" s="469"/>
      <c r="G129" s="470"/>
      <c r="H129" s="471"/>
      <c r="I129" s="471"/>
      <c r="J129" s="472"/>
      <c r="K129" s="473"/>
      <c r="L129" s="473"/>
      <c r="M129" s="150"/>
      <c r="N129" s="404">
        <f t="shared" si="11"/>
        <v>180</v>
      </c>
      <c r="O129" s="472"/>
      <c r="P129" s="472"/>
      <c r="Q129" s="472"/>
      <c r="R129" s="472"/>
      <c r="S129" s="472"/>
      <c r="T129" s="468"/>
      <c r="U129" s="474"/>
      <c r="X129" s="473"/>
      <c r="Y129" s="473"/>
      <c r="Z129" s="475"/>
      <c r="AA129" s="475"/>
      <c r="AB129" s="475"/>
      <c r="AC129" s="475"/>
      <c r="AN129" s="475"/>
    </row>
    <row r="130" spans="1:40" s="466" customFormat="1">
      <c r="A130" s="53"/>
      <c r="C130" s="467"/>
      <c r="D130" s="467"/>
      <c r="E130" s="468"/>
      <c r="F130" s="469"/>
      <c r="G130" s="470"/>
      <c r="H130" s="471"/>
      <c r="I130" s="471"/>
      <c r="J130" s="472"/>
      <c r="K130" s="473"/>
      <c r="L130" s="473"/>
      <c r="M130" s="150"/>
      <c r="N130" s="404">
        <f t="shared" si="11"/>
        <v>180</v>
      </c>
      <c r="O130" s="472"/>
      <c r="P130" s="472"/>
      <c r="Q130" s="472"/>
      <c r="R130" s="472"/>
      <c r="S130" s="472"/>
      <c r="T130" s="468"/>
      <c r="U130" s="474"/>
      <c r="X130" s="473"/>
      <c r="Y130" s="473"/>
      <c r="Z130" s="475"/>
      <c r="AA130" s="475"/>
      <c r="AB130" s="475"/>
      <c r="AC130" s="475"/>
      <c r="AN130" s="475"/>
    </row>
    <row r="131" spans="1:40" s="466" customFormat="1">
      <c r="A131" s="53"/>
      <c r="C131" s="467"/>
      <c r="D131" s="467"/>
      <c r="E131" s="468"/>
      <c r="F131" s="469"/>
      <c r="G131" s="470"/>
      <c r="H131" s="471"/>
      <c r="I131" s="471"/>
      <c r="J131" s="472"/>
      <c r="K131" s="473"/>
      <c r="L131" s="473"/>
      <c r="M131" s="150"/>
      <c r="N131" s="404">
        <f t="shared" si="11"/>
        <v>180</v>
      </c>
      <c r="O131" s="472"/>
      <c r="P131" s="472"/>
      <c r="Q131" s="472"/>
      <c r="R131" s="472"/>
      <c r="S131" s="472"/>
      <c r="T131" s="468"/>
      <c r="U131" s="474"/>
      <c r="X131" s="473"/>
      <c r="Y131" s="473"/>
      <c r="Z131" s="475"/>
      <c r="AA131" s="475"/>
      <c r="AB131" s="475"/>
      <c r="AC131" s="475"/>
      <c r="AN131" s="475"/>
    </row>
    <row r="132" spans="1:40" s="466" customFormat="1">
      <c r="A132" s="53"/>
      <c r="C132" s="467"/>
      <c r="D132" s="467"/>
      <c r="E132" s="468"/>
      <c r="F132" s="469"/>
      <c r="G132" s="470"/>
      <c r="H132" s="471"/>
      <c r="I132" s="471"/>
      <c r="J132" s="472"/>
      <c r="K132" s="473"/>
      <c r="L132" s="473"/>
      <c r="M132" s="150"/>
      <c r="N132" s="404">
        <f t="shared" si="11"/>
        <v>180</v>
      </c>
      <c r="O132" s="472"/>
      <c r="P132" s="472"/>
      <c r="Q132" s="472"/>
      <c r="R132" s="472"/>
      <c r="S132" s="472"/>
      <c r="T132" s="468"/>
      <c r="U132" s="474"/>
      <c r="X132" s="473"/>
      <c r="Y132" s="473"/>
      <c r="Z132" s="475"/>
      <c r="AA132" s="475"/>
      <c r="AB132" s="475"/>
      <c r="AC132" s="475"/>
      <c r="AN132" s="475"/>
    </row>
    <row r="133" spans="1:40" s="466" customFormat="1">
      <c r="A133" s="53"/>
      <c r="C133" s="467"/>
      <c r="D133" s="467"/>
      <c r="E133" s="468"/>
      <c r="F133" s="469"/>
      <c r="G133" s="470"/>
      <c r="H133" s="471"/>
      <c r="I133" s="471"/>
      <c r="J133" s="472"/>
      <c r="K133" s="473"/>
      <c r="L133" s="473"/>
      <c r="M133" s="150"/>
      <c r="N133" s="404">
        <f t="shared" si="11"/>
        <v>180</v>
      </c>
      <c r="O133" s="472"/>
      <c r="P133" s="472"/>
      <c r="Q133" s="472"/>
      <c r="R133" s="472"/>
      <c r="S133" s="472"/>
      <c r="T133" s="468"/>
      <c r="U133" s="474"/>
      <c r="X133" s="473"/>
      <c r="Y133" s="473"/>
      <c r="Z133" s="475"/>
      <c r="AA133" s="475"/>
      <c r="AB133" s="475"/>
      <c r="AC133" s="475"/>
      <c r="AN133" s="475"/>
    </row>
    <row r="134" spans="1:40" s="466" customFormat="1">
      <c r="A134" s="53"/>
      <c r="C134" s="467"/>
      <c r="D134" s="467"/>
      <c r="E134" s="468"/>
      <c r="F134" s="469"/>
      <c r="G134" s="470"/>
      <c r="H134" s="471"/>
      <c r="I134" s="471"/>
      <c r="J134" s="472"/>
      <c r="K134" s="473"/>
      <c r="L134" s="473"/>
      <c r="M134" s="150"/>
      <c r="N134" s="404">
        <f t="shared" si="11"/>
        <v>180</v>
      </c>
      <c r="O134" s="472"/>
      <c r="P134" s="472"/>
      <c r="Q134" s="472"/>
      <c r="R134" s="472"/>
      <c r="S134" s="472"/>
      <c r="T134" s="468"/>
      <c r="U134" s="474"/>
      <c r="X134" s="473"/>
      <c r="Y134" s="473"/>
      <c r="Z134" s="475"/>
      <c r="AA134" s="475"/>
      <c r="AB134" s="475"/>
      <c r="AC134" s="475"/>
      <c r="AN134" s="475"/>
    </row>
    <row r="135" spans="1:40" s="466" customFormat="1">
      <c r="A135" s="53"/>
      <c r="C135" s="467"/>
      <c r="D135" s="467"/>
      <c r="E135" s="468"/>
      <c r="F135" s="469"/>
      <c r="G135" s="470"/>
      <c r="H135" s="471"/>
      <c r="I135" s="471"/>
      <c r="J135" s="472"/>
      <c r="K135" s="473"/>
      <c r="L135" s="473"/>
      <c r="M135" s="150"/>
      <c r="N135" s="404">
        <f t="shared" si="11"/>
        <v>180</v>
      </c>
      <c r="O135" s="472"/>
      <c r="P135" s="472"/>
      <c r="Q135" s="472"/>
      <c r="R135" s="472"/>
      <c r="S135" s="472"/>
      <c r="T135" s="468"/>
      <c r="U135" s="474"/>
      <c r="X135" s="473"/>
      <c r="Y135" s="473"/>
      <c r="Z135" s="475"/>
      <c r="AA135" s="475"/>
      <c r="AB135" s="475"/>
      <c r="AC135" s="475"/>
      <c r="AN135" s="475"/>
    </row>
    <row r="136" spans="1:40" s="466" customFormat="1">
      <c r="A136" s="53"/>
      <c r="C136" s="467"/>
      <c r="D136" s="467"/>
      <c r="E136" s="468"/>
      <c r="F136" s="469"/>
      <c r="G136" s="470"/>
      <c r="H136" s="471"/>
      <c r="I136" s="471"/>
      <c r="J136" s="472"/>
      <c r="K136" s="473"/>
      <c r="L136" s="473"/>
      <c r="M136" s="150"/>
      <c r="N136" s="404">
        <f t="shared" si="11"/>
        <v>180</v>
      </c>
      <c r="O136" s="472"/>
      <c r="P136" s="472"/>
      <c r="Q136" s="472"/>
      <c r="R136" s="472"/>
      <c r="S136" s="472"/>
      <c r="T136" s="468"/>
      <c r="U136" s="474"/>
      <c r="X136" s="473"/>
      <c r="Y136" s="473"/>
      <c r="Z136" s="475"/>
      <c r="AA136" s="475"/>
      <c r="AB136" s="475"/>
      <c r="AC136" s="475"/>
      <c r="AN136" s="475"/>
    </row>
    <row r="137" spans="1:40" s="466" customFormat="1">
      <c r="A137" s="53"/>
      <c r="C137" s="467"/>
      <c r="D137" s="467"/>
      <c r="E137" s="468"/>
      <c r="F137" s="469"/>
      <c r="G137" s="470"/>
      <c r="H137" s="471"/>
      <c r="I137" s="471"/>
      <c r="J137" s="472"/>
      <c r="K137" s="473"/>
      <c r="L137" s="473"/>
      <c r="M137" s="150"/>
      <c r="N137" s="404">
        <f t="shared" si="11"/>
        <v>180</v>
      </c>
      <c r="O137" s="472"/>
      <c r="P137" s="472"/>
      <c r="Q137" s="472"/>
      <c r="R137" s="472"/>
      <c r="S137" s="472"/>
      <c r="T137" s="468"/>
      <c r="U137" s="474"/>
      <c r="X137" s="473"/>
      <c r="Y137" s="473"/>
      <c r="Z137" s="475"/>
      <c r="AA137" s="475"/>
      <c r="AB137" s="475"/>
      <c r="AC137" s="475"/>
      <c r="AN137" s="475"/>
    </row>
    <row r="138" spans="1:40" s="466" customFormat="1">
      <c r="A138" s="53"/>
      <c r="C138" s="467"/>
      <c r="D138" s="467"/>
      <c r="E138" s="468"/>
      <c r="F138" s="469"/>
      <c r="G138" s="470"/>
      <c r="H138" s="471"/>
      <c r="I138" s="471"/>
      <c r="J138" s="472"/>
      <c r="K138" s="473"/>
      <c r="L138" s="473"/>
      <c r="M138" s="150"/>
      <c r="N138" s="404">
        <f t="shared" si="11"/>
        <v>180</v>
      </c>
      <c r="O138" s="472"/>
      <c r="P138" s="472"/>
      <c r="Q138" s="472"/>
      <c r="R138" s="472"/>
      <c r="S138" s="472"/>
      <c r="T138" s="468"/>
      <c r="U138" s="474"/>
      <c r="X138" s="473"/>
      <c r="Y138" s="473"/>
      <c r="Z138" s="475"/>
      <c r="AA138" s="475"/>
      <c r="AB138" s="475"/>
      <c r="AC138" s="475"/>
      <c r="AN138" s="475"/>
    </row>
    <row r="139" spans="1:40" s="466" customFormat="1">
      <c r="A139" s="53"/>
      <c r="C139" s="467"/>
      <c r="D139" s="467"/>
      <c r="E139" s="468"/>
      <c r="F139" s="469"/>
      <c r="G139" s="470"/>
      <c r="H139" s="471"/>
      <c r="I139" s="471"/>
      <c r="J139" s="472"/>
      <c r="K139" s="473"/>
      <c r="L139" s="473"/>
      <c r="M139" s="150"/>
      <c r="N139" s="404">
        <f t="shared" si="11"/>
        <v>180</v>
      </c>
      <c r="O139" s="472"/>
      <c r="P139" s="472"/>
      <c r="Q139" s="472"/>
      <c r="R139" s="472"/>
      <c r="S139" s="472"/>
      <c r="T139" s="468"/>
      <c r="U139" s="474"/>
      <c r="X139" s="473"/>
      <c r="Y139" s="473"/>
      <c r="Z139" s="475"/>
      <c r="AA139" s="475"/>
      <c r="AB139" s="475"/>
      <c r="AC139" s="475"/>
      <c r="AN139" s="475"/>
    </row>
    <row r="140" spans="1:40" s="466" customFormat="1">
      <c r="A140" s="53"/>
      <c r="C140" s="467"/>
      <c r="D140" s="467"/>
      <c r="E140" s="468"/>
      <c r="F140" s="469"/>
      <c r="G140" s="470"/>
      <c r="H140" s="471"/>
      <c r="I140" s="471"/>
      <c r="J140" s="472"/>
      <c r="K140" s="473"/>
      <c r="L140" s="473"/>
      <c r="M140" s="150"/>
      <c r="N140" s="404">
        <f t="shared" si="11"/>
        <v>180</v>
      </c>
      <c r="O140" s="472"/>
      <c r="P140" s="472"/>
      <c r="Q140" s="472"/>
      <c r="R140" s="472"/>
      <c r="S140" s="472"/>
      <c r="T140" s="468"/>
      <c r="U140" s="474"/>
      <c r="X140" s="473"/>
      <c r="Y140" s="473"/>
      <c r="Z140" s="475"/>
      <c r="AA140" s="475"/>
      <c r="AB140" s="475"/>
      <c r="AC140" s="475"/>
      <c r="AN140" s="475"/>
    </row>
    <row r="141" spans="1:40" s="466" customFormat="1">
      <c r="A141" s="53"/>
      <c r="C141" s="467"/>
      <c r="D141" s="467"/>
      <c r="E141" s="468"/>
      <c r="F141" s="469"/>
      <c r="G141" s="470"/>
      <c r="H141" s="471"/>
      <c r="I141" s="471"/>
      <c r="J141" s="472"/>
      <c r="K141" s="473"/>
      <c r="L141" s="473"/>
      <c r="M141" s="150"/>
      <c r="N141" s="404">
        <f t="shared" si="11"/>
        <v>180</v>
      </c>
      <c r="O141" s="472"/>
      <c r="P141" s="472"/>
      <c r="Q141" s="472"/>
      <c r="R141" s="472"/>
      <c r="S141" s="472"/>
      <c r="T141" s="468"/>
      <c r="U141" s="474"/>
      <c r="X141" s="473"/>
      <c r="Y141" s="473"/>
      <c r="Z141" s="475"/>
      <c r="AA141" s="475"/>
      <c r="AB141" s="475"/>
      <c r="AC141" s="475"/>
      <c r="AN141" s="475"/>
    </row>
    <row r="142" spans="1:40" s="466" customFormat="1">
      <c r="A142" s="53"/>
      <c r="C142" s="467"/>
      <c r="D142" s="467"/>
      <c r="E142" s="468"/>
      <c r="F142" s="469"/>
      <c r="G142" s="470"/>
      <c r="H142" s="471"/>
      <c r="I142" s="471"/>
      <c r="J142" s="472"/>
      <c r="K142" s="473"/>
      <c r="L142" s="473"/>
      <c r="M142" s="150"/>
      <c r="N142" s="404">
        <f t="shared" si="11"/>
        <v>180</v>
      </c>
      <c r="O142" s="472"/>
      <c r="P142" s="472"/>
      <c r="Q142" s="472"/>
      <c r="R142" s="472"/>
      <c r="S142" s="472"/>
      <c r="T142" s="468"/>
      <c r="U142" s="474"/>
      <c r="X142" s="473"/>
      <c r="Y142" s="473"/>
      <c r="Z142" s="475"/>
      <c r="AA142" s="475"/>
      <c r="AB142" s="475"/>
      <c r="AC142" s="475"/>
      <c r="AN142" s="475"/>
    </row>
    <row r="143" spans="1:40" s="466" customFormat="1">
      <c r="A143" s="53"/>
      <c r="C143" s="467"/>
      <c r="D143" s="467"/>
      <c r="E143" s="468"/>
      <c r="F143" s="469"/>
      <c r="G143" s="470"/>
      <c r="H143" s="471"/>
      <c r="I143" s="471"/>
      <c r="J143" s="472"/>
      <c r="K143" s="473"/>
      <c r="L143" s="473"/>
      <c r="M143" s="150"/>
      <c r="N143" s="404">
        <f t="shared" si="11"/>
        <v>180</v>
      </c>
      <c r="O143" s="472"/>
      <c r="P143" s="472"/>
      <c r="Q143" s="472"/>
      <c r="R143" s="472"/>
      <c r="S143" s="472"/>
      <c r="T143" s="468"/>
      <c r="U143" s="474"/>
      <c r="X143" s="473"/>
      <c r="Y143" s="473"/>
      <c r="Z143" s="475"/>
      <c r="AA143" s="475"/>
      <c r="AB143" s="475"/>
      <c r="AC143" s="475"/>
      <c r="AN143" s="475"/>
    </row>
    <row r="144" spans="1:40" s="466" customFormat="1">
      <c r="A144" s="53"/>
      <c r="C144" s="467"/>
      <c r="D144" s="467"/>
      <c r="E144" s="468"/>
      <c r="F144" s="469"/>
      <c r="G144" s="470"/>
      <c r="H144" s="471"/>
      <c r="I144" s="471"/>
      <c r="J144" s="472"/>
      <c r="K144" s="473"/>
      <c r="L144" s="473"/>
      <c r="M144" s="150"/>
      <c r="N144" s="404">
        <f t="shared" si="11"/>
        <v>180</v>
      </c>
      <c r="O144" s="472"/>
      <c r="P144" s="472"/>
      <c r="Q144" s="472"/>
      <c r="R144" s="472"/>
      <c r="S144" s="472"/>
      <c r="T144" s="468"/>
      <c r="U144" s="474"/>
      <c r="X144" s="473"/>
      <c r="Y144" s="473"/>
      <c r="Z144" s="475"/>
      <c r="AA144" s="475"/>
      <c r="AB144" s="475"/>
      <c r="AC144" s="475"/>
      <c r="AN144" s="475"/>
    </row>
    <row r="145" spans="1:40" s="466" customFormat="1">
      <c r="A145" s="53"/>
      <c r="C145" s="467"/>
      <c r="D145" s="467"/>
      <c r="E145" s="468"/>
      <c r="F145" s="469"/>
      <c r="G145" s="470"/>
      <c r="H145" s="471"/>
      <c r="I145" s="471"/>
      <c r="J145" s="472"/>
      <c r="K145" s="473"/>
      <c r="L145" s="473"/>
      <c r="M145" s="150"/>
      <c r="N145" s="404">
        <f t="shared" si="11"/>
        <v>180</v>
      </c>
      <c r="O145" s="472"/>
      <c r="P145" s="472"/>
      <c r="Q145" s="472"/>
      <c r="R145" s="472"/>
      <c r="S145" s="472"/>
      <c r="T145" s="468"/>
      <c r="U145" s="474"/>
      <c r="X145" s="473"/>
      <c r="Y145" s="473"/>
      <c r="Z145" s="475"/>
      <c r="AA145" s="475"/>
      <c r="AB145" s="475"/>
      <c r="AC145" s="475"/>
      <c r="AN145" s="475"/>
    </row>
    <row r="146" spans="1:40" s="466" customFormat="1">
      <c r="A146" s="53"/>
      <c r="C146" s="467"/>
      <c r="D146" s="467"/>
      <c r="E146" s="468"/>
      <c r="F146" s="469"/>
      <c r="G146" s="470"/>
      <c r="H146" s="471"/>
      <c r="I146" s="471"/>
      <c r="J146" s="472"/>
      <c r="K146" s="473"/>
      <c r="L146" s="473"/>
      <c r="M146" s="150"/>
      <c r="N146" s="404">
        <f t="shared" si="11"/>
        <v>180</v>
      </c>
      <c r="O146" s="472"/>
      <c r="P146" s="472"/>
      <c r="Q146" s="472"/>
      <c r="R146" s="472"/>
      <c r="S146" s="472"/>
      <c r="T146" s="468"/>
      <c r="U146" s="474"/>
      <c r="X146" s="473"/>
      <c r="Y146" s="473"/>
      <c r="Z146" s="475"/>
      <c r="AA146" s="475"/>
      <c r="AB146" s="475"/>
      <c r="AC146" s="475"/>
      <c r="AN146" s="475"/>
    </row>
    <row r="147" spans="1:40" s="466" customFormat="1">
      <c r="A147" s="53"/>
      <c r="C147" s="467"/>
      <c r="D147" s="467"/>
      <c r="E147" s="468"/>
      <c r="F147" s="469"/>
      <c r="G147" s="470"/>
      <c r="H147" s="471"/>
      <c r="I147" s="471"/>
      <c r="J147" s="472"/>
      <c r="K147" s="473"/>
      <c r="L147" s="473"/>
      <c r="M147" s="150"/>
      <c r="N147" s="404">
        <f t="shared" si="11"/>
        <v>180</v>
      </c>
      <c r="O147" s="472"/>
      <c r="P147" s="472"/>
      <c r="Q147" s="472"/>
      <c r="R147" s="472"/>
      <c r="S147" s="472"/>
      <c r="T147" s="468"/>
      <c r="U147" s="474"/>
      <c r="X147" s="473"/>
      <c r="Y147" s="473"/>
      <c r="Z147" s="475"/>
      <c r="AA147" s="475"/>
      <c r="AB147" s="475"/>
      <c r="AC147" s="475"/>
      <c r="AN147" s="475"/>
    </row>
    <row r="148" spans="1:40" s="466" customFormat="1">
      <c r="A148" s="53"/>
      <c r="C148" s="467"/>
      <c r="D148" s="467"/>
      <c r="E148" s="468"/>
      <c r="F148" s="469"/>
      <c r="G148" s="470"/>
      <c r="H148" s="471"/>
      <c r="I148" s="471"/>
      <c r="J148" s="472"/>
      <c r="K148" s="473"/>
      <c r="L148" s="473"/>
      <c r="M148" s="150"/>
      <c r="N148" s="404">
        <f t="shared" si="11"/>
        <v>180</v>
      </c>
      <c r="O148" s="472"/>
      <c r="P148" s="472"/>
      <c r="Q148" s="472"/>
      <c r="R148" s="472"/>
      <c r="S148" s="472"/>
      <c r="T148" s="468"/>
      <c r="U148" s="474"/>
      <c r="X148" s="473"/>
      <c r="Y148" s="473"/>
      <c r="Z148" s="475"/>
      <c r="AA148" s="475"/>
      <c r="AB148" s="475"/>
      <c r="AC148" s="475"/>
      <c r="AN148" s="475"/>
    </row>
    <row r="149" spans="1:40" s="466" customFormat="1">
      <c r="A149" s="53"/>
      <c r="C149" s="467"/>
      <c r="D149" s="467"/>
      <c r="E149" s="468"/>
      <c r="F149" s="469"/>
      <c r="G149" s="470"/>
      <c r="H149" s="471"/>
      <c r="I149" s="471"/>
      <c r="J149" s="472"/>
      <c r="K149" s="473"/>
      <c r="L149" s="473"/>
      <c r="M149" s="150"/>
      <c r="N149" s="404">
        <f t="shared" si="11"/>
        <v>180</v>
      </c>
      <c r="O149" s="472"/>
      <c r="P149" s="472"/>
      <c r="Q149" s="472"/>
      <c r="R149" s="472"/>
      <c r="S149" s="472"/>
      <c r="T149" s="468"/>
      <c r="U149" s="474"/>
      <c r="X149" s="473"/>
      <c r="Y149" s="473"/>
      <c r="Z149" s="475"/>
      <c r="AA149" s="475"/>
      <c r="AB149" s="475"/>
      <c r="AC149" s="475"/>
      <c r="AN149" s="475"/>
    </row>
    <row r="150" spans="1:40" s="466" customFormat="1">
      <c r="A150" s="53"/>
      <c r="C150" s="467"/>
      <c r="D150" s="467"/>
      <c r="E150" s="468"/>
      <c r="F150" s="469"/>
      <c r="G150" s="470"/>
      <c r="H150" s="471"/>
      <c r="I150" s="471"/>
      <c r="J150" s="472"/>
      <c r="K150" s="473"/>
      <c r="L150" s="473"/>
      <c r="M150" s="150"/>
      <c r="N150" s="404">
        <f t="shared" si="11"/>
        <v>180</v>
      </c>
      <c r="O150" s="472"/>
      <c r="P150" s="472"/>
      <c r="Q150" s="472"/>
      <c r="R150" s="472"/>
      <c r="S150" s="472"/>
      <c r="T150" s="468"/>
      <c r="U150" s="474"/>
      <c r="X150" s="473"/>
      <c r="Y150" s="473"/>
      <c r="Z150" s="475"/>
      <c r="AA150" s="475"/>
      <c r="AB150" s="475"/>
      <c r="AC150" s="475"/>
      <c r="AN150" s="475"/>
    </row>
    <row r="151" spans="1:40" s="466" customFormat="1">
      <c r="A151" s="53"/>
      <c r="C151" s="467"/>
      <c r="D151" s="467"/>
      <c r="E151" s="468"/>
      <c r="F151" s="469"/>
      <c r="G151" s="470"/>
      <c r="H151" s="471"/>
      <c r="I151" s="471"/>
      <c r="J151" s="472"/>
      <c r="K151" s="473"/>
      <c r="L151" s="473"/>
      <c r="M151" s="150"/>
      <c r="N151" s="404">
        <f t="shared" si="11"/>
        <v>180</v>
      </c>
      <c r="O151" s="472"/>
      <c r="P151" s="472"/>
      <c r="Q151" s="472"/>
      <c r="R151" s="472"/>
      <c r="S151" s="472"/>
      <c r="T151" s="468"/>
      <c r="U151" s="474"/>
      <c r="X151" s="473"/>
      <c r="Y151" s="473"/>
      <c r="Z151" s="475"/>
      <c r="AA151" s="475"/>
      <c r="AB151" s="475"/>
      <c r="AC151" s="475"/>
      <c r="AN151" s="475"/>
    </row>
    <row r="152" spans="1:40" s="466" customFormat="1">
      <c r="A152" s="53"/>
      <c r="C152" s="467"/>
      <c r="D152" s="467"/>
      <c r="E152" s="468"/>
      <c r="F152" s="469"/>
      <c r="G152" s="470"/>
      <c r="H152" s="471"/>
      <c r="I152" s="471"/>
      <c r="J152" s="472"/>
      <c r="K152" s="473"/>
      <c r="L152" s="473"/>
      <c r="M152" s="150"/>
      <c r="N152" s="404">
        <f t="shared" si="11"/>
        <v>180</v>
      </c>
      <c r="O152" s="472"/>
      <c r="P152" s="472"/>
      <c r="Q152" s="472"/>
      <c r="R152" s="472"/>
      <c r="S152" s="472"/>
      <c r="T152" s="468"/>
      <c r="U152" s="474"/>
      <c r="X152" s="473"/>
      <c r="Y152" s="473"/>
      <c r="Z152" s="475"/>
      <c r="AA152" s="475"/>
      <c r="AB152" s="475"/>
      <c r="AC152" s="475"/>
      <c r="AN152" s="475"/>
    </row>
    <row r="153" spans="1:40" s="466" customFormat="1">
      <c r="A153" s="53"/>
      <c r="C153" s="467"/>
      <c r="D153" s="467"/>
      <c r="E153" s="468"/>
      <c r="F153" s="469"/>
      <c r="G153" s="470"/>
      <c r="H153" s="471"/>
      <c r="I153" s="471"/>
      <c r="J153" s="472"/>
      <c r="K153" s="473"/>
      <c r="L153" s="473"/>
      <c r="M153" s="150"/>
      <c r="N153" s="404">
        <f t="shared" si="11"/>
        <v>180</v>
      </c>
      <c r="O153" s="472"/>
      <c r="P153" s="472"/>
      <c r="Q153" s="472"/>
      <c r="R153" s="472"/>
      <c r="S153" s="472"/>
      <c r="T153" s="468"/>
      <c r="U153" s="474"/>
      <c r="X153" s="473"/>
      <c r="Y153" s="473"/>
      <c r="Z153" s="475"/>
      <c r="AA153" s="475"/>
      <c r="AB153" s="475"/>
      <c r="AC153" s="475"/>
      <c r="AN153" s="475"/>
    </row>
    <row r="154" spans="1:40" s="466" customFormat="1">
      <c r="A154" s="53"/>
      <c r="C154" s="467"/>
      <c r="D154" s="467"/>
      <c r="E154" s="468"/>
      <c r="F154" s="469"/>
      <c r="G154" s="470"/>
      <c r="H154" s="471"/>
      <c r="I154" s="471"/>
      <c r="J154" s="472"/>
      <c r="K154" s="473"/>
      <c r="L154" s="473"/>
      <c r="M154" s="150"/>
      <c r="N154" s="404">
        <f t="shared" si="11"/>
        <v>180</v>
      </c>
      <c r="O154" s="472"/>
      <c r="P154" s="472"/>
      <c r="Q154" s="472"/>
      <c r="R154" s="472"/>
      <c r="S154" s="472"/>
      <c r="T154" s="468"/>
      <c r="U154" s="474"/>
      <c r="X154" s="473"/>
      <c r="Y154" s="473"/>
      <c r="Z154" s="475"/>
      <c r="AA154" s="475"/>
      <c r="AB154" s="475"/>
      <c r="AC154" s="475"/>
      <c r="AN154" s="475"/>
    </row>
    <row r="155" spans="1:40" s="466" customFormat="1">
      <c r="A155" s="53"/>
      <c r="C155" s="467"/>
      <c r="D155" s="467"/>
      <c r="E155" s="468"/>
      <c r="F155" s="469"/>
      <c r="G155" s="470"/>
      <c r="H155" s="471"/>
      <c r="I155" s="471"/>
      <c r="J155" s="472"/>
      <c r="K155" s="473"/>
      <c r="L155" s="473"/>
      <c r="M155" s="150"/>
      <c r="N155" s="404">
        <f t="shared" si="11"/>
        <v>180</v>
      </c>
      <c r="O155" s="472"/>
      <c r="P155" s="472"/>
      <c r="Q155" s="472"/>
      <c r="R155" s="472"/>
      <c r="S155" s="472"/>
      <c r="T155" s="468"/>
      <c r="U155" s="474"/>
      <c r="X155" s="473"/>
      <c r="Y155" s="473"/>
      <c r="Z155" s="475"/>
      <c r="AA155" s="475"/>
      <c r="AB155" s="475"/>
      <c r="AC155" s="475"/>
      <c r="AN155" s="475"/>
    </row>
    <row r="156" spans="1:40" s="466" customFormat="1">
      <c r="A156" s="53"/>
      <c r="C156" s="467"/>
      <c r="D156" s="467"/>
      <c r="E156" s="468"/>
      <c r="F156" s="469"/>
      <c r="G156" s="470"/>
      <c r="H156" s="471"/>
      <c r="I156" s="471"/>
      <c r="J156" s="472"/>
      <c r="K156" s="473"/>
      <c r="L156" s="473"/>
      <c r="M156" s="150"/>
      <c r="N156" s="404">
        <f t="shared" si="11"/>
        <v>180</v>
      </c>
      <c r="O156" s="472"/>
      <c r="P156" s="472"/>
      <c r="Q156" s="472"/>
      <c r="R156" s="472"/>
      <c r="S156" s="472"/>
      <c r="T156" s="468"/>
      <c r="U156" s="474"/>
      <c r="X156" s="473"/>
      <c r="Y156" s="473"/>
      <c r="Z156" s="475"/>
      <c r="AA156" s="475"/>
      <c r="AB156" s="475"/>
      <c r="AC156" s="475"/>
      <c r="AN156" s="475"/>
    </row>
    <row r="157" spans="1:40" s="466" customFormat="1">
      <c r="A157" s="53"/>
      <c r="C157" s="467"/>
      <c r="D157" s="467"/>
      <c r="E157" s="468"/>
      <c r="F157" s="469"/>
      <c r="G157" s="470"/>
      <c r="H157" s="471"/>
      <c r="I157" s="471"/>
      <c r="J157" s="472"/>
      <c r="K157" s="473"/>
      <c r="L157" s="473"/>
      <c r="M157" s="150"/>
      <c r="N157" s="404">
        <f t="shared" si="11"/>
        <v>180</v>
      </c>
      <c r="O157" s="472"/>
      <c r="P157" s="472"/>
      <c r="Q157" s="472"/>
      <c r="R157" s="472"/>
      <c r="S157" s="472"/>
      <c r="T157" s="468"/>
      <c r="U157" s="474"/>
      <c r="X157" s="473"/>
      <c r="Y157" s="473"/>
      <c r="Z157" s="475"/>
      <c r="AA157" s="475"/>
      <c r="AB157" s="475"/>
      <c r="AC157" s="475"/>
      <c r="AN157" s="475"/>
    </row>
    <row r="158" spans="1:40" s="466" customFormat="1">
      <c r="A158" s="53"/>
      <c r="C158" s="467"/>
      <c r="D158" s="467"/>
      <c r="E158" s="468"/>
      <c r="F158" s="469"/>
      <c r="G158" s="470"/>
      <c r="H158" s="471"/>
      <c r="I158" s="471"/>
      <c r="J158" s="472"/>
      <c r="K158" s="473"/>
      <c r="L158" s="473"/>
      <c r="M158" s="150"/>
      <c r="N158" s="404">
        <f t="shared" si="11"/>
        <v>180</v>
      </c>
      <c r="O158" s="472"/>
      <c r="P158" s="472"/>
      <c r="Q158" s="472"/>
      <c r="R158" s="472"/>
      <c r="S158" s="472"/>
      <c r="T158" s="468"/>
      <c r="U158" s="474"/>
      <c r="X158" s="473"/>
      <c r="Y158" s="473"/>
      <c r="Z158" s="475"/>
      <c r="AA158" s="475"/>
      <c r="AB158" s="475"/>
      <c r="AC158" s="475"/>
      <c r="AN158" s="475"/>
    </row>
    <row r="159" spans="1:40" s="466" customFormat="1">
      <c r="A159" s="53"/>
      <c r="C159" s="467"/>
      <c r="D159" s="467"/>
      <c r="E159" s="468"/>
      <c r="F159" s="469"/>
      <c r="G159" s="470"/>
      <c r="H159" s="471"/>
      <c r="I159" s="471"/>
      <c r="J159" s="472"/>
      <c r="K159" s="473"/>
      <c r="L159" s="473"/>
      <c r="M159" s="150"/>
      <c r="N159" s="404">
        <f t="shared" si="11"/>
        <v>180</v>
      </c>
      <c r="O159" s="472"/>
      <c r="P159" s="472"/>
      <c r="Q159" s="472"/>
      <c r="R159" s="472"/>
      <c r="S159" s="472"/>
      <c r="T159" s="468"/>
      <c r="U159" s="474"/>
      <c r="X159" s="473"/>
      <c r="Y159" s="473"/>
      <c r="Z159" s="475"/>
      <c r="AA159" s="475"/>
      <c r="AB159" s="475"/>
      <c r="AC159" s="475"/>
      <c r="AN159" s="475"/>
    </row>
    <row r="160" spans="1:40" s="466" customFormat="1">
      <c r="A160" s="53"/>
      <c r="C160" s="467"/>
      <c r="D160" s="467"/>
      <c r="E160" s="468"/>
      <c r="F160" s="469"/>
      <c r="G160" s="470"/>
      <c r="H160" s="471"/>
      <c r="I160" s="471"/>
      <c r="J160" s="472"/>
      <c r="K160" s="473"/>
      <c r="L160" s="473"/>
      <c r="M160" s="150"/>
      <c r="N160" s="404">
        <f t="shared" si="11"/>
        <v>180</v>
      </c>
      <c r="O160" s="472"/>
      <c r="P160" s="472"/>
      <c r="Q160" s="472"/>
      <c r="R160" s="472"/>
      <c r="S160" s="472"/>
      <c r="T160" s="468"/>
      <c r="U160" s="474"/>
      <c r="X160" s="473"/>
      <c r="Y160" s="473"/>
      <c r="Z160" s="475"/>
      <c r="AA160" s="475"/>
      <c r="AB160" s="475"/>
      <c r="AC160" s="475"/>
      <c r="AN160" s="475"/>
    </row>
    <row r="161" spans="1:40" s="466" customFormat="1">
      <c r="A161" s="53"/>
      <c r="C161" s="467"/>
      <c r="D161" s="467"/>
      <c r="E161" s="468"/>
      <c r="F161" s="469"/>
      <c r="G161" s="470"/>
      <c r="H161" s="471"/>
      <c r="I161" s="471"/>
      <c r="J161" s="472"/>
      <c r="K161" s="473"/>
      <c r="L161" s="473"/>
      <c r="M161" s="150"/>
      <c r="N161" s="404">
        <f t="shared" si="11"/>
        <v>180</v>
      </c>
      <c r="O161" s="472"/>
      <c r="P161" s="472"/>
      <c r="Q161" s="472"/>
      <c r="R161" s="472"/>
      <c r="S161" s="472"/>
      <c r="T161" s="468"/>
      <c r="U161" s="474"/>
      <c r="X161" s="473"/>
      <c r="Y161" s="473"/>
      <c r="Z161" s="475"/>
      <c r="AA161" s="475"/>
      <c r="AB161" s="475"/>
      <c r="AC161" s="475"/>
      <c r="AN161" s="475"/>
    </row>
    <row r="162" spans="1:40" s="466" customFormat="1">
      <c r="A162" s="53"/>
      <c r="C162" s="467"/>
      <c r="D162" s="467"/>
      <c r="E162" s="468"/>
      <c r="F162" s="469"/>
      <c r="G162" s="470"/>
      <c r="H162" s="471"/>
      <c r="I162" s="471"/>
      <c r="J162" s="472"/>
      <c r="K162" s="473"/>
      <c r="L162" s="473"/>
      <c r="M162" s="150"/>
      <c r="N162" s="404">
        <f t="shared" si="11"/>
        <v>180</v>
      </c>
      <c r="O162" s="472"/>
      <c r="P162" s="472"/>
      <c r="Q162" s="472"/>
      <c r="R162" s="472"/>
      <c r="S162" s="472"/>
      <c r="T162" s="468"/>
      <c r="U162" s="474"/>
      <c r="X162" s="473"/>
      <c r="Y162" s="473"/>
      <c r="Z162" s="475"/>
      <c r="AA162" s="475"/>
      <c r="AB162" s="475"/>
      <c r="AC162" s="475"/>
      <c r="AN162" s="475"/>
    </row>
    <row r="163" spans="1:40" s="466" customFormat="1">
      <c r="A163" s="53"/>
      <c r="C163" s="467"/>
      <c r="D163" s="467"/>
      <c r="E163" s="468"/>
      <c r="F163" s="469"/>
      <c r="G163" s="470"/>
      <c r="H163" s="471"/>
      <c r="I163" s="471"/>
      <c r="J163" s="472"/>
      <c r="K163" s="473"/>
      <c r="L163" s="473"/>
      <c r="M163" s="150"/>
      <c r="N163" s="404">
        <f t="shared" si="11"/>
        <v>180</v>
      </c>
      <c r="O163" s="472"/>
      <c r="P163" s="472"/>
      <c r="Q163" s="472"/>
      <c r="R163" s="472"/>
      <c r="S163" s="472"/>
      <c r="T163" s="468"/>
      <c r="U163" s="474"/>
      <c r="X163" s="473"/>
      <c r="Y163" s="473"/>
      <c r="Z163" s="475"/>
      <c r="AA163" s="475"/>
      <c r="AB163" s="475"/>
      <c r="AC163" s="475"/>
      <c r="AN163" s="475"/>
    </row>
    <row r="164" spans="1:40" s="466" customFormat="1">
      <c r="A164" s="53"/>
      <c r="C164" s="467"/>
      <c r="D164" s="467"/>
      <c r="E164" s="468"/>
      <c r="F164" s="469"/>
      <c r="G164" s="470"/>
      <c r="H164" s="471"/>
      <c r="I164" s="471"/>
      <c r="J164" s="472"/>
      <c r="K164" s="473"/>
      <c r="L164" s="473"/>
      <c r="M164" s="150"/>
      <c r="N164" s="404">
        <f t="shared" si="11"/>
        <v>180</v>
      </c>
      <c r="O164" s="472"/>
      <c r="P164" s="472"/>
      <c r="Q164" s="472"/>
      <c r="R164" s="472"/>
      <c r="S164" s="472"/>
      <c r="T164" s="468"/>
      <c r="U164" s="474"/>
      <c r="X164" s="473"/>
      <c r="Y164" s="473"/>
      <c r="Z164" s="475"/>
      <c r="AA164" s="475"/>
      <c r="AB164" s="475"/>
      <c r="AC164" s="475"/>
      <c r="AN164" s="475"/>
    </row>
    <row r="165" spans="1:40" s="466" customFormat="1">
      <c r="A165" s="53"/>
      <c r="C165" s="467"/>
      <c r="D165" s="467"/>
      <c r="E165" s="468"/>
      <c r="F165" s="469"/>
      <c r="G165" s="470"/>
      <c r="H165" s="471"/>
      <c r="I165" s="471"/>
      <c r="J165" s="472"/>
      <c r="K165" s="473"/>
      <c r="L165" s="473"/>
      <c r="M165" s="150"/>
      <c r="N165" s="404">
        <f t="shared" si="11"/>
        <v>180</v>
      </c>
      <c r="O165" s="472"/>
      <c r="P165" s="472"/>
      <c r="Q165" s="472"/>
      <c r="R165" s="472"/>
      <c r="S165" s="472"/>
      <c r="T165" s="468"/>
      <c r="U165" s="474"/>
      <c r="X165" s="473"/>
      <c r="Y165" s="473"/>
      <c r="Z165" s="475"/>
      <c r="AA165" s="475"/>
      <c r="AB165" s="475"/>
      <c r="AC165" s="475"/>
      <c r="AN165" s="475"/>
    </row>
    <row r="166" spans="1:40" s="466" customFormat="1">
      <c r="A166" s="53"/>
      <c r="C166" s="467"/>
      <c r="D166" s="467"/>
      <c r="E166" s="468"/>
      <c r="F166" s="469"/>
      <c r="G166" s="470"/>
      <c r="H166" s="471"/>
      <c r="I166" s="471"/>
      <c r="J166" s="472"/>
      <c r="K166" s="473"/>
      <c r="L166" s="473"/>
      <c r="M166" s="150"/>
      <c r="N166" s="404">
        <f t="shared" si="11"/>
        <v>180</v>
      </c>
      <c r="O166" s="472"/>
      <c r="P166" s="472"/>
      <c r="Q166" s="472"/>
      <c r="R166" s="472"/>
      <c r="S166" s="472"/>
      <c r="T166" s="468"/>
      <c r="U166" s="474"/>
      <c r="X166" s="473"/>
      <c r="Y166" s="473"/>
      <c r="Z166" s="475"/>
      <c r="AA166" s="475"/>
      <c r="AB166" s="475"/>
      <c r="AC166" s="475"/>
      <c r="AN166" s="475"/>
    </row>
    <row r="167" spans="1:40" s="466" customFormat="1">
      <c r="A167" s="53"/>
      <c r="C167" s="467"/>
      <c r="D167" s="467"/>
      <c r="E167" s="468"/>
      <c r="F167" s="469"/>
      <c r="G167" s="470"/>
      <c r="H167" s="471"/>
      <c r="I167" s="471"/>
      <c r="J167" s="472"/>
      <c r="K167" s="473"/>
      <c r="L167" s="473"/>
      <c r="M167" s="150"/>
      <c r="N167" s="404">
        <f t="shared" si="11"/>
        <v>180</v>
      </c>
      <c r="O167" s="472"/>
      <c r="P167" s="472"/>
      <c r="Q167" s="472"/>
      <c r="R167" s="472"/>
      <c r="S167" s="472"/>
      <c r="T167" s="468"/>
      <c r="U167" s="474"/>
      <c r="X167" s="473"/>
      <c r="Y167" s="473"/>
      <c r="Z167" s="475"/>
      <c r="AA167" s="475"/>
      <c r="AB167" s="475"/>
      <c r="AC167" s="475"/>
      <c r="AN167" s="475"/>
    </row>
    <row r="168" spans="1:40" s="466" customFormat="1">
      <c r="A168" s="53"/>
      <c r="C168" s="467"/>
      <c r="D168" s="467"/>
      <c r="E168" s="468"/>
      <c r="F168" s="469"/>
      <c r="G168" s="470"/>
      <c r="H168" s="471"/>
      <c r="I168" s="471"/>
      <c r="J168" s="472"/>
      <c r="K168" s="473"/>
      <c r="L168" s="473"/>
      <c r="M168" s="150"/>
      <c r="N168" s="404">
        <f t="shared" si="11"/>
        <v>180</v>
      </c>
      <c r="O168" s="472"/>
      <c r="P168" s="472"/>
      <c r="Q168" s="472"/>
      <c r="R168" s="472"/>
      <c r="S168" s="472"/>
      <c r="T168" s="468"/>
      <c r="U168" s="474"/>
      <c r="X168" s="473"/>
      <c r="Y168" s="473"/>
      <c r="Z168" s="475"/>
      <c r="AA168" s="475"/>
      <c r="AB168" s="475"/>
      <c r="AC168" s="475"/>
      <c r="AN168" s="475"/>
    </row>
    <row r="169" spans="1:40" s="466" customFormat="1">
      <c r="A169" s="53"/>
      <c r="C169" s="467"/>
      <c r="D169" s="467"/>
      <c r="E169" s="468"/>
      <c r="F169" s="469"/>
      <c r="G169" s="470"/>
      <c r="H169" s="471"/>
      <c r="I169" s="471"/>
      <c r="J169" s="472"/>
      <c r="K169" s="473"/>
      <c r="L169" s="473"/>
      <c r="M169" s="150"/>
      <c r="N169" s="404">
        <f t="shared" si="11"/>
        <v>180</v>
      </c>
      <c r="O169" s="472"/>
      <c r="P169" s="472"/>
      <c r="Q169" s="472"/>
      <c r="R169" s="472"/>
      <c r="S169" s="472"/>
      <c r="T169" s="468"/>
      <c r="U169" s="474"/>
      <c r="X169" s="473"/>
      <c r="Y169" s="473"/>
      <c r="Z169" s="475"/>
      <c r="AA169" s="475"/>
      <c r="AB169" s="475"/>
      <c r="AC169" s="475"/>
      <c r="AN169" s="475"/>
    </row>
    <row r="170" spans="1:40" s="466" customFormat="1">
      <c r="A170" s="53"/>
      <c r="C170" s="467"/>
      <c r="D170" s="467"/>
      <c r="E170" s="468"/>
      <c r="F170" s="469"/>
      <c r="G170" s="470"/>
      <c r="H170" s="471"/>
      <c r="I170" s="471"/>
      <c r="J170" s="472"/>
      <c r="K170" s="473"/>
      <c r="L170" s="473"/>
      <c r="M170" s="150"/>
      <c r="N170" s="404">
        <f t="shared" si="11"/>
        <v>180</v>
      </c>
      <c r="O170" s="472"/>
      <c r="P170" s="472"/>
      <c r="Q170" s="472"/>
      <c r="R170" s="472"/>
      <c r="S170" s="472"/>
      <c r="T170" s="468"/>
      <c r="U170" s="474"/>
      <c r="X170" s="473"/>
      <c r="Y170" s="473"/>
      <c r="Z170" s="475"/>
      <c r="AA170" s="475"/>
      <c r="AB170" s="475"/>
      <c r="AC170" s="475"/>
      <c r="AN170" s="475"/>
    </row>
    <row r="171" spans="1:40" s="466" customFormat="1">
      <c r="A171" s="53"/>
      <c r="C171" s="467"/>
      <c r="D171" s="467"/>
      <c r="E171" s="468"/>
      <c r="F171" s="469"/>
      <c r="G171" s="470"/>
      <c r="H171" s="471"/>
      <c r="I171" s="471"/>
      <c r="J171" s="472"/>
      <c r="K171" s="473"/>
      <c r="L171" s="473"/>
      <c r="M171" s="150"/>
      <c r="N171" s="404">
        <f t="shared" si="11"/>
        <v>180</v>
      </c>
      <c r="O171" s="472"/>
      <c r="P171" s="472"/>
      <c r="Q171" s="472"/>
      <c r="R171" s="472"/>
      <c r="S171" s="472"/>
      <c r="T171" s="468"/>
      <c r="U171" s="474"/>
      <c r="X171" s="473"/>
      <c r="Y171" s="473"/>
      <c r="Z171" s="475"/>
      <c r="AA171" s="475"/>
      <c r="AB171" s="475"/>
      <c r="AC171" s="475"/>
      <c r="AN171" s="475"/>
    </row>
    <row r="172" spans="1:40" s="466" customFormat="1">
      <c r="A172" s="53"/>
      <c r="C172" s="467"/>
      <c r="D172" s="467"/>
      <c r="E172" s="468"/>
      <c r="F172" s="469"/>
      <c r="G172" s="470"/>
      <c r="H172" s="471"/>
      <c r="I172" s="471"/>
      <c r="J172" s="472"/>
      <c r="K172" s="473"/>
      <c r="L172" s="473"/>
      <c r="M172" s="150"/>
      <c r="N172" s="404">
        <f t="shared" si="11"/>
        <v>180</v>
      </c>
      <c r="O172" s="472"/>
      <c r="P172" s="472"/>
      <c r="Q172" s="472"/>
      <c r="R172" s="472"/>
      <c r="S172" s="472"/>
      <c r="T172" s="468"/>
      <c r="U172" s="474"/>
      <c r="X172" s="473"/>
      <c r="Y172" s="473"/>
      <c r="Z172" s="475"/>
      <c r="AA172" s="475"/>
      <c r="AB172" s="475"/>
      <c r="AC172" s="475"/>
      <c r="AN172" s="475"/>
    </row>
    <row r="173" spans="1:40" s="466" customFormat="1">
      <c r="A173" s="53"/>
      <c r="C173" s="467"/>
      <c r="D173" s="467"/>
      <c r="E173" s="468"/>
      <c r="F173" s="469"/>
      <c r="G173" s="470"/>
      <c r="H173" s="471"/>
      <c r="I173" s="471"/>
      <c r="J173" s="472"/>
      <c r="K173" s="473"/>
      <c r="L173" s="473"/>
      <c r="M173" s="150"/>
      <c r="N173" s="404">
        <f t="shared" si="11"/>
        <v>180</v>
      </c>
      <c r="O173" s="472"/>
      <c r="P173" s="472"/>
      <c r="Q173" s="472"/>
      <c r="R173" s="472"/>
      <c r="S173" s="472"/>
      <c r="T173" s="468"/>
      <c r="U173" s="474"/>
      <c r="X173" s="473"/>
      <c r="Y173" s="473"/>
      <c r="Z173" s="475"/>
      <c r="AA173" s="475"/>
      <c r="AB173" s="475"/>
      <c r="AC173" s="475"/>
      <c r="AN173" s="475"/>
    </row>
    <row r="174" spans="1:40" s="466" customFormat="1">
      <c r="A174" s="53"/>
      <c r="C174" s="467"/>
      <c r="D174" s="467"/>
      <c r="E174" s="468"/>
      <c r="F174" s="469"/>
      <c r="G174" s="470"/>
      <c r="H174" s="471"/>
      <c r="I174" s="471"/>
      <c r="J174" s="472"/>
      <c r="K174" s="473"/>
      <c r="L174" s="473"/>
      <c r="M174" s="150"/>
      <c r="N174" s="404">
        <f t="shared" si="11"/>
        <v>180</v>
      </c>
      <c r="O174" s="472"/>
      <c r="P174" s="472"/>
      <c r="Q174" s="472"/>
      <c r="R174" s="472"/>
      <c r="S174" s="472"/>
      <c r="T174" s="468"/>
      <c r="U174" s="474"/>
      <c r="X174" s="473"/>
      <c r="Y174" s="473"/>
      <c r="Z174" s="475"/>
      <c r="AA174" s="475"/>
      <c r="AB174" s="475"/>
      <c r="AC174" s="475"/>
      <c r="AN174" s="475"/>
    </row>
    <row r="175" spans="1:40" s="466" customFormat="1">
      <c r="A175" s="53"/>
      <c r="C175" s="467"/>
      <c r="D175" s="467"/>
      <c r="E175" s="468"/>
      <c r="F175" s="469"/>
      <c r="G175" s="470"/>
      <c r="H175" s="471"/>
      <c r="I175" s="471"/>
      <c r="J175" s="472"/>
      <c r="K175" s="473"/>
      <c r="L175" s="473"/>
      <c r="M175" s="150"/>
      <c r="N175" s="404">
        <f t="shared" si="11"/>
        <v>180</v>
      </c>
      <c r="O175" s="472"/>
      <c r="P175" s="472"/>
      <c r="Q175" s="472"/>
      <c r="R175" s="472"/>
      <c r="S175" s="472"/>
      <c r="T175" s="468"/>
      <c r="U175" s="474"/>
      <c r="X175" s="473"/>
      <c r="Y175" s="473"/>
      <c r="Z175" s="475"/>
      <c r="AA175" s="475"/>
      <c r="AB175" s="475"/>
      <c r="AC175" s="475"/>
      <c r="AN175" s="475"/>
    </row>
    <row r="176" spans="1:40" s="466" customFormat="1">
      <c r="A176" s="53"/>
      <c r="C176" s="467"/>
      <c r="D176" s="467"/>
      <c r="E176" s="468"/>
      <c r="F176" s="469"/>
      <c r="G176" s="470"/>
      <c r="H176" s="471"/>
      <c r="I176" s="471"/>
      <c r="J176" s="472"/>
      <c r="K176" s="473"/>
      <c r="L176" s="473"/>
      <c r="M176" s="150"/>
      <c r="N176" s="404">
        <f t="shared" ref="N176:N213" si="12">M176+180</f>
        <v>180</v>
      </c>
      <c r="O176" s="472"/>
      <c r="P176" s="472"/>
      <c r="Q176" s="472"/>
      <c r="R176" s="472"/>
      <c r="S176" s="472"/>
      <c r="T176" s="468"/>
      <c r="U176" s="474"/>
      <c r="X176" s="473"/>
      <c r="Y176" s="473"/>
      <c r="Z176" s="475"/>
      <c r="AA176" s="475"/>
      <c r="AB176" s="475"/>
      <c r="AC176" s="475"/>
      <c r="AN176" s="475"/>
    </row>
    <row r="177" spans="1:40" s="466" customFormat="1">
      <c r="A177" s="53"/>
      <c r="C177" s="467"/>
      <c r="D177" s="467"/>
      <c r="E177" s="468"/>
      <c r="F177" s="469"/>
      <c r="G177" s="470"/>
      <c r="H177" s="471"/>
      <c r="I177" s="471"/>
      <c r="J177" s="472"/>
      <c r="K177" s="473"/>
      <c r="L177" s="473"/>
      <c r="M177" s="150"/>
      <c r="N177" s="404">
        <f t="shared" si="12"/>
        <v>180</v>
      </c>
      <c r="O177" s="472"/>
      <c r="P177" s="472"/>
      <c r="Q177" s="472"/>
      <c r="R177" s="472"/>
      <c r="S177" s="472"/>
      <c r="T177" s="468"/>
      <c r="U177" s="474"/>
      <c r="X177" s="473"/>
      <c r="Y177" s="473"/>
      <c r="Z177" s="475"/>
      <c r="AA177" s="475"/>
      <c r="AB177" s="475"/>
      <c r="AC177" s="475"/>
      <c r="AN177" s="475"/>
    </row>
    <row r="178" spans="1:40" s="466" customFormat="1">
      <c r="A178" s="53"/>
      <c r="C178" s="467"/>
      <c r="D178" s="467"/>
      <c r="E178" s="468"/>
      <c r="F178" s="469"/>
      <c r="G178" s="470"/>
      <c r="H178" s="471"/>
      <c r="I178" s="471"/>
      <c r="J178" s="472"/>
      <c r="K178" s="473"/>
      <c r="L178" s="473"/>
      <c r="M178" s="150"/>
      <c r="N178" s="404">
        <f t="shared" si="12"/>
        <v>180</v>
      </c>
      <c r="O178" s="472"/>
      <c r="P178" s="472"/>
      <c r="Q178" s="472"/>
      <c r="R178" s="472"/>
      <c r="S178" s="472"/>
      <c r="T178" s="468"/>
      <c r="U178" s="474"/>
      <c r="X178" s="473"/>
      <c r="Y178" s="473"/>
      <c r="Z178" s="475"/>
      <c r="AA178" s="475"/>
      <c r="AB178" s="475"/>
      <c r="AC178" s="475"/>
      <c r="AN178" s="475"/>
    </row>
    <row r="179" spans="1:40" s="466" customFormat="1">
      <c r="A179" s="53"/>
      <c r="C179" s="467"/>
      <c r="D179" s="467"/>
      <c r="E179" s="468"/>
      <c r="F179" s="469"/>
      <c r="G179" s="470"/>
      <c r="H179" s="471"/>
      <c r="I179" s="471"/>
      <c r="J179" s="472"/>
      <c r="K179" s="473"/>
      <c r="L179" s="473"/>
      <c r="M179" s="150"/>
      <c r="N179" s="404">
        <f t="shared" si="12"/>
        <v>180</v>
      </c>
      <c r="O179" s="472"/>
      <c r="P179" s="472"/>
      <c r="Q179" s="472"/>
      <c r="R179" s="472"/>
      <c r="S179" s="472"/>
      <c r="T179" s="468"/>
      <c r="U179" s="474"/>
      <c r="X179" s="473"/>
      <c r="Y179" s="473"/>
      <c r="Z179" s="475"/>
      <c r="AA179" s="475"/>
      <c r="AB179" s="475"/>
      <c r="AC179" s="475"/>
      <c r="AN179" s="475"/>
    </row>
    <row r="180" spans="1:40" s="466" customFormat="1">
      <c r="A180" s="53"/>
      <c r="C180" s="467"/>
      <c r="D180" s="467"/>
      <c r="E180" s="468"/>
      <c r="F180" s="469"/>
      <c r="G180" s="470"/>
      <c r="H180" s="471"/>
      <c r="I180" s="471"/>
      <c r="J180" s="472"/>
      <c r="K180" s="473"/>
      <c r="L180" s="473"/>
      <c r="M180" s="150"/>
      <c r="N180" s="404">
        <f t="shared" si="12"/>
        <v>180</v>
      </c>
      <c r="O180" s="472"/>
      <c r="P180" s="472"/>
      <c r="Q180" s="472"/>
      <c r="R180" s="472"/>
      <c r="S180" s="472"/>
      <c r="T180" s="468"/>
      <c r="U180" s="474"/>
      <c r="X180" s="473"/>
      <c r="Y180" s="473"/>
      <c r="Z180" s="475"/>
      <c r="AA180" s="475"/>
      <c r="AB180" s="475"/>
      <c r="AC180" s="475"/>
      <c r="AN180" s="475"/>
    </row>
    <row r="181" spans="1:40" s="466" customFormat="1">
      <c r="A181" s="53"/>
      <c r="C181" s="467"/>
      <c r="D181" s="467"/>
      <c r="E181" s="468"/>
      <c r="F181" s="469"/>
      <c r="G181" s="470"/>
      <c r="H181" s="471"/>
      <c r="I181" s="471"/>
      <c r="J181" s="472"/>
      <c r="K181" s="473"/>
      <c r="L181" s="473"/>
      <c r="M181" s="150"/>
      <c r="N181" s="404">
        <f t="shared" si="12"/>
        <v>180</v>
      </c>
      <c r="O181" s="472"/>
      <c r="P181" s="472"/>
      <c r="Q181" s="472"/>
      <c r="R181" s="472"/>
      <c r="S181" s="472"/>
      <c r="T181" s="468"/>
      <c r="U181" s="474"/>
      <c r="X181" s="473"/>
      <c r="Y181" s="473"/>
      <c r="Z181" s="475"/>
      <c r="AA181" s="475"/>
      <c r="AB181" s="475"/>
      <c r="AC181" s="475"/>
      <c r="AN181" s="475"/>
    </row>
    <row r="182" spans="1:40" s="466" customFormat="1">
      <c r="A182" s="53"/>
      <c r="C182" s="467"/>
      <c r="D182" s="467"/>
      <c r="E182" s="468"/>
      <c r="F182" s="469"/>
      <c r="G182" s="470"/>
      <c r="H182" s="471"/>
      <c r="I182" s="471"/>
      <c r="J182" s="472"/>
      <c r="K182" s="473"/>
      <c r="L182" s="473"/>
      <c r="M182" s="150"/>
      <c r="N182" s="404">
        <f t="shared" si="12"/>
        <v>180</v>
      </c>
      <c r="O182" s="472"/>
      <c r="P182" s="472"/>
      <c r="Q182" s="472"/>
      <c r="R182" s="472"/>
      <c r="S182" s="472"/>
      <c r="T182" s="468"/>
      <c r="U182" s="474"/>
      <c r="X182" s="473"/>
      <c r="Y182" s="473"/>
      <c r="Z182" s="475"/>
      <c r="AA182" s="475"/>
      <c r="AB182" s="475"/>
      <c r="AC182" s="475"/>
      <c r="AN182" s="475"/>
    </row>
    <row r="183" spans="1:40" s="466" customFormat="1">
      <c r="A183" s="53"/>
      <c r="C183" s="467"/>
      <c r="D183" s="467"/>
      <c r="E183" s="468"/>
      <c r="F183" s="469"/>
      <c r="G183" s="470"/>
      <c r="H183" s="471"/>
      <c r="I183" s="471"/>
      <c r="J183" s="472"/>
      <c r="K183" s="473"/>
      <c r="L183" s="473"/>
      <c r="M183" s="150"/>
      <c r="N183" s="404">
        <f t="shared" si="12"/>
        <v>180</v>
      </c>
      <c r="O183" s="472"/>
      <c r="P183" s="472"/>
      <c r="Q183" s="472"/>
      <c r="R183" s="472"/>
      <c r="S183" s="472"/>
      <c r="T183" s="468"/>
      <c r="U183" s="474"/>
      <c r="X183" s="473"/>
      <c r="Y183" s="473"/>
      <c r="Z183" s="475"/>
      <c r="AA183" s="475"/>
      <c r="AB183" s="475"/>
      <c r="AC183" s="475"/>
      <c r="AN183" s="475"/>
    </row>
    <row r="184" spans="1:40" s="466" customFormat="1">
      <c r="A184" s="53"/>
      <c r="C184" s="467"/>
      <c r="D184" s="467"/>
      <c r="E184" s="468"/>
      <c r="F184" s="469"/>
      <c r="G184" s="470"/>
      <c r="H184" s="471"/>
      <c r="I184" s="471"/>
      <c r="J184" s="472"/>
      <c r="K184" s="473"/>
      <c r="L184" s="473"/>
      <c r="M184" s="150"/>
      <c r="N184" s="404">
        <f t="shared" si="12"/>
        <v>180</v>
      </c>
      <c r="O184" s="472"/>
      <c r="P184" s="472"/>
      <c r="Q184" s="472"/>
      <c r="R184" s="472"/>
      <c r="S184" s="472"/>
      <c r="T184" s="468"/>
      <c r="U184" s="474"/>
      <c r="X184" s="473"/>
      <c r="Y184" s="473"/>
      <c r="Z184" s="475"/>
      <c r="AA184" s="475"/>
      <c r="AB184" s="475"/>
      <c r="AC184" s="475"/>
      <c r="AN184" s="475"/>
    </row>
    <row r="185" spans="1:40" s="466" customFormat="1">
      <c r="A185" s="53"/>
      <c r="C185" s="467"/>
      <c r="D185" s="467"/>
      <c r="E185" s="468"/>
      <c r="F185" s="469"/>
      <c r="G185" s="470"/>
      <c r="H185" s="471"/>
      <c r="I185" s="471"/>
      <c r="J185" s="472"/>
      <c r="K185" s="473"/>
      <c r="L185" s="473"/>
      <c r="M185" s="150"/>
      <c r="N185" s="404">
        <f t="shared" si="12"/>
        <v>180</v>
      </c>
      <c r="O185" s="472"/>
      <c r="P185" s="472"/>
      <c r="Q185" s="472"/>
      <c r="R185" s="472"/>
      <c r="S185" s="472"/>
      <c r="T185" s="468"/>
      <c r="U185" s="474"/>
      <c r="X185" s="473"/>
      <c r="Y185" s="473"/>
      <c r="Z185" s="475"/>
      <c r="AA185" s="475"/>
      <c r="AB185" s="475"/>
      <c r="AC185" s="475"/>
      <c r="AN185" s="475"/>
    </row>
    <row r="186" spans="1:40" s="466" customFormat="1">
      <c r="A186" s="53"/>
      <c r="C186" s="467"/>
      <c r="D186" s="467"/>
      <c r="E186" s="468"/>
      <c r="F186" s="469"/>
      <c r="G186" s="470"/>
      <c r="H186" s="471"/>
      <c r="I186" s="471"/>
      <c r="J186" s="472"/>
      <c r="K186" s="473"/>
      <c r="L186" s="473"/>
      <c r="M186" s="150"/>
      <c r="N186" s="404">
        <f t="shared" si="12"/>
        <v>180</v>
      </c>
      <c r="O186" s="472"/>
      <c r="P186" s="472"/>
      <c r="Q186" s="472"/>
      <c r="R186" s="472"/>
      <c r="S186" s="472"/>
      <c r="T186" s="468"/>
      <c r="U186" s="474"/>
      <c r="X186" s="473"/>
      <c r="Y186" s="473"/>
      <c r="Z186" s="475"/>
      <c r="AA186" s="475"/>
      <c r="AB186" s="475"/>
      <c r="AC186" s="475"/>
      <c r="AN186" s="475"/>
    </row>
    <row r="187" spans="1:40" s="466" customFormat="1">
      <c r="A187" s="53"/>
      <c r="C187" s="467"/>
      <c r="D187" s="467"/>
      <c r="E187" s="468"/>
      <c r="F187" s="469"/>
      <c r="G187" s="470"/>
      <c r="H187" s="471"/>
      <c r="I187" s="471"/>
      <c r="J187" s="472"/>
      <c r="K187" s="473"/>
      <c r="L187" s="473"/>
      <c r="M187" s="150"/>
      <c r="N187" s="404">
        <f t="shared" si="12"/>
        <v>180</v>
      </c>
      <c r="O187" s="472"/>
      <c r="P187" s="472"/>
      <c r="Q187" s="472"/>
      <c r="R187" s="472"/>
      <c r="S187" s="472"/>
      <c r="T187" s="468"/>
      <c r="U187" s="474"/>
      <c r="X187" s="473"/>
      <c r="Y187" s="473"/>
      <c r="Z187" s="475"/>
      <c r="AA187" s="475"/>
      <c r="AB187" s="475"/>
      <c r="AC187" s="475"/>
      <c r="AN187" s="475"/>
    </row>
    <row r="188" spans="1:40" s="466" customFormat="1">
      <c r="A188" s="53"/>
      <c r="C188" s="467"/>
      <c r="D188" s="467"/>
      <c r="E188" s="468"/>
      <c r="F188" s="469"/>
      <c r="G188" s="470"/>
      <c r="H188" s="471"/>
      <c r="I188" s="471"/>
      <c r="J188" s="472"/>
      <c r="K188" s="473"/>
      <c r="L188" s="473"/>
      <c r="M188" s="150"/>
      <c r="N188" s="404">
        <f t="shared" si="12"/>
        <v>180</v>
      </c>
      <c r="O188" s="472"/>
      <c r="P188" s="472"/>
      <c r="Q188" s="472"/>
      <c r="R188" s="472"/>
      <c r="S188" s="472"/>
      <c r="T188" s="468"/>
      <c r="U188" s="474"/>
      <c r="X188" s="473"/>
      <c r="Y188" s="473"/>
      <c r="Z188" s="475"/>
      <c r="AA188" s="475"/>
      <c r="AB188" s="475"/>
      <c r="AC188" s="475"/>
      <c r="AN188" s="475"/>
    </row>
    <row r="189" spans="1:40" s="466" customFormat="1">
      <c r="A189" s="53"/>
      <c r="C189" s="467"/>
      <c r="D189" s="467"/>
      <c r="E189" s="468"/>
      <c r="F189" s="469"/>
      <c r="G189" s="470"/>
      <c r="H189" s="471"/>
      <c r="I189" s="471"/>
      <c r="J189" s="472"/>
      <c r="K189" s="473"/>
      <c r="L189" s="473"/>
      <c r="M189" s="150"/>
      <c r="N189" s="404">
        <f t="shared" si="12"/>
        <v>180</v>
      </c>
      <c r="O189" s="472"/>
      <c r="P189" s="472"/>
      <c r="Q189" s="472"/>
      <c r="R189" s="472"/>
      <c r="S189" s="472"/>
      <c r="T189" s="468"/>
      <c r="U189" s="474"/>
      <c r="X189" s="473"/>
      <c r="Y189" s="473"/>
      <c r="Z189" s="475"/>
      <c r="AA189" s="475"/>
      <c r="AB189" s="475"/>
      <c r="AC189" s="475"/>
      <c r="AN189" s="475"/>
    </row>
    <row r="190" spans="1:40" s="466" customFormat="1">
      <c r="A190" s="53"/>
      <c r="C190" s="467"/>
      <c r="D190" s="467"/>
      <c r="E190" s="468"/>
      <c r="F190" s="469"/>
      <c r="G190" s="470"/>
      <c r="H190" s="471"/>
      <c r="I190" s="471"/>
      <c r="J190" s="472"/>
      <c r="K190" s="473"/>
      <c r="L190" s="473"/>
      <c r="M190" s="150"/>
      <c r="N190" s="404">
        <f t="shared" si="12"/>
        <v>180</v>
      </c>
      <c r="O190" s="472"/>
      <c r="P190" s="472"/>
      <c r="Q190" s="472"/>
      <c r="R190" s="472"/>
      <c r="S190" s="472"/>
      <c r="T190" s="468"/>
      <c r="U190" s="474"/>
      <c r="X190" s="473"/>
      <c r="Y190" s="473"/>
      <c r="Z190" s="475"/>
      <c r="AA190" s="475"/>
      <c r="AB190" s="475"/>
      <c r="AC190" s="475"/>
      <c r="AN190" s="475"/>
    </row>
    <row r="191" spans="1:40" s="466" customFormat="1">
      <c r="A191" s="53"/>
      <c r="C191" s="467"/>
      <c r="D191" s="467"/>
      <c r="E191" s="468"/>
      <c r="F191" s="469"/>
      <c r="G191" s="470"/>
      <c r="H191" s="471"/>
      <c r="I191" s="471"/>
      <c r="J191" s="472"/>
      <c r="K191" s="473"/>
      <c r="L191" s="473"/>
      <c r="M191" s="150"/>
      <c r="N191" s="404">
        <f t="shared" si="12"/>
        <v>180</v>
      </c>
      <c r="O191" s="472"/>
      <c r="P191" s="472"/>
      <c r="Q191" s="472"/>
      <c r="R191" s="472"/>
      <c r="S191" s="472"/>
      <c r="T191" s="468"/>
      <c r="U191" s="474"/>
      <c r="X191" s="473"/>
      <c r="Y191" s="473"/>
      <c r="Z191" s="475"/>
      <c r="AA191" s="475"/>
      <c r="AB191" s="475"/>
      <c r="AC191" s="475"/>
      <c r="AN191" s="475"/>
    </row>
    <row r="192" spans="1:40" s="466" customFormat="1">
      <c r="A192" s="53"/>
      <c r="C192" s="467"/>
      <c r="D192" s="467"/>
      <c r="E192" s="468"/>
      <c r="F192" s="469"/>
      <c r="G192" s="470"/>
      <c r="H192" s="471"/>
      <c r="I192" s="471"/>
      <c r="J192" s="472"/>
      <c r="K192" s="473"/>
      <c r="L192" s="473"/>
      <c r="M192" s="150"/>
      <c r="N192" s="404">
        <f t="shared" si="12"/>
        <v>180</v>
      </c>
      <c r="O192" s="472"/>
      <c r="P192" s="472"/>
      <c r="Q192" s="472"/>
      <c r="R192" s="472"/>
      <c r="S192" s="472"/>
      <c r="T192" s="468"/>
      <c r="U192" s="474"/>
      <c r="X192" s="473"/>
      <c r="Y192" s="473"/>
      <c r="Z192" s="475"/>
      <c r="AA192" s="475"/>
      <c r="AB192" s="475"/>
      <c r="AC192" s="475"/>
      <c r="AN192" s="475"/>
    </row>
    <row r="193" spans="1:40" s="466" customFormat="1">
      <c r="A193" s="53"/>
      <c r="C193" s="467"/>
      <c r="D193" s="467"/>
      <c r="E193" s="468"/>
      <c r="F193" s="469"/>
      <c r="G193" s="470"/>
      <c r="H193" s="471"/>
      <c r="I193" s="471"/>
      <c r="J193" s="472"/>
      <c r="K193" s="473"/>
      <c r="L193" s="473"/>
      <c r="M193" s="150"/>
      <c r="N193" s="404">
        <f t="shared" si="12"/>
        <v>180</v>
      </c>
      <c r="O193" s="472"/>
      <c r="P193" s="472"/>
      <c r="Q193" s="472"/>
      <c r="R193" s="472"/>
      <c r="S193" s="472"/>
      <c r="T193" s="468"/>
      <c r="U193" s="474"/>
      <c r="X193" s="473"/>
      <c r="Y193" s="473"/>
      <c r="Z193" s="475"/>
      <c r="AA193" s="475"/>
      <c r="AB193" s="475"/>
      <c r="AC193" s="475"/>
      <c r="AN193" s="475"/>
    </row>
    <row r="194" spans="1:40" s="466" customFormat="1">
      <c r="A194" s="53"/>
      <c r="C194" s="467"/>
      <c r="D194" s="467"/>
      <c r="E194" s="468"/>
      <c r="F194" s="469"/>
      <c r="G194" s="470"/>
      <c r="H194" s="471"/>
      <c r="I194" s="471"/>
      <c r="J194" s="472"/>
      <c r="K194" s="473"/>
      <c r="L194" s="473"/>
      <c r="M194" s="150"/>
      <c r="N194" s="404">
        <f t="shared" si="12"/>
        <v>180</v>
      </c>
      <c r="O194" s="472"/>
      <c r="P194" s="472"/>
      <c r="Q194" s="472"/>
      <c r="R194" s="472"/>
      <c r="S194" s="472"/>
      <c r="T194" s="468"/>
      <c r="U194" s="474"/>
      <c r="X194" s="473"/>
      <c r="Y194" s="473"/>
      <c r="Z194" s="475"/>
      <c r="AA194" s="475"/>
      <c r="AB194" s="475"/>
      <c r="AC194" s="475"/>
      <c r="AN194" s="475"/>
    </row>
    <row r="195" spans="1:40" s="466" customFormat="1">
      <c r="A195" s="53"/>
      <c r="C195" s="467"/>
      <c r="D195" s="467"/>
      <c r="E195" s="468"/>
      <c r="F195" s="469"/>
      <c r="G195" s="470"/>
      <c r="H195" s="471"/>
      <c r="I195" s="471"/>
      <c r="J195" s="472"/>
      <c r="K195" s="473"/>
      <c r="L195" s="473"/>
      <c r="M195" s="150"/>
      <c r="N195" s="404">
        <f t="shared" si="12"/>
        <v>180</v>
      </c>
      <c r="O195" s="472"/>
      <c r="P195" s="472"/>
      <c r="Q195" s="472"/>
      <c r="R195" s="472"/>
      <c r="S195" s="472"/>
      <c r="T195" s="468"/>
      <c r="U195" s="474"/>
      <c r="X195" s="473"/>
      <c r="Y195" s="473"/>
      <c r="Z195" s="475"/>
      <c r="AA195" s="475"/>
      <c r="AB195" s="475"/>
      <c r="AC195" s="475"/>
      <c r="AN195" s="475"/>
    </row>
    <row r="196" spans="1:40" s="466" customFormat="1">
      <c r="A196" s="53"/>
      <c r="C196" s="467"/>
      <c r="D196" s="467"/>
      <c r="E196" s="468"/>
      <c r="F196" s="469"/>
      <c r="G196" s="470"/>
      <c r="H196" s="471"/>
      <c r="I196" s="471"/>
      <c r="J196" s="472"/>
      <c r="K196" s="473"/>
      <c r="L196" s="473"/>
      <c r="M196" s="150"/>
      <c r="N196" s="404">
        <f t="shared" si="12"/>
        <v>180</v>
      </c>
      <c r="O196" s="472"/>
      <c r="P196" s="472"/>
      <c r="Q196" s="472"/>
      <c r="R196" s="472"/>
      <c r="S196" s="472"/>
      <c r="T196" s="468"/>
      <c r="U196" s="474"/>
      <c r="X196" s="473"/>
      <c r="Y196" s="473"/>
      <c r="Z196" s="475"/>
      <c r="AA196" s="475"/>
      <c r="AB196" s="475"/>
      <c r="AC196" s="475"/>
      <c r="AN196" s="475"/>
    </row>
    <row r="197" spans="1:40" s="466" customFormat="1">
      <c r="A197" s="53"/>
      <c r="C197" s="467"/>
      <c r="D197" s="467"/>
      <c r="E197" s="468"/>
      <c r="F197" s="469"/>
      <c r="G197" s="470"/>
      <c r="H197" s="471"/>
      <c r="I197" s="471"/>
      <c r="J197" s="472"/>
      <c r="K197" s="473"/>
      <c r="L197" s="473"/>
      <c r="M197" s="150"/>
      <c r="N197" s="404">
        <f t="shared" si="12"/>
        <v>180</v>
      </c>
      <c r="O197" s="472"/>
      <c r="P197" s="472"/>
      <c r="Q197" s="472"/>
      <c r="R197" s="472"/>
      <c r="S197" s="472"/>
      <c r="T197" s="468"/>
      <c r="U197" s="474"/>
      <c r="X197" s="473"/>
      <c r="Y197" s="473"/>
      <c r="Z197" s="475"/>
      <c r="AA197" s="475"/>
      <c r="AB197" s="475"/>
      <c r="AC197" s="475"/>
      <c r="AN197" s="475"/>
    </row>
    <row r="198" spans="1:40" s="466" customFormat="1">
      <c r="A198" s="53"/>
      <c r="C198" s="467"/>
      <c r="D198" s="467"/>
      <c r="E198" s="468"/>
      <c r="F198" s="469"/>
      <c r="G198" s="470"/>
      <c r="H198" s="471"/>
      <c r="I198" s="471"/>
      <c r="J198" s="472"/>
      <c r="K198" s="473"/>
      <c r="L198" s="473"/>
      <c r="M198" s="150"/>
      <c r="N198" s="404">
        <f t="shared" si="12"/>
        <v>180</v>
      </c>
      <c r="O198" s="472"/>
      <c r="P198" s="472"/>
      <c r="Q198" s="472"/>
      <c r="R198" s="472"/>
      <c r="S198" s="472"/>
      <c r="T198" s="468"/>
      <c r="U198" s="474"/>
      <c r="X198" s="473"/>
      <c r="Y198" s="473"/>
      <c r="Z198" s="475"/>
      <c r="AA198" s="475"/>
      <c r="AB198" s="475"/>
      <c r="AC198" s="475"/>
      <c r="AN198" s="475"/>
    </row>
    <row r="199" spans="1:40" s="466" customFormat="1">
      <c r="A199" s="53"/>
      <c r="C199" s="467"/>
      <c r="D199" s="467"/>
      <c r="E199" s="468"/>
      <c r="F199" s="469"/>
      <c r="G199" s="470"/>
      <c r="H199" s="471"/>
      <c r="I199" s="471"/>
      <c r="J199" s="472"/>
      <c r="K199" s="473"/>
      <c r="L199" s="473"/>
      <c r="M199" s="150"/>
      <c r="N199" s="404">
        <f t="shared" si="12"/>
        <v>180</v>
      </c>
      <c r="O199" s="472"/>
      <c r="P199" s="472"/>
      <c r="Q199" s="472"/>
      <c r="R199" s="472"/>
      <c r="S199" s="472"/>
      <c r="T199" s="468"/>
      <c r="U199" s="474"/>
      <c r="X199" s="473"/>
      <c r="Y199" s="473"/>
      <c r="Z199" s="475"/>
      <c r="AA199" s="475"/>
      <c r="AB199" s="475"/>
      <c r="AC199" s="475"/>
      <c r="AN199" s="475"/>
    </row>
    <row r="200" spans="1:40" s="466" customFormat="1">
      <c r="A200" s="53"/>
      <c r="C200" s="467"/>
      <c r="D200" s="467"/>
      <c r="E200" s="468"/>
      <c r="F200" s="469"/>
      <c r="G200" s="470"/>
      <c r="H200" s="471"/>
      <c r="I200" s="471"/>
      <c r="J200" s="472"/>
      <c r="K200" s="473"/>
      <c r="L200" s="473"/>
      <c r="M200" s="150"/>
      <c r="N200" s="404">
        <f t="shared" si="12"/>
        <v>180</v>
      </c>
      <c r="O200" s="472"/>
      <c r="P200" s="472"/>
      <c r="Q200" s="472"/>
      <c r="R200" s="472"/>
      <c r="S200" s="472"/>
      <c r="T200" s="468"/>
      <c r="U200" s="474"/>
      <c r="X200" s="473"/>
      <c r="Y200" s="473"/>
      <c r="Z200" s="475"/>
      <c r="AA200" s="475"/>
      <c r="AB200" s="475"/>
      <c r="AC200" s="475"/>
      <c r="AN200" s="475"/>
    </row>
    <row r="201" spans="1:40" s="466" customFormat="1">
      <c r="A201" s="53"/>
      <c r="C201" s="467"/>
      <c r="D201" s="467"/>
      <c r="E201" s="468"/>
      <c r="F201" s="469"/>
      <c r="G201" s="470"/>
      <c r="H201" s="471"/>
      <c r="I201" s="471"/>
      <c r="J201" s="472"/>
      <c r="K201" s="473"/>
      <c r="L201" s="473"/>
      <c r="M201" s="150"/>
      <c r="N201" s="404">
        <f t="shared" si="12"/>
        <v>180</v>
      </c>
      <c r="O201" s="472"/>
      <c r="P201" s="472"/>
      <c r="Q201" s="472"/>
      <c r="R201" s="472"/>
      <c r="S201" s="472"/>
      <c r="T201" s="468"/>
      <c r="U201" s="474"/>
      <c r="X201" s="473"/>
      <c r="Y201" s="473"/>
      <c r="Z201" s="475"/>
      <c r="AA201" s="475"/>
      <c r="AB201" s="475"/>
      <c r="AC201" s="475"/>
      <c r="AN201" s="475"/>
    </row>
    <row r="202" spans="1:40" s="466" customFormat="1">
      <c r="A202" s="53"/>
      <c r="C202" s="467"/>
      <c r="D202" s="467"/>
      <c r="E202" s="468"/>
      <c r="F202" s="469"/>
      <c r="G202" s="470"/>
      <c r="H202" s="471"/>
      <c r="I202" s="471"/>
      <c r="J202" s="472"/>
      <c r="K202" s="473"/>
      <c r="L202" s="473"/>
      <c r="M202" s="150"/>
      <c r="N202" s="404">
        <f t="shared" si="12"/>
        <v>180</v>
      </c>
      <c r="O202" s="472"/>
      <c r="P202" s="472"/>
      <c r="Q202" s="472"/>
      <c r="R202" s="472"/>
      <c r="S202" s="472"/>
      <c r="T202" s="468"/>
      <c r="U202" s="474"/>
      <c r="X202" s="473"/>
      <c r="Y202" s="473"/>
      <c r="Z202" s="475"/>
      <c r="AA202" s="475"/>
      <c r="AB202" s="475"/>
      <c r="AC202" s="475"/>
      <c r="AN202" s="475"/>
    </row>
    <row r="203" spans="1:40" s="466" customFormat="1">
      <c r="A203" s="53"/>
      <c r="C203" s="467"/>
      <c r="D203" s="467"/>
      <c r="E203" s="468"/>
      <c r="F203" s="469"/>
      <c r="G203" s="470"/>
      <c r="H203" s="471"/>
      <c r="I203" s="471"/>
      <c r="J203" s="472"/>
      <c r="K203" s="473"/>
      <c r="L203" s="473"/>
      <c r="M203" s="150"/>
      <c r="N203" s="404">
        <f t="shared" si="12"/>
        <v>180</v>
      </c>
      <c r="O203" s="472"/>
      <c r="P203" s="472"/>
      <c r="Q203" s="472"/>
      <c r="R203" s="472"/>
      <c r="S203" s="472"/>
      <c r="T203" s="468"/>
      <c r="U203" s="474"/>
      <c r="X203" s="473"/>
      <c r="Y203" s="473"/>
      <c r="Z203" s="475"/>
      <c r="AA203" s="475"/>
      <c r="AB203" s="475"/>
      <c r="AC203" s="475"/>
      <c r="AN203" s="475"/>
    </row>
    <row r="204" spans="1:40" s="466" customFormat="1">
      <c r="A204" s="53"/>
      <c r="C204" s="467"/>
      <c r="D204" s="467"/>
      <c r="E204" s="468"/>
      <c r="F204" s="469"/>
      <c r="G204" s="470"/>
      <c r="H204" s="471"/>
      <c r="I204" s="471"/>
      <c r="J204" s="472"/>
      <c r="K204" s="473"/>
      <c r="L204" s="473"/>
      <c r="M204" s="150"/>
      <c r="N204" s="404">
        <f t="shared" si="12"/>
        <v>180</v>
      </c>
      <c r="O204" s="472"/>
      <c r="P204" s="472"/>
      <c r="Q204" s="472"/>
      <c r="R204" s="472"/>
      <c r="S204" s="472"/>
      <c r="T204" s="468"/>
      <c r="U204" s="474"/>
      <c r="X204" s="473"/>
      <c r="Y204" s="473"/>
      <c r="Z204" s="475"/>
      <c r="AA204" s="475"/>
      <c r="AB204" s="475"/>
      <c r="AC204" s="475"/>
      <c r="AN204" s="475"/>
    </row>
    <row r="205" spans="1:40" s="466" customFormat="1">
      <c r="A205" s="53"/>
      <c r="C205" s="467"/>
      <c r="D205" s="467"/>
      <c r="E205" s="468"/>
      <c r="F205" s="469"/>
      <c r="G205" s="470"/>
      <c r="H205" s="471"/>
      <c r="I205" s="471"/>
      <c r="J205" s="472"/>
      <c r="K205" s="473"/>
      <c r="L205" s="473"/>
      <c r="M205" s="150"/>
      <c r="N205" s="404">
        <f t="shared" si="12"/>
        <v>180</v>
      </c>
      <c r="O205" s="472"/>
      <c r="P205" s="472"/>
      <c r="Q205" s="472"/>
      <c r="R205" s="472"/>
      <c r="S205" s="472"/>
      <c r="T205" s="468"/>
      <c r="U205" s="474"/>
      <c r="X205" s="473"/>
      <c r="Y205" s="473"/>
      <c r="Z205" s="475"/>
      <c r="AA205" s="475"/>
      <c r="AB205" s="475"/>
      <c r="AC205" s="475"/>
      <c r="AN205" s="475"/>
    </row>
    <row r="206" spans="1:40" s="466" customFormat="1">
      <c r="A206" s="53"/>
      <c r="C206" s="467"/>
      <c r="D206" s="467"/>
      <c r="E206" s="468"/>
      <c r="F206" s="469"/>
      <c r="G206" s="470"/>
      <c r="H206" s="471"/>
      <c r="I206" s="471"/>
      <c r="J206" s="472"/>
      <c r="K206" s="473"/>
      <c r="L206" s="473"/>
      <c r="M206" s="150"/>
      <c r="N206" s="404">
        <f t="shared" si="12"/>
        <v>180</v>
      </c>
      <c r="O206" s="472"/>
      <c r="P206" s="472"/>
      <c r="Q206" s="472"/>
      <c r="R206" s="472"/>
      <c r="S206" s="472"/>
      <c r="T206" s="468"/>
      <c r="U206" s="474"/>
      <c r="X206" s="473"/>
      <c r="Y206" s="473"/>
      <c r="Z206" s="475"/>
      <c r="AA206" s="475"/>
      <c r="AB206" s="475"/>
      <c r="AC206" s="475"/>
      <c r="AN206" s="475"/>
    </row>
    <row r="207" spans="1:40" s="466" customFormat="1">
      <c r="A207" s="53"/>
      <c r="C207" s="467"/>
      <c r="D207" s="467"/>
      <c r="E207" s="468"/>
      <c r="F207" s="469"/>
      <c r="G207" s="470"/>
      <c r="H207" s="471"/>
      <c r="I207" s="471"/>
      <c r="J207" s="472"/>
      <c r="K207" s="473"/>
      <c r="L207" s="473"/>
      <c r="M207" s="150"/>
      <c r="N207" s="404">
        <f t="shared" si="12"/>
        <v>180</v>
      </c>
      <c r="O207" s="472"/>
      <c r="P207" s="472"/>
      <c r="Q207" s="472"/>
      <c r="R207" s="472"/>
      <c r="S207" s="472"/>
      <c r="T207" s="468"/>
      <c r="U207" s="474"/>
      <c r="X207" s="473"/>
      <c r="Y207" s="473"/>
      <c r="Z207" s="475"/>
      <c r="AA207" s="475"/>
      <c r="AB207" s="475"/>
      <c r="AC207" s="475"/>
      <c r="AN207" s="475"/>
    </row>
    <row r="208" spans="1:40" s="466" customFormat="1">
      <c r="A208" s="53"/>
      <c r="C208" s="467"/>
      <c r="D208" s="467"/>
      <c r="E208" s="468"/>
      <c r="F208" s="469"/>
      <c r="G208" s="470"/>
      <c r="H208" s="471"/>
      <c r="I208" s="471"/>
      <c r="J208" s="472"/>
      <c r="K208" s="473"/>
      <c r="L208" s="473"/>
      <c r="M208" s="150"/>
      <c r="N208" s="404">
        <f t="shared" si="12"/>
        <v>180</v>
      </c>
      <c r="O208" s="472"/>
      <c r="P208" s="472"/>
      <c r="Q208" s="472"/>
      <c r="R208" s="472"/>
      <c r="S208" s="472"/>
      <c r="T208" s="468"/>
      <c r="U208" s="474"/>
      <c r="X208" s="473"/>
      <c r="Y208" s="473"/>
      <c r="Z208" s="475"/>
      <c r="AA208" s="475"/>
      <c r="AB208" s="475"/>
      <c r="AC208" s="475"/>
      <c r="AN208" s="475"/>
    </row>
    <row r="209" spans="1:40" s="466" customFormat="1">
      <c r="A209" s="53"/>
      <c r="C209" s="467"/>
      <c r="D209" s="467"/>
      <c r="E209" s="468"/>
      <c r="F209" s="469"/>
      <c r="G209" s="470"/>
      <c r="H209" s="471"/>
      <c r="I209" s="471"/>
      <c r="J209" s="472"/>
      <c r="K209" s="473"/>
      <c r="L209" s="473"/>
      <c r="M209" s="150"/>
      <c r="N209" s="404">
        <f t="shared" si="12"/>
        <v>180</v>
      </c>
      <c r="O209" s="472"/>
      <c r="P209" s="472"/>
      <c r="Q209" s="472"/>
      <c r="R209" s="472"/>
      <c r="S209" s="472"/>
      <c r="T209" s="468"/>
      <c r="U209" s="474"/>
      <c r="X209" s="473"/>
      <c r="Y209" s="473"/>
      <c r="Z209" s="475"/>
      <c r="AA209" s="475"/>
      <c r="AB209" s="475"/>
      <c r="AC209" s="475"/>
      <c r="AN209" s="475"/>
    </row>
    <row r="210" spans="1:40" s="466" customFormat="1">
      <c r="A210" s="53"/>
      <c r="C210" s="467"/>
      <c r="D210" s="467"/>
      <c r="E210" s="468"/>
      <c r="F210" s="469"/>
      <c r="G210" s="470"/>
      <c r="H210" s="471"/>
      <c r="I210" s="471"/>
      <c r="J210" s="472"/>
      <c r="K210" s="473"/>
      <c r="L210" s="473"/>
      <c r="M210" s="150"/>
      <c r="N210" s="404">
        <f t="shared" si="12"/>
        <v>180</v>
      </c>
      <c r="O210" s="472"/>
      <c r="P210" s="472"/>
      <c r="Q210" s="472"/>
      <c r="R210" s="472"/>
      <c r="S210" s="472"/>
      <c r="T210" s="468"/>
      <c r="U210" s="474"/>
      <c r="X210" s="473"/>
      <c r="Y210" s="473"/>
      <c r="Z210" s="475"/>
      <c r="AA210" s="475"/>
      <c r="AB210" s="475"/>
      <c r="AC210" s="475"/>
      <c r="AN210" s="475"/>
    </row>
    <row r="211" spans="1:40" s="466" customFormat="1">
      <c r="A211" s="53"/>
      <c r="C211" s="467"/>
      <c r="D211" s="467"/>
      <c r="E211" s="468"/>
      <c r="F211" s="469"/>
      <c r="G211" s="470"/>
      <c r="H211" s="471"/>
      <c r="I211" s="471"/>
      <c r="J211" s="472"/>
      <c r="K211" s="473"/>
      <c r="L211" s="473"/>
      <c r="M211" s="150"/>
      <c r="N211" s="404">
        <f t="shared" si="12"/>
        <v>180</v>
      </c>
      <c r="O211" s="472"/>
      <c r="P211" s="472"/>
      <c r="Q211" s="472"/>
      <c r="R211" s="472"/>
      <c r="S211" s="472"/>
      <c r="T211" s="468"/>
      <c r="U211" s="474"/>
      <c r="X211" s="473"/>
      <c r="Y211" s="473"/>
      <c r="Z211" s="475"/>
      <c r="AA211" s="475"/>
      <c r="AB211" s="475"/>
      <c r="AC211" s="475"/>
      <c r="AN211" s="475"/>
    </row>
    <row r="212" spans="1:40" s="466" customFormat="1">
      <c r="A212" s="53"/>
      <c r="C212" s="467"/>
      <c r="D212" s="467"/>
      <c r="E212" s="468"/>
      <c r="F212" s="469"/>
      <c r="G212" s="470"/>
      <c r="H212" s="471"/>
      <c r="I212" s="471"/>
      <c r="J212" s="472"/>
      <c r="K212" s="473"/>
      <c r="L212" s="473"/>
      <c r="M212" s="150"/>
      <c r="N212" s="404">
        <f t="shared" si="12"/>
        <v>180</v>
      </c>
      <c r="O212" s="472"/>
      <c r="P212" s="472"/>
      <c r="Q212" s="472"/>
      <c r="R212" s="472"/>
      <c r="S212" s="472"/>
      <c r="T212" s="468"/>
      <c r="U212" s="474"/>
      <c r="X212" s="473"/>
      <c r="Y212" s="473"/>
      <c r="Z212" s="475"/>
      <c r="AA212" s="475"/>
      <c r="AB212" s="475"/>
      <c r="AC212" s="475"/>
      <c r="AN212" s="475"/>
    </row>
    <row r="213" spans="1:40" s="466" customFormat="1">
      <c r="A213" s="53"/>
      <c r="C213" s="467"/>
      <c r="D213" s="467"/>
      <c r="E213" s="468"/>
      <c r="F213" s="469"/>
      <c r="G213" s="470"/>
      <c r="H213" s="471"/>
      <c r="I213" s="471"/>
      <c r="J213" s="472"/>
      <c r="K213" s="473"/>
      <c r="L213" s="473"/>
      <c r="M213" s="150"/>
      <c r="N213" s="404">
        <f t="shared" si="12"/>
        <v>180</v>
      </c>
      <c r="O213" s="472"/>
      <c r="P213" s="472"/>
      <c r="Q213" s="472"/>
      <c r="R213" s="472"/>
      <c r="S213" s="472"/>
      <c r="T213" s="468"/>
      <c r="U213" s="474"/>
      <c r="X213" s="473"/>
      <c r="Y213" s="473"/>
      <c r="Z213" s="475"/>
      <c r="AA213" s="475"/>
      <c r="AB213" s="475"/>
      <c r="AC213" s="475"/>
      <c r="AN213" s="475"/>
    </row>
    <row r="214" spans="1:40" s="466" customFormat="1">
      <c r="A214" s="53"/>
      <c r="C214" s="467"/>
      <c r="D214" s="467"/>
      <c r="E214" s="468"/>
      <c r="F214" s="469"/>
      <c r="G214" s="470"/>
      <c r="H214" s="471"/>
      <c r="I214" s="471"/>
      <c r="J214" s="472"/>
      <c r="K214" s="473"/>
      <c r="L214" s="473"/>
      <c r="M214" s="150"/>
      <c r="N214" s="152"/>
      <c r="O214" s="472"/>
      <c r="P214" s="472"/>
      <c r="Q214" s="472"/>
      <c r="R214" s="472"/>
      <c r="S214" s="472"/>
      <c r="T214" s="468"/>
      <c r="U214" s="474"/>
      <c r="X214" s="473"/>
      <c r="Y214" s="473"/>
      <c r="Z214" s="475"/>
      <c r="AA214" s="475"/>
      <c r="AB214" s="475"/>
      <c r="AC214" s="475"/>
      <c r="AN214" s="475"/>
    </row>
    <row r="215" spans="1:40" s="466" customFormat="1">
      <c r="A215" s="53"/>
      <c r="C215" s="467"/>
      <c r="D215" s="467"/>
      <c r="E215" s="468"/>
      <c r="F215" s="469"/>
      <c r="G215" s="470"/>
      <c r="H215" s="471"/>
      <c r="I215" s="471"/>
      <c r="J215" s="472"/>
      <c r="K215" s="473"/>
      <c r="L215" s="473"/>
      <c r="M215" s="150"/>
      <c r="N215" s="152"/>
      <c r="O215" s="472"/>
      <c r="P215" s="472"/>
      <c r="Q215" s="472"/>
      <c r="R215" s="472"/>
      <c r="S215" s="472"/>
      <c r="T215" s="468"/>
      <c r="U215" s="474"/>
      <c r="X215" s="473"/>
      <c r="Y215" s="473"/>
      <c r="Z215" s="475"/>
      <c r="AA215" s="475"/>
      <c r="AB215" s="475"/>
      <c r="AC215" s="475"/>
      <c r="AN215" s="475"/>
    </row>
    <row r="216" spans="1:40" s="466" customFormat="1">
      <c r="A216" s="53"/>
      <c r="C216" s="467"/>
      <c r="D216" s="467"/>
      <c r="E216" s="468"/>
      <c r="F216" s="469"/>
      <c r="G216" s="470"/>
      <c r="H216" s="471"/>
      <c r="I216" s="471"/>
      <c r="J216" s="472"/>
      <c r="K216" s="473"/>
      <c r="L216" s="473"/>
      <c r="M216" s="150"/>
      <c r="N216" s="152"/>
      <c r="O216" s="472"/>
      <c r="P216" s="472"/>
      <c r="Q216" s="472"/>
      <c r="R216" s="472"/>
      <c r="S216" s="472"/>
      <c r="T216" s="468"/>
      <c r="U216" s="474"/>
      <c r="X216" s="473"/>
      <c r="Y216" s="473"/>
      <c r="Z216" s="475"/>
      <c r="AA216" s="475"/>
      <c r="AB216" s="475"/>
      <c r="AC216" s="475"/>
      <c r="AN216" s="475"/>
    </row>
    <row r="217" spans="1:40" s="466" customFormat="1">
      <c r="A217" s="53"/>
      <c r="C217" s="467"/>
      <c r="D217" s="467"/>
      <c r="E217" s="468"/>
      <c r="F217" s="469"/>
      <c r="G217" s="470"/>
      <c r="H217" s="471"/>
      <c r="I217" s="471"/>
      <c r="J217" s="472"/>
      <c r="K217" s="473"/>
      <c r="L217" s="473"/>
      <c r="M217" s="150"/>
      <c r="N217" s="152"/>
      <c r="O217" s="472"/>
      <c r="P217" s="472"/>
      <c r="Q217" s="472"/>
      <c r="R217" s="472"/>
      <c r="S217" s="472"/>
      <c r="T217" s="468"/>
      <c r="U217" s="474"/>
      <c r="X217" s="473"/>
      <c r="Y217" s="473"/>
      <c r="Z217" s="475"/>
      <c r="AA217" s="475"/>
      <c r="AB217" s="475"/>
      <c r="AC217" s="475"/>
      <c r="AN217" s="475"/>
    </row>
    <row r="218" spans="1:40" s="466" customFormat="1">
      <c r="A218" s="53"/>
      <c r="C218" s="467"/>
      <c r="D218" s="467"/>
      <c r="E218" s="468"/>
      <c r="F218" s="469"/>
      <c r="G218" s="470"/>
      <c r="H218" s="471"/>
      <c r="I218" s="471"/>
      <c r="J218" s="472"/>
      <c r="K218" s="473"/>
      <c r="L218" s="473"/>
      <c r="M218" s="150"/>
      <c r="N218" s="152"/>
      <c r="O218" s="472"/>
      <c r="P218" s="472"/>
      <c r="Q218" s="472"/>
      <c r="R218" s="472"/>
      <c r="S218" s="472"/>
      <c r="T218" s="468"/>
      <c r="U218" s="474"/>
      <c r="X218" s="473"/>
      <c r="Y218" s="473"/>
      <c r="Z218" s="475"/>
      <c r="AA218" s="475"/>
      <c r="AB218" s="475"/>
      <c r="AC218" s="475"/>
      <c r="AN218" s="475"/>
    </row>
    <row r="219" spans="1:40">
      <c r="G219" s="465"/>
      <c r="M219" s="155"/>
      <c r="N219" s="159"/>
    </row>
    <row r="220" spans="1:40">
      <c r="M220" s="155"/>
      <c r="N220" s="159"/>
    </row>
    <row r="221" spans="1:40">
      <c r="M221" s="155"/>
      <c r="N221" s="159"/>
    </row>
    <row r="222" spans="1:40">
      <c r="M222" s="155"/>
      <c r="N222" s="159"/>
    </row>
    <row r="223" spans="1:40">
      <c r="M223" s="155"/>
      <c r="N223" s="159"/>
    </row>
    <row r="224" spans="1:40">
      <c r="M224" s="155"/>
      <c r="N224" s="159"/>
    </row>
    <row r="225" spans="13:14">
      <c r="M225" s="155"/>
      <c r="N225" s="159"/>
    </row>
    <row r="226" spans="13:14">
      <c r="M226" s="155"/>
      <c r="N226" s="159"/>
    </row>
    <row r="227" spans="13:14">
      <c r="M227" s="155"/>
      <c r="N227" s="159"/>
    </row>
    <row r="228" spans="13:14">
      <c r="M228" s="155"/>
      <c r="N228" s="159"/>
    </row>
    <row r="229" spans="13:14">
      <c r="M229" s="155"/>
      <c r="N229" s="159"/>
    </row>
    <row r="230" spans="13:14">
      <c r="M230" s="155"/>
      <c r="N230" s="159"/>
    </row>
    <row r="231" spans="13:14">
      <c r="M231" s="155"/>
      <c r="N231" s="159"/>
    </row>
    <row r="232" spans="13:14">
      <c r="M232" s="155"/>
      <c r="N232" s="159"/>
    </row>
    <row r="233" spans="13:14">
      <c r="M233" s="155"/>
      <c r="N233" s="159"/>
    </row>
    <row r="234" spans="13:14">
      <c r="M234" s="155"/>
      <c r="N234" s="159"/>
    </row>
    <row r="235" spans="13:14">
      <c r="M235" s="155"/>
      <c r="N235" s="159"/>
    </row>
    <row r="236" spans="13:14">
      <c r="M236" s="155"/>
      <c r="N236" s="159"/>
    </row>
    <row r="237" spans="13:14">
      <c r="M237" s="155"/>
      <c r="N237" s="159"/>
    </row>
  </sheetData>
  <autoFilter ref="A8:AT213" xr:uid="{24E3F30B-CB41-490B-AE8B-56F5775F0E4F}"/>
  <sortState xmlns:xlrd2="http://schemas.microsoft.com/office/spreadsheetml/2017/richdata2" ref="A42:W46">
    <sortCondition ref="C42:C46"/>
  </sortState>
  <mergeCells count="47">
    <mergeCell ref="A2:H2"/>
    <mergeCell ref="A3:H3"/>
    <mergeCell ref="A4:H4"/>
    <mergeCell ref="J3:R3"/>
    <mergeCell ref="J4:R4"/>
    <mergeCell ref="B7:B8"/>
    <mergeCell ref="AN7:AN8"/>
    <mergeCell ref="C7:C8"/>
    <mergeCell ref="O6:Q6"/>
    <mergeCell ref="V4:W4"/>
    <mergeCell ref="D7:D8"/>
    <mergeCell ref="T7:T8"/>
    <mergeCell ref="AD7:AD8"/>
    <mergeCell ref="AE7:AE8"/>
    <mergeCell ref="AF7:AF8"/>
    <mergeCell ref="AG7:AG8"/>
    <mergeCell ref="AH7:AH8"/>
    <mergeCell ref="AI7:AI8"/>
    <mergeCell ref="U5:X5"/>
    <mergeCell ref="U7:U8"/>
    <mergeCell ref="V7:V8"/>
    <mergeCell ref="E7:E8"/>
    <mergeCell ref="F7:F8"/>
    <mergeCell ref="G7:G8"/>
    <mergeCell ref="H7:H8"/>
    <mergeCell ref="I7:I8"/>
    <mergeCell ref="J6:K6"/>
    <mergeCell ref="J7:J8"/>
    <mergeCell ref="K7:K8"/>
    <mergeCell ref="O7:O8"/>
    <mergeCell ref="P7:P8"/>
    <mergeCell ref="M6:N6"/>
    <mergeCell ref="M7:M8"/>
    <mergeCell ref="N7:N8"/>
    <mergeCell ref="Q7:Q8"/>
    <mergeCell ref="W7:W8"/>
    <mergeCell ref="X7:X8"/>
    <mergeCell ref="Y7:Y8"/>
    <mergeCell ref="AB7:AB8"/>
    <mergeCell ref="Z7:Z8"/>
    <mergeCell ref="Z5:AM5"/>
    <mergeCell ref="AK7:AK8"/>
    <mergeCell ref="AM7:AM8"/>
    <mergeCell ref="AL7:AL8"/>
    <mergeCell ref="AC7:AC8"/>
    <mergeCell ref="AJ7:AJ8"/>
    <mergeCell ref="AA7:AA8"/>
  </mergeCells>
  <hyperlinks>
    <hyperlink ref="AS9" r:id="rId1" xr:uid="{6B0EC62A-3001-4514-AD77-3CE431F2277E}"/>
    <hyperlink ref="AS16" r:id="rId2" xr:uid="{76035CC9-8499-495A-AA89-9793DE375D95}"/>
    <hyperlink ref="AS46" r:id="rId3" xr:uid="{34BEBF19-DC48-4835-B416-DFC50BF26476}"/>
    <hyperlink ref="AS48" r:id="rId4" xr:uid="{1B6BD509-5745-4D64-8292-6261B79513CE}"/>
    <hyperlink ref="AS56" r:id="rId5" xr:uid="{7A68873D-4799-43D7-B3E2-56E16FA78B5A}"/>
    <hyperlink ref="AS65" r:id="rId6" xr:uid="{DC8DA563-2702-41DB-AAE8-CA61A004FE56}"/>
    <hyperlink ref="AS109" r:id="rId7" xr:uid="{04CEE61C-A72F-4994-AF4C-47699742752E}"/>
    <hyperlink ref="AS59" r:id="rId8" xr:uid="{10430A19-5198-4DCB-8D40-7E6DED1846B5}"/>
    <hyperlink ref="AS96" r:id="rId9" xr:uid="{1FEE79F2-21FB-4BD8-A3D9-7F13410436C2}"/>
    <hyperlink ref="AS13" r:id="rId10" xr:uid="{1E53F728-C904-40DD-B3DF-18DF97EE0405}"/>
    <hyperlink ref="AS19" r:id="rId11" xr:uid="{2427F3AA-CED9-4E3C-8FA4-F96818C7CF85}"/>
    <hyperlink ref="AS42" r:id="rId12" xr:uid="{AE563CB0-E208-4F34-AD63-F2ABE86F0E0A}"/>
    <hyperlink ref="AS27" r:id="rId13" xr:uid="{A6A51198-963D-41C0-8C6F-8A5D1DDEC151}"/>
    <hyperlink ref="AS102" r:id="rId14" xr:uid="{66B5BD19-5FD0-40DE-B0EE-AAEDB4C2607B}"/>
    <hyperlink ref="AS26" r:id="rId15" xr:uid="{5E4D7B06-21C8-4E12-83BE-47C37019D2B9}"/>
    <hyperlink ref="AS80" r:id="rId16" xr:uid="{DE06835B-BA8B-4C4B-9439-6EAA8BC3DB72}"/>
    <hyperlink ref="AS70" r:id="rId17" xr:uid="{59F00EA2-D120-4340-A166-6F5F83448A0F}"/>
    <hyperlink ref="AS104" r:id="rId18" xr:uid="{8C5373AA-1AF7-4267-ACE6-C8A2E441B0E9}"/>
    <hyperlink ref="AS108" r:id="rId19" xr:uid="{B4BF7BBA-6900-4696-8CD7-6A22A14E5C9F}"/>
    <hyperlink ref="AS62" r:id="rId20" xr:uid="{C3B260F0-D0B2-47BF-A3F2-2AF5D1B632D9}"/>
    <hyperlink ref="AS83" r:id="rId21" xr:uid="{C629A62B-C3C6-445A-BEDE-59BA71BC2A45}"/>
    <hyperlink ref="AS20" r:id="rId22" xr:uid="{425A56AF-3520-4A13-AE25-B0AE9B72A83E}"/>
    <hyperlink ref="AS72" r:id="rId23" tooltip="Accéder à l’envoi d’un courriel dans l’application Contact Via Messages (ouverture dans une nouvelle fenêtre)" display="javascript:;" xr:uid="{12FD0D27-6C2E-427F-A0E1-80DA8DC2DD6A}"/>
    <hyperlink ref="AS31" r:id="rId24" xr:uid="{FD2F6328-ACA5-4F06-BDB8-7607BF9429B5}"/>
    <hyperlink ref="AS79" r:id="rId25" xr:uid="{4C25FA31-263D-48BB-ACF0-355D3B3003A6}"/>
    <hyperlink ref="AS88" r:id="rId26" xr:uid="{E10D8472-44EB-4A9E-935B-5B5DB6EB8643}"/>
    <hyperlink ref="AS69" r:id="rId27" xr:uid="{B8335E51-BF35-4435-B5D8-A41880A7D3F1}"/>
    <hyperlink ref="AS103" r:id="rId28" xr:uid="{90F919F5-74DC-408D-936B-0BD53490F4CE}"/>
    <hyperlink ref="AS111" r:id="rId29" xr:uid="{7AE6DB02-5A88-404E-8028-2CBBFA8BE0F6}"/>
    <hyperlink ref="AS68" r:id="rId30" xr:uid="{3C7F1D4C-F3D5-42EB-8A7D-7774897F2661}"/>
    <hyperlink ref="AS32" r:id="rId31" xr:uid="{C7644DF9-BA25-4EF8-AE0F-69FB79CE61EC}"/>
    <hyperlink ref="AS64" r:id="rId32" xr:uid="{5AD825EF-E679-4DA6-A298-9A47FD4EFE64}"/>
    <hyperlink ref="AS14" r:id="rId33" xr:uid="{EC9A0AA0-30DD-4819-ACC3-B302FE43FEA7}"/>
    <hyperlink ref="AS95" r:id="rId34" xr:uid="{29A87165-F227-49F6-A842-62499CC2DE99}"/>
    <hyperlink ref="AS49" r:id="rId35" xr:uid="{730C1AB9-7465-42B0-B692-CB94819053AD}"/>
    <hyperlink ref="AS34" r:id="rId36" xr:uid="{29DD4903-28E7-40AA-99A2-65AD2BD5BA2F}"/>
    <hyperlink ref="AS89" r:id="rId37" xr:uid="{B8F1D70C-BD58-496D-9A0C-56D95973112F}"/>
    <hyperlink ref="AS29" r:id="rId38" xr:uid="{C23498A6-5B2C-488C-BAE2-9668EB7D5C54}"/>
    <hyperlink ref="AS81" r:id="rId39" xr:uid="{338D9AD8-D066-4DFE-91D5-1D7EFB556000}"/>
    <hyperlink ref="AS57" r:id="rId40" xr:uid="{FC49A1AF-6BCD-43EF-91AE-FC3DB099109B}"/>
    <hyperlink ref="AS36" r:id="rId41" xr:uid="{EE06B873-DC08-49E5-ADCE-BB4646DDE09D}"/>
    <hyperlink ref="AS84" r:id="rId42" xr:uid="{07BBC76A-F7DF-4CE3-81D6-E700BEC5E2CD}"/>
  </hyperlinks>
  <pageMargins left="0.11811023622047245" right="0.31496062992125984" top="0.74803149606299213" bottom="0.74803149606299213" header="0.31496062992125984" footer="0.31496062992125984"/>
  <pageSetup paperSize="8" scale="54" fitToHeight="0" orientation="portrait" r:id="rId43"/>
  <headerFooter>
    <oddHeader xml:space="preserve">&amp;L&amp;"-,Gras"&amp;14Conseil Départemental de l'Ain
DGAS
Direction Cohésion et Développement social
Service Insertion&amp;R&amp;"-,Gras"&amp;14NOM du Référent :&amp;"-,Normal"&amp;U                                                                                              </oddHead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1000000}">
          <x14:formula1>
            <xm:f>'liste deroulante'!$B$2:$B$9</xm:f>
          </x14:formula1>
          <xm:sqref>F74:F76 F9:F15 F116:F123 F112:F114 F25:F34 F35:F41</xm:sqref>
        </x14:dataValidation>
        <x14:dataValidation type="list" allowBlank="1" showInputMessage="1" showErrorMessage="1" xr:uid="{1176EC8C-AEF9-4805-8458-F3A38D7D2C74}">
          <x14:formula1>
            <xm:f>'liste deroulante'!$D$12:$D$13</xm:f>
          </x14:formula1>
          <xm:sqref>T95 T45 T79 T74:T76 T120:T123 Z116:AL123 T9:T41 Z9:AL103 Z104:AL114</xm:sqref>
        </x14:dataValidation>
        <x14:dataValidation type="list" allowBlank="1" showInputMessage="1" showErrorMessage="1" xr:uid="{7F48C64E-ECD5-48DA-9122-CA7BAC109EE7}">
          <x14:formula1>
            <xm:f>'liste deroulante'!$G$17:$G$19</xm:f>
          </x14:formula1>
          <xm:sqref>L122 L117:L119 L109:L114 L9:L103</xm:sqref>
        </x14:dataValidation>
        <x14:dataValidation type="list" allowBlank="1" showInputMessage="1" showErrorMessage="1" xr:uid="{0ECA462A-2E63-4CA2-8907-AF0851503CDA}">
          <x14:formula1>
            <xm:f>'liste deroulante'!$J$2:$J$8</xm:f>
          </x14:formula1>
          <xm:sqref>Z74:AB76 W116:W123 W9:W103 W104:W114</xm:sqref>
        </x14:dataValidation>
        <x14:dataValidation type="list" allowBlank="1" showInputMessage="1" showErrorMessage="1" xr:uid="{8FCC280C-6796-404E-AD40-EC56102FA652}">
          <x14:formula1>
            <xm:f>'liste deroulante'!$B$21:$B$22</xm:f>
          </x14:formula1>
          <xm:sqref>G116:G119 G9:G103 G104:G114</xm:sqref>
        </x14:dataValidation>
        <x14:dataValidation type="list" allowBlank="1" showInputMessage="1" showErrorMessage="1" xr:uid="{130F86C5-0012-4961-AAEA-2ADF0C4DC472}">
          <x14:formula1>
            <xm:f>'liste deroulante'!$F$2:$F$11</xm:f>
          </x14:formula1>
          <xm:sqref>V116:V123 V9:V103 V104:V114</xm:sqref>
        </x14:dataValidation>
        <x14:dataValidation type="list" allowBlank="1" showInputMessage="1" showErrorMessage="1" xr:uid="{06D3EB80-0A51-4464-AC87-AF71F48D64A5}">
          <x14:formula1>
            <xm:f>'liste deroulante'!$H$2:$H$11</xm:f>
          </x14:formula1>
          <xm:sqref>U116:U123 U9:U103 U104:U114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4966-DA3C-4DF4-BBAF-E9AEE7F7F8AE}">
  <sheetPr>
    <tabColor rgb="FFFFFF00"/>
    <pageSetUpPr fitToPage="1"/>
  </sheetPr>
  <dimension ref="A1:AT245"/>
  <sheetViews>
    <sheetView zoomScale="90" zoomScaleNormal="90" workbookViewId="0">
      <pane xSplit="6" ySplit="8" topLeftCell="G86" activePane="bottomRight" state="frozen"/>
      <selection pane="topRight" activeCell="I1" sqref="I1"/>
      <selection pane="bottomLeft" activeCell="A8" sqref="A8"/>
      <selection pane="bottomRight" activeCell="A97" sqref="A97:XFD97"/>
    </sheetView>
  </sheetViews>
  <sheetFormatPr baseColWidth="10" defaultColWidth="11.42578125" defaultRowHeight="15"/>
  <cols>
    <col min="1" max="1" width="15" style="52" customWidth="1"/>
    <col min="2" max="2" width="13.7109375" style="61" customWidth="1"/>
    <col min="3" max="3" width="19.28515625" style="73" customWidth="1"/>
    <col min="4" max="4" width="13.140625" style="73" bestFit="1" customWidth="1"/>
    <col min="5" max="5" width="6.28515625" style="74" customWidth="1"/>
    <col min="6" max="6" width="9.5703125" style="75" bestFit="1" customWidth="1"/>
    <col min="7" max="7" width="12.42578125" style="48" customWidth="1"/>
    <col min="8" max="9" width="13.28515625" style="106" customWidth="1"/>
    <col min="10" max="10" width="13.7109375" style="76" customWidth="1"/>
    <col min="11" max="11" width="13.7109375" style="77" customWidth="1"/>
    <col min="12" max="12" width="23" style="77" bestFit="1" customWidth="1"/>
    <col min="13" max="13" width="13.7109375" style="76" customWidth="1"/>
    <col min="14" max="14" width="13.7109375" style="77" customWidth="1"/>
    <col min="15" max="15" width="11.140625" style="76" customWidth="1"/>
    <col min="16" max="16" width="10.85546875" style="76" customWidth="1"/>
    <col min="17" max="17" width="10.28515625" style="76" customWidth="1"/>
    <col min="18" max="18" width="16.140625" style="76" customWidth="1"/>
    <col min="19" max="19" width="17.5703125" style="76" customWidth="1"/>
    <col min="20" max="20" width="14.7109375" style="74" customWidth="1"/>
    <col min="21" max="21" width="12.140625" style="64" customWidth="1"/>
    <col min="22" max="22" width="16.42578125" style="61" bestFit="1" customWidth="1"/>
    <col min="23" max="23" width="18.5703125" style="61" customWidth="1"/>
    <col min="24" max="25" width="13.7109375" style="77" customWidth="1"/>
    <col min="26" max="28" width="9.85546875" style="62" customWidth="1"/>
    <col min="29" max="29" width="9.85546875" style="62" bestFit="1" customWidth="1"/>
    <col min="30" max="30" width="9.28515625" style="61" customWidth="1"/>
    <col min="31" max="31" width="6.28515625" style="61" bestFit="1" customWidth="1"/>
    <col min="32" max="32" width="7.7109375" style="61" bestFit="1" customWidth="1"/>
    <col min="33" max="33" width="6.7109375" style="61" bestFit="1" customWidth="1"/>
    <col min="34" max="34" width="10" style="61" bestFit="1" customWidth="1"/>
    <col min="35" max="35" width="6.28515625" style="61" bestFit="1" customWidth="1"/>
    <col min="36" max="36" width="6.7109375" style="61" bestFit="1" customWidth="1"/>
    <col min="37" max="37" width="12.42578125" style="61" bestFit="1" customWidth="1"/>
    <col min="38" max="38" width="9.7109375" style="61" bestFit="1" customWidth="1"/>
    <col min="39" max="39" width="9" style="61" bestFit="1" customWidth="1"/>
    <col min="40" max="40" width="46.42578125" style="62" customWidth="1"/>
    <col min="41" max="41" width="17.140625" style="61" customWidth="1"/>
    <col min="42" max="42" width="34.5703125" style="61" bestFit="1" customWidth="1"/>
    <col min="43" max="16384" width="11.42578125" style="61"/>
  </cols>
  <sheetData>
    <row r="1" spans="1:45" ht="19.5" thickBot="1">
      <c r="G1" s="188"/>
      <c r="M1" s="401"/>
      <c r="N1" s="60"/>
    </row>
    <row r="2" spans="1:45" ht="18.75">
      <c r="A2" s="536" t="s">
        <v>62</v>
      </c>
      <c r="B2" s="537"/>
      <c r="C2" s="537"/>
      <c r="D2" s="537"/>
      <c r="E2" s="537"/>
      <c r="F2" s="537"/>
      <c r="G2" s="537"/>
      <c r="H2" s="538"/>
      <c r="I2" s="189"/>
      <c r="J2" s="192" t="s">
        <v>544</v>
      </c>
      <c r="K2" s="193"/>
      <c r="L2" s="193"/>
      <c r="M2" s="401"/>
      <c r="N2" s="63"/>
      <c r="O2" s="194"/>
      <c r="P2" s="194"/>
      <c r="Q2" s="194"/>
      <c r="R2" s="195"/>
      <c r="S2" s="112"/>
      <c r="T2" s="112"/>
      <c r="U2" s="59"/>
      <c r="V2" s="59"/>
      <c r="W2" s="59"/>
      <c r="X2" s="60"/>
      <c r="Y2" s="60"/>
    </row>
    <row r="3" spans="1:45" ht="18.75">
      <c r="A3" s="539" t="s">
        <v>1474</v>
      </c>
      <c r="B3" s="540"/>
      <c r="C3" s="540"/>
      <c r="D3" s="540"/>
      <c r="E3" s="540"/>
      <c r="F3" s="540"/>
      <c r="G3" s="540"/>
      <c r="H3" s="541"/>
      <c r="I3" s="190"/>
      <c r="J3" s="545" t="s">
        <v>522</v>
      </c>
      <c r="K3" s="546"/>
      <c r="L3" s="546"/>
      <c r="M3" s="546"/>
      <c r="N3" s="546"/>
      <c r="O3" s="546"/>
      <c r="P3" s="546"/>
      <c r="Q3" s="546"/>
      <c r="R3" s="547"/>
      <c r="S3" s="113"/>
      <c r="T3" s="113"/>
      <c r="X3" s="63"/>
      <c r="Y3" s="63"/>
    </row>
    <row r="4" spans="1:45" ht="19.5" thickBot="1">
      <c r="A4" s="542" t="s">
        <v>433</v>
      </c>
      <c r="B4" s="543"/>
      <c r="C4" s="543"/>
      <c r="D4" s="543"/>
      <c r="E4" s="543"/>
      <c r="F4" s="543"/>
      <c r="G4" s="543"/>
      <c r="H4" s="544"/>
      <c r="I4" s="191"/>
      <c r="J4" s="548" t="s">
        <v>523</v>
      </c>
      <c r="K4" s="549"/>
      <c r="L4" s="549"/>
      <c r="M4" s="549"/>
      <c r="N4" s="549"/>
      <c r="O4" s="549"/>
      <c r="P4" s="549"/>
      <c r="Q4" s="549"/>
      <c r="R4" s="550"/>
      <c r="S4" s="58"/>
      <c r="U4" s="66"/>
      <c r="V4" s="532"/>
      <c r="W4" s="532"/>
      <c r="X4" s="65"/>
      <c r="Y4" s="65"/>
    </row>
    <row r="5" spans="1:45" ht="56.65" customHeight="1" thickBot="1">
      <c r="A5" s="50" t="s">
        <v>997</v>
      </c>
      <c r="B5" s="67"/>
      <c r="C5" s="448" t="s">
        <v>1429</v>
      </c>
      <c r="D5" s="448">
        <f>+SUM(A9:A312)</f>
        <v>110</v>
      </c>
      <c r="E5" s="68"/>
      <c r="F5" s="69"/>
      <c r="G5" s="58"/>
      <c r="H5" s="104"/>
      <c r="I5" s="104"/>
      <c r="J5" s="58"/>
      <c r="K5" s="65"/>
      <c r="L5" s="65"/>
      <c r="O5" s="58"/>
      <c r="P5" s="58"/>
      <c r="Q5" s="58"/>
      <c r="R5" s="58"/>
      <c r="S5" s="58"/>
      <c r="T5" s="114"/>
      <c r="U5" s="534" t="s">
        <v>532</v>
      </c>
      <c r="V5" s="534"/>
      <c r="W5" s="534"/>
      <c r="X5" s="534"/>
      <c r="Y5" s="128"/>
      <c r="Z5" s="504" t="s">
        <v>617</v>
      </c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</row>
    <row r="6" spans="1:45" ht="31.5">
      <c r="A6" s="51"/>
      <c r="B6" s="70"/>
      <c r="C6" s="58"/>
      <c r="D6" s="58"/>
      <c r="E6" s="71"/>
      <c r="F6" s="72"/>
      <c r="G6" s="58"/>
      <c r="H6" s="104"/>
      <c r="I6" s="104"/>
      <c r="J6" s="512" t="s">
        <v>361</v>
      </c>
      <c r="K6" s="513"/>
      <c r="L6" s="65"/>
      <c r="M6" s="515" t="s">
        <v>361</v>
      </c>
      <c r="N6" s="516"/>
      <c r="O6" s="529" t="s">
        <v>33</v>
      </c>
      <c r="P6" s="530"/>
      <c r="Q6" s="531"/>
      <c r="R6" s="58"/>
      <c r="S6" s="58"/>
      <c r="T6" s="70"/>
      <c r="W6" s="180" t="s">
        <v>501</v>
      </c>
      <c r="X6" s="65"/>
      <c r="Y6" s="65"/>
      <c r="AO6" s="92"/>
      <c r="AP6" s="92"/>
    </row>
    <row r="7" spans="1:45" ht="60">
      <c r="B7" s="526" t="s">
        <v>1</v>
      </c>
      <c r="C7" s="528" t="s">
        <v>263</v>
      </c>
      <c r="D7" s="528" t="s">
        <v>264</v>
      </c>
      <c r="E7" s="521" t="s">
        <v>0</v>
      </c>
      <c r="F7" s="522" t="s">
        <v>2</v>
      </c>
      <c r="G7" s="523" t="s">
        <v>31</v>
      </c>
      <c r="H7" s="524" t="s">
        <v>32</v>
      </c>
      <c r="I7" s="525" t="s">
        <v>262</v>
      </c>
      <c r="J7" s="514" t="s">
        <v>524</v>
      </c>
      <c r="K7" s="514" t="s">
        <v>525</v>
      </c>
      <c r="L7" s="181" t="s">
        <v>526</v>
      </c>
      <c r="M7" s="517" t="s">
        <v>524</v>
      </c>
      <c r="N7" s="519" t="s">
        <v>1271</v>
      </c>
      <c r="O7" s="507">
        <v>1</v>
      </c>
      <c r="P7" s="507">
        <v>2</v>
      </c>
      <c r="Q7" s="507" t="s">
        <v>56</v>
      </c>
      <c r="R7" s="182" t="s">
        <v>379</v>
      </c>
      <c r="S7" s="182" t="s">
        <v>380</v>
      </c>
      <c r="T7" s="533" t="s">
        <v>531</v>
      </c>
      <c r="U7" s="535" t="s">
        <v>3</v>
      </c>
      <c r="V7" s="508" t="s">
        <v>537</v>
      </c>
      <c r="W7" s="508" t="s">
        <v>48</v>
      </c>
      <c r="X7" s="509" t="s">
        <v>593</v>
      </c>
      <c r="Y7" s="510" t="s">
        <v>607</v>
      </c>
      <c r="Z7" s="511" t="s">
        <v>521</v>
      </c>
      <c r="AA7" s="506" t="s">
        <v>518</v>
      </c>
      <c r="AB7" s="506" t="s">
        <v>519</v>
      </c>
      <c r="AC7" s="506" t="s">
        <v>477</v>
      </c>
      <c r="AD7" s="511" t="s">
        <v>520</v>
      </c>
      <c r="AE7" s="505" t="s">
        <v>470</v>
      </c>
      <c r="AF7" s="505" t="s">
        <v>471</v>
      </c>
      <c r="AG7" s="505" t="s">
        <v>472</v>
      </c>
      <c r="AH7" s="505" t="s">
        <v>473</v>
      </c>
      <c r="AI7" s="505" t="s">
        <v>474</v>
      </c>
      <c r="AJ7" s="505" t="s">
        <v>475</v>
      </c>
      <c r="AK7" s="505" t="s">
        <v>476</v>
      </c>
      <c r="AL7" s="505" t="s">
        <v>504</v>
      </c>
      <c r="AM7" s="505" t="s">
        <v>539</v>
      </c>
      <c r="AN7" s="527" t="s">
        <v>339</v>
      </c>
      <c r="AO7" s="92"/>
      <c r="AP7" s="92"/>
    </row>
    <row r="8" spans="1:45" s="49" customFormat="1" ht="24.75" thickBot="1">
      <c r="A8" s="52"/>
      <c r="B8" s="526"/>
      <c r="C8" s="528"/>
      <c r="D8" s="528"/>
      <c r="E8" s="521"/>
      <c r="F8" s="522"/>
      <c r="G8" s="523"/>
      <c r="H8" s="524"/>
      <c r="I8" s="525"/>
      <c r="J8" s="514"/>
      <c r="K8" s="514"/>
      <c r="L8" s="183" t="s">
        <v>527</v>
      </c>
      <c r="M8" s="518"/>
      <c r="N8" s="520"/>
      <c r="O8" s="507"/>
      <c r="P8" s="507"/>
      <c r="Q8" s="507"/>
      <c r="R8" s="182" t="s">
        <v>381</v>
      </c>
      <c r="S8" s="182" t="s">
        <v>381</v>
      </c>
      <c r="T8" s="533"/>
      <c r="U8" s="535"/>
      <c r="V8" s="508"/>
      <c r="W8" s="508"/>
      <c r="X8" s="509"/>
      <c r="Y8" s="510"/>
      <c r="Z8" s="511"/>
      <c r="AA8" s="506"/>
      <c r="AB8" s="506"/>
      <c r="AC8" s="506"/>
      <c r="AD8" s="511"/>
      <c r="AE8" s="505"/>
      <c r="AF8" s="505"/>
      <c r="AG8" s="505"/>
      <c r="AH8" s="505"/>
      <c r="AI8" s="505"/>
      <c r="AJ8" s="505"/>
      <c r="AK8" s="505"/>
      <c r="AL8" s="505"/>
      <c r="AM8" s="505"/>
      <c r="AN8" s="527" t="s">
        <v>58</v>
      </c>
      <c r="AO8" s="179"/>
      <c r="AP8" s="49" t="s">
        <v>1055</v>
      </c>
    </row>
    <row r="9" spans="1:45" s="222" customFormat="1" ht="12.75">
      <c r="A9" s="208">
        <v>1</v>
      </c>
      <c r="B9" s="296" t="s">
        <v>622</v>
      </c>
      <c r="C9" s="296" t="s">
        <v>910</v>
      </c>
      <c r="D9" s="296" t="s">
        <v>911</v>
      </c>
      <c r="E9" s="297">
        <v>61</v>
      </c>
      <c r="F9" s="298"/>
      <c r="G9" s="232" t="s">
        <v>68</v>
      </c>
      <c r="H9" s="316">
        <v>45869</v>
      </c>
      <c r="I9" s="316">
        <v>45904</v>
      </c>
      <c r="J9" s="242"/>
      <c r="K9" s="236"/>
      <c r="L9" s="236"/>
      <c r="M9" s="54"/>
      <c r="N9" s="404">
        <f t="shared" ref="N9:N25" si="0">M9+180</f>
        <v>180</v>
      </c>
      <c r="O9" s="238"/>
      <c r="P9" s="238"/>
      <c r="Q9" s="238"/>
      <c r="R9" s="239"/>
      <c r="S9" s="239"/>
      <c r="T9" s="240"/>
      <c r="U9" s="216" t="s">
        <v>39</v>
      </c>
      <c r="V9" s="217" t="s">
        <v>53</v>
      </c>
      <c r="W9" s="218"/>
      <c r="X9" s="483">
        <v>45950</v>
      </c>
      <c r="Y9" s="421" t="s">
        <v>1279</v>
      </c>
      <c r="Z9" s="221"/>
      <c r="AA9" s="221"/>
      <c r="AB9" s="221"/>
      <c r="AC9" s="221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221"/>
    </row>
    <row r="10" spans="1:45" s="361" customFormat="1" ht="12.75">
      <c r="A10" s="349">
        <v>1</v>
      </c>
      <c r="B10" s="352" t="s">
        <v>619</v>
      </c>
      <c r="C10" s="352" t="s">
        <v>620</v>
      </c>
      <c r="D10" s="352" t="s">
        <v>621</v>
      </c>
      <c r="E10" s="350">
        <v>40</v>
      </c>
      <c r="F10" s="351"/>
      <c r="G10" s="352" t="s">
        <v>69</v>
      </c>
      <c r="H10" s="387">
        <v>45919</v>
      </c>
      <c r="I10" s="387">
        <v>45939</v>
      </c>
      <c r="J10" s="353"/>
      <c r="K10" s="354">
        <f>+J10+180</f>
        <v>180</v>
      </c>
      <c r="L10" s="354"/>
      <c r="M10" s="56"/>
      <c r="N10" s="404">
        <f t="shared" si="0"/>
        <v>180</v>
      </c>
      <c r="O10" s="352"/>
      <c r="P10" s="352"/>
      <c r="Q10" s="352"/>
      <c r="R10" s="355"/>
      <c r="S10" s="355"/>
      <c r="T10" s="355"/>
      <c r="U10" s="356" t="s">
        <v>1272</v>
      </c>
      <c r="V10" s="357"/>
      <c r="W10" s="358"/>
      <c r="X10" s="354"/>
      <c r="Y10" s="359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 t="s">
        <v>852</v>
      </c>
      <c r="AO10" s="310"/>
      <c r="AP10" s="388"/>
    </row>
    <row r="11" spans="1:45" s="440" customFormat="1" ht="19.5" customHeight="1">
      <c r="A11" s="208">
        <v>1</v>
      </c>
      <c r="B11" s="296" t="s">
        <v>622</v>
      </c>
      <c r="C11" s="296" t="s">
        <v>625</v>
      </c>
      <c r="D11" s="296" t="s">
        <v>626</v>
      </c>
      <c r="E11" s="297">
        <v>34</v>
      </c>
      <c r="F11" s="298"/>
      <c r="G11" s="296" t="s">
        <v>68</v>
      </c>
      <c r="H11" s="395">
        <v>45915</v>
      </c>
      <c r="I11" s="395">
        <v>45938</v>
      </c>
      <c r="J11" s="437"/>
      <c r="K11" s="213">
        <f>+J11+180</f>
        <v>180</v>
      </c>
      <c r="L11" s="213"/>
      <c r="M11" s="56"/>
      <c r="N11" s="404">
        <f>M11+180</f>
        <v>180</v>
      </c>
      <c r="O11" s="296"/>
      <c r="P11" s="296"/>
      <c r="Q11" s="296"/>
      <c r="R11" s="239"/>
      <c r="S11" s="239"/>
      <c r="T11" s="239"/>
      <c r="U11" s="216" t="s">
        <v>39</v>
      </c>
      <c r="V11" s="217" t="s">
        <v>53</v>
      </c>
      <c r="W11" s="438"/>
      <c r="X11" s="439">
        <v>46220</v>
      </c>
      <c r="Y11" s="213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345" t="s">
        <v>854</v>
      </c>
      <c r="AO11" s="319" t="s">
        <v>1273</v>
      </c>
      <c r="AP11" s="320"/>
      <c r="AQ11" s="232" t="s">
        <v>625</v>
      </c>
      <c r="AR11" s="232" t="s">
        <v>626</v>
      </c>
      <c r="AS11" s="197"/>
    </row>
    <row r="12" spans="1:45" s="222" customFormat="1" ht="18" customHeight="1">
      <c r="A12" s="208">
        <v>1</v>
      </c>
      <c r="B12" s="296" t="s">
        <v>622</v>
      </c>
      <c r="C12" s="296" t="s">
        <v>912</v>
      </c>
      <c r="D12" s="296" t="s">
        <v>913</v>
      </c>
      <c r="E12" s="297">
        <v>32</v>
      </c>
      <c r="F12" s="298"/>
      <c r="G12" s="232" t="s">
        <v>68</v>
      </c>
      <c r="H12" s="316">
        <v>45765</v>
      </c>
      <c r="I12" s="316">
        <v>45883</v>
      </c>
      <c r="J12" s="218"/>
      <c r="K12" s="236"/>
      <c r="L12" s="236"/>
      <c r="M12" s="56"/>
      <c r="N12" s="404">
        <f t="shared" si="0"/>
        <v>180</v>
      </c>
      <c r="O12" s="238"/>
      <c r="P12" s="238"/>
      <c r="Q12" s="238"/>
      <c r="R12" s="238"/>
      <c r="S12" s="238"/>
      <c r="T12" s="240"/>
      <c r="U12" s="216" t="s">
        <v>39</v>
      </c>
      <c r="V12" s="217" t="s">
        <v>52</v>
      </c>
      <c r="W12" s="218"/>
      <c r="X12" s="236"/>
      <c r="Y12" s="213"/>
      <c r="Z12" s="221"/>
      <c r="AA12" s="221"/>
      <c r="AB12" s="221"/>
      <c r="AC12" s="221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221"/>
    </row>
    <row r="13" spans="1:45" s="222" customFormat="1" ht="18" customHeight="1">
      <c r="A13" s="208">
        <v>1</v>
      </c>
      <c r="B13" s="296" t="s">
        <v>622</v>
      </c>
      <c r="C13" s="296" t="s">
        <v>914</v>
      </c>
      <c r="D13" s="296" t="s">
        <v>704</v>
      </c>
      <c r="E13" s="297">
        <v>40</v>
      </c>
      <c r="F13" s="298"/>
      <c r="G13" s="232" t="s">
        <v>69</v>
      </c>
      <c r="H13" s="316">
        <v>45846</v>
      </c>
      <c r="I13" s="316">
        <v>45861</v>
      </c>
      <c r="J13" s="218"/>
      <c r="K13" s="236"/>
      <c r="L13" s="236"/>
      <c r="M13" s="56"/>
      <c r="N13" s="404">
        <f t="shared" si="0"/>
        <v>180</v>
      </c>
      <c r="O13" s="238"/>
      <c r="P13" s="238"/>
      <c r="Q13" s="238"/>
      <c r="R13" s="238"/>
      <c r="S13" s="238"/>
      <c r="T13" s="240"/>
      <c r="U13" s="216" t="s">
        <v>39</v>
      </c>
      <c r="V13" s="217" t="s">
        <v>53</v>
      </c>
      <c r="W13" s="218"/>
      <c r="X13" s="236">
        <v>45904</v>
      </c>
      <c r="Y13" s="213"/>
      <c r="Z13" s="221"/>
      <c r="AA13" s="221"/>
      <c r="AB13" s="221"/>
      <c r="AC13" s="221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221"/>
    </row>
    <row r="14" spans="1:45" s="361" customFormat="1" ht="12.75">
      <c r="A14" s="349">
        <v>1</v>
      </c>
      <c r="B14" s="362" t="s">
        <v>622</v>
      </c>
      <c r="C14" s="362" t="s">
        <v>915</v>
      </c>
      <c r="D14" s="362" t="s">
        <v>704</v>
      </c>
      <c r="E14" s="363">
        <v>39</v>
      </c>
      <c r="F14" s="364"/>
      <c r="G14" s="365" t="s">
        <v>68</v>
      </c>
      <c r="H14" s="389">
        <v>45838</v>
      </c>
      <c r="I14" s="389">
        <v>45876</v>
      </c>
      <c r="J14" s="366"/>
      <c r="K14" s="367"/>
      <c r="L14" s="367"/>
      <c r="M14" s="54"/>
      <c r="N14" s="404">
        <f t="shared" si="0"/>
        <v>180</v>
      </c>
      <c r="O14" s="368"/>
      <c r="P14" s="368"/>
      <c r="Q14" s="368"/>
      <c r="R14" s="368"/>
      <c r="S14" s="368"/>
      <c r="T14" s="369"/>
      <c r="U14" s="356" t="s">
        <v>39</v>
      </c>
      <c r="V14" s="357" t="s">
        <v>53</v>
      </c>
      <c r="W14" s="366"/>
      <c r="X14" s="367"/>
      <c r="Y14" s="354"/>
      <c r="Z14" s="370"/>
      <c r="AA14" s="370"/>
      <c r="AB14" s="370"/>
      <c r="AC14" s="370"/>
      <c r="AD14" s="371"/>
      <c r="AE14" s="371"/>
      <c r="AF14" s="371"/>
      <c r="AG14" s="371"/>
      <c r="AH14" s="371"/>
      <c r="AI14" s="371"/>
      <c r="AJ14" s="371"/>
      <c r="AK14" s="371"/>
      <c r="AL14" s="371"/>
      <c r="AM14" s="371"/>
      <c r="AN14" s="370"/>
    </row>
    <row r="15" spans="1:45" s="222" customFormat="1" ht="18" customHeight="1">
      <c r="A15" s="208">
        <v>1</v>
      </c>
      <c r="B15" s="232" t="s">
        <v>622</v>
      </c>
      <c r="C15" s="232" t="s">
        <v>635</v>
      </c>
      <c r="D15" s="232" t="s">
        <v>636</v>
      </c>
      <c r="E15" s="231">
        <v>30</v>
      </c>
      <c r="F15" s="210" t="s">
        <v>29</v>
      </c>
      <c r="G15" s="232" t="s">
        <v>68</v>
      </c>
      <c r="H15" s="316">
        <v>45849</v>
      </c>
      <c r="I15" s="316">
        <v>45870</v>
      </c>
      <c r="J15" s="242">
        <v>45870</v>
      </c>
      <c r="K15" s="213">
        <f t="shared" ref="K15:K20" si="1">+J15+180</f>
        <v>46050</v>
      </c>
      <c r="L15" s="214" t="s">
        <v>479</v>
      </c>
      <c r="M15" s="56">
        <v>46055</v>
      </c>
      <c r="N15" s="404">
        <f>M15+180</f>
        <v>46235</v>
      </c>
      <c r="O15" s="238" t="s">
        <v>829</v>
      </c>
      <c r="P15" s="238" t="s">
        <v>830</v>
      </c>
      <c r="Q15" s="238" t="s">
        <v>831</v>
      </c>
      <c r="R15" s="238">
        <v>2</v>
      </c>
      <c r="S15" s="238"/>
      <c r="T15" s="240"/>
      <c r="U15" s="216" t="s">
        <v>545</v>
      </c>
      <c r="V15" s="217" t="s">
        <v>54</v>
      </c>
      <c r="W15" s="218"/>
      <c r="X15" s="483">
        <v>46236</v>
      </c>
      <c r="Y15" s="421" t="s">
        <v>1287</v>
      </c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 t="s">
        <v>1063</v>
      </c>
      <c r="AN15" s="221" t="s">
        <v>1062</v>
      </c>
      <c r="AO15" s="319" t="s">
        <v>999</v>
      </c>
      <c r="AP15" s="320" t="s">
        <v>1250</v>
      </c>
      <c r="AQ15" s="312" t="s">
        <v>635</v>
      </c>
      <c r="AR15" s="312" t="s">
        <v>636</v>
      </c>
      <c r="AS15" s="313"/>
    </row>
    <row r="16" spans="1:45" s="222" customFormat="1" ht="18" customHeight="1">
      <c r="A16" s="208">
        <v>1</v>
      </c>
      <c r="B16" s="232" t="s">
        <v>622</v>
      </c>
      <c r="C16" s="232" t="s">
        <v>1071</v>
      </c>
      <c r="D16" s="232" t="s">
        <v>1072</v>
      </c>
      <c r="E16" s="231">
        <v>39</v>
      </c>
      <c r="F16" s="210" t="s">
        <v>29</v>
      </c>
      <c r="G16" s="232" t="s">
        <v>69</v>
      </c>
      <c r="H16" s="316">
        <v>46100</v>
      </c>
      <c r="I16" s="316">
        <v>46114</v>
      </c>
      <c r="J16" s="242">
        <v>46114</v>
      </c>
      <c r="K16" s="213">
        <f t="shared" si="1"/>
        <v>46294</v>
      </c>
      <c r="L16" s="213"/>
      <c r="M16" s="411"/>
      <c r="N16" s="404">
        <f t="shared" si="0"/>
        <v>180</v>
      </c>
      <c r="O16" s="238"/>
      <c r="P16" s="238"/>
      <c r="Q16" s="238"/>
      <c r="R16" s="238"/>
      <c r="S16" s="238"/>
      <c r="T16" s="240"/>
      <c r="U16" s="216" t="s">
        <v>39</v>
      </c>
      <c r="V16" s="217" t="s">
        <v>34</v>
      </c>
      <c r="W16" s="218" t="s">
        <v>44</v>
      </c>
      <c r="X16" s="236">
        <v>46133</v>
      </c>
      <c r="Y16" s="24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319"/>
      <c r="AP16" s="320" t="s">
        <v>1073</v>
      </c>
    </row>
    <row r="17" spans="1:45" s="361" customFormat="1" ht="18" customHeight="1">
      <c r="A17" s="349">
        <v>1</v>
      </c>
      <c r="B17" s="365" t="s">
        <v>619</v>
      </c>
      <c r="C17" s="365" t="s">
        <v>637</v>
      </c>
      <c r="D17" s="365" t="s">
        <v>638</v>
      </c>
      <c r="E17" s="372">
        <v>32</v>
      </c>
      <c r="F17" s="373"/>
      <c r="G17" s="365" t="s">
        <v>68</v>
      </c>
      <c r="H17" s="389">
        <v>45846</v>
      </c>
      <c r="I17" s="389">
        <v>45889</v>
      </c>
      <c r="J17" s="374"/>
      <c r="K17" s="354">
        <f t="shared" si="1"/>
        <v>180</v>
      </c>
      <c r="L17" s="354"/>
      <c r="M17" s="56"/>
      <c r="N17" s="404">
        <f t="shared" si="0"/>
        <v>180</v>
      </c>
      <c r="O17" s="375"/>
      <c r="P17" s="375"/>
      <c r="Q17" s="368"/>
      <c r="R17" s="368"/>
      <c r="S17" s="368"/>
      <c r="T17" s="369"/>
      <c r="U17" s="356" t="s">
        <v>1272</v>
      </c>
      <c r="V17" s="357"/>
      <c r="W17" s="366"/>
      <c r="X17" s="367"/>
      <c r="Y17" s="354"/>
      <c r="Z17" s="370"/>
      <c r="AA17" s="370"/>
      <c r="AB17" s="370"/>
      <c r="AC17" s="370"/>
      <c r="AD17" s="370"/>
      <c r="AE17" s="370"/>
      <c r="AF17" s="370"/>
      <c r="AG17" s="370"/>
      <c r="AH17" s="370"/>
      <c r="AI17" s="370"/>
      <c r="AJ17" s="370"/>
      <c r="AK17" s="370"/>
      <c r="AL17" s="370"/>
      <c r="AM17" s="370"/>
      <c r="AN17" s="370" t="s">
        <v>857</v>
      </c>
    </row>
    <row r="18" spans="1:45" s="222" customFormat="1" ht="18" customHeight="1">
      <c r="A18" s="208">
        <v>1</v>
      </c>
      <c r="B18" s="232" t="s">
        <v>622</v>
      </c>
      <c r="C18" s="232" t="s">
        <v>1432</v>
      </c>
      <c r="D18" s="232" t="s">
        <v>1433</v>
      </c>
      <c r="E18" s="231">
        <v>59</v>
      </c>
      <c r="F18" s="210" t="s">
        <v>8</v>
      </c>
      <c r="G18" s="232" t="s">
        <v>68</v>
      </c>
      <c r="H18" s="316">
        <v>46233</v>
      </c>
      <c r="I18" s="316">
        <v>46245</v>
      </c>
      <c r="J18" s="242">
        <v>46245</v>
      </c>
      <c r="K18" s="213">
        <f t="shared" si="1"/>
        <v>46425</v>
      </c>
      <c r="L18" s="213"/>
      <c r="M18" s="56"/>
      <c r="N18" s="404"/>
      <c r="O18" s="238"/>
      <c r="P18" s="238"/>
      <c r="Q18" s="238"/>
      <c r="R18" s="239"/>
      <c r="S18" s="239"/>
      <c r="T18" s="240"/>
      <c r="U18" s="216" t="s">
        <v>41</v>
      </c>
      <c r="V18" s="217" t="s">
        <v>34</v>
      </c>
      <c r="W18" s="218" t="s">
        <v>44</v>
      </c>
      <c r="X18" s="236">
        <v>46272</v>
      </c>
      <c r="Y18" s="494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320"/>
      <c r="AP18" s="320" t="s">
        <v>1499</v>
      </c>
      <c r="AQ18" s="479"/>
      <c r="AR18" s="479"/>
      <c r="AS18" s="480"/>
    </row>
    <row r="19" spans="1:45" s="222" customFormat="1" ht="18" customHeight="1">
      <c r="A19" s="208">
        <v>1</v>
      </c>
      <c r="B19" s="232" t="s">
        <v>622</v>
      </c>
      <c r="C19" s="232" t="s">
        <v>653</v>
      </c>
      <c r="D19" s="232" t="s">
        <v>654</v>
      </c>
      <c r="E19" s="231">
        <v>31</v>
      </c>
      <c r="F19" s="210" t="s">
        <v>29</v>
      </c>
      <c r="G19" s="232" t="s">
        <v>68</v>
      </c>
      <c r="H19" s="316">
        <v>45849</v>
      </c>
      <c r="I19" s="316">
        <v>45867</v>
      </c>
      <c r="J19" s="242">
        <v>45867</v>
      </c>
      <c r="K19" s="213">
        <f t="shared" si="1"/>
        <v>46047</v>
      </c>
      <c r="L19" s="214" t="s">
        <v>479</v>
      </c>
      <c r="M19" s="56">
        <v>46052</v>
      </c>
      <c r="N19" s="404">
        <f>M19+180</f>
        <v>46232</v>
      </c>
      <c r="O19" s="238"/>
      <c r="P19" s="238"/>
      <c r="Q19" s="238"/>
      <c r="R19" s="238"/>
      <c r="S19" s="238"/>
      <c r="T19" s="240"/>
      <c r="U19" s="216" t="s">
        <v>43</v>
      </c>
      <c r="V19" s="217" t="s">
        <v>54</v>
      </c>
      <c r="W19" s="218"/>
      <c r="X19" s="483">
        <v>46223</v>
      </c>
      <c r="Y19" s="421" t="s">
        <v>1295</v>
      </c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 t="s">
        <v>861</v>
      </c>
      <c r="AO19" s="320" t="s">
        <v>1000</v>
      </c>
      <c r="AP19" s="320" t="s">
        <v>1248</v>
      </c>
      <c r="AQ19" s="312" t="s">
        <v>653</v>
      </c>
      <c r="AR19" s="312" t="s">
        <v>654</v>
      </c>
      <c r="AS19" s="313" t="s">
        <v>1172</v>
      </c>
    </row>
    <row r="20" spans="1:45" s="222" customFormat="1" ht="18" customHeight="1">
      <c r="A20" s="208">
        <v>1</v>
      </c>
      <c r="B20" s="232" t="s">
        <v>619</v>
      </c>
      <c r="C20" s="232" t="s">
        <v>655</v>
      </c>
      <c r="D20" s="232" t="s">
        <v>656</v>
      </c>
      <c r="E20" s="231">
        <v>31</v>
      </c>
      <c r="F20" s="210" t="s">
        <v>8</v>
      </c>
      <c r="G20" s="232" t="s">
        <v>68</v>
      </c>
      <c r="H20" s="316">
        <v>45840</v>
      </c>
      <c r="I20" s="316">
        <v>45859</v>
      </c>
      <c r="J20" s="242">
        <v>45859</v>
      </c>
      <c r="K20" s="213">
        <f t="shared" si="1"/>
        <v>46039</v>
      </c>
      <c r="L20" s="278" t="s">
        <v>822</v>
      </c>
      <c r="M20" s="56">
        <v>46044</v>
      </c>
      <c r="N20" s="404">
        <f>M20+180</f>
        <v>46224</v>
      </c>
      <c r="O20" s="238" t="s">
        <v>828</v>
      </c>
      <c r="P20" s="238"/>
      <c r="Q20" s="238"/>
      <c r="R20" s="238"/>
      <c r="S20" s="238"/>
      <c r="T20" s="240"/>
      <c r="U20" s="216" t="s">
        <v>545</v>
      </c>
      <c r="V20" s="217" t="s">
        <v>55</v>
      </c>
      <c r="W20" s="218"/>
      <c r="X20" s="483">
        <v>46225</v>
      </c>
      <c r="Y20" s="421" t="s">
        <v>1296</v>
      </c>
      <c r="Z20" s="221"/>
      <c r="AA20" s="221"/>
      <c r="AB20" s="221"/>
      <c r="AC20" s="221"/>
      <c r="AD20" s="221"/>
      <c r="AE20" s="221"/>
      <c r="AF20" s="221"/>
      <c r="AG20" s="221"/>
      <c r="AH20" s="221">
        <v>1</v>
      </c>
      <c r="AI20" s="221"/>
      <c r="AJ20" s="221"/>
      <c r="AK20" s="221"/>
      <c r="AL20" s="221"/>
      <c r="AM20" s="221"/>
      <c r="AN20" s="221" t="s">
        <v>862</v>
      </c>
      <c r="AO20" s="318" t="s">
        <v>1112</v>
      </c>
      <c r="AP20" s="310" t="s">
        <v>1251</v>
      </c>
      <c r="AQ20" s="312" t="s">
        <v>655</v>
      </c>
      <c r="AR20" s="312" t="s">
        <v>656</v>
      </c>
      <c r="AS20" s="313" t="s">
        <v>1173</v>
      </c>
    </row>
    <row r="21" spans="1:45" s="222" customFormat="1" ht="18" customHeight="1">
      <c r="A21" s="208">
        <v>1</v>
      </c>
      <c r="B21" s="296" t="s">
        <v>622</v>
      </c>
      <c r="C21" s="296" t="s">
        <v>916</v>
      </c>
      <c r="D21" s="296" t="s">
        <v>917</v>
      </c>
      <c r="E21" s="297">
        <v>63</v>
      </c>
      <c r="F21" s="298" t="s">
        <v>29</v>
      </c>
      <c r="G21" s="232" t="s">
        <v>69</v>
      </c>
      <c r="H21" s="316">
        <v>45904</v>
      </c>
      <c r="I21" s="316">
        <v>45929</v>
      </c>
      <c r="J21" s="218"/>
      <c r="K21" s="236"/>
      <c r="L21" s="236"/>
      <c r="M21" s="54"/>
      <c r="N21" s="404">
        <f t="shared" si="0"/>
        <v>180</v>
      </c>
      <c r="O21" s="238"/>
      <c r="P21" s="238"/>
      <c r="Q21" s="238"/>
      <c r="R21" s="238"/>
      <c r="S21" s="238"/>
      <c r="T21" s="240"/>
      <c r="U21" s="216" t="s">
        <v>39</v>
      </c>
      <c r="V21" s="217" t="s">
        <v>53</v>
      </c>
      <c r="W21" s="218"/>
      <c r="X21" s="236">
        <v>45966</v>
      </c>
      <c r="Y21" s="213"/>
      <c r="Z21" s="221"/>
      <c r="AA21" s="221"/>
      <c r="AB21" s="221"/>
      <c r="AC21" s="221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221"/>
    </row>
    <row r="22" spans="1:45" s="253" customFormat="1" ht="25.5">
      <c r="A22" s="208">
        <v>1</v>
      </c>
      <c r="B22" s="232" t="s">
        <v>619</v>
      </c>
      <c r="C22" s="232" t="s">
        <v>657</v>
      </c>
      <c r="D22" s="232" t="s">
        <v>658</v>
      </c>
      <c r="E22" s="231">
        <v>45</v>
      </c>
      <c r="F22" s="210" t="s">
        <v>17</v>
      </c>
      <c r="G22" s="232" t="s">
        <v>68</v>
      </c>
      <c r="H22" s="316">
        <v>46006</v>
      </c>
      <c r="I22" s="316">
        <v>46014</v>
      </c>
      <c r="J22" s="242">
        <v>46050</v>
      </c>
      <c r="K22" s="269">
        <f>+J22+180</f>
        <v>46230</v>
      </c>
      <c r="L22" s="213"/>
      <c r="M22" s="56"/>
      <c r="N22" s="404">
        <f>M22+180</f>
        <v>180</v>
      </c>
      <c r="O22" s="239"/>
      <c r="P22" s="238"/>
      <c r="Q22" s="238"/>
      <c r="R22" s="239">
        <v>3</v>
      </c>
      <c r="S22" s="239"/>
      <c r="T22" s="240"/>
      <c r="U22" s="216" t="s">
        <v>39</v>
      </c>
      <c r="V22" s="217" t="s">
        <v>54</v>
      </c>
      <c r="W22" s="218"/>
      <c r="X22" s="483">
        <v>46174</v>
      </c>
      <c r="Y22" s="422" t="s">
        <v>1297</v>
      </c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 t="s">
        <v>1500</v>
      </c>
      <c r="AO22" s="320"/>
      <c r="AP22" s="320" t="s">
        <v>1027</v>
      </c>
      <c r="AQ22" s="232" t="s">
        <v>657</v>
      </c>
      <c r="AR22" s="232" t="s">
        <v>658</v>
      </c>
      <c r="AS22" s="331" t="s">
        <v>1174</v>
      </c>
    </row>
    <row r="23" spans="1:45" s="222" customFormat="1" ht="12.75">
      <c r="A23" s="208">
        <v>1</v>
      </c>
      <c r="B23" s="296" t="s">
        <v>622</v>
      </c>
      <c r="C23" s="296" t="s">
        <v>918</v>
      </c>
      <c r="D23" s="296" t="s">
        <v>919</v>
      </c>
      <c r="E23" s="297">
        <v>45</v>
      </c>
      <c r="F23" s="298"/>
      <c r="G23" s="232" t="s">
        <v>69</v>
      </c>
      <c r="H23" s="316">
        <v>45840</v>
      </c>
      <c r="I23" s="316">
        <v>45866</v>
      </c>
      <c r="J23" s="218"/>
      <c r="K23" s="236"/>
      <c r="L23" s="236"/>
      <c r="M23" s="56"/>
      <c r="N23" s="404">
        <f t="shared" si="0"/>
        <v>180</v>
      </c>
      <c r="O23" s="238"/>
      <c r="P23" s="238"/>
      <c r="Q23" s="238"/>
      <c r="R23" s="238"/>
      <c r="S23" s="238"/>
      <c r="T23" s="240"/>
      <c r="U23" s="216" t="s">
        <v>39</v>
      </c>
      <c r="V23" s="217" t="s">
        <v>53</v>
      </c>
      <c r="W23" s="218"/>
      <c r="X23" s="483">
        <v>45957</v>
      </c>
      <c r="Y23" s="421" t="s">
        <v>1298</v>
      </c>
      <c r="Z23" s="221"/>
      <c r="AA23" s="221"/>
      <c r="AB23" s="221"/>
      <c r="AC23" s="221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221"/>
    </row>
    <row r="24" spans="1:45" s="288" customFormat="1" ht="18" customHeight="1">
      <c r="A24" s="273">
        <v>1</v>
      </c>
      <c r="B24" s="276" t="s">
        <v>622</v>
      </c>
      <c r="C24" s="276" t="s">
        <v>659</v>
      </c>
      <c r="D24" s="276" t="s">
        <v>660</v>
      </c>
      <c r="E24" s="274">
        <v>49</v>
      </c>
      <c r="F24" s="275" t="s">
        <v>29</v>
      </c>
      <c r="G24" s="276" t="s">
        <v>69</v>
      </c>
      <c r="H24" s="327">
        <v>45805</v>
      </c>
      <c r="I24" s="327">
        <v>45894</v>
      </c>
      <c r="J24" s="277">
        <v>45988</v>
      </c>
      <c r="K24" s="289">
        <f t="shared" ref="K24:K30" si="2">+J24+180</f>
        <v>46168</v>
      </c>
      <c r="L24" s="213"/>
      <c r="M24" s="56"/>
      <c r="N24" s="404">
        <f t="shared" si="0"/>
        <v>180</v>
      </c>
      <c r="O24" s="279" t="s">
        <v>828</v>
      </c>
      <c r="P24" s="279" t="s">
        <v>834</v>
      </c>
      <c r="Q24" s="279"/>
      <c r="R24" s="279"/>
      <c r="S24" s="279"/>
      <c r="T24" s="281"/>
      <c r="U24" s="282" t="s">
        <v>43</v>
      </c>
      <c r="V24" s="283" t="s">
        <v>54</v>
      </c>
      <c r="W24" s="284"/>
      <c r="X24" s="483">
        <v>46082</v>
      </c>
      <c r="Y24" s="421" t="s">
        <v>1299</v>
      </c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 t="s">
        <v>863</v>
      </c>
      <c r="AO24" s="310"/>
      <c r="AP24" s="310"/>
    </row>
    <row r="25" spans="1:45" s="288" customFormat="1" ht="25.5">
      <c r="A25" s="273">
        <v>1</v>
      </c>
      <c r="B25" s="276" t="s">
        <v>622</v>
      </c>
      <c r="C25" s="276" t="s">
        <v>661</v>
      </c>
      <c r="D25" s="276" t="s">
        <v>662</v>
      </c>
      <c r="E25" s="274">
        <v>36</v>
      </c>
      <c r="F25" s="275" t="s">
        <v>8</v>
      </c>
      <c r="G25" s="276" t="s">
        <v>68</v>
      </c>
      <c r="H25" s="327">
        <v>45838</v>
      </c>
      <c r="I25" s="327">
        <v>45919</v>
      </c>
      <c r="J25" s="277">
        <v>45968</v>
      </c>
      <c r="K25" s="289">
        <f t="shared" si="2"/>
        <v>46148</v>
      </c>
      <c r="L25" s="278"/>
      <c r="M25" s="54"/>
      <c r="N25" s="404">
        <f t="shared" si="0"/>
        <v>180</v>
      </c>
      <c r="O25" s="279"/>
      <c r="P25" s="279"/>
      <c r="Q25" s="279"/>
      <c r="R25" s="280"/>
      <c r="S25" s="280"/>
      <c r="T25" s="281"/>
      <c r="U25" s="282" t="s">
        <v>41</v>
      </c>
      <c r="V25" s="283"/>
      <c r="W25" s="284" t="s">
        <v>46</v>
      </c>
      <c r="X25" s="483">
        <v>46113</v>
      </c>
      <c r="Y25" s="421" t="s">
        <v>1300</v>
      </c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87"/>
      <c r="AN25" s="287" t="s">
        <v>864</v>
      </c>
      <c r="AO25" s="328" t="s">
        <v>1252</v>
      </c>
      <c r="AP25" s="328" t="s">
        <v>1113</v>
      </c>
      <c r="AQ25" s="332" t="s">
        <v>661</v>
      </c>
      <c r="AR25" s="332" t="s">
        <v>662</v>
      </c>
      <c r="AS25" s="333" t="s">
        <v>1175</v>
      </c>
    </row>
    <row r="26" spans="1:45" s="361" customFormat="1" ht="18" customHeight="1">
      <c r="A26" s="349">
        <v>1</v>
      </c>
      <c r="B26" s="365" t="s">
        <v>622</v>
      </c>
      <c r="C26" s="365" t="s">
        <v>663</v>
      </c>
      <c r="D26" s="365" t="s">
        <v>664</v>
      </c>
      <c r="E26" s="372">
        <v>41</v>
      </c>
      <c r="F26" s="373"/>
      <c r="G26" s="365" t="s">
        <v>68</v>
      </c>
      <c r="H26" s="389">
        <v>45825</v>
      </c>
      <c r="I26" s="389">
        <v>45894</v>
      </c>
      <c r="J26" s="374"/>
      <c r="K26" s="354">
        <f t="shared" si="2"/>
        <v>180</v>
      </c>
      <c r="L26" s="354"/>
      <c r="M26" s="56"/>
      <c r="N26" s="404">
        <f t="shared" ref="N26:N120" si="3">M26+180</f>
        <v>180</v>
      </c>
      <c r="O26" s="368"/>
      <c r="P26" s="368"/>
      <c r="Q26" s="368"/>
      <c r="R26" s="375"/>
      <c r="S26" s="375"/>
      <c r="T26" s="369"/>
      <c r="U26" s="356" t="s">
        <v>1272</v>
      </c>
      <c r="V26" s="357"/>
      <c r="W26" s="366"/>
      <c r="X26" s="367"/>
      <c r="Y26" s="354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 t="s">
        <v>865</v>
      </c>
      <c r="AO26" s="310"/>
      <c r="AP26" s="388"/>
    </row>
    <row r="27" spans="1:45" s="288" customFormat="1" ht="25.5">
      <c r="A27" s="208">
        <v>1</v>
      </c>
      <c r="B27" s="276" t="s">
        <v>622</v>
      </c>
      <c r="C27" s="276" t="s">
        <v>665</v>
      </c>
      <c r="D27" s="276" t="s">
        <v>666</v>
      </c>
      <c r="E27" s="274">
        <v>48</v>
      </c>
      <c r="F27" s="275" t="s">
        <v>29</v>
      </c>
      <c r="G27" s="276" t="s">
        <v>69</v>
      </c>
      <c r="H27" s="327">
        <v>45833</v>
      </c>
      <c r="I27" s="327">
        <v>45868</v>
      </c>
      <c r="J27" s="277">
        <v>45868</v>
      </c>
      <c r="K27" s="278">
        <f t="shared" si="2"/>
        <v>46048</v>
      </c>
      <c r="L27" s="214" t="s">
        <v>479</v>
      </c>
      <c r="M27" s="56">
        <v>46053</v>
      </c>
      <c r="N27" s="485">
        <f>M27+180</f>
        <v>46233</v>
      </c>
      <c r="O27" s="279" t="s">
        <v>828</v>
      </c>
      <c r="P27" s="279"/>
      <c r="Q27" s="279"/>
      <c r="R27" s="280"/>
      <c r="S27" s="280"/>
      <c r="T27" s="281"/>
      <c r="U27" s="282" t="s">
        <v>545</v>
      </c>
      <c r="V27" s="283" t="s">
        <v>54</v>
      </c>
      <c r="W27" s="284"/>
      <c r="X27" s="483">
        <v>46262</v>
      </c>
      <c r="Y27" s="421" t="s">
        <v>1302</v>
      </c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  <c r="AK27" s="287"/>
      <c r="AL27" s="287"/>
      <c r="AM27" s="287"/>
      <c r="AN27" s="287" t="s">
        <v>1438</v>
      </c>
      <c r="AO27" s="328" t="s">
        <v>1001</v>
      </c>
      <c r="AP27" s="328" t="s">
        <v>1115</v>
      </c>
      <c r="AQ27" s="312" t="s">
        <v>665</v>
      </c>
      <c r="AR27" s="312" t="s">
        <v>666</v>
      </c>
      <c r="AS27" s="121"/>
    </row>
    <row r="28" spans="1:45" s="222" customFormat="1" ht="18" customHeight="1">
      <c r="A28" s="208">
        <v>1</v>
      </c>
      <c r="B28" s="232" t="s">
        <v>622</v>
      </c>
      <c r="C28" s="232" t="s">
        <v>667</v>
      </c>
      <c r="D28" s="232" t="s">
        <v>668</v>
      </c>
      <c r="E28" s="231">
        <v>38</v>
      </c>
      <c r="F28" s="210" t="s">
        <v>8</v>
      </c>
      <c r="G28" s="232" t="s">
        <v>69</v>
      </c>
      <c r="H28" s="316">
        <v>45917</v>
      </c>
      <c r="I28" s="316">
        <v>45946</v>
      </c>
      <c r="J28" s="242">
        <v>45946</v>
      </c>
      <c r="K28" s="213">
        <f t="shared" si="2"/>
        <v>46126</v>
      </c>
      <c r="L28" s="213"/>
      <c r="M28" s="56"/>
      <c r="N28" s="404">
        <f t="shared" si="3"/>
        <v>180</v>
      </c>
      <c r="O28" s="238" t="s">
        <v>830</v>
      </c>
      <c r="P28" s="238"/>
      <c r="Q28" s="238"/>
      <c r="R28" s="239"/>
      <c r="S28" s="239"/>
      <c r="T28" s="243"/>
      <c r="U28" s="216" t="s">
        <v>39</v>
      </c>
      <c r="V28" s="217" t="s">
        <v>53</v>
      </c>
      <c r="W28" s="218"/>
      <c r="X28" s="483">
        <v>46125</v>
      </c>
      <c r="Y28" s="421" t="s">
        <v>1303</v>
      </c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 t="s">
        <v>866</v>
      </c>
      <c r="AO28" s="319"/>
      <c r="AP28" s="320"/>
    </row>
    <row r="29" spans="1:45" s="222" customFormat="1" ht="18" customHeight="1">
      <c r="A29" s="208">
        <v>1</v>
      </c>
      <c r="B29" s="232" t="s">
        <v>622</v>
      </c>
      <c r="C29" s="232" t="s">
        <v>669</v>
      </c>
      <c r="D29" s="232" t="s">
        <v>670</v>
      </c>
      <c r="E29" s="231">
        <v>37</v>
      </c>
      <c r="F29" s="210" t="s">
        <v>8</v>
      </c>
      <c r="G29" s="232" t="s">
        <v>68</v>
      </c>
      <c r="H29" s="316">
        <v>45812</v>
      </c>
      <c r="I29" s="316">
        <v>45902</v>
      </c>
      <c r="J29" s="242">
        <v>45902</v>
      </c>
      <c r="K29" s="213">
        <f>+J29+180</f>
        <v>46082</v>
      </c>
      <c r="L29" s="214" t="s">
        <v>479</v>
      </c>
      <c r="M29" s="56">
        <v>46083</v>
      </c>
      <c r="N29" s="486">
        <f>M29+180</f>
        <v>46263</v>
      </c>
      <c r="O29" s="238" t="s">
        <v>830</v>
      </c>
      <c r="P29" s="238" t="s">
        <v>1154</v>
      </c>
      <c r="Q29" s="238"/>
      <c r="R29" s="239"/>
      <c r="S29" s="239"/>
      <c r="T29" s="240">
        <v>1</v>
      </c>
      <c r="U29" s="216" t="s">
        <v>545</v>
      </c>
      <c r="V29" s="217" t="s">
        <v>54</v>
      </c>
      <c r="W29" s="218"/>
      <c r="X29" s="483">
        <v>46267</v>
      </c>
      <c r="Y29" s="421" t="s">
        <v>1304</v>
      </c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 t="s">
        <v>1233</v>
      </c>
      <c r="AO29" s="320"/>
      <c r="AP29" s="320" t="s">
        <v>1028</v>
      </c>
      <c r="AQ29" s="312" t="s">
        <v>669</v>
      </c>
      <c r="AR29" s="312" t="s">
        <v>670</v>
      </c>
      <c r="AS29" s="313" t="s">
        <v>1176</v>
      </c>
    </row>
    <row r="30" spans="1:45" s="288" customFormat="1" ht="18" customHeight="1">
      <c r="A30" s="208">
        <v>1</v>
      </c>
      <c r="B30" s="276" t="s">
        <v>619</v>
      </c>
      <c r="C30" s="276" t="s">
        <v>674</v>
      </c>
      <c r="D30" s="276" t="s">
        <v>675</v>
      </c>
      <c r="E30" s="274">
        <v>26</v>
      </c>
      <c r="F30" s="275" t="s">
        <v>29</v>
      </c>
      <c r="G30" s="276" t="s">
        <v>69</v>
      </c>
      <c r="H30" s="327">
        <v>46057</v>
      </c>
      <c r="I30" s="327">
        <v>46066</v>
      </c>
      <c r="J30" s="277">
        <v>46066</v>
      </c>
      <c r="K30" s="278">
        <f t="shared" si="2"/>
        <v>46246</v>
      </c>
      <c r="L30" s="278"/>
      <c r="M30" s="56"/>
      <c r="N30" s="404">
        <f>M30+180</f>
        <v>180</v>
      </c>
      <c r="O30" s="279"/>
      <c r="P30" s="279"/>
      <c r="Q30" s="279"/>
      <c r="R30" s="280"/>
      <c r="S30" s="280"/>
      <c r="T30" s="281"/>
      <c r="U30" s="282" t="s">
        <v>41</v>
      </c>
      <c r="V30" s="283"/>
      <c r="W30" s="284" t="s">
        <v>46</v>
      </c>
      <c r="X30" s="483">
        <v>46204</v>
      </c>
      <c r="Y30" s="421" t="s">
        <v>1307</v>
      </c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 t="s">
        <v>1269</v>
      </c>
      <c r="AO30" s="328" t="s">
        <v>1067</v>
      </c>
      <c r="AP30" s="328" t="s">
        <v>1030</v>
      </c>
      <c r="AQ30" s="312" t="s">
        <v>674</v>
      </c>
      <c r="AR30" s="312" t="s">
        <v>675</v>
      </c>
      <c r="AS30" s="313" t="s">
        <v>1178</v>
      </c>
    </row>
    <row r="31" spans="1:45" s="222" customFormat="1" ht="12.75">
      <c r="A31" s="208">
        <v>1</v>
      </c>
      <c r="B31" s="296" t="s">
        <v>622</v>
      </c>
      <c r="C31" s="296" t="s">
        <v>920</v>
      </c>
      <c r="D31" s="296" t="s">
        <v>921</v>
      </c>
      <c r="E31" s="297">
        <v>27</v>
      </c>
      <c r="F31" s="298" t="s">
        <v>29</v>
      </c>
      <c r="G31" s="211" t="s">
        <v>68</v>
      </c>
      <c r="H31" s="309">
        <v>46036</v>
      </c>
      <c r="I31" s="309">
        <v>46050</v>
      </c>
      <c r="J31" s="212"/>
      <c r="K31" s="219"/>
      <c r="L31" s="219"/>
      <c r="M31" s="56"/>
      <c r="N31" s="404">
        <f t="shared" si="3"/>
        <v>180</v>
      </c>
      <c r="O31" s="211"/>
      <c r="P31" s="211"/>
      <c r="Q31" s="211"/>
      <c r="R31" s="215"/>
      <c r="S31" s="215"/>
      <c r="T31" s="215"/>
      <c r="U31" s="216" t="s">
        <v>39</v>
      </c>
      <c r="V31" s="217" t="s">
        <v>53</v>
      </c>
      <c r="W31" s="218"/>
      <c r="X31" s="484">
        <v>46077</v>
      </c>
      <c r="Y31" s="421" t="s">
        <v>1308</v>
      </c>
      <c r="Z31" s="221"/>
      <c r="AA31" s="221"/>
      <c r="AB31" s="221"/>
      <c r="AC31" s="221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221"/>
    </row>
    <row r="32" spans="1:45" s="361" customFormat="1" ht="16.149999999999999" customHeight="1">
      <c r="A32" s="349">
        <v>1</v>
      </c>
      <c r="B32" s="362" t="s">
        <v>622</v>
      </c>
      <c r="C32" s="362" t="s">
        <v>922</v>
      </c>
      <c r="D32" s="362" t="s">
        <v>923</v>
      </c>
      <c r="E32" s="363">
        <v>35</v>
      </c>
      <c r="F32" s="364"/>
      <c r="G32" s="365" t="s">
        <v>69</v>
      </c>
      <c r="H32" s="389">
        <v>45826</v>
      </c>
      <c r="I32" s="389">
        <v>45868</v>
      </c>
      <c r="J32" s="366"/>
      <c r="K32" s="367"/>
      <c r="L32" s="367"/>
      <c r="M32" s="56"/>
      <c r="N32" s="404">
        <f t="shared" si="3"/>
        <v>180</v>
      </c>
      <c r="O32" s="368"/>
      <c r="P32" s="368"/>
      <c r="Q32" s="368"/>
      <c r="R32" s="368"/>
      <c r="S32" s="368"/>
      <c r="T32" s="369"/>
      <c r="U32" s="356" t="s">
        <v>1272</v>
      </c>
      <c r="V32" s="357"/>
      <c r="W32" s="366"/>
      <c r="X32" s="367"/>
      <c r="Y32" s="354"/>
      <c r="Z32" s="370"/>
      <c r="AA32" s="370"/>
      <c r="AB32" s="370"/>
      <c r="AC32" s="370"/>
      <c r="AD32" s="371"/>
      <c r="AE32" s="371"/>
      <c r="AF32" s="371"/>
      <c r="AG32" s="371"/>
      <c r="AH32" s="371"/>
      <c r="AI32" s="371"/>
      <c r="AJ32" s="371"/>
      <c r="AK32" s="371"/>
      <c r="AL32" s="371"/>
      <c r="AM32" s="371"/>
      <c r="AN32" s="370"/>
    </row>
    <row r="33" spans="1:45" s="253" customFormat="1" ht="18" customHeight="1">
      <c r="A33" s="208">
        <v>1</v>
      </c>
      <c r="B33" s="246" t="s">
        <v>622</v>
      </c>
      <c r="C33" s="246" t="s">
        <v>676</v>
      </c>
      <c r="D33" s="246" t="s">
        <v>677</v>
      </c>
      <c r="E33" s="244">
        <v>26</v>
      </c>
      <c r="F33" s="245" t="s">
        <v>29</v>
      </c>
      <c r="G33" s="246" t="s">
        <v>69</v>
      </c>
      <c r="H33" s="322">
        <v>46008</v>
      </c>
      <c r="I33" s="322">
        <v>46031</v>
      </c>
      <c r="J33" s="247">
        <v>46031</v>
      </c>
      <c r="K33" s="226">
        <f>+J33+180</f>
        <v>46211</v>
      </c>
      <c r="L33" s="226"/>
      <c r="M33" s="54"/>
      <c r="N33" s="404">
        <f t="shared" si="3"/>
        <v>180</v>
      </c>
      <c r="O33" s="248" t="s">
        <v>824</v>
      </c>
      <c r="P33" s="248" t="s">
        <v>826</v>
      </c>
      <c r="Q33" s="248"/>
      <c r="R33" s="227"/>
      <c r="S33" s="227"/>
      <c r="T33" s="249"/>
      <c r="U33" s="228" t="s">
        <v>43</v>
      </c>
      <c r="V33" s="229"/>
      <c r="W33" s="250"/>
      <c r="X33" s="483">
        <v>46113</v>
      </c>
      <c r="Y33" s="421" t="s">
        <v>1309</v>
      </c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 t="s">
        <v>856</v>
      </c>
      <c r="AO33" s="315" t="s">
        <v>1257</v>
      </c>
      <c r="AP33" s="315" t="s">
        <v>1031</v>
      </c>
      <c r="AQ33" s="312"/>
      <c r="AR33" s="312"/>
      <c r="AS33" s="313"/>
    </row>
    <row r="34" spans="1:45" s="361" customFormat="1" ht="12.75">
      <c r="A34" s="208">
        <v>1</v>
      </c>
      <c r="B34" s="365" t="s">
        <v>619</v>
      </c>
      <c r="C34" s="365" t="s">
        <v>678</v>
      </c>
      <c r="D34" s="365" t="s">
        <v>393</v>
      </c>
      <c r="E34" s="372">
        <v>31</v>
      </c>
      <c r="F34" s="373"/>
      <c r="G34" s="365" t="s">
        <v>69</v>
      </c>
      <c r="H34" s="389">
        <v>45869</v>
      </c>
      <c r="I34" s="389">
        <v>45924</v>
      </c>
      <c r="J34" s="374"/>
      <c r="K34" s="354">
        <f>+J34+180</f>
        <v>180</v>
      </c>
      <c r="L34" s="354"/>
      <c r="M34" s="56"/>
      <c r="N34" s="404">
        <f t="shared" si="3"/>
        <v>180</v>
      </c>
      <c r="O34" s="368"/>
      <c r="P34" s="368"/>
      <c r="Q34" s="368"/>
      <c r="R34" s="375"/>
      <c r="S34" s="375"/>
      <c r="T34" s="369"/>
      <c r="U34" s="356" t="s">
        <v>1272</v>
      </c>
      <c r="V34" s="357"/>
      <c r="W34" s="366"/>
      <c r="X34" s="367"/>
      <c r="Y34" s="354"/>
      <c r="Z34" s="370"/>
      <c r="AA34" s="370"/>
      <c r="AB34" s="370"/>
      <c r="AC34" s="370"/>
      <c r="AD34" s="370"/>
      <c r="AE34" s="370"/>
      <c r="AF34" s="370"/>
      <c r="AG34" s="370"/>
      <c r="AH34" s="370"/>
      <c r="AI34" s="370"/>
      <c r="AJ34" s="370"/>
      <c r="AK34" s="370"/>
      <c r="AL34" s="370"/>
      <c r="AM34" s="370"/>
      <c r="AN34" s="370" t="s">
        <v>869</v>
      </c>
      <c r="AO34" s="388"/>
      <c r="AP34" s="388"/>
    </row>
    <row r="35" spans="1:45" s="222" customFormat="1" ht="18" customHeight="1">
      <c r="A35" s="349">
        <v>1</v>
      </c>
      <c r="B35" s="232" t="s">
        <v>622</v>
      </c>
      <c r="C35" s="232" t="s">
        <v>679</v>
      </c>
      <c r="D35" s="232" t="s">
        <v>680</v>
      </c>
      <c r="E35" s="231">
        <v>43</v>
      </c>
      <c r="F35" s="210"/>
      <c r="G35" s="232" t="s">
        <v>69</v>
      </c>
      <c r="H35" s="316">
        <v>45982</v>
      </c>
      <c r="I35" s="316">
        <v>46000</v>
      </c>
      <c r="J35" s="242">
        <v>46000</v>
      </c>
      <c r="K35" s="213">
        <f>+J35+180</f>
        <v>46180</v>
      </c>
      <c r="L35" s="213"/>
      <c r="M35" s="56"/>
      <c r="N35" s="404">
        <f t="shared" si="3"/>
        <v>180</v>
      </c>
      <c r="O35" s="238"/>
      <c r="P35" s="239"/>
      <c r="Q35" s="239"/>
      <c r="R35" s="239"/>
      <c r="S35" s="239"/>
      <c r="T35" s="240"/>
      <c r="U35" s="216" t="s">
        <v>43</v>
      </c>
      <c r="V35" s="217" t="s">
        <v>54</v>
      </c>
      <c r="W35" s="218"/>
      <c r="X35" s="483">
        <v>46128</v>
      </c>
      <c r="Y35" s="421" t="s">
        <v>1310</v>
      </c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 t="s">
        <v>870</v>
      </c>
      <c r="AO35" s="310" t="s">
        <v>1003</v>
      </c>
      <c r="AP35" s="318"/>
    </row>
    <row r="36" spans="1:45" s="361" customFormat="1" ht="12.75">
      <c r="A36" s="208">
        <v>1</v>
      </c>
      <c r="B36" s="362" t="s">
        <v>619</v>
      </c>
      <c r="C36" s="362" t="s">
        <v>924</v>
      </c>
      <c r="D36" s="362" t="s">
        <v>925</v>
      </c>
      <c r="E36" s="363">
        <v>62</v>
      </c>
      <c r="F36" s="364"/>
      <c r="G36" s="365" t="s">
        <v>69</v>
      </c>
      <c r="H36" s="389">
        <v>45846</v>
      </c>
      <c r="I36" s="389">
        <v>45894</v>
      </c>
      <c r="J36" s="374"/>
      <c r="K36" s="367"/>
      <c r="L36" s="367"/>
      <c r="M36" s="54"/>
      <c r="N36" s="404">
        <f t="shared" si="3"/>
        <v>180</v>
      </c>
      <c r="O36" s="368"/>
      <c r="P36" s="368"/>
      <c r="Q36" s="368"/>
      <c r="R36" s="375"/>
      <c r="S36" s="375"/>
      <c r="T36" s="369"/>
      <c r="U36" s="356" t="s">
        <v>39</v>
      </c>
      <c r="V36" s="357" t="s">
        <v>53</v>
      </c>
      <c r="W36" s="366"/>
      <c r="X36" s="367"/>
      <c r="Y36" s="359"/>
      <c r="Z36" s="370"/>
      <c r="AA36" s="370"/>
      <c r="AB36" s="370"/>
      <c r="AC36" s="370"/>
      <c r="AD36" s="371"/>
      <c r="AE36" s="371"/>
      <c r="AF36" s="371"/>
      <c r="AG36" s="371"/>
      <c r="AH36" s="371"/>
      <c r="AI36" s="371"/>
      <c r="AJ36" s="371"/>
      <c r="AK36" s="371"/>
      <c r="AL36" s="371"/>
      <c r="AM36" s="371"/>
      <c r="AN36" s="370"/>
    </row>
    <row r="37" spans="1:45" s="222" customFormat="1" ht="25.5">
      <c r="A37" s="208">
        <v>1</v>
      </c>
      <c r="B37" s="232" t="s">
        <v>622</v>
      </c>
      <c r="C37" s="232" t="s">
        <v>685</v>
      </c>
      <c r="D37" s="232" t="s">
        <v>686</v>
      </c>
      <c r="E37" s="231">
        <v>34</v>
      </c>
      <c r="F37" s="210" t="s">
        <v>8</v>
      </c>
      <c r="G37" s="232" t="s">
        <v>69</v>
      </c>
      <c r="H37" s="316">
        <v>45847</v>
      </c>
      <c r="I37" s="316">
        <v>45860</v>
      </c>
      <c r="J37" s="242">
        <v>45860</v>
      </c>
      <c r="K37" s="213">
        <f>+J37+180</f>
        <v>46040</v>
      </c>
      <c r="L37" s="214" t="s">
        <v>479</v>
      </c>
      <c r="M37" s="56">
        <v>46045</v>
      </c>
      <c r="N37" s="404">
        <f>M37+180</f>
        <v>46225</v>
      </c>
      <c r="O37" s="238" t="s">
        <v>830</v>
      </c>
      <c r="P37" s="238"/>
      <c r="Q37" s="238"/>
      <c r="R37" s="239">
        <v>1</v>
      </c>
      <c r="S37" s="239"/>
      <c r="T37" s="240"/>
      <c r="U37" s="216" t="s">
        <v>39</v>
      </c>
      <c r="V37" s="217" t="s">
        <v>50</v>
      </c>
      <c r="W37" s="218"/>
      <c r="X37" s="483">
        <v>46202</v>
      </c>
      <c r="Y37" s="421" t="s">
        <v>1312</v>
      </c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>
        <v>1</v>
      </c>
      <c r="AK37" s="221"/>
      <c r="AL37" s="221"/>
      <c r="AM37" s="221"/>
      <c r="AN37" s="221" t="s">
        <v>872</v>
      </c>
      <c r="AO37" s="334" t="s">
        <v>1100</v>
      </c>
      <c r="AP37" s="310" t="s">
        <v>1249</v>
      </c>
      <c r="AQ37" s="312" t="s">
        <v>685</v>
      </c>
      <c r="AR37" s="312" t="s">
        <v>686</v>
      </c>
      <c r="AS37" s="313" t="s">
        <v>1180</v>
      </c>
    </row>
    <row r="38" spans="1:45" s="222" customFormat="1" ht="12.75">
      <c r="A38" s="208">
        <v>1</v>
      </c>
      <c r="B38" s="296" t="s">
        <v>622</v>
      </c>
      <c r="C38" s="296" t="s">
        <v>926</v>
      </c>
      <c r="D38" s="296" t="s">
        <v>927</v>
      </c>
      <c r="E38" s="297"/>
      <c r="F38" s="298"/>
      <c r="G38" s="232" t="s">
        <v>68</v>
      </c>
      <c r="H38" s="316"/>
      <c r="I38" s="316">
        <v>45986</v>
      </c>
      <c r="J38" s="242"/>
      <c r="K38" s="236"/>
      <c r="L38" s="236"/>
      <c r="M38" s="83"/>
      <c r="N38" s="404">
        <f t="shared" si="3"/>
        <v>180</v>
      </c>
      <c r="O38" s="238"/>
      <c r="P38" s="238"/>
      <c r="Q38" s="238"/>
      <c r="R38" s="239"/>
      <c r="S38" s="239"/>
      <c r="T38" s="240"/>
      <c r="U38" s="216" t="s">
        <v>43</v>
      </c>
      <c r="V38" s="217"/>
      <c r="W38" s="218"/>
      <c r="X38" s="236">
        <v>46083</v>
      </c>
      <c r="Y38" s="241"/>
      <c r="Z38" s="221"/>
      <c r="AA38" s="221"/>
      <c r="AB38" s="221"/>
      <c r="AC38" s="221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221"/>
    </row>
    <row r="39" spans="1:45" s="222" customFormat="1" ht="18" customHeight="1">
      <c r="A39" s="349">
        <v>1</v>
      </c>
      <c r="B39" s="296" t="s">
        <v>622</v>
      </c>
      <c r="C39" s="296" t="s">
        <v>928</v>
      </c>
      <c r="D39" s="296" t="s">
        <v>929</v>
      </c>
      <c r="E39" s="297">
        <v>63</v>
      </c>
      <c r="F39" s="298" t="s">
        <v>29</v>
      </c>
      <c r="G39" s="232" t="s">
        <v>68</v>
      </c>
      <c r="H39" s="316">
        <v>45832</v>
      </c>
      <c r="I39" s="316">
        <v>45925</v>
      </c>
      <c r="J39" s="242"/>
      <c r="K39" s="236"/>
      <c r="L39" s="236"/>
      <c r="M39" s="56"/>
      <c r="N39" s="404">
        <f t="shared" si="3"/>
        <v>180</v>
      </c>
      <c r="O39" s="238"/>
      <c r="P39" s="238"/>
      <c r="Q39" s="238"/>
      <c r="R39" s="239"/>
      <c r="S39" s="239"/>
      <c r="T39" s="240"/>
      <c r="U39" s="216" t="s">
        <v>39</v>
      </c>
      <c r="V39" s="217" t="s">
        <v>51</v>
      </c>
      <c r="W39" s="218"/>
      <c r="X39" s="483">
        <v>46023</v>
      </c>
      <c r="Y39" s="421" t="s">
        <v>1313</v>
      </c>
      <c r="Z39" s="221"/>
      <c r="AA39" s="221"/>
      <c r="AB39" s="221"/>
      <c r="AC39" s="221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221"/>
    </row>
    <row r="40" spans="1:45" s="222" customFormat="1" ht="18" customHeight="1">
      <c r="A40" s="208">
        <v>1</v>
      </c>
      <c r="B40" s="232" t="s">
        <v>619</v>
      </c>
      <c r="C40" s="232" t="s">
        <v>687</v>
      </c>
      <c r="D40" s="232" t="s">
        <v>688</v>
      </c>
      <c r="E40" s="231">
        <v>45</v>
      </c>
      <c r="F40" s="210" t="s">
        <v>29</v>
      </c>
      <c r="G40" s="232" t="s">
        <v>68</v>
      </c>
      <c r="H40" s="316">
        <v>45833</v>
      </c>
      <c r="I40" s="316">
        <v>45924</v>
      </c>
      <c r="J40" s="242">
        <v>45924</v>
      </c>
      <c r="K40" s="213">
        <f>+J40+180</f>
        <v>46104</v>
      </c>
      <c r="L40" s="214" t="s">
        <v>479</v>
      </c>
      <c r="M40" s="56">
        <v>46106</v>
      </c>
      <c r="N40" s="404">
        <f>M40+180</f>
        <v>46286</v>
      </c>
      <c r="O40" s="238" t="s">
        <v>826</v>
      </c>
      <c r="P40" s="238" t="s">
        <v>828</v>
      </c>
      <c r="Q40" s="238"/>
      <c r="R40" s="239"/>
      <c r="S40" s="239"/>
      <c r="T40" s="240"/>
      <c r="U40" s="216" t="s">
        <v>545</v>
      </c>
      <c r="V40" s="217" t="s">
        <v>55</v>
      </c>
      <c r="W40" s="218"/>
      <c r="X40" s="236">
        <v>46290</v>
      </c>
      <c r="Y40" s="421" t="s">
        <v>1315</v>
      </c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 t="s">
        <v>1233</v>
      </c>
      <c r="AO40" s="321" t="s">
        <v>1005</v>
      </c>
      <c r="AP40" s="321" t="s">
        <v>1033</v>
      </c>
      <c r="AQ40" s="312" t="s">
        <v>687</v>
      </c>
      <c r="AR40" s="312" t="s">
        <v>688</v>
      </c>
      <c r="AS40" s="313" t="s">
        <v>1181</v>
      </c>
    </row>
    <row r="41" spans="1:45" s="361" customFormat="1" ht="12.75">
      <c r="A41" s="208">
        <v>1</v>
      </c>
      <c r="B41" s="365" t="s">
        <v>619</v>
      </c>
      <c r="C41" s="365" t="s">
        <v>694</v>
      </c>
      <c r="D41" s="365" t="s">
        <v>695</v>
      </c>
      <c r="E41" s="372">
        <v>57</v>
      </c>
      <c r="F41" s="373"/>
      <c r="G41" s="365" t="s">
        <v>68</v>
      </c>
      <c r="H41" s="389">
        <v>45883</v>
      </c>
      <c r="I41" s="389">
        <v>45916</v>
      </c>
      <c r="J41" s="374"/>
      <c r="K41" s="354">
        <f>+J41+180</f>
        <v>180</v>
      </c>
      <c r="L41" s="354"/>
      <c r="M41" s="54"/>
      <c r="N41" s="404">
        <f t="shared" si="3"/>
        <v>180</v>
      </c>
      <c r="O41" s="375"/>
      <c r="P41" s="375"/>
      <c r="Q41" s="375"/>
      <c r="R41" s="375"/>
      <c r="S41" s="375"/>
      <c r="T41" s="369"/>
      <c r="U41" s="356" t="s">
        <v>1272</v>
      </c>
      <c r="V41" s="357"/>
      <c r="W41" s="366"/>
      <c r="X41" s="367"/>
      <c r="Y41" s="359"/>
      <c r="Z41" s="370"/>
      <c r="AA41" s="370"/>
      <c r="AB41" s="370"/>
      <c r="AC41" s="370"/>
      <c r="AD41" s="370"/>
      <c r="AE41" s="370"/>
      <c r="AF41" s="370"/>
      <c r="AG41" s="370"/>
      <c r="AH41" s="370"/>
      <c r="AI41" s="370"/>
      <c r="AJ41" s="370"/>
      <c r="AK41" s="370"/>
      <c r="AL41" s="370"/>
      <c r="AM41" s="370"/>
      <c r="AN41" s="370" t="s">
        <v>865</v>
      </c>
      <c r="AO41" s="310"/>
      <c r="AP41" s="388"/>
    </row>
    <row r="42" spans="1:45" s="222" customFormat="1" ht="12.75">
      <c r="A42" s="208">
        <v>1</v>
      </c>
      <c r="B42" s="232" t="s">
        <v>619</v>
      </c>
      <c r="C42" s="232" t="s">
        <v>1244</v>
      </c>
      <c r="D42" s="232" t="s">
        <v>1245</v>
      </c>
      <c r="E42" s="231">
        <v>33</v>
      </c>
      <c r="F42" s="210"/>
      <c r="G42" s="232" t="s">
        <v>68</v>
      </c>
      <c r="H42" s="316">
        <v>45855</v>
      </c>
      <c r="I42" s="316"/>
      <c r="J42" s="242"/>
      <c r="K42" s="213"/>
      <c r="L42" s="302"/>
      <c r="M42" s="54"/>
      <c r="N42" s="404">
        <f t="shared" si="3"/>
        <v>180</v>
      </c>
      <c r="O42" s="239"/>
      <c r="P42" s="239"/>
      <c r="Q42" s="239"/>
      <c r="R42" s="239"/>
      <c r="S42" s="239"/>
      <c r="T42" s="240"/>
      <c r="U42" s="216" t="s">
        <v>39</v>
      </c>
      <c r="V42" s="217" t="s">
        <v>54</v>
      </c>
      <c r="W42" s="218"/>
      <c r="X42" s="236">
        <v>46185</v>
      </c>
      <c r="Y42" s="24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310"/>
      <c r="AP42" s="310"/>
      <c r="AQ42" s="312"/>
      <c r="AR42" s="312"/>
      <c r="AS42" s="313"/>
    </row>
    <row r="43" spans="1:45" s="288" customFormat="1" ht="25.5">
      <c r="A43" s="208">
        <v>1</v>
      </c>
      <c r="B43" s="276" t="s">
        <v>622</v>
      </c>
      <c r="C43" s="276" t="s">
        <v>696</v>
      </c>
      <c r="D43" s="276" t="s">
        <v>335</v>
      </c>
      <c r="E43" s="274">
        <v>30</v>
      </c>
      <c r="F43" s="275" t="s">
        <v>29</v>
      </c>
      <c r="G43" s="276" t="s">
        <v>68</v>
      </c>
      <c r="H43" s="327">
        <v>45870</v>
      </c>
      <c r="I43" s="327">
        <v>45908</v>
      </c>
      <c r="J43" s="277">
        <v>45908</v>
      </c>
      <c r="K43" s="278">
        <f>+J43+180</f>
        <v>46088</v>
      </c>
      <c r="L43" s="278" t="s">
        <v>529</v>
      </c>
      <c r="M43" s="54"/>
      <c r="N43" s="404">
        <f t="shared" si="3"/>
        <v>180</v>
      </c>
      <c r="O43" s="280" t="s">
        <v>828</v>
      </c>
      <c r="P43" s="280" t="s">
        <v>830</v>
      </c>
      <c r="Q43" s="280" t="s">
        <v>837</v>
      </c>
      <c r="R43" s="280">
        <v>2</v>
      </c>
      <c r="S43" s="280"/>
      <c r="T43" s="281"/>
      <c r="U43" s="282" t="s">
        <v>41</v>
      </c>
      <c r="V43" s="283" t="s">
        <v>34</v>
      </c>
      <c r="W43" s="284" t="s">
        <v>44</v>
      </c>
      <c r="X43" s="483">
        <v>46105</v>
      </c>
      <c r="Y43" s="421" t="s">
        <v>1318</v>
      </c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 t="s">
        <v>875</v>
      </c>
      <c r="AO43" s="390" t="s">
        <v>1006</v>
      </c>
      <c r="AP43" s="390" t="s">
        <v>1035</v>
      </c>
    </row>
    <row r="44" spans="1:45" s="222" customFormat="1" ht="25.5">
      <c r="A44" s="349">
        <v>1</v>
      </c>
      <c r="B44" s="232" t="s">
        <v>622</v>
      </c>
      <c r="C44" s="232" t="s">
        <v>1147</v>
      </c>
      <c r="D44" s="232" t="s">
        <v>1148</v>
      </c>
      <c r="E44" s="231">
        <v>58</v>
      </c>
      <c r="F44" s="210" t="s">
        <v>11</v>
      </c>
      <c r="G44" s="232" t="s">
        <v>68</v>
      </c>
      <c r="H44" s="316">
        <v>46105</v>
      </c>
      <c r="I44" s="316">
        <v>46154</v>
      </c>
      <c r="J44" s="242">
        <v>46154</v>
      </c>
      <c r="K44" s="213">
        <f>+J44+180</f>
        <v>46334</v>
      </c>
      <c r="L44" s="302"/>
      <c r="M44" s="54"/>
      <c r="N44" s="404">
        <f t="shared" si="3"/>
        <v>180</v>
      </c>
      <c r="O44" s="239" t="s">
        <v>1149</v>
      </c>
      <c r="P44" s="239"/>
      <c r="Q44" s="239"/>
      <c r="R44" s="239"/>
      <c r="S44" s="239"/>
      <c r="T44" s="240"/>
      <c r="U44" s="216" t="s">
        <v>39</v>
      </c>
      <c r="V44" s="217" t="s">
        <v>53</v>
      </c>
      <c r="W44" s="218"/>
      <c r="X44" s="483">
        <v>46176</v>
      </c>
      <c r="Y44" s="433" t="s">
        <v>1404</v>
      </c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 t="s">
        <v>1256</v>
      </c>
      <c r="AO44" s="310"/>
      <c r="AP44" s="310"/>
      <c r="AQ44" s="232"/>
      <c r="AR44" s="232"/>
      <c r="AS44" s="121"/>
    </row>
    <row r="45" spans="1:45" s="222" customFormat="1" ht="18" customHeight="1">
      <c r="A45" s="208">
        <v>1</v>
      </c>
      <c r="B45" s="296" t="s">
        <v>622</v>
      </c>
      <c r="C45" s="296" t="s">
        <v>930</v>
      </c>
      <c r="D45" s="296" t="s">
        <v>931</v>
      </c>
      <c r="E45" s="297">
        <v>44</v>
      </c>
      <c r="F45" s="298"/>
      <c r="G45" s="232" t="s">
        <v>69</v>
      </c>
      <c r="H45" s="316">
        <v>45870</v>
      </c>
      <c r="I45" s="316">
        <v>45908</v>
      </c>
      <c r="J45" s="218"/>
      <c r="K45" s="236"/>
      <c r="L45" s="236"/>
      <c r="M45" s="56"/>
      <c r="N45" s="404">
        <f t="shared" si="3"/>
        <v>180</v>
      </c>
      <c r="O45" s="238"/>
      <c r="P45" s="238"/>
      <c r="Q45" s="238"/>
      <c r="R45" s="239"/>
      <c r="S45" s="239"/>
      <c r="T45" s="240"/>
      <c r="U45" s="216" t="s">
        <v>39</v>
      </c>
      <c r="V45" s="217" t="s">
        <v>54</v>
      </c>
      <c r="W45" s="218"/>
      <c r="X45" s="236">
        <v>45939</v>
      </c>
      <c r="Y45" s="213"/>
      <c r="Z45" s="221"/>
      <c r="AA45" s="221"/>
      <c r="AB45" s="221"/>
      <c r="AC45" s="221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221"/>
    </row>
    <row r="46" spans="1:45" s="222" customFormat="1" ht="18" customHeight="1">
      <c r="A46" s="208"/>
      <c r="B46" s="232" t="s">
        <v>619</v>
      </c>
      <c r="C46" s="232" t="s">
        <v>1463</v>
      </c>
      <c r="D46" s="232" t="s">
        <v>989</v>
      </c>
      <c r="E46" s="231">
        <v>59</v>
      </c>
      <c r="F46" s="210"/>
      <c r="G46" s="232" t="s">
        <v>68</v>
      </c>
      <c r="H46" s="316">
        <v>46245</v>
      </c>
      <c r="I46" s="316">
        <v>46260</v>
      </c>
      <c r="J46" s="242"/>
      <c r="K46" s="213"/>
      <c r="L46" s="213"/>
      <c r="M46" s="56"/>
      <c r="N46" s="404"/>
      <c r="O46" s="238"/>
      <c r="P46" s="239"/>
      <c r="Q46" s="239"/>
      <c r="R46" s="239"/>
      <c r="S46" s="239"/>
      <c r="T46" s="240"/>
      <c r="U46" s="216" t="s">
        <v>39</v>
      </c>
      <c r="V46" s="217" t="s">
        <v>34</v>
      </c>
      <c r="W46" s="218"/>
      <c r="X46" s="236">
        <v>46260</v>
      </c>
      <c r="Y46" s="213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320"/>
      <c r="AP46" s="320"/>
      <c r="AQ46" s="232"/>
      <c r="AR46" s="232"/>
      <c r="AS46" s="197"/>
    </row>
    <row r="47" spans="1:45" s="288" customFormat="1" ht="25.5">
      <c r="A47" s="208">
        <v>1</v>
      </c>
      <c r="B47" s="276" t="s">
        <v>622</v>
      </c>
      <c r="C47" s="276" t="s">
        <v>699</v>
      </c>
      <c r="D47" s="276" t="s">
        <v>700</v>
      </c>
      <c r="E47" s="376">
        <v>29</v>
      </c>
      <c r="F47" s="275" t="s">
        <v>11</v>
      </c>
      <c r="G47" s="276"/>
      <c r="H47" s="336"/>
      <c r="I47" s="336">
        <v>46042</v>
      </c>
      <c r="J47" s="277" t="s">
        <v>820</v>
      </c>
      <c r="K47" s="278" t="e">
        <f>+J47+180</f>
        <v>#VALUE!</v>
      </c>
      <c r="L47" s="278"/>
      <c r="M47" s="54"/>
      <c r="N47" s="404">
        <f t="shared" si="3"/>
        <v>180</v>
      </c>
      <c r="O47" s="280"/>
      <c r="P47" s="280"/>
      <c r="Q47" s="280"/>
      <c r="R47" s="280"/>
      <c r="S47" s="280"/>
      <c r="T47" s="281"/>
      <c r="U47" s="282" t="s">
        <v>41</v>
      </c>
      <c r="V47" s="283" t="s">
        <v>34</v>
      </c>
      <c r="W47" s="284" t="s">
        <v>44</v>
      </c>
      <c r="X47" s="285">
        <v>46129</v>
      </c>
      <c r="Y47" s="286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7" t="s">
        <v>877</v>
      </c>
      <c r="AO47" s="390" t="s">
        <v>1008</v>
      </c>
      <c r="AP47" s="328" t="s">
        <v>1036</v>
      </c>
    </row>
    <row r="48" spans="1:45" s="222" customFormat="1" ht="25.5">
      <c r="A48" s="349">
        <v>1</v>
      </c>
      <c r="B48" s="232" t="s">
        <v>622</v>
      </c>
      <c r="C48" s="232" t="s">
        <v>1084</v>
      </c>
      <c r="D48" s="232" t="s">
        <v>1085</v>
      </c>
      <c r="E48" s="209">
        <v>53</v>
      </c>
      <c r="F48" s="210" t="s">
        <v>8</v>
      </c>
      <c r="G48" s="232" t="s">
        <v>68</v>
      </c>
      <c r="H48" s="337">
        <v>46062</v>
      </c>
      <c r="I48" s="337">
        <v>46125</v>
      </c>
      <c r="J48" s="242">
        <v>46125</v>
      </c>
      <c r="K48" s="213">
        <f>+J48+180</f>
        <v>46305</v>
      </c>
      <c r="L48" s="213"/>
      <c r="M48" s="54"/>
      <c r="N48" s="404">
        <f t="shared" si="3"/>
        <v>180</v>
      </c>
      <c r="O48" s="239" t="s">
        <v>830</v>
      </c>
      <c r="P48" s="239"/>
      <c r="Q48" s="239"/>
      <c r="R48" s="239"/>
      <c r="S48" s="239"/>
      <c r="T48" s="240"/>
      <c r="U48" s="216" t="s">
        <v>39</v>
      </c>
      <c r="V48" s="217" t="s">
        <v>53</v>
      </c>
      <c r="W48" s="218"/>
      <c r="X48" s="236">
        <v>46132</v>
      </c>
      <c r="Y48" s="24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 t="s">
        <v>1086</v>
      </c>
      <c r="AO48" s="319"/>
      <c r="AP48" s="320"/>
    </row>
    <row r="49" spans="1:45" s="222" customFormat="1" ht="18" customHeight="1">
      <c r="A49" s="208">
        <v>1</v>
      </c>
      <c r="B49" s="232" t="s">
        <v>619</v>
      </c>
      <c r="C49" s="232" t="s">
        <v>701</v>
      </c>
      <c r="D49" s="232" t="s">
        <v>702</v>
      </c>
      <c r="E49" s="209">
        <v>37</v>
      </c>
      <c r="F49" s="210" t="s">
        <v>8</v>
      </c>
      <c r="G49" s="232" t="s">
        <v>68</v>
      </c>
      <c r="H49" s="316">
        <v>45887</v>
      </c>
      <c r="I49" s="316">
        <v>45930</v>
      </c>
      <c r="J49" s="242">
        <v>45930</v>
      </c>
      <c r="K49" s="213">
        <f>+J49+180</f>
        <v>46110</v>
      </c>
      <c r="L49" s="377" t="s">
        <v>530</v>
      </c>
      <c r="M49" s="54"/>
      <c r="N49" s="404">
        <f t="shared" si="3"/>
        <v>180</v>
      </c>
      <c r="O49" s="239" t="s">
        <v>830</v>
      </c>
      <c r="P49" s="239" t="s">
        <v>838</v>
      </c>
      <c r="Q49" s="239"/>
      <c r="R49" s="239"/>
      <c r="S49" s="239"/>
      <c r="T49" s="240"/>
      <c r="U49" s="216" t="s">
        <v>39</v>
      </c>
      <c r="V49" s="217" t="s">
        <v>53</v>
      </c>
      <c r="W49" s="218"/>
      <c r="X49" s="483">
        <v>46182</v>
      </c>
      <c r="Y49" s="421" t="s">
        <v>1319</v>
      </c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 t="s">
        <v>878</v>
      </c>
      <c r="AO49" s="320" t="s">
        <v>1120</v>
      </c>
      <c r="AP49" s="320"/>
      <c r="AQ49" s="312" t="s">
        <v>701</v>
      </c>
      <c r="AR49" s="312" t="s">
        <v>702</v>
      </c>
      <c r="AS49" s="313" t="s">
        <v>1184</v>
      </c>
    </row>
    <row r="50" spans="1:45" s="222" customFormat="1" ht="25.5">
      <c r="A50" s="208">
        <v>1</v>
      </c>
      <c r="B50" s="232" t="s">
        <v>622</v>
      </c>
      <c r="C50" s="232" t="s">
        <v>703</v>
      </c>
      <c r="D50" s="232" t="s">
        <v>634</v>
      </c>
      <c r="E50" s="231">
        <v>31</v>
      </c>
      <c r="F50" s="210" t="s">
        <v>8</v>
      </c>
      <c r="G50" s="232" t="s">
        <v>69</v>
      </c>
      <c r="H50" s="316">
        <v>45828</v>
      </c>
      <c r="I50" s="316">
        <v>45862</v>
      </c>
      <c r="J50" s="242">
        <v>45862</v>
      </c>
      <c r="K50" s="213">
        <f>+J50+180</f>
        <v>46042</v>
      </c>
      <c r="L50" s="214" t="s">
        <v>479</v>
      </c>
      <c r="M50" s="56">
        <v>46047</v>
      </c>
      <c r="N50" s="485">
        <f>M50+180</f>
        <v>46227</v>
      </c>
      <c r="O50" s="238" t="s">
        <v>826</v>
      </c>
      <c r="P50" s="238"/>
      <c r="Q50" s="238"/>
      <c r="R50" s="238"/>
      <c r="S50" s="238">
        <v>2</v>
      </c>
      <c r="T50" s="240"/>
      <c r="U50" s="216" t="s">
        <v>545</v>
      </c>
      <c r="V50" s="217" t="s">
        <v>54</v>
      </c>
      <c r="W50" s="218"/>
      <c r="X50" s="483">
        <v>46262</v>
      </c>
      <c r="Y50" s="421" t="s">
        <v>1321</v>
      </c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 t="s">
        <v>880</v>
      </c>
      <c r="AO50" s="335"/>
      <c r="AP50" s="318" t="s">
        <v>1250</v>
      </c>
      <c r="AQ50" s="323" t="s">
        <v>703</v>
      </c>
      <c r="AR50" s="323" t="s">
        <v>634</v>
      </c>
      <c r="AS50" s="313" t="s">
        <v>1186</v>
      </c>
    </row>
    <row r="51" spans="1:45" s="222" customFormat="1" ht="25.15" customHeight="1">
      <c r="A51" s="208">
        <v>1</v>
      </c>
      <c r="B51" s="296" t="s">
        <v>622</v>
      </c>
      <c r="C51" s="296" t="s">
        <v>932</v>
      </c>
      <c r="D51" s="296" t="s">
        <v>933</v>
      </c>
      <c r="E51" s="297">
        <v>63</v>
      </c>
      <c r="F51" s="298"/>
      <c r="G51" s="232" t="s">
        <v>69</v>
      </c>
      <c r="H51" s="316">
        <v>45869</v>
      </c>
      <c r="I51" s="316">
        <v>45904</v>
      </c>
      <c r="J51" s="233"/>
      <c r="K51" s="236"/>
      <c r="L51" s="236"/>
      <c r="M51" s="54"/>
      <c r="N51" s="404">
        <f t="shared" si="3"/>
        <v>180</v>
      </c>
      <c r="O51" s="232"/>
      <c r="P51" s="232"/>
      <c r="Q51" s="232"/>
      <c r="R51" s="235"/>
      <c r="S51" s="235"/>
      <c r="T51" s="235"/>
      <c r="U51" s="216" t="s">
        <v>39</v>
      </c>
      <c r="V51" s="217" t="s">
        <v>51</v>
      </c>
      <c r="W51" s="218"/>
      <c r="X51" s="236">
        <v>45904</v>
      </c>
      <c r="Y51" s="241"/>
      <c r="Z51" s="221"/>
      <c r="AA51" s="221"/>
      <c r="AB51" s="221"/>
      <c r="AC51" s="221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221"/>
    </row>
    <row r="52" spans="1:45" s="222" customFormat="1" ht="25.5">
      <c r="A52" s="208">
        <v>1</v>
      </c>
      <c r="B52" s="232" t="s">
        <v>622</v>
      </c>
      <c r="C52" s="232" t="s">
        <v>707</v>
      </c>
      <c r="D52" s="232" t="s">
        <v>708</v>
      </c>
      <c r="E52" s="231">
        <v>27</v>
      </c>
      <c r="F52" s="210" t="s">
        <v>8</v>
      </c>
      <c r="G52" s="232" t="s">
        <v>68</v>
      </c>
      <c r="H52" s="316">
        <v>45855</v>
      </c>
      <c r="I52" s="316">
        <v>45869</v>
      </c>
      <c r="J52" s="242">
        <v>45869</v>
      </c>
      <c r="K52" s="213">
        <f>+J52+180</f>
        <v>46049</v>
      </c>
      <c r="L52" s="214" t="s">
        <v>479</v>
      </c>
      <c r="M52" s="56">
        <v>46054</v>
      </c>
      <c r="N52" s="404">
        <f>M52+180</f>
        <v>46234</v>
      </c>
      <c r="O52" s="238" t="s">
        <v>826</v>
      </c>
      <c r="P52" s="238" t="s">
        <v>834</v>
      </c>
      <c r="Q52" s="238"/>
      <c r="R52" s="238"/>
      <c r="S52" s="238"/>
      <c r="T52" s="240"/>
      <c r="U52" s="216" t="s">
        <v>545</v>
      </c>
      <c r="V52" s="217" t="s">
        <v>54</v>
      </c>
      <c r="W52" s="218"/>
      <c r="X52" s="483">
        <v>46234</v>
      </c>
      <c r="Y52" s="421" t="s">
        <v>1323</v>
      </c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 t="s">
        <v>882</v>
      </c>
      <c r="AO52" s="310"/>
      <c r="AP52" s="318" t="s">
        <v>1250</v>
      </c>
      <c r="AQ52" s="323" t="s">
        <v>707</v>
      </c>
      <c r="AR52" s="323" t="s">
        <v>708</v>
      </c>
      <c r="AS52" s="313" t="s">
        <v>1188</v>
      </c>
    </row>
    <row r="53" spans="1:45" s="222" customFormat="1" ht="18" customHeight="1">
      <c r="A53" s="349">
        <v>1</v>
      </c>
      <c r="B53" s="296" t="s">
        <v>622</v>
      </c>
      <c r="C53" s="296" t="s">
        <v>934</v>
      </c>
      <c r="D53" s="296" t="s">
        <v>935</v>
      </c>
      <c r="E53" s="297">
        <v>46</v>
      </c>
      <c r="F53" s="298" t="s">
        <v>29</v>
      </c>
      <c r="G53" s="232" t="s">
        <v>69</v>
      </c>
      <c r="H53" s="316">
        <v>45876</v>
      </c>
      <c r="I53" s="316">
        <v>45936</v>
      </c>
      <c r="J53" s="242">
        <v>45936</v>
      </c>
      <c r="K53" s="236"/>
      <c r="L53" s="236"/>
      <c r="M53" s="54"/>
      <c r="N53" s="404">
        <f t="shared" si="3"/>
        <v>180</v>
      </c>
      <c r="O53" s="239"/>
      <c r="P53" s="239"/>
      <c r="Q53" s="239"/>
      <c r="R53" s="239"/>
      <c r="S53" s="239"/>
      <c r="T53" s="240"/>
      <c r="U53" s="216" t="s">
        <v>39</v>
      </c>
      <c r="V53" s="217" t="s">
        <v>53</v>
      </c>
      <c r="W53" s="218"/>
      <c r="X53" s="236">
        <v>45974</v>
      </c>
      <c r="Y53" s="421" t="s">
        <v>1326</v>
      </c>
      <c r="Z53" s="221"/>
      <c r="AA53" s="221"/>
      <c r="AB53" s="221"/>
      <c r="AC53" s="221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221"/>
    </row>
    <row r="54" spans="1:45" s="222" customFormat="1" ht="18" customHeight="1">
      <c r="A54" s="208">
        <v>1</v>
      </c>
      <c r="B54" s="296" t="s">
        <v>622</v>
      </c>
      <c r="C54" s="296" t="s">
        <v>936</v>
      </c>
      <c r="D54" s="296" t="s">
        <v>937</v>
      </c>
      <c r="E54" s="297">
        <v>30</v>
      </c>
      <c r="F54" s="298"/>
      <c r="G54" s="232" t="s">
        <v>68</v>
      </c>
      <c r="H54" s="316">
        <v>45800</v>
      </c>
      <c r="I54" s="316">
        <v>45937</v>
      </c>
      <c r="J54" s="218"/>
      <c r="K54" s="236"/>
      <c r="L54" s="236"/>
      <c r="M54" s="54"/>
      <c r="N54" s="404">
        <f t="shared" si="3"/>
        <v>180</v>
      </c>
      <c r="O54" s="238"/>
      <c r="P54" s="238"/>
      <c r="Q54" s="238"/>
      <c r="R54" s="238"/>
      <c r="S54" s="238"/>
      <c r="T54" s="240"/>
      <c r="U54" s="216" t="s">
        <v>39</v>
      </c>
      <c r="V54" s="217" t="s">
        <v>52</v>
      </c>
      <c r="W54" s="218"/>
      <c r="X54" s="236"/>
      <c r="Y54" s="213"/>
      <c r="Z54" s="221"/>
      <c r="AA54" s="221"/>
      <c r="AB54" s="221"/>
      <c r="AC54" s="221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221"/>
    </row>
    <row r="55" spans="1:45" s="288" customFormat="1" ht="18" customHeight="1">
      <c r="A55" s="273">
        <v>1</v>
      </c>
      <c r="B55" s="276" t="s">
        <v>622</v>
      </c>
      <c r="C55" s="276" t="s">
        <v>723</v>
      </c>
      <c r="D55" s="276" t="s">
        <v>724</v>
      </c>
      <c r="E55" s="274">
        <v>35</v>
      </c>
      <c r="F55" s="275" t="s">
        <v>17</v>
      </c>
      <c r="G55" s="276" t="s">
        <v>69</v>
      </c>
      <c r="H55" s="336">
        <v>46029</v>
      </c>
      <c r="I55" s="336">
        <v>46044</v>
      </c>
      <c r="J55" s="277">
        <v>46044</v>
      </c>
      <c r="K55" s="278">
        <f>+J55+180</f>
        <v>46224</v>
      </c>
      <c r="L55" s="278"/>
      <c r="M55" s="426"/>
      <c r="N55" s="415">
        <f>M55+180</f>
        <v>180</v>
      </c>
      <c r="O55" s="279"/>
      <c r="P55" s="279"/>
      <c r="Q55" s="279"/>
      <c r="R55" s="279">
        <v>1</v>
      </c>
      <c r="S55" s="279">
        <v>2</v>
      </c>
      <c r="T55" s="281"/>
      <c r="U55" s="282" t="s">
        <v>41</v>
      </c>
      <c r="V55" s="283"/>
      <c r="W55" s="284" t="s">
        <v>46</v>
      </c>
      <c r="X55" s="285">
        <v>46143</v>
      </c>
      <c r="Y55" s="431" t="s">
        <v>1333</v>
      </c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287" t="s">
        <v>856</v>
      </c>
      <c r="AO55" s="294" t="s">
        <v>1268</v>
      </c>
      <c r="AP55" s="328" t="s">
        <v>1061</v>
      </c>
      <c r="AQ55" s="332" t="s">
        <v>723</v>
      </c>
      <c r="AR55" s="332" t="s">
        <v>724</v>
      </c>
      <c r="AS55" s="333" t="s">
        <v>1196</v>
      </c>
    </row>
    <row r="56" spans="1:45" s="222" customFormat="1" ht="18" customHeight="1">
      <c r="A56" s="208"/>
      <c r="B56" s="295" t="s">
        <v>622</v>
      </c>
      <c r="C56" s="295" t="s">
        <v>1466</v>
      </c>
      <c r="D56" s="295" t="s">
        <v>1467</v>
      </c>
      <c r="E56" s="231"/>
      <c r="F56" s="210"/>
      <c r="G56" s="295" t="s">
        <v>68</v>
      </c>
      <c r="H56" s="337">
        <v>46233</v>
      </c>
      <c r="I56" s="337">
        <v>46258</v>
      </c>
      <c r="J56" s="242"/>
      <c r="K56" s="302"/>
      <c r="L56" s="213"/>
      <c r="M56" s="56"/>
      <c r="N56" s="404"/>
      <c r="O56" s="238"/>
      <c r="P56" s="238"/>
      <c r="Q56" s="238"/>
      <c r="R56" s="238"/>
      <c r="S56" s="238"/>
      <c r="T56" s="240"/>
      <c r="U56" s="216" t="s">
        <v>39</v>
      </c>
      <c r="V56" s="217" t="s">
        <v>52</v>
      </c>
      <c r="W56" s="218"/>
      <c r="X56" s="483">
        <v>46258</v>
      </c>
      <c r="Y56" s="4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310"/>
      <c r="AP56" s="310"/>
    </row>
    <row r="57" spans="1:45" s="222" customFormat="1" ht="12.75">
      <c r="A57" s="208">
        <v>1</v>
      </c>
      <c r="B57" s="296" t="s">
        <v>622</v>
      </c>
      <c r="C57" s="296" t="s">
        <v>938</v>
      </c>
      <c r="D57" s="296" t="s">
        <v>939</v>
      </c>
      <c r="E57" s="297">
        <v>45</v>
      </c>
      <c r="F57" s="298"/>
      <c r="G57" s="232" t="s">
        <v>68</v>
      </c>
      <c r="H57" s="316">
        <v>45827</v>
      </c>
      <c r="I57" s="316">
        <v>45874</v>
      </c>
      <c r="J57" s="242"/>
      <c r="K57" s="236"/>
      <c r="L57" s="236"/>
      <c r="M57" s="56"/>
      <c r="N57" s="404">
        <f t="shared" si="3"/>
        <v>180</v>
      </c>
      <c r="O57" s="238"/>
      <c r="P57" s="238"/>
      <c r="Q57" s="238"/>
      <c r="R57" s="239"/>
      <c r="S57" s="239"/>
      <c r="T57" s="240"/>
      <c r="U57" s="216" t="s">
        <v>39</v>
      </c>
      <c r="V57" s="217" t="s">
        <v>53</v>
      </c>
      <c r="W57" s="218"/>
      <c r="X57" s="236">
        <v>46000</v>
      </c>
      <c r="Y57" s="213"/>
      <c r="Z57" s="221"/>
      <c r="AA57" s="221"/>
      <c r="AB57" s="221"/>
      <c r="AC57" s="221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221"/>
    </row>
    <row r="58" spans="1:45" s="288" customFormat="1" ht="25.15" customHeight="1">
      <c r="A58" s="349">
        <v>1</v>
      </c>
      <c r="B58" s="378" t="s">
        <v>622</v>
      </c>
      <c r="C58" s="378" t="s">
        <v>940</v>
      </c>
      <c r="D58" s="378" t="s">
        <v>941</v>
      </c>
      <c r="E58" s="379">
        <v>26</v>
      </c>
      <c r="F58" s="380"/>
      <c r="G58" s="276" t="s">
        <v>68</v>
      </c>
      <c r="H58" s="327">
        <v>45821</v>
      </c>
      <c r="I58" s="327">
        <v>45891</v>
      </c>
      <c r="J58" s="277">
        <v>45891</v>
      </c>
      <c r="K58" s="285">
        <v>46075</v>
      </c>
      <c r="L58" s="285"/>
      <c r="M58" s="56"/>
      <c r="N58" s="404">
        <f t="shared" si="3"/>
        <v>180</v>
      </c>
      <c r="O58" s="279"/>
      <c r="P58" s="279"/>
      <c r="Q58" s="279"/>
      <c r="R58" s="280"/>
      <c r="S58" s="280"/>
      <c r="T58" s="281"/>
      <c r="U58" s="282" t="s">
        <v>41</v>
      </c>
      <c r="V58" s="283" t="s">
        <v>54</v>
      </c>
      <c r="W58" s="284" t="s">
        <v>538</v>
      </c>
      <c r="X58" s="285">
        <v>45952</v>
      </c>
      <c r="Y58" s="421" t="s">
        <v>1335</v>
      </c>
      <c r="Z58" s="287"/>
      <c r="AA58" s="287"/>
      <c r="AB58" s="287"/>
      <c r="AC58" s="287"/>
      <c r="AD58" s="381"/>
      <c r="AE58" s="381"/>
      <c r="AF58" s="381"/>
      <c r="AG58" s="381"/>
      <c r="AH58" s="381"/>
      <c r="AI58" s="381"/>
      <c r="AJ58" s="381"/>
      <c r="AK58" s="381"/>
      <c r="AL58" s="381"/>
      <c r="AM58" s="381"/>
      <c r="AN58" s="287"/>
    </row>
    <row r="59" spans="1:45" s="361" customFormat="1" ht="18" customHeight="1">
      <c r="A59" s="208">
        <v>1</v>
      </c>
      <c r="B59" s="382" t="s">
        <v>622</v>
      </c>
      <c r="C59" s="382" t="s">
        <v>729</v>
      </c>
      <c r="D59" s="382" t="s">
        <v>730</v>
      </c>
      <c r="E59" s="372">
        <v>47</v>
      </c>
      <c r="F59" s="373"/>
      <c r="G59" s="382" t="s">
        <v>68</v>
      </c>
      <c r="H59" s="391">
        <v>45784</v>
      </c>
      <c r="I59" s="391">
        <v>45873</v>
      </c>
      <c r="J59" s="374"/>
      <c r="K59" s="354">
        <f t="shared" ref="K59:K64" si="4">+J59+180</f>
        <v>180</v>
      </c>
      <c r="L59" s="354"/>
      <c r="M59" s="56"/>
      <c r="N59" s="404">
        <f t="shared" si="3"/>
        <v>180</v>
      </c>
      <c r="O59" s="368" t="s">
        <v>828</v>
      </c>
      <c r="P59" s="368"/>
      <c r="Q59" s="368"/>
      <c r="R59" s="368"/>
      <c r="S59" s="368"/>
      <c r="T59" s="369"/>
      <c r="U59" s="356" t="s">
        <v>1272</v>
      </c>
      <c r="V59" s="357"/>
      <c r="W59" s="366"/>
      <c r="X59" s="367"/>
      <c r="Y59" s="359"/>
      <c r="Z59" s="370"/>
      <c r="AA59" s="370"/>
      <c r="AB59" s="370"/>
      <c r="AC59" s="370"/>
      <c r="AD59" s="370"/>
      <c r="AE59" s="370"/>
      <c r="AF59" s="370"/>
      <c r="AG59" s="370"/>
      <c r="AH59" s="370"/>
      <c r="AI59" s="370"/>
      <c r="AJ59" s="370"/>
      <c r="AK59" s="370"/>
      <c r="AL59" s="370"/>
      <c r="AM59" s="370"/>
      <c r="AN59" s="370" t="s">
        <v>885</v>
      </c>
      <c r="AO59" s="310"/>
      <c r="AP59" s="388"/>
    </row>
    <row r="60" spans="1:45" s="361" customFormat="1" ht="12.75">
      <c r="A60" s="208">
        <v>1</v>
      </c>
      <c r="B60" s="382" t="s">
        <v>622</v>
      </c>
      <c r="C60" s="382" t="s">
        <v>731</v>
      </c>
      <c r="D60" s="382" t="s">
        <v>704</v>
      </c>
      <c r="E60" s="372">
        <v>34</v>
      </c>
      <c r="F60" s="373"/>
      <c r="G60" s="382" t="s">
        <v>68</v>
      </c>
      <c r="H60" s="391">
        <v>45800</v>
      </c>
      <c r="I60" s="391">
        <v>45894</v>
      </c>
      <c r="J60" s="374"/>
      <c r="K60" s="354">
        <f t="shared" si="4"/>
        <v>180</v>
      </c>
      <c r="L60" s="354"/>
      <c r="M60" s="56"/>
      <c r="N60" s="404">
        <f t="shared" si="3"/>
        <v>180</v>
      </c>
      <c r="O60" s="368"/>
      <c r="P60" s="368"/>
      <c r="Q60" s="368"/>
      <c r="R60" s="368"/>
      <c r="S60" s="368"/>
      <c r="T60" s="369"/>
      <c r="U60" s="356" t="s">
        <v>1272</v>
      </c>
      <c r="V60" s="357"/>
      <c r="W60" s="366"/>
      <c r="X60" s="367"/>
      <c r="Y60" s="354"/>
      <c r="Z60" s="370"/>
      <c r="AA60" s="370"/>
      <c r="AB60" s="370"/>
      <c r="AC60" s="370"/>
      <c r="AD60" s="370"/>
      <c r="AE60" s="370"/>
      <c r="AF60" s="370"/>
      <c r="AG60" s="370"/>
      <c r="AH60" s="370"/>
      <c r="AI60" s="370"/>
      <c r="AJ60" s="370"/>
      <c r="AK60" s="370"/>
      <c r="AL60" s="370"/>
      <c r="AM60" s="370"/>
      <c r="AN60" s="370" t="s">
        <v>865</v>
      </c>
      <c r="AO60" s="310"/>
      <c r="AP60" s="388"/>
    </row>
    <row r="61" spans="1:45" s="268" customFormat="1" ht="18" customHeight="1">
      <c r="A61" s="349">
        <v>1</v>
      </c>
      <c r="B61" s="383" t="s">
        <v>622</v>
      </c>
      <c r="C61" s="383" t="s">
        <v>732</v>
      </c>
      <c r="D61" s="383" t="s">
        <v>316</v>
      </c>
      <c r="E61" s="255">
        <v>45</v>
      </c>
      <c r="F61" s="256" t="s">
        <v>11</v>
      </c>
      <c r="G61" s="383" t="s">
        <v>68</v>
      </c>
      <c r="H61" s="392">
        <v>45870</v>
      </c>
      <c r="I61" s="392">
        <v>45919</v>
      </c>
      <c r="J61" s="384">
        <v>45919</v>
      </c>
      <c r="K61" s="259">
        <f t="shared" si="4"/>
        <v>46099</v>
      </c>
      <c r="L61" s="259"/>
      <c r="M61" s="54"/>
      <c r="N61" s="404">
        <f t="shared" si="3"/>
        <v>180</v>
      </c>
      <c r="O61" s="260" t="s">
        <v>828</v>
      </c>
      <c r="P61" s="260" t="s">
        <v>840</v>
      </c>
      <c r="Q61" s="260"/>
      <c r="R61" s="260"/>
      <c r="S61" s="260"/>
      <c r="T61" s="262"/>
      <c r="U61" s="263" t="s">
        <v>42</v>
      </c>
      <c r="V61" s="264"/>
      <c r="W61" s="265"/>
      <c r="X61" s="266">
        <v>46113</v>
      </c>
      <c r="Y61" s="259"/>
      <c r="Z61" s="267"/>
      <c r="AA61" s="267"/>
      <c r="AB61" s="267"/>
      <c r="AC61" s="267"/>
      <c r="AD61" s="267"/>
      <c r="AE61" s="267"/>
      <c r="AF61" s="267"/>
      <c r="AG61" s="267"/>
      <c r="AH61" s="267"/>
      <c r="AI61" s="267"/>
      <c r="AJ61" s="267"/>
      <c r="AK61" s="267"/>
      <c r="AL61" s="267"/>
      <c r="AM61" s="267"/>
      <c r="AN61" s="267" t="s">
        <v>886</v>
      </c>
      <c r="AO61" s="325" t="s">
        <v>998</v>
      </c>
      <c r="AP61" s="325"/>
    </row>
    <row r="62" spans="1:45" s="268" customFormat="1" ht="25.5">
      <c r="A62" s="208">
        <v>1</v>
      </c>
      <c r="B62" s="383" t="s">
        <v>622</v>
      </c>
      <c r="C62" s="383" t="s">
        <v>733</v>
      </c>
      <c r="D62" s="383" t="s">
        <v>734</v>
      </c>
      <c r="E62" s="255">
        <v>28</v>
      </c>
      <c r="F62" s="256" t="s">
        <v>29</v>
      </c>
      <c r="G62" s="383" t="s">
        <v>68</v>
      </c>
      <c r="H62" s="392">
        <v>45833</v>
      </c>
      <c r="I62" s="392">
        <v>45891</v>
      </c>
      <c r="J62" s="258">
        <v>45891</v>
      </c>
      <c r="K62" s="259">
        <f t="shared" si="4"/>
        <v>46071</v>
      </c>
      <c r="L62" s="259"/>
      <c r="M62" s="54"/>
      <c r="N62" s="404">
        <f t="shared" si="3"/>
        <v>180</v>
      </c>
      <c r="O62" s="260" t="s">
        <v>830</v>
      </c>
      <c r="P62" s="260"/>
      <c r="Q62" s="260"/>
      <c r="R62" s="260"/>
      <c r="S62" s="260"/>
      <c r="T62" s="262"/>
      <c r="U62" s="263" t="s">
        <v>43</v>
      </c>
      <c r="V62" s="264"/>
      <c r="W62" s="265"/>
      <c r="X62" s="266">
        <v>46066</v>
      </c>
      <c r="Y62" s="421" t="s">
        <v>1337</v>
      </c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 t="s">
        <v>887</v>
      </c>
    </row>
    <row r="63" spans="1:45" s="222" customFormat="1" ht="18" customHeight="1">
      <c r="A63" s="208">
        <v>1</v>
      </c>
      <c r="B63" s="304" t="s">
        <v>619</v>
      </c>
      <c r="C63" s="304" t="s">
        <v>735</v>
      </c>
      <c r="D63" s="304" t="s">
        <v>736</v>
      </c>
      <c r="E63" s="274">
        <v>47</v>
      </c>
      <c r="F63" s="275" t="s">
        <v>29</v>
      </c>
      <c r="G63" s="304" t="s">
        <v>69</v>
      </c>
      <c r="H63" s="336">
        <v>46059</v>
      </c>
      <c r="I63" s="336">
        <v>46071</v>
      </c>
      <c r="J63" s="277">
        <v>46071</v>
      </c>
      <c r="K63" s="278">
        <f t="shared" si="4"/>
        <v>46251</v>
      </c>
      <c r="L63" s="278"/>
      <c r="M63" s="426"/>
      <c r="N63" s="415">
        <f>M63+180</f>
        <v>180</v>
      </c>
      <c r="O63" s="279"/>
      <c r="P63" s="279"/>
      <c r="Q63" s="279"/>
      <c r="R63" s="279">
        <v>2</v>
      </c>
      <c r="S63" s="279"/>
      <c r="T63" s="281"/>
      <c r="U63" s="282" t="s">
        <v>39</v>
      </c>
      <c r="V63" s="283" t="s">
        <v>54</v>
      </c>
      <c r="W63" s="284" t="s">
        <v>538</v>
      </c>
      <c r="X63" s="483">
        <v>46254</v>
      </c>
      <c r="Y63" s="427" t="s">
        <v>1338</v>
      </c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 t="s">
        <v>1401</v>
      </c>
      <c r="AO63" s="328"/>
      <c r="AP63" s="328" t="s">
        <v>1042</v>
      </c>
      <c r="AQ63" s="232"/>
      <c r="AR63" s="232"/>
      <c r="AS63" s="197"/>
    </row>
    <row r="64" spans="1:45" s="222" customFormat="1" ht="18" customHeight="1">
      <c r="A64" s="208">
        <v>1</v>
      </c>
      <c r="B64" s="295" t="s">
        <v>622</v>
      </c>
      <c r="C64" s="295" t="s">
        <v>737</v>
      </c>
      <c r="D64" s="295" t="s">
        <v>738</v>
      </c>
      <c r="E64" s="231">
        <v>30</v>
      </c>
      <c r="F64" s="210" t="s">
        <v>8</v>
      </c>
      <c r="G64" s="295" t="s">
        <v>69</v>
      </c>
      <c r="H64" s="337">
        <v>45833</v>
      </c>
      <c r="I64" s="337">
        <v>45866</v>
      </c>
      <c r="J64" s="242">
        <v>45866</v>
      </c>
      <c r="K64" s="213">
        <f t="shared" si="4"/>
        <v>46046</v>
      </c>
      <c r="L64" s="214" t="s">
        <v>479</v>
      </c>
      <c r="M64" s="56">
        <v>46051</v>
      </c>
      <c r="N64" s="485">
        <f>M64+180</f>
        <v>46231</v>
      </c>
      <c r="O64" s="238" t="s">
        <v>830</v>
      </c>
      <c r="P64" s="238" t="s">
        <v>826</v>
      </c>
      <c r="Q64" s="238"/>
      <c r="R64" s="238">
        <v>2</v>
      </c>
      <c r="S64" s="238"/>
      <c r="T64" s="240"/>
      <c r="U64" s="216" t="s">
        <v>545</v>
      </c>
      <c r="V64" s="217" t="s">
        <v>54</v>
      </c>
      <c r="W64" s="218"/>
      <c r="X64" s="483">
        <v>46262</v>
      </c>
      <c r="Y64" s="421" t="s">
        <v>1339</v>
      </c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 t="s">
        <v>888</v>
      </c>
      <c r="AO64" s="310"/>
      <c r="AP64" s="310" t="s">
        <v>1250</v>
      </c>
      <c r="AQ64" s="312" t="s">
        <v>737</v>
      </c>
      <c r="AR64" s="312" t="s">
        <v>738</v>
      </c>
      <c r="AS64" s="313" t="s">
        <v>1198</v>
      </c>
    </row>
    <row r="65" spans="1:45" s="288" customFormat="1" ht="18" customHeight="1">
      <c r="A65" s="208">
        <v>1</v>
      </c>
      <c r="B65" s="378" t="s">
        <v>622</v>
      </c>
      <c r="C65" s="378" t="s">
        <v>942</v>
      </c>
      <c r="D65" s="378" t="s">
        <v>943</v>
      </c>
      <c r="E65" s="379">
        <v>45</v>
      </c>
      <c r="F65" s="380" t="s">
        <v>29</v>
      </c>
      <c r="G65" s="276" t="s">
        <v>68</v>
      </c>
      <c r="H65" s="327">
        <v>45814</v>
      </c>
      <c r="I65" s="327">
        <v>45874</v>
      </c>
      <c r="J65" s="277">
        <v>45874</v>
      </c>
      <c r="K65" s="285">
        <f>J65+180</f>
        <v>46054</v>
      </c>
      <c r="L65" s="285"/>
      <c r="M65" s="56"/>
      <c r="N65" s="404">
        <f t="shared" si="3"/>
        <v>180</v>
      </c>
      <c r="O65" s="279"/>
      <c r="P65" s="279"/>
      <c r="Q65" s="279"/>
      <c r="R65" s="280"/>
      <c r="S65" s="280"/>
      <c r="T65" s="281"/>
      <c r="U65" s="282" t="s">
        <v>41</v>
      </c>
      <c r="V65" s="283" t="s">
        <v>54</v>
      </c>
      <c r="W65" s="284" t="s">
        <v>538</v>
      </c>
      <c r="X65" s="285">
        <v>46014</v>
      </c>
      <c r="Y65" s="421" t="s">
        <v>1341</v>
      </c>
      <c r="Z65" s="287"/>
      <c r="AA65" s="287"/>
      <c r="AB65" s="287"/>
      <c r="AC65" s="287"/>
      <c r="AD65" s="381"/>
      <c r="AE65" s="381"/>
      <c r="AF65" s="381"/>
      <c r="AG65" s="381"/>
      <c r="AH65" s="381"/>
      <c r="AI65" s="381"/>
      <c r="AJ65" s="381"/>
      <c r="AK65" s="381"/>
      <c r="AL65" s="381"/>
      <c r="AM65" s="381"/>
      <c r="AN65" s="287"/>
    </row>
    <row r="66" spans="1:45" s="222" customFormat="1" ht="18" customHeight="1">
      <c r="A66" s="208">
        <v>1</v>
      </c>
      <c r="B66" s="295" t="s">
        <v>619</v>
      </c>
      <c r="C66" s="295" t="s">
        <v>741</v>
      </c>
      <c r="D66" s="295" t="s">
        <v>742</v>
      </c>
      <c r="E66" s="231">
        <v>53</v>
      </c>
      <c r="F66" s="210"/>
      <c r="G66" s="295" t="s">
        <v>68</v>
      </c>
      <c r="H66" s="337">
        <v>45826</v>
      </c>
      <c r="I66" s="337">
        <v>45868</v>
      </c>
      <c r="J66" s="242">
        <v>46233</v>
      </c>
      <c r="K66" s="213">
        <f>+J66+180</f>
        <v>46413</v>
      </c>
      <c r="L66" s="290" t="s">
        <v>479</v>
      </c>
      <c r="M66" s="56">
        <v>46052</v>
      </c>
      <c r="N66" s="486">
        <f>M66+180</f>
        <v>46232</v>
      </c>
      <c r="O66" s="238" t="s">
        <v>828</v>
      </c>
      <c r="P66" s="238" t="s">
        <v>834</v>
      </c>
      <c r="Q66" s="238"/>
      <c r="R66" s="238"/>
      <c r="S66" s="238"/>
      <c r="T66" s="240"/>
      <c r="U66" s="216" t="s">
        <v>545</v>
      </c>
      <c r="V66" s="217" t="s">
        <v>53</v>
      </c>
      <c r="W66" s="218"/>
      <c r="X66" s="483">
        <v>46234</v>
      </c>
      <c r="Y66" s="421" t="s">
        <v>1343</v>
      </c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 t="s">
        <v>889</v>
      </c>
      <c r="AO66" s="320" t="s">
        <v>530</v>
      </c>
      <c r="AP66" s="320" t="s">
        <v>1250</v>
      </c>
      <c r="AQ66" s="232" t="s">
        <v>741</v>
      </c>
      <c r="AR66" s="232" t="s">
        <v>742</v>
      </c>
      <c r="AS66" s="121"/>
    </row>
    <row r="67" spans="1:45" s="222" customFormat="1" ht="18" customHeight="1">
      <c r="A67" s="208">
        <v>1</v>
      </c>
      <c r="B67" s="295" t="s">
        <v>619</v>
      </c>
      <c r="C67" s="345" t="s">
        <v>743</v>
      </c>
      <c r="D67" s="295" t="s">
        <v>744</v>
      </c>
      <c r="E67" s="231">
        <v>45</v>
      </c>
      <c r="F67" s="210" t="s">
        <v>8</v>
      </c>
      <c r="G67" s="295" t="s">
        <v>69</v>
      </c>
      <c r="H67" s="337">
        <v>45828</v>
      </c>
      <c r="I67" s="337">
        <v>45873</v>
      </c>
      <c r="J67" s="242">
        <v>45873</v>
      </c>
      <c r="K67" s="213">
        <f>+J67+180</f>
        <v>46053</v>
      </c>
      <c r="L67" s="290" t="s">
        <v>479</v>
      </c>
      <c r="M67" s="56">
        <v>46058</v>
      </c>
      <c r="N67" s="485">
        <f>M67+180</f>
        <v>46238</v>
      </c>
      <c r="O67" s="238" t="s">
        <v>828</v>
      </c>
      <c r="P67" s="238"/>
      <c r="Q67" s="238"/>
      <c r="R67" s="238"/>
      <c r="S67" s="238"/>
      <c r="T67" s="240"/>
      <c r="U67" s="216" t="s">
        <v>545</v>
      </c>
      <c r="V67" s="217" t="s">
        <v>55</v>
      </c>
      <c r="W67" s="218"/>
      <c r="X67" s="483">
        <v>46239</v>
      </c>
      <c r="Y67" s="421" t="s">
        <v>1344</v>
      </c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 t="s">
        <v>1409</v>
      </c>
      <c r="AO67" s="321" t="s">
        <v>1130</v>
      </c>
      <c r="AP67" s="310" t="s">
        <v>1129</v>
      </c>
      <c r="AQ67" s="312" t="s">
        <v>743</v>
      </c>
      <c r="AR67" s="312" t="s">
        <v>744</v>
      </c>
      <c r="AS67" s="313" t="s">
        <v>1199</v>
      </c>
    </row>
    <row r="68" spans="1:45" s="222" customFormat="1" ht="18" customHeight="1">
      <c r="A68" s="349">
        <v>1</v>
      </c>
      <c r="B68" s="296" t="s">
        <v>619</v>
      </c>
      <c r="C68" s="296" t="s">
        <v>946</v>
      </c>
      <c r="D68" s="296" t="s">
        <v>947</v>
      </c>
      <c r="E68" s="297">
        <v>39</v>
      </c>
      <c r="F68" s="298"/>
      <c r="G68" s="232" t="s">
        <v>69</v>
      </c>
      <c r="H68" s="316">
        <v>45856</v>
      </c>
      <c r="I68" s="316">
        <v>45876</v>
      </c>
      <c r="J68" s="242"/>
      <c r="K68" s="236"/>
      <c r="L68" s="236"/>
      <c r="M68" s="54"/>
      <c r="N68" s="404">
        <f t="shared" si="3"/>
        <v>180</v>
      </c>
      <c r="O68" s="238"/>
      <c r="P68" s="238"/>
      <c r="Q68" s="238"/>
      <c r="R68" s="238"/>
      <c r="S68" s="238"/>
      <c r="T68" s="240"/>
      <c r="U68" s="216" t="s">
        <v>43</v>
      </c>
      <c r="V68" s="217" t="s">
        <v>54</v>
      </c>
      <c r="W68" s="218" t="s">
        <v>996</v>
      </c>
      <c r="X68" s="236"/>
      <c r="Y68" s="213"/>
      <c r="Z68" s="221"/>
      <c r="AA68" s="221"/>
      <c r="AB68" s="221"/>
      <c r="AC68" s="221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221"/>
    </row>
    <row r="69" spans="1:45" s="222" customFormat="1" ht="18" customHeight="1">
      <c r="A69" s="208">
        <v>1</v>
      </c>
      <c r="B69" s="296" t="s">
        <v>622</v>
      </c>
      <c r="C69" s="296" t="s">
        <v>948</v>
      </c>
      <c r="D69" s="296" t="s">
        <v>949</v>
      </c>
      <c r="E69" s="297">
        <v>38</v>
      </c>
      <c r="F69" s="298" t="s">
        <v>14</v>
      </c>
      <c r="G69" s="232" t="s">
        <v>69</v>
      </c>
      <c r="H69" s="316">
        <v>45825</v>
      </c>
      <c r="I69" s="316">
        <v>45873</v>
      </c>
      <c r="J69" s="242"/>
      <c r="K69" s="236"/>
      <c r="L69" s="236"/>
      <c r="M69" s="54"/>
      <c r="N69" s="404">
        <f t="shared" si="3"/>
        <v>180</v>
      </c>
      <c r="O69" s="238"/>
      <c r="P69" s="238"/>
      <c r="Q69" s="238"/>
      <c r="R69" s="239"/>
      <c r="S69" s="239"/>
      <c r="T69" s="240"/>
      <c r="U69" s="216" t="s">
        <v>39</v>
      </c>
      <c r="V69" s="217" t="s">
        <v>53</v>
      </c>
      <c r="W69" s="218"/>
      <c r="X69" s="236">
        <v>46007</v>
      </c>
      <c r="Y69" s="421" t="s">
        <v>1345</v>
      </c>
      <c r="Z69" s="221"/>
      <c r="AA69" s="221"/>
      <c r="AB69" s="221"/>
      <c r="AC69" s="221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221"/>
    </row>
    <row r="70" spans="1:45" s="222" customFormat="1" ht="18" customHeight="1">
      <c r="A70" s="208">
        <v>1</v>
      </c>
      <c r="B70" s="296" t="s">
        <v>622</v>
      </c>
      <c r="C70" s="296" t="s">
        <v>950</v>
      </c>
      <c r="D70" s="296" t="s">
        <v>951</v>
      </c>
      <c r="E70" s="297">
        <v>66</v>
      </c>
      <c r="F70" s="298"/>
      <c r="G70" s="232" t="s">
        <v>69</v>
      </c>
      <c r="H70" s="316">
        <v>45825</v>
      </c>
      <c r="I70" s="316">
        <v>45873</v>
      </c>
      <c r="J70" s="242"/>
      <c r="K70" s="236"/>
      <c r="L70" s="236"/>
      <c r="M70" s="54"/>
      <c r="N70" s="404">
        <f t="shared" si="3"/>
        <v>180</v>
      </c>
      <c r="O70" s="238"/>
      <c r="P70" s="238"/>
      <c r="Q70" s="238"/>
      <c r="R70" s="239"/>
      <c r="S70" s="239"/>
      <c r="T70" s="240"/>
      <c r="U70" s="216" t="s">
        <v>39</v>
      </c>
      <c r="V70" s="217" t="s">
        <v>51</v>
      </c>
      <c r="W70" s="218"/>
      <c r="X70" s="236">
        <v>45877</v>
      </c>
      <c r="Y70" s="241"/>
      <c r="Z70" s="221"/>
      <c r="AA70" s="221"/>
      <c r="AB70" s="221"/>
      <c r="AC70" s="221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221"/>
    </row>
    <row r="71" spans="1:45" s="222" customFormat="1" ht="18" customHeight="1">
      <c r="A71" s="208">
        <v>1</v>
      </c>
      <c r="B71" s="295" t="s">
        <v>622</v>
      </c>
      <c r="C71" s="295" t="s">
        <v>1089</v>
      </c>
      <c r="D71" s="295" t="s">
        <v>1090</v>
      </c>
      <c r="E71" s="231">
        <v>57</v>
      </c>
      <c r="F71" s="210" t="s">
        <v>8</v>
      </c>
      <c r="G71" s="295" t="s">
        <v>69</v>
      </c>
      <c r="H71" s="337">
        <v>46107</v>
      </c>
      <c r="I71" s="337">
        <v>46128</v>
      </c>
      <c r="J71" s="242">
        <v>46128</v>
      </c>
      <c r="K71" s="213">
        <f>+J71+180</f>
        <v>46308</v>
      </c>
      <c r="L71" s="213"/>
      <c r="M71" s="56"/>
      <c r="N71" s="404">
        <f>M71+180</f>
        <v>180</v>
      </c>
      <c r="O71" s="238"/>
      <c r="P71" s="238"/>
      <c r="Q71" s="238"/>
      <c r="R71" s="238">
        <v>2</v>
      </c>
      <c r="S71" s="238"/>
      <c r="T71" s="240"/>
      <c r="U71" s="216" t="s">
        <v>39</v>
      </c>
      <c r="V71" s="217" t="s">
        <v>53</v>
      </c>
      <c r="W71" s="218"/>
      <c r="X71" s="236">
        <v>46272</v>
      </c>
      <c r="Y71" s="421" t="s">
        <v>1348</v>
      </c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310"/>
      <c r="AP71" s="318" t="s">
        <v>1507</v>
      </c>
    </row>
    <row r="72" spans="1:45" s="222" customFormat="1" ht="18" customHeight="1">
      <c r="A72" s="349">
        <v>1</v>
      </c>
      <c r="B72" s="296" t="s">
        <v>619</v>
      </c>
      <c r="C72" s="296" t="s">
        <v>749</v>
      </c>
      <c r="D72" s="296" t="s">
        <v>952</v>
      </c>
      <c r="E72" s="297">
        <v>37</v>
      </c>
      <c r="F72" s="298"/>
      <c r="G72" s="232" t="s">
        <v>69</v>
      </c>
      <c r="H72" s="316">
        <v>45825</v>
      </c>
      <c r="I72" s="316">
        <v>45874</v>
      </c>
      <c r="J72" s="218"/>
      <c r="K72" s="236"/>
      <c r="L72" s="236"/>
      <c r="M72" s="54"/>
      <c r="N72" s="404">
        <f t="shared" si="3"/>
        <v>180</v>
      </c>
      <c r="O72" s="238"/>
      <c r="P72" s="238"/>
      <c r="Q72" s="238"/>
      <c r="R72" s="239"/>
      <c r="S72" s="239"/>
      <c r="T72" s="240"/>
      <c r="U72" s="216" t="s">
        <v>42</v>
      </c>
      <c r="V72" s="217"/>
      <c r="W72" s="218"/>
      <c r="X72" s="236">
        <v>46066</v>
      </c>
      <c r="Y72" s="421" t="s">
        <v>1349</v>
      </c>
      <c r="Z72" s="221"/>
      <c r="AA72" s="221"/>
      <c r="AB72" s="221"/>
      <c r="AC72" s="221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221"/>
    </row>
    <row r="73" spans="1:45" s="222" customFormat="1" ht="18" customHeight="1">
      <c r="A73" s="208">
        <v>1</v>
      </c>
      <c r="B73" s="295" t="s">
        <v>619</v>
      </c>
      <c r="C73" s="295" t="s">
        <v>749</v>
      </c>
      <c r="D73" s="295" t="s">
        <v>750</v>
      </c>
      <c r="E73" s="231">
        <v>27</v>
      </c>
      <c r="F73" s="210" t="s">
        <v>29</v>
      </c>
      <c r="G73" s="295" t="s">
        <v>69</v>
      </c>
      <c r="H73" s="337">
        <v>45855</v>
      </c>
      <c r="I73" s="337">
        <v>45866</v>
      </c>
      <c r="J73" s="242">
        <v>45866</v>
      </c>
      <c r="K73" s="213">
        <f>+J73+180</f>
        <v>46046</v>
      </c>
      <c r="L73" s="214" t="s">
        <v>479</v>
      </c>
      <c r="M73" s="56">
        <v>46051</v>
      </c>
      <c r="N73" s="404">
        <f>M73+180</f>
        <v>46231</v>
      </c>
      <c r="O73" s="238" t="s">
        <v>842</v>
      </c>
      <c r="P73" s="238" t="s">
        <v>830</v>
      </c>
      <c r="Q73" s="238"/>
      <c r="R73" s="238">
        <v>1</v>
      </c>
      <c r="S73" s="238"/>
      <c r="T73" s="240"/>
      <c r="U73" s="216" t="s">
        <v>545</v>
      </c>
      <c r="V73" s="217" t="s">
        <v>55</v>
      </c>
      <c r="W73" s="218"/>
      <c r="X73" s="483">
        <v>46226</v>
      </c>
      <c r="Y73" s="421" t="s">
        <v>1351</v>
      </c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 t="s">
        <v>856</v>
      </c>
      <c r="AO73" s="310" t="s">
        <v>1131</v>
      </c>
      <c r="AP73" s="310" t="s">
        <v>1250</v>
      </c>
      <c r="AQ73" s="312" t="s">
        <v>749</v>
      </c>
      <c r="AR73" s="312" t="s">
        <v>750</v>
      </c>
      <c r="AS73" s="313" t="s">
        <v>1202</v>
      </c>
    </row>
    <row r="74" spans="1:45" s="222" customFormat="1" ht="18" customHeight="1">
      <c r="A74" s="208">
        <v>1</v>
      </c>
      <c r="B74" s="295" t="s">
        <v>622</v>
      </c>
      <c r="C74" s="295" t="s">
        <v>749</v>
      </c>
      <c r="D74" s="295" t="s">
        <v>317</v>
      </c>
      <c r="E74" s="231">
        <v>47</v>
      </c>
      <c r="F74" s="210" t="s">
        <v>29</v>
      </c>
      <c r="G74" s="295" t="s">
        <v>69</v>
      </c>
      <c r="H74" s="337">
        <v>45800</v>
      </c>
      <c r="I74" s="337">
        <v>45875</v>
      </c>
      <c r="J74" s="242">
        <v>45875</v>
      </c>
      <c r="K74" s="213">
        <f>+J74+180</f>
        <v>46055</v>
      </c>
      <c r="L74" s="290" t="s">
        <v>479</v>
      </c>
      <c r="M74" s="56">
        <v>46060</v>
      </c>
      <c r="N74" s="486">
        <f>M74+180</f>
        <v>46240</v>
      </c>
      <c r="O74" s="238" t="s">
        <v>843</v>
      </c>
      <c r="P74" s="238" t="s">
        <v>834</v>
      </c>
      <c r="Q74" s="238"/>
      <c r="R74" s="238">
        <v>1</v>
      </c>
      <c r="S74" s="238"/>
      <c r="T74" s="240"/>
      <c r="U74" s="216" t="s">
        <v>545</v>
      </c>
      <c r="V74" s="217" t="s">
        <v>55</v>
      </c>
      <c r="W74" s="218"/>
      <c r="X74" s="483">
        <v>46261</v>
      </c>
      <c r="Y74" s="421" t="s">
        <v>1350</v>
      </c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 t="s">
        <v>892</v>
      </c>
      <c r="AO74" s="320"/>
      <c r="AP74" s="320" t="s">
        <v>1045</v>
      </c>
      <c r="AQ74" s="312" t="s">
        <v>749</v>
      </c>
      <c r="AR74" s="312" t="s">
        <v>317</v>
      </c>
      <c r="AS74" s="313" t="s">
        <v>1203</v>
      </c>
    </row>
    <row r="75" spans="1:45" s="222" customFormat="1" ht="18" customHeight="1">
      <c r="A75" s="208">
        <v>1</v>
      </c>
      <c r="B75" s="295" t="s">
        <v>622</v>
      </c>
      <c r="C75" s="295" t="s">
        <v>753</v>
      </c>
      <c r="D75" s="295" t="s">
        <v>754</v>
      </c>
      <c r="E75" s="306">
        <v>51</v>
      </c>
      <c r="F75" s="197" t="s">
        <v>29</v>
      </c>
      <c r="G75" s="295" t="s">
        <v>69</v>
      </c>
      <c r="H75" s="337">
        <v>45903</v>
      </c>
      <c r="I75" s="337">
        <v>46015</v>
      </c>
      <c r="J75" s="242">
        <v>46015</v>
      </c>
      <c r="K75" s="213">
        <f>+J75+180</f>
        <v>46195</v>
      </c>
      <c r="L75" s="290" t="s">
        <v>479</v>
      </c>
      <c r="M75" s="56">
        <v>46198</v>
      </c>
      <c r="N75" s="404">
        <f>M75+180</f>
        <v>46378</v>
      </c>
      <c r="O75" s="238" t="s">
        <v>828</v>
      </c>
      <c r="P75" s="238"/>
      <c r="Q75" s="238"/>
      <c r="R75" s="238"/>
      <c r="S75" s="238"/>
      <c r="T75" s="240"/>
      <c r="U75" s="216" t="s">
        <v>39</v>
      </c>
      <c r="V75" s="217" t="s">
        <v>53</v>
      </c>
      <c r="W75" s="218"/>
      <c r="X75" s="483">
        <v>46225</v>
      </c>
      <c r="Y75" s="421" t="s">
        <v>1353</v>
      </c>
      <c r="Z75" s="221"/>
      <c r="AA75" s="221"/>
      <c r="AB75" s="221"/>
      <c r="AC75" s="221"/>
      <c r="AD75" s="221"/>
      <c r="AE75" s="221"/>
      <c r="AF75" s="221"/>
      <c r="AG75" s="221"/>
      <c r="AH75" s="221">
        <v>1</v>
      </c>
      <c r="AI75" s="221"/>
      <c r="AJ75" s="221"/>
      <c r="AK75" s="221"/>
      <c r="AL75" s="221"/>
      <c r="AM75" s="221"/>
      <c r="AN75" s="221" t="s">
        <v>894</v>
      </c>
      <c r="AO75" s="310" t="s">
        <v>823</v>
      </c>
      <c r="AP75" s="310"/>
    </row>
    <row r="76" spans="1:45" s="222" customFormat="1" ht="18" customHeight="1">
      <c r="A76" s="208">
        <v>1</v>
      </c>
      <c r="B76" s="295" t="s">
        <v>622</v>
      </c>
      <c r="C76" s="295" t="s">
        <v>1453</v>
      </c>
      <c r="D76" s="295" t="s">
        <v>420</v>
      </c>
      <c r="E76" s="306">
        <v>60</v>
      </c>
      <c r="F76" s="210"/>
      <c r="G76" s="295" t="s">
        <v>69</v>
      </c>
      <c r="H76" s="337"/>
      <c r="I76" s="337"/>
      <c r="J76" s="242"/>
      <c r="K76" s="213"/>
      <c r="L76" s="213"/>
      <c r="M76" s="54"/>
      <c r="N76" s="404"/>
      <c r="O76" s="238"/>
      <c r="P76" s="238"/>
      <c r="Q76" s="238"/>
      <c r="R76" s="238"/>
      <c r="S76" s="238"/>
      <c r="T76" s="240"/>
      <c r="U76" s="216" t="s">
        <v>43</v>
      </c>
      <c r="V76" s="217"/>
      <c r="W76" s="218"/>
      <c r="X76" s="236">
        <v>46259</v>
      </c>
      <c r="Y76" s="422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320"/>
      <c r="AP76" s="320"/>
      <c r="AQ76" s="232"/>
      <c r="AR76" s="232"/>
      <c r="AS76" s="331"/>
    </row>
    <row r="77" spans="1:45" s="222" customFormat="1" ht="18" customHeight="1">
      <c r="A77" s="208">
        <v>1</v>
      </c>
      <c r="B77" s="295" t="s">
        <v>619</v>
      </c>
      <c r="C77" s="295" t="s">
        <v>755</v>
      </c>
      <c r="D77" s="295" t="s">
        <v>756</v>
      </c>
      <c r="E77" s="306">
        <v>36</v>
      </c>
      <c r="F77" s="197" t="s">
        <v>29</v>
      </c>
      <c r="G77" s="197" t="s">
        <v>69</v>
      </c>
      <c r="H77" s="337">
        <v>45825</v>
      </c>
      <c r="I77" s="337">
        <v>45875</v>
      </c>
      <c r="J77" s="242">
        <v>45875</v>
      </c>
      <c r="K77" s="213">
        <v>46239</v>
      </c>
      <c r="L77" s="278" t="s">
        <v>479</v>
      </c>
      <c r="M77" s="54"/>
      <c r="N77" s="404">
        <f t="shared" si="3"/>
        <v>180</v>
      </c>
      <c r="O77" s="238" t="s">
        <v>830</v>
      </c>
      <c r="P77" s="238" t="s">
        <v>844</v>
      </c>
      <c r="Q77" s="238" t="s">
        <v>829</v>
      </c>
      <c r="R77" s="238"/>
      <c r="S77" s="238"/>
      <c r="T77" s="240"/>
      <c r="U77" s="216" t="s">
        <v>39</v>
      </c>
      <c r="V77" s="217" t="s">
        <v>53</v>
      </c>
      <c r="W77" s="218"/>
      <c r="X77" s="236">
        <v>46182</v>
      </c>
      <c r="Y77" s="421" t="s">
        <v>1354</v>
      </c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 t="s">
        <v>856</v>
      </c>
      <c r="AO77" s="321" t="s">
        <v>1101</v>
      </c>
      <c r="AP77" s="310" t="s">
        <v>1047</v>
      </c>
      <c r="AQ77" s="312" t="s">
        <v>755</v>
      </c>
      <c r="AR77" s="312" t="s">
        <v>756</v>
      </c>
      <c r="AS77" s="313" t="s">
        <v>1205</v>
      </c>
    </row>
    <row r="78" spans="1:45" s="222" customFormat="1" ht="18" customHeight="1">
      <c r="A78" s="208">
        <v>0</v>
      </c>
      <c r="B78" s="295" t="s">
        <v>622</v>
      </c>
      <c r="C78" s="295" t="s">
        <v>1142</v>
      </c>
      <c r="D78" s="295" t="s">
        <v>1143</v>
      </c>
      <c r="E78" s="306">
        <v>46</v>
      </c>
      <c r="F78" s="197"/>
      <c r="G78" s="197" t="s">
        <v>68</v>
      </c>
      <c r="H78" s="337">
        <v>46028</v>
      </c>
      <c r="I78" s="337">
        <v>46121</v>
      </c>
      <c r="J78" s="242"/>
      <c r="K78" s="213"/>
      <c r="L78" s="213"/>
      <c r="M78" s="56"/>
      <c r="N78" s="404">
        <f>M78+180</f>
        <v>180</v>
      </c>
      <c r="O78" s="238" t="s">
        <v>828</v>
      </c>
      <c r="P78" s="238"/>
      <c r="Q78" s="238"/>
      <c r="R78" s="238"/>
      <c r="S78" s="238"/>
      <c r="T78" s="240"/>
      <c r="U78" s="216" t="s">
        <v>39</v>
      </c>
      <c r="V78" s="217" t="s">
        <v>53</v>
      </c>
      <c r="W78" s="218"/>
      <c r="X78" s="236">
        <v>46196</v>
      </c>
      <c r="Y78" s="220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321" t="s">
        <v>1274</v>
      </c>
      <c r="AP78" s="310"/>
    </row>
    <row r="79" spans="1:45" s="222" customFormat="1" ht="18" customHeight="1">
      <c r="A79" s="208">
        <v>1</v>
      </c>
      <c r="B79" s="296" t="s">
        <v>622</v>
      </c>
      <c r="C79" s="296" t="s">
        <v>953</v>
      </c>
      <c r="D79" s="296" t="s">
        <v>954</v>
      </c>
      <c r="E79" s="297">
        <v>23</v>
      </c>
      <c r="F79" s="298"/>
      <c r="G79" s="232" t="s">
        <v>69</v>
      </c>
      <c r="H79" s="316">
        <v>45856</v>
      </c>
      <c r="I79" s="316">
        <v>45897</v>
      </c>
      <c r="J79" s="218"/>
      <c r="K79" s="236"/>
      <c r="L79" s="236"/>
      <c r="M79" s="54"/>
      <c r="N79" s="404">
        <f t="shared" si="3"/>
        <v>180</v>
      </c>
      <c r="O79" s="238"/>
      <c r="P79" s="238"/>
      <c r="Q79" s="238"/>
      <c r="R79" s="238"/>
      <c r="S79" s="238"/>
      <c r="T79" s="240"/>
      <c r="U79" s="216" t="s">
        <v>39</v>
      </c>
      <c r="V79" s="217" t="s">
        <v>52</v>
      </c>
      <c r="W79" s="218"/>
      <c r="X79" s="236"/>
      <c r="Y79" s="241"/>
      <c r="Z79" s="221"/>
      <c r="AA79" s="221"/>
      <c r="AB79" s="221"/>
      <c r="AC79" s="221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221"/>
    </row>
    <row r="80" spans="1:45" s="222" customFormat="1" ht="18" customHeight="1">
      <c r="A80" s="349">
        <v>1</v>
      </c>
      <c r="B80" s="296" t="s">
        <v>619</v>
      </c>
      <c r="C80" s="296" t="s">
        <v>955</v>
      </c>
      <c r="D80" s="296" t="s">
        <v>956</v>
      </c>
      <c r="E80" s="297">
        <v>35</v>
      </c>
      <c r="F80" s="298" t="s">
        <v>8</v>
      </c>
      <c r="G80" s="232" t="s">
        <v>69</v>
      </c>
      <c r="H80" s="316">
        <v>45887</v>
      </c>
      <c r="I80" s="316">
        <v>45932</v>
      </c>
      <c r="J80" s="232"/>
      <c r="K80" s="236"/>
      <c r="L80" s="236"/>
      <c r="M80" s="54"/>
      <c r="N80" s="404">
        <f t="shared" si="3"/>
        <v>180</v>
      </c>
      <c r="O80" s="232"/>
      <c r="P80" s="232"/>
      <c r="Q80" s="232"/>
      <c r="R80" s="235"/>
      <c r="S80" s="235"/>
      <c r="T80" s="235"/>
      <c r="U80" s="216" t="s">
        <v>43</v>
      </c>
      <c r="V80" s="217"/>
      <c r="W80" s="218"/>
      <c r="X80" s="236">
        <v>45975</v>
      </c>
      <c r="Y80" s="421" t="s">
        <v>1357</v>
      </c>
      <c r="Z80" s="221"/>
      <c r="AA80" s="221"/>
      <c r="AB80" s="221"/>
      <c r="AC80" s="221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221"/>
    </row>
    <row r="81" spans="1:45" s="361" customFormat="1" ht="18" customHeight="1">
      <c r="A81" s="208">
        <v>1</v>
      </c>
      <c r="B81" s="382" t="s">
        <v>622</v>
      </c>
      <c r="C81" s="382" t="s">
        <v>761</v>
      </c>
      <c r="D81" s="382" t="s">
        <v>762</v>
      </c>
      <c r="E81" s="393">
        <v>41</v>
      </c>
      <c r="F81" s="371"/>
      <c r="G81" s="371" t="s">
        <v>69</v>
      </c>
      <c r="H81" s="391">
        <v>45811</v>
      </c>
      <c r="I81" s="391">
        <v>45876</v>
      </c>
      <c r="J81" s="374"/>
      <c r="K81" s="354">
        <f>+J81+180</f>
        <v>180</v>
      </c>
      <c r="L81" s="354"/>
      <c r="M81" s="54"/>
      <c r="N81" s="404">
        <f t="shared" si="3"/>
        <v>180</v>
      </c>
      <c r="O81" s="368"/>
      <c r="P81" s="368"/>
      <c r="Q81" s="368"/>
      <c r="R81" s="368"/>
      <c r="S81" s="368"/>
      <c r="T81" s="369"/>
      <c r="U81" s="356" t="s">
        <v>1272</v>
      </c>
      <c r="V81" s="357"/>
      <c r="W81" s="366"/>
      <c r="X81" s="367"/>
      <c r="Y81" s="354"/>
      <c r="Z81" s="370"/>
      <c r="AA81" s="370"/>
      <c r="AB81" s="370"/>
      <c r="AC81" s="370"/>
      <c r="AD81" s="370"/>
      <c r="AE81" s="370"/>
      <c r="AF81" s="370"/>
      <c r="AG81" s="370"/>
      <c r="AH81" s="370"/>
      <c r="AI81" s="370"/>
      <c r="AJ81" s="370"/>
      <c r="AK81" s="370"/>
      <c r="AL81" s="370"/>
      <c r="AM81" s="370"/>
      <c r="AN81" s="370" t="s">
        <v>865</v>
      </c>
      <c r="AO81" s="310"/>
      <c r="AP81" s="388"/>
    </row>
    <row r="82" spans="1:45" s="222" customFormat="1" ht="18" customHeight="1">
      <c r="A82" s="208">
        <v>1</v>
      </c>
      <c r="B82" s="296" t="s">
        <v>619</v>
      </c>
      <c r="C82" s="296" t="s">
        <v>957</v>
      </c>
      <c r="D82" s="296" t="s">
        <v>958</v>
      </c>
      <c r="E82" s="297">
        <v>61</v>
      </c>
      <c r="F82" s="298"/>
      <c r="G82" s="232" t="s">
        <v>69</v>
      </c>
      <c r="H82" s="316">
        <v>45911</v>
      </c>
      <c r="I82" s="316">
        <v>45936</v>
      </c>
      <c r="J82" s="218"/>
      <c r="K82" s="236"/>
      <c r="L82" s="236"/>
      <c r="M82" s="56"/>
      <c r="N82" s="404">
        <f t="shared" si="3"/>
        <v>180</v>
      </c>
      <c r="O82" s="238"/>
      <c r="P82" s="238"/>
      <c r="Q82" s="238"/>
      <c r="R82" s="238"/>
      <c r="S82" s="238"/>
      <c r="T82" s="240"/>
      <c r="U82" s="216" t="s">
        <v>39</v>
      </c>
      <c r="V82" s="217" t="s">
        <v>53</v>
      </c>
      <c r="W82" s="218"/>
      <c r="X82" s="236">
        <v>45985</v>
      </c>
      <c r="Y82" s="213"/>
      <c r="Z82" s="221"/>
      <c r="AA82" s="221"/>
      <c r="AB82" s="221"/>
      <c r="AC82" s="221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221"/>
    </row>
    <row r="83" spans="1:45" s="361" customFormat="1" ht="18" customHeight="1">
      <c r="A83" s="349">
        <v>1</v>
      </c>
      <c r="B83" s="385" t="s">
        <v>622</v>
      </c>
      <c r="C83" s="385" t="s">
        <v>959</v>
      </c>
      <c r="D83" s="385" t="s">
        <v>960</v>
      </c>
      <c r="E83" s="363">
        <v>36</v>
      </c>
      <c r="F83" s="364"/>
      <c r="G83" s="382" t="s">
        <v>68</v>
      </c>
      <c r="H83" s="391">
        <v>45824</v>
      </c>
      <c r="I83" s="391">
        <v>45877</v>
      </c>
      <c r="J83" s="366"/>
      <c r="K83" s="367"/>
      <c r="L83" s="354"/>
      <c r="M83" s="54"/>
      <c r="N83" s="404">
        <f t="shared" si="3"/>
        <v>180</v>
      </c>
      <c r="O83" s="368"/>
      <c r="P83" s="368"/>
      <c r="Q83" s="368"/>
      <c r="R83" s="368"/>
      <c r="S83" s="368"/>
      <c r="T83" s="369"/>
      <c r="U83" s="356" t="s">
        <v>1272</v>
      </c>
      <c r="V83" s="357"/>
      <c r="W83" s="366"/>
      <c r="X83" s="367"/>
      <c r="Y83" s="354"/>
      <c r="Z83" s="370"/>
      <c r="AA83" s="370"/>
      <c r="AB83" s="370"/>
      <c r="AC83" s="370"/>
      <c r="AD83" s="370"/>
      <c r="AE83" s="370"/>
      <c r="AF83" s="370"/>
      <c r="AG83" s="370"/>
      <c r="AH83" s="370"/>
      <c r="AI83" s="370"/>
      <c r="AJ83" s="370"/>
      <c r="AK83" s="370"/>
      <c r="AL83" s="370"/>
      <c r="AM83" s="370"/>
      <c r="AN83" s="370"/>
    </row>
    <row r="84" spans="1:45" s="222" customFormat="1" ht="18" customHeight="1">
      <c r="A84" s="208">
        <v>1</v>
      </c>
      <c r="B84" s="296" t="s">
        <v>622</v>
      </c>
      <c r="C84" s="296" t="s">
        <v>961</v>
      </c>
      <c r="D84" s="296" t="s">
        <v>962</v>
      </c>
      <c r="E84" s="297">
        <v>39</v>
      </c>
      <c r="F84" s="298"/>
      <c r="G84" s="232" t="s">
        <v>69</v>
      </c>
      <c r="H84" s="337">
        <v>45834</v>
      </c>
      <c r="I84" s="337">
        <v>45876</v>
      </c>
      <c r="J84" s="218"/>
      <c r="K84" s="236"/>
      <c r="L84" s="236"/>
      <c r="M84" s="54"/>
      <c r="N84" s="404">
        <f t="shared" si="3"/>
        <v>180</v>
      </c>
      <c r="O84" s="238"/>
      <c r="P84" s="238"/>
      <c r="Q84" s="238"/>
      <c r="R84" s="238"/>
      <c r="S84" s="238"/>
      <c r="T84" s="240"/>
      <c r="U84" s="216" t="s">
        <v>39</v>
      </c>
      <c r="V84" s="217" t="s">
        <v>54</v>
      </c>
      <c r="W84" s="218"/>
      <c r="X84" s="236">
        <v>45877</v>
      </c>
      <c r="Y84" s="213"/>
      <c r="Z84" s="221"/>
      <c r="AA84" s="221"/>
      <c r="AB84" s="221"/>
      <c r="AC84" s="221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221"/>
    </row>
    <row r="85" spans="1:45" s="253" customFormat="1" ht="18" customHeight="1">
      <c r="A85" s="423">
        <v>1</v>
      </c>
      <c r="B85" s="292" t="s">
        <v>622</v>
      </c>
      <c r="C85" s="430" t="s">
        <v>1080</v>
      </c>
      <c r="D85" s="292" t="s">
        <v>704</v>
      </c>
      <c r="E85" s="340">
        <v>39</v>
      </c>
      <c r="F85" s="291" t="s">
        <v>29</v>
      </c>
      <c r="G85" s="291" t="s">
        <v>69</v>
      </c>
      <c r="H85" s="341">
        <v>46101</v>
      </c>
      <c r="I85" s="341">
        <v>46121</v>
      </c>
      <c r="J85" s="247">
        <v>46121</v>
      </c>
      <c r="K85" s="226">
        <f>+J85+180</f>
        <v>46301</v>
      </c>
      <c r="L85" s="226"/>
      <c r="M85" s="424"/>
      <c r="N85" s="425">
        <f>M85+180</f>
        <v>180</v>
      </c>
      <c r="O85" s="248"/>
      <c r="P85" s="248"/>
      <c r="Q85" s="248"/>
      <c r="R85" s="248">
        <v>1</v>
      </c>
      <c r="S85" s="248"/>
      <c r="T85" s="249"/>
      <c r="U85" s="228" t="s">
        <v>43</v>
      </c>
      <c r="V85" s="229"/>
      <c r="W85" s="250"/>
      <c r="X85" s="251">
        <v>46266</v>
      </c>
      <c r="Y85" s="226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 t="s">
        <v>1439</v>
      </c>
      <c r="AO85" s="315"/>
      <c r="AP85" s="315"/>
      <c r="AQ85" s="246"/>
      <c r="AR85" s="246"/>
      <c r="AS85" s="291"/>
    </row>
    <row r="86" spans="1:45" s="222" customFormat="1" ht="18" customHeight="1">
      <c r="A86" s="208">
        <v>1</v>
      </c>
      <c r="B86" s="296" t="s">
        <v>619</v>
      </c>
      <c r="C86" s="296" t="s">
        <v>963</v>
      </c>
      <c r="D86" s="296" t="s">
        <v>333</v>
      </c>
      <c r="E86" s="297">
        <v>33</v>
      </c>
      <c r="F86" s="298" t="s">
        <v>29</v>
      </c>
      <c r="G86" s="232" t="s">
        <v>69</v>
      </c>
      <c r="H86" s="316">
        <v>45869</v>
      </c>
      <c r="I86" s="316">
        <v>45917</v>
      </c>
      <c r="J86" s="242">
        <v>45917</v>
      </c>
      <c r="K86" s="236">
        <f>J86+180</f>
        <v>46097</v>
      </c>
      <c r="L86" s="236"/>
      <c r="M86" s="54"/>
      <c r="N86" s="404">
        <f t="shared" si="3"/>
        <v>180</v>
      </c>
      <c r="O86" s="238"/>
      <c r="P86" s="238"/>
      <c r="Q86" s="238"/>
      <c r="R86" s="239"/>
      <c r="S86" s="239"/>
      <c r="T86" s="240"/>
      <c r="U86" s="216" t="s">
        <v>39</v>
      </c>
      <c r="V86" s="217" t="s">
        <v>53</v>
      </c>
      <c r="W86" s="218"/>
      <c r="X86" s="236">
        <v>46009</v>
      </c>
      <c r="Y86" s="421" t="s">
        <v>1361</v>
      </c>
      <c r="Z86" s="221"/>
      <c r="AA86" s="221"/>
      <c r="AB86" s="221"/>
      <c r="AC86" s="221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221"/>
    </row>
    <row r="87" spans="1:45" s="253" customFormat="1" ht="18" customHeight="1">
      <c r="A87" s="208">
        <v>1</v>
      </c>
      <c r="B87" s="292" t="s">
        <v>622</v>
      </c>
      <c r="C87" s="430" t="s">
        <v>771</v>
      </c>
      <c r="D87" s="292" t="s">
        <v>720</v>
      </c>
      <c r="E87" s="340">
        <v>59</v>
      </c>
      <c r="F87" s="291" t="s">
        <v>29</v>
      </c>
      <c r="G87" s="291" t="s">
        <v>69</v>
      </c>
      <c r="H87" s="341">
        <v>45825</v>
      </c>
      <c r="I87" s="341">
        <v>45888</v>
      </c>
      <c r="J87" s="247">
        <v>45931</v>
      </c>
      <c r="K87" s="226">
        <f>+J87+180</f>
        <v>46111</v>
      </c>
      <c r="L87" s="305" t="s">
        <v>823</v>
      </c>
      <c r="M87" s="56"/>
      <c r="N87" s="404">
        <f>M87+180</f>
        <v>180</v>
      </c>
      <c r="O87" s="248" t="s">
        <v>828</v>
      </c>
      <c r="P87" s="248" t="s">
        <v>832</v>
      </c>
      <c r="Q87" s="248" t="s">
        <v>846</v>
      </c>
      <c r="R87" s="248"/>
      <c r="S87" s="248"/>
      <c r="T87" s="249"/>
      <c r="U87" s="228" t="s">
        <v>43</v>
      </c>
      <c r="V87" s="229"/>
      <c r="W87" s="250"/>
      <c r="X87" s="251">
        <v>46269</v>
      </c>
      <c r="Y87" s="421" t="s">
        <v>1363</v>
      </c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 t="s">
        <v>1510</v>
      </c>
      <c r="AO87" s="314" t="s">
        <v>1010</v>
      </c>
      <c r="AP87" s="315" t="s">
        <v>1141</v>
      </c>
      <c r="AQ87" s="312" t="s">
        <v>771</v>
      </c>
      <c r="AR87" s="312" t="s">
        <v>720</v>
      </c>
      <c r="AS87" s="121"/>
    </row>
    <row r="88" spans="1:45" s="222" customFormat="1" ht="18" customHeight="1">
      <c r="A88" s="349">
        <v>1</v>
      </c>
      <c r="B88" s="296" t="s">
        <v>619</v>
      </c>
      <c r="C88" s="296" t="s">
        <v>964</v>
      </c>
      <c r="D88" s="296" t="s">
        <v>965</v>
      </c>
      <c r="E88" s="297">
        <v>28</v>
      </c>
      <c r="F88" s="298"/>
      <c r="G88" s="232" t="s">
        <v>69</v>
      </c>
      <c r="H88" s="316">
        <v>45827</v>
      </c>
      <c r="I88" s="316">
        <v>38603</v>
      </c>
      <c r="J88" s="242"/>
      <c r="K88" s="236"/>
      <c r="L88" s="236"/>
      <c r="M88" s="56"/>
      <c r="N88" s="404">
        <f t="shared" si="3"/>
        <v>180</v>
      </c>
      <c r="O88" s="238"/>
      <c r="P88" s="238"/>
      <c r="Q88" s="238"/>
      <c r="R88" s="238"/>
      <c r="S88" s="238"/>
      <c r="T88" s="240"/>
      <c r="U88" s="216" t="s">
        <v>39</v>
      </c>
      <c r="V88" s="217" t="s">
        <v>53</v>
      </c>
      <c r="W88" s="218"/>
      <c r="X88" s="236">
        <v>46014</v>
      </c>
      <c r="Y88" s="241"/>
      <c r="Z88" s="221"/>
      <c r="AA88" s="221"/>
      <c r="AB88" s="221"/>
      <c r="AC88" s="221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221"/>
    </row>
    <row r="89" spans="1:45" s="222" customFormat="1" ht="18" customHeight="1">
      <c r="A89" s="208">
        <v>1</v>
      </c>
      <c r="B89" s="296" t="s">
        <v>619</v>
      </c>
      <c r="C89" s="296" t="s">
        <v>966</v>
      </c>
      <c r="D89" s="296" t="s">
        <v>784</v>
      </c>
      <c r="E89" s="297">
        <v>54</v>
      </c>
      <c r="F89" s="298" t="s">
        <v>8</v>
      </c>
      <c r="G89" s="232" t="s">
        <v>69</v>
      </c>
      <c r="H89" s="316">
        <v>45827</v>
      </c>
      <c r="I89" s="316">
        <v>45889</v>
      </c>
      <c r="J89" s="218"/>
      <c r="K89" s="236"/>
      <c r="L89" s="236"/>
      <c r="M89" s="56"/>
      <c r="N89" s="404">
        <f t="shared" si="3"/>
        <v>180</v>
      </c>
      <c r="O89" s="238"/>
      <c r="P89" s="238"/>
      <c r="Q89" s="238"/>
      <c r="R89" s="238"/>
      <c r="S89" s="238"/>
      <c r="T89" s="240"/>
      <c r="U89" s="216" t="s">
        <v>1272</v>
      </c>
      <c r="V89" s="217"/>
      <c r="W89" s="218"/>
      <c r="X89" s="236">
        <v>45952</v>
      </c>
      <c r="Y89" s="241"/>
      <c r="Z89" s="221"/>
      <c r="AA89" s="221"/>
      <c r="AB89" s="221"/>
      <c r="AC89" s="221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221"/>
    </row>
    <row r="90" spans="1:45" s="222" customFormat="1" ht="18" customHeight="1">
      <c r="A90" s="208">
        <v>1</v>
      </c>
      <c r="B90" s="296" t="s">
        <v>622</v>
      </c>
      <c r="C90" s="296" t="s">
        <v>967</v>
      </c>
      <c r="D90" s="296" t="s">
        <v>968</v>
      </c>
      <c r="E90" s="297">
        <v>55</v>
      </c>
      <c r="F90" s="298"/>
      <c r="G90" s="232" t="s">
        <v>69</v>
      </c>
      <c r="H90" s="316">
        <v>45825</v>
      </c>
      <c r="I90" s="316">
        <v>45905</v>
      </c>
      <c r="J90" s="218"/>
      <c r="K90" s="236"/>
      <c r="L90" s="236"/>
      <c r="M90" s="56"/>
      <c r="N90" s="404">
        <f t="shared" si="3"/>
        <v>180</v>
      </c>
      <c r="O90" s="238"/>
      <c r="P90" s="238"/>
      <c r="Q90" s="238"/>
      <c r="R90" s="238"/>
      <c r="S90" s="238"/>
      <c r="T90" s="240"/>
      <c r="U90" s="216" t="s">
        <v>39</v>
      </c>
      <c r="V90" s="217" t="s">
        <v>34</v>
      </c>
      <c r="W90" s="218"/>
      <c r="X90" s="236">
        <v>45905</v>
      </c>
      <c r="Y90" s="241"/>
      <c r="Z90" s="221"/>
      <c r="AA90" s="221"/>
      <c r="AB90" s="221"/>
      <c r="AC90" s="221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221"/>
    </row>
    <row r="91" spans="1:45" s="222" customFormat="1" ht="18" customHeight="1">
      <c r="A91" s="349">
        <v>1</v>
      </c>
      <c r="B91" s="295" t="s">
        <v>619</v>
      </c>
      <c r="C91" s="295" t="s">
        <v>774</v>
      </c>
      <c r="D91" s="295" t="s">
        <v>750</v>
      </c>
      <c r="E91" s="306">
        <v>43</v>
      </c>
      <c r="F91" s="210" t="s">
        <v>8</v>
      </c>
      <c r="G91" s="295" t="s">
        <v>68</v>
      </c>
      <c r="H91" s="337">
        <v>45862</v>
      </c>
      <c r="I91" s="337">
        <v>46013</v>
      </c>
      <c r="J91" s="242">
        <v>46042</v>
      </c>
      <c r="K91" s="213">
        <f>+J91+180</f>
        <v>46222</v>
      </c>
      <c r="L91" s="213"/>
      <c r="M91" s="56"/>
      <c r="N91" s="404">
        <f t="shared" si="3"/>
        <v>180</v>
      </c>
      <c r="O91" s="238" t="s">
        <v>828</v>
      </c>
      <c r="P91" s="238"/>
      <c r="Q91" s="238"/>
      <c r="R91" s="238"/>
      <c r="S91" s="238"/>
      <c r="T91" s="240"/>
      <c r="U91" s="216" t="s">
        <v>39</v>
      </c>
      <c r="V91" s="217" t="s">
        <v>53</v>
      </c>
      <c r="W91" s="218"/>
      <c r="X91" s="236">
        <v>46182</v>
      </c>
      <c r="Y91" s="421" t="s">
        <v>1365</v>
      </c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 t="s">
        <v>890</v>
      </c>
      <c r="AO91" s="321" t="s">
        <v>823</v>
      </c>
      <c r="AP91" s="318"/>
      <c r="AQ91" s="323" t="s">
        <v>774</v>
      </c>
      <c r="AR91" s="323" t="s">
        <v>750</v>
      </c>
      <c r="AS91" s="313" t="s">
        <v>1210</v>
      </c>
    </row>
    <row r="92" spans="1:45" s="288" customFormat="1" ht="18" customHeight="1">
      <c r="A92" s="208">
        <v>1</v>
      </c>
      <c r="B92" s="378" t="s">
        <v>622</v>
      </c>
      <c r="C92" s="378" t="s">
        <v>969</v>
      </c>
      <c r="D92" s="378" t="s">
        <v>970</v>
      </c>
      <c r="E92" s="379">
        <v>53</v>
      </c>
      <c r="F92" s="380" t="s">
        <v>17</v>
      </c>
      <c r="G92" s="276" t="s">
        <v>69</v>
      </c>
      <c r="H92" s="336">
        <v>45798</v>
      </c>
      <c r="I92" s="336">
        <v>45938</v>
      </c>
      <c r="J92" s="277">
        <v>45938</v>
      </c>
      <c r="K92" s="285">
        <v>46120</v>
      </c>
      <c r="L92" s="285"/>
      <c r="M92" s="54"/>
      <c r="N92" s="404">
        <f t="shared" si="3"/>
        <v>180</v>
      </c>
      <c r="O92" s="279"/>
      <c r="P92" s="279"/>
      <c r="Q92" s="279"/>
      <c r="R92" s="279"/>
      <c r="S92" s="279"/>
      <c r="T92" s="281"/>
      <c r="U92" s="282" t="s">
        <v>41</v>
      </c>
      <c r="V92" s="283" t="s">
        <v>54</v>
      </c>
      <c r="W92" s="284" t="s">
        <v>538</v>
      </c>
      <c r="X92" s="285">
        <v>45992</v>
      </c>
      <c r="Y92" s="421" t="s">
        <v>1368</v>
      </c>
      <c r="Z92" s="287"/>
      <c r="AA92" s="287"/>
      <c r="AB92" s="287"/>
      <c r="AC92" s="287"/>
      <c r="AD92" s="381"/>
      <c r="AE92" s="381"/>
      <c r="AF92" s="381"/>
      <c r="AG92" s="381"/>
      <c r="AH92" s="381"/>
      <c r="AI92" s="381"/>
      <c r="AJ92" s="381"/>
      <c r="AK92" s="381"/>
      <c r="AL92" s="381"/>
      <c r="AM92" s="381"/>
      <c r="AN92" s="287"/>
    </row>
    <row r="93" spans="1:45" s="222" customFormat="1" ht="18" customHeight="1">
      <c r="A93" s="208">
        <v>1</v>
      </c>
      <c r="B93" s="295" t="s">
        <v>619</v>
      </c>
      <c r="C93" s="345" t="s">
        <v>780</v>
      </c>
      <c r="D93" s="295" t="s">
        <v>327</v>
      </c>
      <c r="E93" s="306">
        <v>44</v>
      </c>
      <c r="F93" s="210" t="s">
        <v>8</v>
      </c>
      <c r="G93" s="295" t="s">
        <v>69</v>
      </c>
      <c r="H93" s="487">
        <v>45827</v>
      </c>
      <c r="I93" s="487">
        <v>45891</v>
      </c>
      <c r="J93" s="242">
        <v>45891</v>
      </c>
      <c r="K93" s="213">
        <f>+J93+180</f>
        <v>46071</v>
      </c>
      <c r="L93" s="213" t="s">
        <v>479</v>
      </c>
      <c r="M93" s="56">
        <v>46076</v>
      </c>
      <c r="N93" s="485">
        <f>M93+180</f>
        <v>46256</v>
      </c>
      <c r="O93" s="238" t="s">
        <v>847</v>
      </c>
      <c r="P93" s="238"/>
      <c r="Q93" s="238"/>
      <c r="R93" s="238"/>
      <c r="S93" s="238"/>
      <c r="T93" s="240"/>
      <c r="U93" s="216" t="s">
        <v>545</v>
      </c>
      <c r="V93" s="217" t="s">
        <v>55</v>
      </c>
      <c r="W93" s="218"/>
      <c r="X93" s="483">
        <v>46254</v>
      </c>
      <c r="Y93" s="422" t="s">
        <v>1370</v>
      </c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 t="s">
        <v>1440</v>
      </c>
      <c r="AO93" s="320" t="s">
        <v>1103</v>
      </c>
      <c r="AP93" s="320" t="s">
        <v>1050</v>
      </c>
      <c r="AQ93" s="232" t="s">
        <v>780</v>
      </c>
      <c r="AR93" s="232" t="s">
        <v>327</v>
      </c>
      <c r="AS93" s="331" t="s">
        <v>1213</v>
      </c>
    </row>
    <row r="94" spans="1:45" s="288" customFormat="1" ht="18" customHeight="1">
      <c r="A94" s="208">
        <v>1</v>
      </c>
      <c r="B94" s="378" t="s">
        <v>619</v>
      </c>
      <c r="C94" s="378" t="s">
        <v>971</v>
      </c>
      <c r="D94" s="378" t="s">
        <v>972</v>
      </c>
      <c r="E94" s="379">
        <v>36</v>
      </c>
      <c r="F94" s="380" t="s">
        <v>29</v>
      </c>
      <c r="G94" s="276" t="s">
        <v>69</v>
      </c>
      <c r="H94" s="336">
        <v>45854</v>
      </c>
      <c r="I94" s="336">
        <v>45931</v>
      </c>
      <c r="J94" s="277">
        <v>45931</v>
      </c>
      <c r="K94" s="285">
        <f>J94+180</f>
        <v>46111</v>
      </c>
      <c r="L94" s="285"/>
      <c r="M94" s="54"/>
      <c r="N94" s="404">
        <f t="shared" si="3"/>
        <v>180</v>
      </c>
      <c r="O94" s="279"/>
      <c r="P94" s="279"/>
      <c r="Q94" s="279"/>
      <c r="R94" s="279"/>
      <c r="S94" s="279"/>
      <c r="T94" s="281"/>
      <c r="U94" s="282" t="s">
        <v>41</v>
      </c>
      <c r="V94" s="283" t="s">
        <v>34</v>
      </c>
      <c r="W94" s="284" t="s">
        <v>44</v>
      </c>
      <c r="X94" s="285">
        <v>45981</v>
      </c>
      <c r="Y94" s="421" t="s">
        <v>1371</v>
      </c>
      <c r="Z94" s="287"/>
      <c r="AA94" s="287"/>
      <c r="AB94" s="287"/>
      <c r="AC94" s="287"/>
      <c r="AD94" s="381"/>
      <c r="AE94" s="381"/>
      <c r="AF94" s="381"/>
      <c r="AG94" s="381"/>
      <c r="AH94" s="381"/>
      <c r="AI94" s="381"/>
      <c r="AJ94" s="381"/>
      <c r="AK94" s="381"/>
      <c r="AL94" s="381"/>
      <c r="AM94" s="381"/>
      <c r="AN94" s="287"/>
    </row>
    <row r="95" spans="1:45" s="222" customFormat="1" ht="18" customHeight="1">
      <c r="A95" s="349">
        <v>1</v>
      </c>
      <c r="B95" s="345" t="s">
        <v>622</v>
      </c>
      <c r="C95" s="345" t="s">
        <v>973</v>
      </c>
      <c r="D95" s="345" t="s">
        <v>321</v>
      </c>
      <c r="E95" s="308">
        <v>42</v>
      </c>
      <c r="F95" s="298"/>
      <c r="G95" s="295" t="s">
        <v>68</v>
      </c>
      <c r="H95" s="337">
        <v>45819</v>
      </c>
      <c r="I95" s="337">
        <v>45875</v>
      </c>
      <c r="J95" s="218"/>
      <c r="K95" s="236"/>
      <c r="L95" s="236"/>
      <c r="M95" s="54"/>
      <c r="N95" s="404">
        <f t="shared" si="3"/>
        <v>180</v>
      </c>
      <c r="O95" s="238"/>
      <c r="P95" s="238"/>
      <c r="Q95" s="238"/>
      <c r="R95" s="238"/>
      <c r="S95" s="238"/>
      <c r="T95" s="240"/>
      <c r="U95" s="216" t="s">
        <v>43</v>
      </c>
      <c r="V95" s="217"/>
      <c r="W95" s="218"/>
      <c r="X95" s="236">
        <v>45901</v>
      </c>
      <c r="Y95" s="213"/>
      <c r="Z95" s="221"/>
      <c r="AA95" s="221"/>
      <c r="AB95" s="221"/>
      <c r="AC95" s="221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221"/>
    </row>
    <row r="96" spans="1:45" s="222" customFormat="1" ht="18" customHeight="1">
      <c r="A96" s="208">
        <v>1</v>
      </c>
      <c r="B96" s="295" t="s">
        <v>619</v>
      </c>
      <c r="C96" s="295" t="s">
        <v>783</v>
      </c>
      <c r="D96" s="343" t="s">
        <v>784</v>
      </c>
      <c r="E96" s="306">
        <v>54</v>
      </c>
      <c r="F96" s="210" t="s">
        <v>29</v>
      </c>
      <c r="G96" s="295" t="s">
        <v>69</v>
      </c>
      <c r="H96" s="316">
        <v>45825</v>
      </c>
      <c r="I96" s="316">
        <v>45894</v>
      </c>
      <c r="J96" s="242">
        <v>45894</v>
      </c>
      <c r="K96" s="213">
        <f>+J96+180</f>
        <v>46074</v>
      </c>
      <c r="L96" s="278" t="s">
        <v>530</v>
      </c>
      <c r="M96" s="56">
        <v>46075</v>
      </c>
      <c r="N96" s="404">
        <f>M96+180</f>
        <v>46255</v>
      </c>
      <c r="O96" s="238" t="s">
        <v>830</v>
      </c>
      <c r="P96" s="238" t="s">
        <v>848</v>
      </c>
      <c r="Q96" s="238"/>
      <c r="R96" s="238"/>
      <c r="S96" s="238"/>
      <c r="T96" s="240"/>
      <c r="U96" s="216" t="s">
        <v>545</v>
      </c>
      <c r="V96" s="217" t="s">
        <v>55</v>
      </c>
      <c r="W96" s="218"/>
      <c r="X96" s="483">
        <v>46260</v>
      </c>
      <c r="Y96" s="421" t="s">
        <v>1372</v>
      </c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 t="s">
        <v>903</v>
      </c>
      <c r="AO96" s="335" t="s">
        <v>1012</v>
      </c>
      <c r="AP96" s="310"/>
      <c r="AQ96" s="312" t="s">
        <v>783</v>
      </c>
      <c r="AR96" s="312" t="s">
        <v>784</v>
      </c>
      <c r="AS96" s="121"/>
    </row>
    <row r="97" spans="1:45" s="222" customFormat="1" ht="18" customHeight="1">
      <c r="A97" s="208">
        <v>1</v>
      </c>
      <c r="B97" s="343" t="s">
        <v>622</v>
      </c>
      <c r="C97" s="343" t="s">
        <v>787</v>
      </c>
      <c r="D97" s="343" t="s">
        <v>788</v>
      </c>
      <c r="E97" s="344">
        <v>43</v>
      </c>
      <c r="F97" s="210" t="s">
        <v>29</v>
      </c>
      <c r="G97" s="295" t="s">
        <v>68</v>
      </c>
      <c r="H97" s="316">
        <v>45819</v>
      </c>
      <c r="I97" s="316">
        <v>45875</v>
      </c>
      <c r="J97" s="242">
        <v>45875</v>
      </c>
      <c r="K97" s="213">
        <f>+J97+180</f>
        <v>46055</v>
      </c>
      <c r="L97" s="278" t="s">
        <v>479</v>
      </c>
      <c r="M97" s="413">
        <v>46060</v>
      </c>
      <c r="N97" s="486">
        <f>M97+180</f>
        <v>46240</v>
      </c>
      <c r="O97" s="238" t="s">
        <v>845</v>
      </c>
      <c r="P97" s="238" t="s">
        <v>824</v>
      </c>
      <c r="Q97" s="238"/>
      <c r="R97" s="238"/>
      <c r="S97" s="238"/>
      <c r="T97" s="240"/>
      <c r="U97" s="216" t="s">
        <v>545</v>
      </c>
      <c r="V97" s="217" t="s">
        <v>55</v>
      </c>
      <c r="W97" s="218"/>
      <c r="X97" s="236">
        <v>46241</v>
      </c>
      <c r="Y97" s="421" t="s">
        <v>1374</v>
      </c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 t="s">
        <v>904</v>
      </c>
      <c r="AO97" s="310" t="s">
        <v>827</v>
      </c>
      <c r="AP97" s="310" t="s">
        <v>1051</v>
      </c>
      <c r="AQ97" s="312" t="s">
        <v>787</v>
      </c>
      <c r="AR97" s="312" t="s">
        <v>788</v>
      </c>
      <c r="AS97" s="313" t="s">
        <v>1216</v>
      </c>
    </row>
    <row r="98" spans="1:45" s="222" customFormat="1" ht="18" customHeight="1">
      <c r="A98" s="208">
        <v>1</v>
      </c>
      <c r="B98" s="345" t="s">
        <v>622</v>
      </c>
      <c r="C98" s="345" t="s">
        <v>974</v>
      </c>
      <c r="D98" s="345" t="s">
        <v>975</v>
      </c>
      <c r="E98" s="297">
        <v>32</v>
      </c>
      <c r="F98" s="298" t="s">
        <v>8</v>
      </c>
      <c r="G98" s="295" t="s">
        <v>69</v>
      </c>
      <c r="H98" s="337">
        <v>45842</v>
      </c>
      <c r="I98" s="337">
        <v>45861</v>
      </c>
      <c r="J98" s="242">
        <v>45861</v>
      </c>
      <c r="K98" s="236">
        <f>J98+180</f>
        <v>46041</v>
      </c>
      <c r="L98" s="236"/>
      <c r="M98" s="56">
        <v>46046</v>
      </c>
      <c r="N98" s="404">
        <f t="shared" si="3"/>
        <v>46226</v>
      </c>
      <c r="O98" s="238"/>
      <c r="P98" s="238"/>
      <c r="Q98" s="238"/>
      <c r="R98" s="238"/>
      <c r="S98" s="238"/>
      <c r="T98" s="240"/>
      <c r="U98" s="216" t="s">
        <v>39</v>
      </c>
      <c r="V98" s="217" t="s">
        <v>53</v>
      </c>
      <c r="W98" s="218"/>
      <c r="X98" s="236">
        <v>46078</v>
      </c>
      <c r="Y98" s="421" t="s">
        <v>1375</v>
      </c>
      <c r="Z98" s="221"/>
      <c r="AA98" s="221"/>
      <c r="AB98" s="221"/>
      <c r="AC98" s="221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221"/>
    </row>
    <row r="99" spans="1:45" s="222" customFormat="1" ht="18" customHeight="1">
      <c r="A99" s="208">
        <v>1</v>
      </c>
      <c r="B99" s="343" t="s">
        <v>622</v>
      </c>
      <c r="C99" s="343" t="s">
        <v>789</v>
      </c>
      <c r="D99" s="343" t="s">
        <v>790</v>
      </c>
      <c r="E99" s="344">
        <v>45</v>
      </c>
      <c r="F99" s="210" t="s">
        <v>29</v>
      </c>
      <c r="G99" s="295" t="s">
        <v>69</v>
      </c>
      <c r="H99" s="316">
        <v>45846</v>
      </c>
      <c r="I99" s="316">
        <v>45891</v>
      </c>
      <c r="J99" s="242">
        <v>45891</v>
      </c>
      <c r="K99" s="213">
        <f>+J99+180</f>
        <v>46071</v>
      </c>
      <c r="L99" s="278" t="s">
        <v>479</v>
      </c>
      <c r="M99" s="411">
        <v>46072</v>
      </c>
      <c r="N99" s="404">
        <f>M99+180</f>
        <v>46252</v>
      </c>
      <c r="O99" s="238" t="s">
        <v>824</v>
      </c>
      <c r="P99" s="238"/>
      <c r="Q99" s="238"/>
      <c r="R99" s="238"/>
      <c r="S99" s="238"/>
      <c r="T99" s="240"/>
      <c r="U99" s="216" t="s">
        <v>545</v>
      </c>
      <c r="V99" s="217" t="s">
        <v>55</v>
      </c>
      <c r="W99" s="218"/>
      <c r="X99" s="483">
        <v>46253</v>
      </c>
      <c r="Y99" s="421" t="s">
        <v>1376</v>
      </c>
      <c r="Z99" s="221">
        <v>1</v>
      </c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 t="s">
        <v>858</v>
      </c>
      <c r="AO99" s="310" t="s">
        <v>1136</v>
      </c>
      <c r="AP99" s="310" t="s">
        <v>1031</v>
      </c>
      <c r="AQ99" s="312" t="s">
        <v>789</v>
      </c>
      <c r="AR99" s="312" t="s">
        <v>790</v>
      </c>
      <c r="AS99" s="313" t="s">
        <v>1217</v>
      </c>
    </row>
    <row r="100" spans="1:45" s="222" customFormat="1" ht="18" customHeight="1">
      <c r="A100" s="208">
        <v>1</v>
      </c>
      <c r="B100" s="343" t="s">
        <v>622</v>
      </c>
      <c r="C100" s="343" t="s">
        <v>791</v>
      </c>
      <c r="D100" s="343" t="s">
        <v>792</v>
      </c>
      <c r="E100" s="344">
        <v>46</v>
      </c>
      <c r="F100" s="210" t="s">
        <v>29</v>
      </c>
      <c r="G100" s="295" t="s">
        <v>68</v>
      </c>
      <c r="H100" s="316">
        <v>45834</v>
      </c>
      <c r="I100" s="316">
        <v>45873</v>
      </c>
      <c r="J100" s="242">
        <v>45873</v>
      </c>
      <c r="K100" s="213">
        <f>+J100+180</f>
        <v>46053</v>
      </c>
      <c r="L100" s="302" t="s">
        <v>479</v>
      </c>
      <c r="M100" s="412">
        <v>46058</v>
      </c>
      <c r="N100" s="486">
        <f>M100+180</f>
        <v>46238</v>
      </c>
      <c r="O100" s="238" t="s">
        <v>828</v>
      </c>
      <c r="P100" s="238"/>
      <c r="Q100" s="238"/>
      <c r="R100" s="238"/>
      <c r="S100" s="238"/>
      <c r="T100" s="240"/>
      <c r="U100" s="216" t="s">
        <v>545</v>
      </c>
      <c r="V100" s="217" t="s">
        <v>55</v>
      </c>
      <c r="W100" s="218"/>
      <c r="X100" s="483">
        <v>46262</v>
      </c>
      <c r="Y100" s="421" t="s">
        <v>1377</v>
      </c>
      <c r="Z100" s="221">
        <v>1</v>
      </c>
      <c r="AA100" s="221"/>
      <c r="AB100" s="221"/>
      <c r="AC100" s="221"/>
      <c r="AD100" s="221"/>
      <c r="AE100" s="221"/>
      <c r="AF100" s="221"/>
      <c r="AG100" s="221"/>
      <c r="AH100" s="221">
        <v>1</v>
      </c>
      <c r="AI100" s="221"/>
      <c r="AJ100" s="221"/>
      <c r="AK100" s="221"/>
      <c r="AL100" s="221"/>
      <c r="AM100" s="221"/>
      <c r="AN100" s="221" t="s">
        <v>905</v>
      </c>
      <c r="AO100" s="320"/>
      <c r="AP100" s="320" t="s">
        <v>1039</v>
      </c>
      <c r="AQ100" s="232" t="s">
        <v>791</v>
      </c>
      <c r="AR100" s="232" t="s">
        <v>792</v>
      </c>
      <c r="AS100" s="331" t="s">
        <v>1218</v>
      </c>
    </row>
    <row r="101" spans="1:45" s="222" customFormat="1" ht="25.5">
      <c r="A101" s="208">
        <v>1</v>
      </c>
      <c r="B101" s="400" t="s">
        <v>622</v>
      </c>
      <c r="C101" s="400" t="s">
        <v>795</v>
      </c>
      <c r="D101" s="232" t="s">
        <v>796</v>
      </c>
      <c r="E101" s="231">
        <v>42</v>
      </c>
      <c r="F101" s="210" t="s">
        <v>29</v>
      </c>
      <c r="G101" s="232" t="s">
        <v>68</v>
      </c>
      <c r="H101" s="316">
        <v>45826</v>
      </c>
      <c r="I101" s="316">
        <v>45875</v>
      </c>
      <c r="J101" s="242">
        <v>45875</v>
      </c>
      <c r="K101" s="213">
        <f>+J101+180</f>
        <v>46055</v>
      </c>
      <c r="L101" s="237" t="s">
        <v>822</v>
      </c>
      <c r="M101" s="56">
        <v>46061</v>
      </c>
      <c r="N101" s="486">
        <f>M101+180</f>
        <v>46241</v>
      </c>
      <c r="O101" s="239" t="s">
        <v>824</v>
      </c>
      <c r="P101" s="239"/>
      <c r="Q101" s="239"/>
      <c r="R101" s="239">
        <v>1</v>
      </c>
      <c r="S101" s="239"/>
      <c r="T101" s="240"/>
      <c r="U101" s="216" t="s">
        <v>545</v>
      </c>
      <c r="V101" s="217" t="s">
        <v>55</v>
      </c>
      <c r="W101" s="218"/>
      <c r="X101" s="492">
        <v>46261</v>
      </c>
      <c r="Y101" s="421" t="s">
        <v>1379</v>
      </c>
      <c r="Z101" s="221">
        <v>1</v>
      </c>
      <c r="AA101" s="221"/>
      <c r="AB101" s="221"/>
      <c r="AC101" s="221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221" t="s">
        <v>906</v>
      </c>
      <c r="AO101" s="319" t="s">
        <v>1104</v>
      </c>
      <c r="AP101" s="320" t="s">
        <v>1052</v>
      </c>
      <c r="AQ101" s="232" t="s">
        <v>795</v>
      </c>
      <c r="AR101" s="232" t="s">
        <v>796</v>
      </c>
      <c r="AS101" s="331" t="s">
        <v>1219</v>
      </c>
    </row>
    <row r="102" spans="1:45" s="288" customFormat="1" ht="16.899999999999999" customHeight="1">
      <c r="A102" s="208">
        <v>1</v>
      </c>
      <c r="B102" s="378" t="s">
        <v>619</v>
      </c>
      <c r="C102" s="378" t="s">
        <v>797</v>
      </c>
      <c r="D102" s="378" t="s">
        <v>798</v>
      </c>
      <c r="E102" s="379">
        <v>52</v>
      </c>
      <c r="F102" s="380" t="s">
        <v>8</v>
      </c>
      <c r="G102" s="276" t="s">
        <v>68</v>
      </c>
      <c r="H102" s="327">
        <v>45911</v>
      </c>
      <c r="I102" s="327">
        <v>45939</v>
      </c>
      <c r="J102" s="277">
        <v>45939</v>
      </c>
      <c r="K102" s="278">
        <f>J102+180</f>
        <v>46119</v>
      </c>
      <c r="L102" s="394" t="s">
        <v>479</v>
      </c>
      <c r="M102" s="56">
        <v>46120</v>
      </c>
      <c r="N102" s="404">
        <f t="shared" si="3"/>
        <v>46300</v>
      </c>
      <c r="O102" s="279"/>
      <c r="P102" s="279"/>
      <c r="Q102" s="279"/>
      <c r="R102" s="279"/>
      <c r="S102" s="279"/>
      <c r="T102" s="281"/>
      <c r="U102" s="282" t="s">
        <v>41</v>
      </c>
      <c r="V102" s="283" t="s">
        <v>34</v>
      </c>
      <c r="W102" s="284" t="s">
        <v>44</v>
      </c>
      <c r="X102" s="285">
        <v>46174</v>
      </c>
      <c r="Y102" s="421" t="s">
        <v>1380</v>
      </c>
      <c r="Z102" s="287"/>
      <c r="AA102" s="287"/>
      <c r="AB102" s="287"/>
      <c r="AC102" s="287"/>
      <c r="AD102" s="381"/>
      <c r="AE102" s="381"/>
      <c r="AF102" s="381"/>
      <c r="AG102" s="381"/>
      <c r="AH102" s="381"/>
      <c r="AI102" s="381"/>
      <c r="AJ102" s="381"/>
      <c r="AK102" s="381"/>
      <c r="AL102" s="381"/>
      <c r="AM102" s="381"/>
      <c r="AN102" s="287" t="s">
        <v>907</v>
      </c>
      <c r="AO102" s="390" t="s">
        <v>1013</v>
      </c>
      <c r="AP102" s="328" t="s">
        <v>1053</v>
      </c>
      <c r="AQ102" s="312" t="s">
        <v>797</v>
      </c>
      <c r="AR102" s="312" t="s">
        <v>798</v>
      </c>
      <c r="AS102" s="313" t="s">
        <v>1221</v>
      </c>
    </row>
    <row r="103" spans="1:45" s="222" customFormat="1" ht="18" customHeight="1">
      <c r="A103" s="349">
        <v>1</v>
      </c>
      <c r="B103" s="296" t="s">
        <v>619</v>
      </c>
      <c r="C103" s="296" t="s">
        <v>797</v>
      </c>
      <c r="D103" s="296" t="s">
        <v>784</v>
      </c>
      <c r="E103" s="297">
        <v>45</v>
      </c>
      <c r="F103" s="298"/>
      <c r="G103" s="232" t="s">
        <v>69</v>
      </c>
      <c r="H103" s="316">
        <v>45838</v>
      </c>
      <c r="I103" s="316">
        <v>45910</v>
      </c>
      <c r="J103" s="242"/>
      <c r="K103" s="236"/>
      <c r="L103" s="236"/>
      <c r="M103" s="56"/>
      <c r="N103" s="404">
        <f t="shared" si="3"/>
        <v>180</v>
      </c>
      <c r="O103" s="238"/>
      <c r="P103" s="238"/>
      <c r="Q103" s="238"/>
      <c r="R103" s="238"/>
      <c r="S103" s="238"/>
      <c r="T103" s="240"/>
      <c r="U103" s="216" t="s">
        <v>39</v>
      </c>
      <c r="V103" s="217" t="s">
        <v>34</v>
      </c>
      <c r="W103" s="218"/>
      <c r="X103" s="236">
        <v>45910</v>
      </c>
      <c r="Y103" s="241">
        <v>0</v>
      </c>
      <c r="Z103" s="221"/>
      <c r="AA103" s="221"/>
      <c r="AB103" s="221"/>
      <c r="AC103" s="221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221"/>
    </row>
    <row r="104" spans="1:45" s="222" customFormat="1" ht="34.9" customHeight="1">
      <c r="A104" s="208">
        <v>1</v>
      </c>
      <c r="B104" s="296" t="s">
        <v>622</v>
      </c>
      <c r="C104" s="296" t="s">
        <v>976</v>
      </c>
      <c r="D104" s="296" t="s">
        <v>977</v>
      </c>
      <c r="E104" s="297">
        <v>56</v>
      </c>
      <c r="F104" s="298"/>
      <c r="G104" s="232" t="s">
        <v>69</v>
      </c>
      <c r="H104" s="316">
        <v>45847</v>
      </c>
      <c r="I104" s="316">
        <v>45859</v>
      </c>
      <c r="J104" s="242"/>
      <c r="K104" s="236"/>
      <c r="L104" s="236"/>
      <c r="M104" s="413"/>
      <c r="N104" s="404">
        <f t="shared" si="3"/>
        <v>180</v>
      </c>
      <c r="O104" s="238"/>
      <c r="P104" s="238"/>
      <c r="Q104" s="238"/>
      <c r="R104" s="239"/>
      <c r="S104" s="239"/>
      <c r="T104" s="240"/>
      <c r="U104" s="216" t="s">
        <v>78</v>
      </c>
      <c r="V104" s="217"/>
      <c r="W104" s="218"/>
      <c r="X104" s="236">
        <v>45936</v>
      </c>
      <c r="Y104" s="421" t="s">
        <v>1381</v>
      </c>
      <c r="Z104" s="221"/>
      <c r="AA104" s="221"/>
      <c r="AB104" s="221"/>
      <c r="AC104" s="221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221"/>
    </row>
    <row r="105" spans="1:45" s="222" customFormat="1" ht="18" customHeight="1">
      <c r="A105" s="208">
        <v>1</v>
      </c>
      <c r="B105" s="296" t="s">
        <v>619</v>
      </c>
      <c r="C105" s="296" t="s">
        <v>978</v>
      </c>
      <c r="D105" s="296" t="s">
        <v>979</v>
      </c>
      <c r="E105" s="297">
        <v>55</v>
      </c>
      <c r="F105" s="298"/>
      <c r="G105" s="232" t="s">
        <v>69</v>
      </c>
      <c r="H105" s="337">
        <v>45838</v>
      </c>
      <c r="I105" s="337">
        <v>45894</v>
      </c>
      <c r="J105" s="218"/>
      <c r="K105" s="236"/>
      <c r="L105" s="236"/>
      <c r="M105" s="56"/>
      <c r="N105" s="404">
        <f t="shared" si="3"/>
        <v>180</v>
      </c>
      <c r="O105" s="238"/>
      <c r="P105" s="238"/>
      <c r="Q105" s="238"/>
      <c r="R105" s="238"/>
      <c r="S105" s="238"/>
      <c r="T105" s="240"/>
      <c r="U105" s="216" t="s">
        <v>39</v>
      </c>
      <c r="V105" s="217" t="s">
        <v>54</v>
      </c>
      <c r="W105" s="218"/>
      <c r="X105" s="236">
        <v>45896</v>
      </c>
      <c r="Y105" s="213"/>
      <c r="Z105" s="221"/>
      <c r="AA105" s="221"/>
      <c r="AB105" s="221"/>
      <c r="AC105" s="221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221"/>
    </row>
    <row r="106" spans="1:45" s="222" customFormat="1" ht="18" customHeight="1">
      <c r="A106" s="349">
        <v>1</v>
      </c>
      <c r="B106" s="296" t="s">
        <v>619</v>
      </c>
      <c r="C106" s="296" t="s">
        <v>980</v>
      </c>
      <c r="D106" s="296" t="s">
        <v>981</v>
      </c>
      <c r="E106" s="297">
        <v>35</v>
      </c>
      <c r="F106" s="298"/>
      <c r="G106" s="232" t="s">
        <v>69</v>
      </c>
      <c r="H106" s="316">
        <v>45832</v>
      </c>
      <c r="I106" s="316">
        <v>45894</v>
      </c>
      <c r="J106" s="218"/>
      <c r="K106" s="236"/>
      <c r="L106" s="236"/>
      <c r="M106" s="139"/>
      <c r="N106" s="404">
        <f t="shared" si="3"/>
        <v>180</v>
      </c>
      <c r="O106" s="238"/>
      <c r="P106" s="238"/>
      <c r="Q106" s="238"/>
      <c r="R106" s="239"/>
      <c r="S106" s="239"/>
      <c r="T106" s="240"/>
      <c r="U106" s="216" t="s">
        <v>39</v>
      </c>
      <c r="V106" s="217" t="s">
        <v>54</v>
      </c>
      <c r="W106" s="218"/>
      <c r="X106" s="236">
        <v>45937</v>
      </c>
      <c r="Y106" s="213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</row>
    <row r="107" spans="1:45" s="222" customFormat="1" ht="16.899999999999999" customHeight="1">
      <c r="A107" s="208">
        <v>1</v>
      </c>
      <c r="B107" s="296" t="s">
        <v>622</v>
      </c>
      <c r="C107" s="296" t="s">
        <v>799</v>
      </c>
      <c r="D107" s="296" t="s">
        <v>800</v>
      </c>
      <c r="E107" s="297">
        <v>42</v>
      </c>
      <c r="F107" s="298" t="s">
        <v>8</v>
      </c>
      <c r="G107" s="232" t="s">
        <v>69</v>
      </c>
      <c r="H107" s="316">
        <v>46058</v>
      </c>
      <c r="I107" s="316">
        <v>46071</v>
      </c>
      <c r="J107" s="242">
        <v>46079</v>
      </c>
      <c r="K107" s="213">
        <f>+J107+180</f>
        <v>46259</v>
      </c>
      <c r="L107" s="236"/>
      <c r="M107" s="56"/>
      <c r="N107" s="404">
        <f>M107+180</f>
        <v>180</v>
      </c>
      <c r="O107" s="238"/>
      <c r="P107" s="238"/>
      <c r="Q107" s="238"/>
      <c r="R107" s="238">
        <v>4</v>
      </c>
      <c r="S107" s="238"/>
      <c r="T107" s="240"/>
      <c r="U107" s="216" t="s">
        <v>39</v>
      </c>
      <c r="V107" s="217" t="s">
        <v>54</v>
      </c>
      <c r="W107" s="218"/>
      <c r="X107" s="483">
        <v>46253</v>
      </c>
      <c r="Y107" s="421" t="s">
        <v>1382</v>
      </c>
      <c r="Z107" s="221"/>
      <c r="AA107" s="221"/>
      <c r="AB107" s="221"/>
      <c r="AC107" s="221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221" t="s">
        <v>856</v>
      </c>
      <c r="AO107" s="321"/>
      <c r="AP107" s="310"/>
    </row>
    <row r="108" spans="1:45" s="222" customFormat="1" ht="18" customHeight="1">
      <c r="A108" s="208">
        <v>1</v>
      </c>
      <c r="B108" s="296" t="s">
        <v>622</v>
      </c>
      <c r="C108" s="296" t="s">
        <v>801</v>
      </c>
      <c r="D108" s="296" t="s">
        <v>802</v>
      </c>
      <c r="E108" s="297">
        <v>30</v>
      </c>
      <c r="F108" s="298" t="s">
        <v>29</v>
      </c>
      <c r="G108" s="296" t="s">
        <v>69</v>
      </c>
      <c r="H108" s="395">
        <v>45804</v>
      </c>
      <c r="I108" s="395">
        <v>45894</v>
      </c>
      <c r="J108" s="242">
        <v>45894</v>
      </c>
      <c r="K108" s="213">
        <f>+J108+180</f>
        <v>46074</v>
      </c>
      <c r="L108" s="396" t="s">
        <v>822</v>
      </c>
      <c r="M108" s="56"/>
      <c r="N108" s="404">
        <f t="shared" si="3"/>
        <v>180</v>
      </c>
      <c r="O108" s="238" t="s">
        <v>830</v>
      </c>
      <c r="P108" s="238" t="s">
        <v>849</v>
      </c>
      <c r="Q108" s="238"/>
      <c r="R108" s="238"/>
      <c r="S108" s="238"/>
      <c r="T108" s="240"/>
      <c r="U108" s="216" t="s">
        <v>39</v>
      </c>
      <c r="V108" s="217" t="s">
        <v>53</v>
      </c>
      <c r="W108" s="218"/>
      <c r="X108" s="236">
        <v>46170</v>
      </c>
      <c r="Y108" s="421" t="s">
        <v>1383</v>
      </c>
      <c r="Z108" s="221"/>
      <c r="AA108" s="221"/>
      <c r="AB108" s="221">
        <v>1</v>
      </c>
      <c r="AC108" s="221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221" t="s">
        <v>908</v>
      </c>
      <c r="AO108" s="321" t="s">
        <v>1014</v>
      </c>
      <c r="AP108" s="310" t="s">
        <v>1137</v>
      </c>
      <c r="AQ108" s="312" t="s">
        <v>801</v>
      </c>
      <c r="AR108" s="312" t="s">
        <v>802</v>
      </c>
      <c r="AS108" s="313" t="s">
        <v>1222</v>
      </c>
    </row>
    <row r="109" spans="1:45" s="222" customFormat="1" ht="12.75">
      <c r="A109" s="208">
        <v>1</v>
      </c>
      <c r="B109" s="296" t="s">
        <v>622</v>
      </c>
      <c r="C109" s="296" t="s">
        <v>982</v>
      </c>
      <c r="D109" s="296" t="s">
        <v>983</v>
      </c>
      <c r="E109" s="297">
        <v>35</v>
      </c>
      <c r="F109" s="298" t="s">
        <v>11</v>
      </c>
      <c r="G109" s="232" t="s">
        <v>68</v>
      </c>
      <c r="H109" s="316">
        <v>45925</v>
      </c>
      <c r="I109" s="316">
        <v>45952</v>
      </c>
      <c r="J109" s="242"/>
      <c r="K109" s="236"/>
      <c r="L109" s="236"/>
      <c r="M109" s="411"/>
      <c r="N109" s="404">
        <f t="shared" si="3"/>
        <v>180</v>
      </c>
      <c r="O109" s="239"/>
      <c r="P109" s="239"/>
      <c r="Q109" s="239"/>
      <c r="R109" s="239"/>
      <c r="S109" s="239"/>
      <c r="T109" s="240"/>
      <c r="U109" s="216" t="s">
        <v>39</v>
      </c>
      <c r="V109" s="217" t="s">
        <v>52</v>
      </c>
      <c r="W109" s="218"/>
      <c r="X109" s="236"/>
      <c r="Y109" s="421" t="s">
        <v>1384</v>
      </c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</row>
    <row r="110" spans="1:45" s="222" customFormat="1" ht="18" customHeight="1">
      <c r="A110" s="208">
        <v>1</v>
      </c>
      <c r="B110" s="345" t="s">
        <v>622</v>
      </c>
      <c r="C110" s="345" t="s">
        <v>803</v>
      </c>
      <c r="D110" s="345" t="s">
        <v>804</v>
      </c>
      <c r="E110" s="297">
        <v>55</v>
      </c>
      <c r="F110" s="298" t="s">
        <v>29</v>
      </c>
      <c r="G110" s="295" t="s">
        <v>68</v>
      </c>
      <c r="H110" s="337">
        <v>46057</v>
      </c>
      <c r="I110" s="337">
        <v>46057</v>
      </c>
      <c r="J110" s="242">
        <v>46057</v>
      </c>
      <c r="K110" s="213">
        <f>+J110+180</f>
        <v>46237</v>
      </c>
      <c r="L110" s="236"/>
      <c r="M110" s="56"/>
      <c r="N110" s="404">
        <f t="shared" si="3"/>
        <v>180</v>
      </c>
      <c r="O110" s="238" t="s">
        <v>828</v>
      </c>
      <c r="P110" s="238"/>
      <c r="Q110" s="238"/>
      <c r="R110" s="238"/>
      <c r="S110" s="238"/>
      <c r="T110" s="240"/>
      <c r="U110" s="216" t="s">
        <v>39</v>
      </c>
      <c r="V110" s="217" t="s">
        <v>53</v>
      </c>
      <c r="W110" s="218"/>
      <c r="X110" s="236">
        <v>46188</v>
      </c>
      <c r="Y110" s="421" t="s">
        <v>1385</v>
      </c>
      <c r="Z110" s="221"/>
      <c r="AA110" s="221"/>
      <c r="AB110" s="221"/>
      <c r="AC110" s="221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221" t="s">
        <v>890</v>
      </c>
      <c r="AO110" s="321"/>
      <c r="AP110" s="310"/>
      <c r="AQ110" s="312" t="s">
        <v>803</v>
      </c>
      <c r="AR110" s="312" t="s">
        <v>804</v>
      </c>
      <c r="AS110" s="313" t="s">
        <v>1223</v>
      </c>
    </row>
    <row r="111" spans="1:45" s="222" customFormat="1" ht="18" customHeight="1">
      <c r="A111" s="208">
        <v>1</v>
      </c>
      <c r="B111" s="378" t="s">
        <v>622</v>
      </c>
      <c r="C111" s="378" t="s">
        <v>1081</v>
      </c>
      <c r="D111" s="378" t="s">
        <v>1082</v>
      </c>
      <c r="E111" s="379">
        <v>37</v>
      </c>
      <c r="F111" s="275" t="s">
        <v>17</v>
      </c>
      <c r="G111" s="276" t="s">
        <v>69</v>
      </c>
      <c r="H111" s="327">
        <v>46084</v>
      </c>
      <c r="I111" s="327">
        <v>46121</v>
      </c>
      <c r="J111" s="277">
        <v>46121</v>
      </c>
      <c r="K111" s="278">
        <f>+J111+180</f>
        <v>46301</v>
      </c>
      <c r="L111" s="285"/>
      <c r="M111" s="53"/>
      <c r="N111" s="404">
        <f>M111+180</f>
        <v>180</v>
      </c>
      <c r="O111" s="279"/>
      <c r="P111" s="279"/>
      <c r="Q111" s="279"/>
      <c r="R111" s="279"/>
      <c r="S111" s="279"/>
      <c r="T111" s="281"/>
      <c r="U111" s="282" t="s">
        <v>41</v>
      </c>
      <c r="V111" s="283"/>
      <c r="W111" s="284" t="s">
        <v>618</v>
      </c>
      <c r="X111" s="285">
        <v>46198</v>
      </c>
      <c r="Y111" s="421" t="s">
        <v>1387</v>
      </c>
      <c r="Z111" s="221"/>
      <c r="AA111" s="221"/>
      <c r="AB111" s="221"/>
      <c r="AC111" s="221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221"/>
      <c r="AO111" s="321"/>
      <c r="AP111" s="310"/>
    </row>
    <row r="112" spans="1:45" s="222" customFormat="1" ht="18" customHeight="1">
      <c r="A112" s="349">
        <v>1</v>
      </c>
      <c r="B112" s="345" t="s">
        <v>622</v>
      </c>
      <c r="C112" s="345" t="s">
        <v>984</v>
      </c>
      <c r="D112" s="345" t="s">
        <v>985</v>
      </c>
      <c r="E112" s="308">
        <v>62</v>
      </c>
      <c r="F112" s="308"/>
      <c r="G112" s="295" t="s">
        <v>68</v>
      </c>
      <c r="H112" s="337">
        <v>45834</v>
      </c>
      <c r="I112" s="337">
        <v>45868</v>
      </c>
      <c r="J112" s="218"/>
      <c r="K112" s="236"/>
      <c r="L112" s="236"/>
      <c r="M112" s="56"/>
      <c r="N112" s="404">
        <f t="shared" si="3"/>
        <v>180</v>
      </c>
      <c r="O112" s="238"/>
      <c r="P112" s="238"/>
      <c r="Q112" s="238"/>
      <c r="R112" s="238"/>
      <c r="S112" s="238"/>
      <c r="T112" s="240"/>
      <c r="U112" s="216" t="s">
        <v>39</v>
      </c>
      <c r="V112" s="217" t="s">
        <v>51</v>
      </c>
      <c r="W112" s="218"/>
      <c r="X112" s="236">
        <v>45876</v>
      </c>
      <c r="Y112" s="213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</row>
    <row r="113" spans="1:45" s="222" customFormat="1" ht="18" customHeight="1">
      <c r="A113" s="208">
        <v>1</v>
      </c>
      <c r="B113" s="296" t="s">
        <v>619</v>
      </c>
      <c r="C113" s="296" t="s">
        <v>810</v>
      </c>
      <c r="D113" s="296" t="s">
        <v>333</v>
      </c>
      <c r="E113" s="297">
        <v>49</v>
      </c>
      <c r="F113" s="298" t="s">
        <v>29</v>
      </c>
      <c r="G113" s="232" t="s">
        <v>68</v>
      </c>
      <c r="H113" s="316">
        <v>45821</v>
      </c>
      <c r="I113" s="316">
        <v>45869</v>
      </c>
      <c r="J113" s="242">
        <v>45869</v>
      </c>
      <c r="K113" s="213">
        <f>+J113+180</f>
        <v>46049</v>
      </c>
      <c r="L113" s="278" t="s">
        <v>479</v>
      </c>
      <c r="M113" s="56">
        <v>46054</v>
      </c>
      <c r="N113" s="486">
        <v>46235</v>
      </c>
      <c r="O113" s="238" t="s">
        <v>830</v>
      </c>
      <c r="P113" s="238" t="s">
        <v>829</v>
      </c>
      <c r="Q113" s="238"/>
      <c r="R113" s="239">
        <v>1</v>
      </c>
      <c r="S113" s="239"/>
      <c r="T113" s="240"/>
      <c r="U113" s="216" t="s">
        <v>545</v>
      </c>
      <c r="V113" s="217" t="s">
        <v>55</v>
      </c>
      <c r="W113" s="218"/>
      <c r="X113" s="483">
        <v>46235</v>
      </c>
      <c r="Y113" s="421" t="s">
        <v>1390</v>
      </c>
      <c r="Z113" s="221"/>
      <c r="AA113" s="221"/>
      <c r="AB113" s="221">
        <v>1</v>
      </c>
      <c r="AC113" s="221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221" t="s">
        <v>890</v>
      </c>
      <c r="AO113" s="335"/>
      <c r="AP113" s="310" t="s">
        <v>1250</v>
      </c>
      <c r="AQ113" s="312" t="s">
        <v>810</v>
      </c>
      <c r="AR113" s="312" t="s">
        <v>333</v>
      </c>
      <c r="AS113" s="313" t="s">
        <v>1227</v>
      </c>
    </row>
    <row r="114" spans="1:45" s="361" customFormat="1" ht="18" customHeight="1">
      <c r="A114" s="208">
        <v>1</v>
      </c>
      <c r="B114" s="362" t="s">
        <v>622</v>
      </c>
      <c r="C114" s="362" t="s">
        <v>812</v>
      </c>
      <c r="D114" s="362" t="s">
        <v>813</v>
      </c>
      <c r="E114" s="363">
        <v>52</v>
      </c>
      <c r="F114" s="364"/>
      <c r="G114" s="365" t="s">
        <v>69</v>
      </c>
      <c r="H114" s="389">
        <v>45838</v>
      </c>
      <c r="I114" s="389">
        <v>45895</v>
      </c>
      <c r="J114" s="386"/>
      <c r="K114" s="354">
        <f>+J114+180</f>
        <v>180</v>
      </c>
      <c r="L114" s="367"/>
      <c r="M114" s="56"/>
      <c r="N114" s="404">
        <f t="shared" si="3"/>
        <v>180</v>
      </c>
      <c r="O114" s="368"/>
      <c r="P114" s="368"/>
      <c r="Q114" s="368"/>
      <c r="R114" s="368"/>
      <c r="S114" s="368"/>
      <c r="T114" s="369"/>
      <c r="U114" s="356" t="s">
        <v>1272</v>
      </c>
      <c r="V114" s="357"/>
      <c r="W114" s="366"/>
      <c r="X114" s="374"/>
      <c r="Y114" s="354"/>
      <c r="Z114" s="370"/>
      <c r="AA114" s="370"/>
      <c r="AB114" s="370"/>
      <c r="AC114" s="370"/>
      <c r="AD114" s="371"/>
      <c r="AE114" s="371"/>
      <c r="AF114" s="371"/>
      <c r="AG114" s="371"/>
      <c r="AH114" s="371"/>
      <c r="AI114" s="371"/>
      <c r="AJ114" s="371"/>
      <c r="AK114" s="371"/>
      <c r="AL114" s="371"/>
      <c r="AM114" s="371"/>
      <c r="AN114" s="370" t="s">
        <v>30</v>
      </c>
      <c r="AO114" s="397" t="s">
        <v>1016</v>
      </c>
      <c r="AP114" s="388"/>
    </row>
    <row r="115" spans="1:45" s="288" customFormat="1" ht="18" customHeight="1">
      <c r="A115" s="208">
        <v>1</v>
      </c>
      <c r="B115" s="378" t="s">
        <v>622</v>
      </c>
      <c r="C115" s="378" t="s">
        <v>986</v>
      </c>
      <c r="D115" s="378" t="s">
        <v>987</v>
      </c>
      <c r="E115" s="379">
        <v>25</v>
      </c>
      <c r="F115" s="380"/>
      <c r="G115" s="276" t="s">
        <v>69</v>
      </c>
      <c r="H115" s="327">
        <v>45777</v>
      </c>
      <c r="I115" s="327">
        <v>45859</v>
      </c>
      <c r="J115" s="277">
        <v>45859</v>
      </c>
      <c r="K115" s="285">
        <f>J115+180</f>
        <v>46039</v>
      </c>
      <c r="L115" s="285"/>
      <c r="M115" s="56"/>
      <c r="N115" s="404">
        <f t="shared" si="3"/>
        <v>180</v>
      </c>
      <c r="O115" s="279"/>
      <c r="P115" s="279"/>
      <c r="Q115" s="279"/>
      <c r="R115" s="279"/>
      <c r="S115" s="279"/>
      <c r="T115" s="281">
        <v>1</v>
      </c>
      <c r="U115" s="282" t="s">
        <v>41</v>
      </c>
      <c r="V115" s="283" t="s">
        <v>55</v>
      </c>
      <c r="W115" s="284" t="s">
        <v>46</v>
      </c>
      <c r="X115" s="285">
        <v>45977</v>
      </c>
      <c r="Y115" s="421" t="s">
        <v>1392</v>
      </c>
      <c r="Z115" s="287"/>
      <c r="AA115" s="287"/>
      <c r="AB115" s="287"/>
      <c r="AC115" s="287"/>
      <c r="AD115" s="381"/>
      <c r="AE115" s="381"/>
      <c r="AF115" s="381"/>
      <c r="AG115" s="381"/>
      <c r="AH115" s="381"/>
      <c r="AI115" s="381"/>
      <c r="AJ115" s="381"/>
      <c r="AK115" s="381"/>
      <c r="AL115" s="381"/>
      <c r="AM115" s="381"/>
      <c r="AN115" s="287"/>
    </row>
    <row r="116" spans="1:45" s="222" customFormat="1" ht="18" customHeight="1">
      <c r="A116" s="349">
        <v>1</v>
      </c>
      <c r="B116" s="345" t="s">
        <v>619</v>
      </c>
      <c r="C116" s="345" t="s">
        <v>988</v>
      </c>
      <c r="D116" s="345" t="s">
        <v>989</v>
      </c>
      <c r="E116" s="308">
        <v>46</v>
      </c>
      <c r="F116" s="308" t="s">
        <v>29</v>
      </c>
      <c r="G116" s="197" t="s">
        <v>68</v>
      </c>
      <c r="H116" s="337">
        <v>45796</v>
      </c>
      <c r="I116" s="337">
        <v>45908</v>
      </c>
      <c r="J116" s="218"/>
      <c r="K116" s="236"/>
      <c r="L116" s="213"/>
      <c r="M116" s="56"/>
      <c r="N116" s="404">
        <f t="shared" si="3"/>
        <v>180</v>
      </c>
      <c r="O116" s="238"/>
      <c r="P116" s="238"/>
      <c r="Q116" s="238"/>
      <c r="R116" s="238"/>
      <c r="S116" s="238"/>
      <c r="T116" s="240"/>
      <c r="U116" s="216" t="s">
        <v>39</v>
      </c>
      <c r="V116" s="217" t="s">
        <v>34</v>
      </c>
      <c r="W116" s="218"/>
      <c r="X116" s="236">
        <v>46034</v>
      </c>
      <c r="Y116" s="421" t="s">
        <v>1393</v>
      </c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</row>
    <row r="117" spans="1:45" s="222" customFormat="1" ht="15.75" customHeight="1">
      <c r="A117" s="208">
        <v>1</v>
      </c>
      <c r="B117" s="345" t="s">
        <v>619</v>
      </c>
      <c r="C117" s="345" t="s">
        <v>814</v>
      </c>
      <c r="D117" s="345" t="s">
        <v>815</v>
      </c>
      <c r="E117" s="308">
        <v>36</v>
      </c>
      <c r="F117" s="298" t="s">
        <v>17</v>
      </c>
      <c r="G117" s="295" t="s">
        <v>68</v>
      </c>
      <c r="H117" s="337">
        <v>45841</v>
      </c>
      <c r="I117" s="337">
        <v>45859</v>
      </c>
      <c r="J117" s="242">
        <v>45859</v>
      </c>
      <c r="K117" s="213">
        <f>+J117+180</f>
        <v>46039</v>
      </c>
      <c r="L117" s="278" t="s">
        <v>479</v>
      </c>
      <c r="M117" s="413">
        <v>46044</v>
      </c>
      <c r="N117" s="404">
        <f>M117+180</f>
        <v>46224</v>
      </c>
      <c r="O117" s="238" t="s">
        <v>850</v>
      </c>
      <c r="P117" s="238" t="s">
        <v>829</v>
      </c>
      <c r="Q117" s="238"/>
      <c r="R117" s="238">
        <v>6</v>
      </c>
      <c r="S117" s="238">
        <v>1</v>
      </c>
      <c r="T117" s="240"/>
      <c r="U117" s="216" t="s">
        <v>545</v>
      </c>
      <c r="V117" s="217" t="s">
        <v>54</v>
      </c>
      <c r="W117" s="218"/>
      <c r="X117" s="483">
        <v>46224</v>
      </c>
      <c r="Y117" s="421" t="s">
        <v>1394</v>
      </c>
      <c r="Z117" s="221"/>
      <c r="AA117" s="221"/>
      <c r="AB117" s="221">
        <v>1</v>
      </c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>
        <v>1</v>
      </c>
      <c r="AN117" s="221" t="s">
        <v>1262</v>
      </c>
      <c r="AO117" s="310"/>
      <c r="AP117" s="310" t="s">
        <v>1250</v>
      </c>
      <c r="AQ117" s="312" t="s">
        <v>814</v>
      </c>
      <c r="AR117" s="312" t="s">
        <v>815</v>
      </c>
      <c r="AS117" s="313" t="s">
        <v>1228</v>
      </c>
    </row>
    <row r="118" spans="1:45" s="222" customFormat="1" ht="12.75">
      <c r="A118" s="208">
        <v>1</v>
      </c>
      <c r="B118" s="296" t="s">
        <v>619</v>
      </c>
      <c r="C118" s="296" t="s">
        <v>990</v>
      </c>
      <c r="D118" s="296" t="s">
        <v>991</v>
      </c>
      <c r="E118" s="297">
        <v>46</v>
      </c>
      <c r="F118" s="298"/>
      <c r="G118" s="232" t="s">
        <v>69</v>
      </c>
      <c r="H118" s="316">
        <v>45834</v>
      </c>
      <c r="I118" s="316">
        <v>45901</v>
      </c>
      <c r="J118" s="242">
        <v>45901</v>
      </c>
      <c r="K118" s="236">
        <f>J118+180</f>
        <v>46081</v>
      </c>
      <c r="L118" s="213"/>
      <c r="M118" s="56"/>
      <c r="N118" s="404">
        <f t="shared" si="3"/>
        <v>180</v>
      </c>
      <c r="O118" s="239"/>
      <c r="P118" s="239"/>
      <c r="Q118" s="239"/>
      <c r="R118" s="239"/>
      <c r="S118" s="239"/>
      <c r="T118" s="240"/>
      <c r="U118" s="216" t="s">
        <v>39</v>
      </c>
      <c r="V118" s="217" t="s">
        <v>53</v>
      </c>
      <c r="W118" s="218"/>
      <c r="X118" s="236">
        <v>45978</v>
      </c>
      <c r="Y118" s="421" t="s">
        <v>1395</v>
      </c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</row>
    <row r="119" spans="1:45" s="222" customFormat="1" ht="12.75">
      <c r="A119" s="208">
        <v>1</v>
      </c>
      <c r="B119" s="296" t="s">
        <v>622</v>
      </c>
      <c r="C119" s="296" t="s">
        <v>992</v>
      </c>
      <c r="D119" s="296" t="s">
        <v>993</v>
      </c>
      <c r="E119" s="297">
        <v>44</v>
      </c>
      <c r="F119" s="298"/>
      <c r="G119" s="232" t="s">
        <v>68</v>
      </c>
      <c r="H119" s="316">
        <v>45831</v>
      </c>
      <c r="I119" s="316">
        <v>45897</v>
      </c>
      <c r="J119" s="242">
        <v>45897</v>
      </c>
      <c r="K119" s="236">
        <f>J119+180</f>
        <v>46077</v>
      </c>
      <c r="L119" s="213"/>
      <c r="M119" s="56"/>
      <c r="N119" s="404">
        <f t="shared" si="3"/>
        <v>180</v>
      </c>
      <c r="O119" s="239"/>
      <c r="P119" s="239"/>
      <c r="Q119" s="238"/>
      <c r="R119" s="238"/>
      <c r="S119" s="238"/>
      <c r="T119" s="240"/>
      <c r="U119" s="216" t="s">
        <v>39</v>
      </c>
      <c r="V119" s="217" t="s">
        <v>53</v>
      </c>
      <c r="W119" s="218"/>
      <c r="X119" s="236">
        <v>46010</v>
      </c>
      <c r="Y119" s="421" t="s">
        <v>1396</v>
      </c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</row>
    <row r="120" spans="1:45" s="222" customFormat="1" ht="25.5">
      <c r="A120" s="349">
        <v>1</v>
      </c>
      <c r="B120" s="296" t="s">
        <v>622</v>
      </c>
      <c r="C120" s="296" t="s">
        <v>994</v>
      </c>
      <c r="D120" s="296" t="s">
        <v>995</v>
      </c>
      <c r="E120" s="297">
        <v>30</v>
      </c>
      <c r="F120" s="298" t="s">
        <v>29</v>
      </c>
      <c r="G120" s="232" t="s">
        <v>74</v>
      </c>
      <c r="H120" s="316">
        <v>45942</v>
      </c>
      <c r="I120" s="316">
        <v>46035</v>
      </c>
      <c r="J120" s="242"/>
      <c r="K120" s="236"/>
      <c r="L120" s="213"/>
      <c r="M120" s="56"/>
      <c r="N120" s="404">
        <f t="shared" si="3"/>
        <v>180</v>
      </c>
      <c r="O120" s="238"/>
      <c r="P120" s="238"/>
      <c r="Q120" s="238"/>
      <c r="R120" s="239"/>
      <c r="S120" s="239"/>
      <c r="T120" s="240"/>
      <c r="U120" s="216" t="s">
        <v>42</v>
      </c>
      <c r="V120" s="217"/>
      <c r="W120" s="218"/>
      <c r="X120" s="236">
        <v>46092</v>
      </c>
      <c r="Y120" s="24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</row>
    <row r="121" spans="1:45" s="222" customFormat="1" ht="18" customHeight="1">
      <c r="A121" s="208">
        <v>1</v>
      </c>
      <c r="B121" s="345" t="s">
        <v>619</v>
      </c>
      <c r="C121" s="345" t="s">
        <v>818</v>
      </c>
      <c r="D121" s="345" t="s">
        <v>819</v>
      </c>
      <c r="E121" s="308">
        <v>61</v>
      </c>
      <c r="F121" s="308" t="s">
        <v>29</v>
      </c>
      <c r="G121" s="197" t="s">
        <v>69</v>
      </c>
      <c r="H121" s="337">
        <v>45838</v>
      </c>
      <c r="I121" s="337">
        <v>45896</v>
      </c>
      <c r="J121" s="242">
        <v>45896</v>
      </c>
      <c r="K121" s="213">
        <f>+J121+180</f>
        <v>46076</v>
      </c>
      <c r="L121" s="214" t="s">
        <v>479</v>
      </c>
      <c r="M121" s="56">
        <v>46081</v>
      </c>
      <c r="N121" s="404">
        <f>M121+180</f>
        <v>46261</v>
      </c>
      <c r="O121" s="238" t="s">
        <v>851</v>
      </c>
      <c r="P121" s="238" t="s">
        <v>829</v>
      </c>
      <c r="Q121" s="238"/>
      <c r="R121" s="238">
        <v>17</v>
      </c>
      <c r="S121" s="238"/>
      <c r="T121" s="240"/>
      <c r="U121" s="216" t="s">
        <v>545</v>
      </c>
      <c r="V121" s="217" t="s">
        <v>55</v>
      </c>
      <c r="W121" s="218"/>
      <c r="X121" s="483">
        <v>46252</v>
      </c>
      <c r="Y121" s="421" t="s">
        <v>1397</v>
      </c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 t="s">
        <v>909</v>
      </c>
      <c r="AO121" s="348" t="s">
        <v>1139</v>
      </c>
      <c r="AP121" s="348" t="s">
        <v>1054</v>
      </c>
      <c r="AQ121" s="312" t="s">
        <v>818</v>
      </c>
      <c r="AR121" s="312" t="s">
        <v>819</v>
      </c>
      <c r="AS121" s="313" t="s">
        <v>1229</v>
      </c>
    </row>
    <row r="122" spans="1:45" s="52" customFormat="1" ht="18" customHeight="1">
      <c r="A122" s="82"/>
      <c r="B122" s="83"/>
      <c r="C122" s="83"/>
      <c r="D122" s="83"/>
      <c r="E122" s="84"/>
      <c r="F122" s="57"/>
      <c r="G122" s="83"/>
      <c r="H122" s="105"/>
      <c r="I122" s="105"/>
      <c r="J122" s="56"/>
      <c r="K122" s="85"/>
      <c r="L122" s="85"/>
      <c r="M122" s="56"/>
      <c r="N122" s="404">
        <f t="shared" ref="N122:N185" si="5">M122+180</f>
        <v>180</v>
      </c>
      <c r="O122" s="86"/>
      <c r="P122" s="86"/>
      <c r="Q122" s="86"/>
      <c r="R122" s="87"/>
      <c r="S122" s="87"/>
      <c r="T122" s="81"/>
      <c r="U122" s="90"/>
      <c r="V122" s="91"/>
      <c r="W122" s="54"/>
      <c r="X122" s="85"/>
      <c r="Y122" s="129"/>
      <c r="Z122" s="55"/>
      <c r="AA122" s="55"/>
      <c r="AB122" s="55"/>
      <c r="AC122" s="55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5"/>
    </row>
    <row r="123" spans="1:45" s="52" customFormat="1" ht="18" customHeight="1">
      <c r="A123" s="79"/>
      <c r="B123" s="83"/>
      <c r="C123" s="83"/>
      <c r="D123" s="83"/>
      <c r="E123" s="84"/>
      <c r="F123" s="57"/>
      <c r="G123" s="83"/>
      <c r="H123" s="105"/>
      <c r="I123" s="105"/>
      <c r="J123" s="56"/>
      <c r="K123" s="85"/>
      <c r="L123" s="85"/>
      <c r="M123" s="56"/>
      <c r="N123" s="404">
        <f t="shared" si="5"/>
        <v>180</v>
      </c>
      <c r="O123" s="86"/>
      <c r="P123" s="86"/>
      <c r="Q123" s="86"/>
      <c r="R123" s="86"/>
      <c r="S123" s="86"/>
      <c r="T123" s="81"/>
      <c r="U123" s="90"/>
      <c r="V123" s="91"/>
      <c r="W123" s="54"/>
      <c r="X123" s="85"/>
      <c r="Y123" s="129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</row>
    <row r="124" spans="1:45" s="52" customFormat="1">
      <c r="A124" s="82"/>
      <c r="B124" s="83"/>
      <c r="C124" s="83"/>
      <c r="D124" s="83"/>
      <c r="E124" s="84"/>
      <c r="F124" s="57"/>
      <c r="G124" s="83"/>
      <c r="H124" s="105"/>
      <c r="I124" s="105"/>
      <c r="J124" s="56"/>
      <c r="K124" s="85"/>
      <c r="L124" s="85"/>
      <c r="M124" s="56"/>
      <c r="N124" s="404">
        <f t="shared" si="5"/>
        <v>180</v>
      </c>
      <c r="O124" s="86"/>
      <c r="P124" s="86"/>
      <c r="Q124" s="86"/>
      <c r="R124" s="86"/>
      <c r="S124" s="86"/>
      <c r="T124" s="81"/>
      <c r="U124" s="90"/>
      <c r="V124" s="91"/>
      <c r="W124" s="54"/>
      <c r="X124" s="85"/>
      <c r="Y124" s="129"/>
      <c r="Z124" s="55"/>
      <c r="AA124" s="55"/>
      <c r="AB124" s="55"/>
      <c r="AC124" s="55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5"/>
    </row>
    <row r="125" spans="1:45" s="52" customFormat="1" ht="18" customHeight="1">
      <c r="A125" s="79"/>
      <c r="B125" s="83"/>
      <c r="C125" s="83"/>
      <c r="D125" s="83"/>
      <c r="E125" s="84"/>
      <c r="F125" s="57"/>
      <c r="G125" s="83"/>
      <c r="H125" s="105"/>
      <c r="I125" s="105"/>
      <c r="J125" s="56"/>
      <c r="K125" s="85"/>
      <c r="L125" s="147"/>
      <c r="M125" s="56"/>
      <c r="N125" s="404">
        <f t="shared" si="5"/>
        <v>180</v>
      </c>
      <c r="O125" s="87"/>
      <c r="P125" s="87"/>
      <c r="Q125" s="87"/>
      <c r="R125" s="87"/>
      <c r="S125" s="87"/>
      <c r="T125" s="81"/>
      <c r="U125" s="90"/>
      <c r="V125" s="91"/>
      <c r="W125" s="54"/>
      <c r="X125" s="148"/>
      <c r="Y125" s="129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</row>
    <row r="126" spans="1:45" s="52" customFormat="1">
      <c r="A126" s="82"/>
      <c r="B126" s="83"/>
      <c r="C126" s="83"/>
      <c r="D126" s="83"/>
      <c r="E126" s="84"/>
      <c r="F126" s="57"/>
      <c r="G126" s="83"/>
      <c r="H126" s="105"/>
      <c r="I126" s="105"/>
      <c r="J126" s="56"/>
      <c r="K126" s="85"/>
      <c r="L126" s="85"/>
      <c r="M126" s="56"/>
      <c r="N126" s="404">
        <f t="shared" si="5"/>
        <v>180</v>
      </c>
      <c r="O126" s="86"/>
      <c r="P126" s="86"/>
      <c r="Q126" s="86"/>
      <c r="R126" s="87"/>
      <c r="S126" s="87"/>
      <c r="T126" s="81"/>
      <c r="U126" s="90"/>
      <c r="V126" s="91"/>
      <c r="W126" s="54"/>
      <c r="X126" s="85"/>
      <c r="Y126" s="129"/>
      <c r="Z126" s="55"/>
      <c r="AA126" s="55"/>
      <c r="AB126" s="55"/>
      <c r="AC126" s="55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5"/>
    </row>
    <row r="127" spans="1:45" s="52" customFormat="1" ht="18" customHeight="1">
      <c r="A127" s="79"/>
      <c r="B127" s="83"/>
      <c r="C127" s="83"/>
      <c r="D127" s="83"/>
      <c r="E127" s="84"/>
      <c r="F127" s="57"/>
      <c r="G127" s="83"/>
      <c r="H127" s="105"/>
      <c r="I127" s="105"/>
      <c r="J127" s="56"/>
      <c r="K127" s="85"/>
      <c r="L127" s="85"/>
      <c r="M127" s="150"/>
      <c r="N127" s="404">
        <f t="shared" si="5"/>
        <v>180</v>
      </c>
      <c r="O127" s="86"/>
      <c r="P127" s="86"/>
      <c r="Q127" s="86"/>
      <c r="R127" s="87"/>
      <c r="S127" s="87"/>
      <c r="T127" s="81"/>
      <c r="U127" s="90"/>
      <c r="V127" s="91"/>
      <c r="W127" s="54"/>
      <c r="X127" s="85"/>
      <c r="Y127" s="129"/>
      <c r="Z127" s="55"/>
      <c r="AA127" s="55"/>
      <c r="AB127" s="55"/>
      <c r="AC127" s="55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5"/>
    </row>
    <row r="128" spans="1:45" s="52" customFormat="1" ht="18" customHeight="1">
      <c r="A128" s="82"/>
      <c r="B128" s="83"/>
      <c r="C128" s="83"/>
      <c r="D128" s="83"/>
      <c r="E128" s="80"/>
      <c r="F128" s="57"/>
      <c r="G128" s="83"/>
      <c r="H128" s="105"/>
      <c r="I128" s="105"/>
      <c r="J128" s="56"/>
      <c r="K128" s="85"/>
      <c r="L128" s="85"/>
      <c r="M128" s="155"/>
      <c r="N128" s="404">
        <f t="shared" si="5"/>
        <v>180</v>
      </c>
      <c r="O128" s="87"/>
      <c r="P128" s="87"/>
      <c r="Q128" s="87"/>
      <c r="R128" s="87"/>
      <c r="S128" s="87"/>
      <c r="T128" s="81"/>
      <c r="U128" s="90"/>
      <c r="V128" s="91"/>
      <c r="W128" s="54"/>
      <c r="X128" s="85"/>
      <c r="Y128" s="89"/>
      <c r="Z128" s="55"/>
      <c r="AA128" s="55"/>
      <c r="AB128" s="55"/>
      <c r="AC128" s="55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5"/>
    </row>
    <row r="129" spans="1:46" s="154" customFormat="1">
      <c r="A129" s="53"/>
      <c r="B129" s="149"/>
      <c r="C129" s="149"/>
      <c r="D129" s="149"/>
      <c r="E129" s="150"/>
      <c r="F129" s="151"/>
      <c r="G129" s="146"/>
      <c r="H129" s="145"/>
      <c r="I129" s="145"/>
      <c r="J129" s="150"/>
      <c r="K129" s="152"/>
      <c r="L129" s="152"/>
      <c r="M129" s="155"/>
      <c r="N129" s="404">
        <f t="shared" si="5"/>
        <v>180</v>
      </c>
      <c r="O129" s="150"/>
      <c r="P129" s="150"/>
      <c r="Q129" s="150"/>
      <c r="R129" s="150"/>
      <c r="S129" s="150"/>
      <c r="T129" s="150"/>
      <c r="U129" s="81"/>
      <c r="V129" s="149"/>
      <c r="W129" s="149"/>
      <c r="X129" s="152"/>
      <c r="Y129" s="89"/>
      <c r="Z129" s="153"/>
      <c r="AA129" s="153"/>
      <c r="AB129" s="153"/>
      <c r="AC129" s="153"/>
      <c r="AD129" s="149"/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53"/>
    </row>
    <row r="130" spans="1:46" s="154" customFormat="1">
      <c r="A130" s="52"/>
      <c r="E130" s="155"/>
      <c r="F130" s="156"/>
      <c r="G130" s="157"/>
      <c r="H130" s="158"/>
      <c r="I130" s="158"/>
      <c r="J130" s="155"/>
      <c r="K130" s="159"/>
      <c r="L130" s="159"/>
      <c r="M130" s="155"/>
      <c r="N130" s="404">
        <f t="shared" si="5"/>
        <v>180</v>
      </c>
      <c r="O130" s="155"/>
      <c r="P130" s="155"/>
      <c r="Q130" s="155"/>
      <c r="R130" s="155"/>
      <c r="S130" s="155"/>
      <c r="T130" s="155"/>
      <c r="U130" s="160"/>
      <c r="X130" s="159"/>
      <c r="Y130" s="159"/>
      <c r="Z130" s="161"/>
      <c r="AA130" s="161"/>
      <c r="AB130" s="161"/>
      <c r="AC130" s="161"/>
      <c r="AN130" s="161"/>
    </row>
    <row r="131" spans="1:46" s="154" customFormat="1">
      <c r="A131" s="52"/>
      <c r="E131" s="155"/>
      <c r="F131" s="156"/>
      <c r="G131" s="162"/>
      <c r="H131" s="158"/>
      <c r="I131" s="158"/>
      <c r="J131" s="155"/>
      <c r="K131" s="159"/>
      <c r="L131" s="159"/>
      <c r="M131" s="155"/>
      <c r="N131" s="404">
        <f t="shared" si="5"/>
        <v>180</v>
      </c>
      <c r="O131" s="155"/>
      <c r="P131" s="155"/>
      <c r="Q131" s="155"/>
      <c r="R131" s="155"/>
      <c r="S131" s="155"/>
      <c r="T131" s="155"/>
      <c r="U131" s="160"/>
      <c r="X131" s="159"/>
      <c r="Y131" s="159"/>
      <c r="Z131" s="161"/>
      <c r="AA131" s="161"/>
      <c r="AB131" s="161"/>
      <c r="AC131" s="161"/>
      <c r="AN131" s="161"/>
    </row>
    <row r="132" spans="1:46" s="154" customFormat="1">
      <c r="A132" s="52"/>
      <c r="E132" s="155"/>
      <c r="F132" s="156"/>
      <c r="G132" s="162"/>
      <c r="H132" s="158"/>
      <c r="I132" s="158"/>
      <c r="J132" s="155"/>
      <c r="K132" s="159"/>
      <c r="L132" s="159"/>
      <c r="M132" s="155"/>
      <c r="N132" s="404">
        <f t="shared" si="5"/>
        <v>180</v>
      </c>
      <c r="O132" s="155"/>
      <c r="P132" s="155"/>
      <c r="Q132" s="155"/>
      <c r="R132" s="155"/>
      <c r="S132" s="155"/>
      <c r="T132" s="155"/>
      <c r="U132" s="160"/>
      <c r="X132" s="159"/>
      <c r="Y132" s="159"/>
      <c r="Z132" s="161"/>
      <c r="AA132" s="161"/>
      <c r="AB132" s="161"/>
      <c r="AC132" s="161"/>
      <c r="AN132" s="161"/>
    </row>
    <row r="133" spans="1:46" s="154" customFormat="1">
      <c r="A133" s="52"/>
      <c r="E133" s="155"/>
      <c r="F133" s="156"/>
      <c r="G133" s="162"/>
      <c r="H133" s="158"/>
      <c r="I133" s="158"/>
      <c r="J133" s="155"/>
      <c r="K133" s="159"/>
      <c r="L133" s="159"/>
      <c r="M133" s="155"/>
      <c r="N133" s="404">
        <f t="shared" si="5"/>
        <v>180</v>
      </c>
      <c r="O133" s="155"/>
      <c r="P133" s="155"/>
      <c r="Q133" s="155"/>
      <c r="R133" s="155"/>
      <c r="S133" s="155"/>
      <c r="T133" s="155"/>
      <c r="U133" s="160"/>
      <c r="X133" s="159"/>
      <c r="Y133" s="159"/>
      <c r="Z133" s="161"/>
      <c r="AA133" s="161"/>
      <c r="AB133" s="161"/>
      <c r="AC133" s="161"/>
      <c r="AN133" s="161"/>
    </row>
    <row r="134" spans="1:46">
      <c r="M134" s="155"/>
      <c r="N134" s="404">
        <f t="shared" si="5"/>
        <v>180</v>
      </c>
    </row>
    <row r="135" spans="1:46" s="76" customFormat="1">
      <c r="A135" s="52"/>
      <c r="B135" s="61"/>
      <c r="C135" s="73"/>
      <c r="D135" s="73"/>
      <c r="E135" s="74"/>
      <c r="F135" s="75"/>
      <c r="G135" s="48"/>
      <c r="H135" s="106"/>
      <c r="I135" s="106"/>
      <c r="K135" s="77"/>
      <c r="L135" s="77"/>
      <c r="M135" s="155"/>
      <c r="N135" s="404">
        <f t="shared" si="5"/>
        <v>180</v>
      </c>
      <c r="T135" s="74"/>
      <c r="U135" s="64"/>
      <c r="V135" s="61"/>
      <c r="W135" s="61"/>
      <c r="X135" s="77"/>
      <c r="Y135" s="77"/>
      <c r="Z135" s="62"/>
      <c r="AA135" s="62"/>
      <c r="AB135" s="62"/>
      <c r="AC135" s="62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2"/>
      <c r="AO135" s="61"/>
      <c r="AP135" s="61"/>
      <c r="AQ135" s="61"/>
      <c r="AR135" s="61"/>
      <c r="AS135" s="61"/>
      <c r="AT135" s="61"/>
    </row>
    <row r="136" spans="1:46" s="76" customFormat="1">
      <c r="A136" s="52"/>
      <c r="B136" s="61"/>
      <c r="C136" s="73"/>
      <c r="D136" s="73"/>
      <c r="E136" s="74"/>
      <c r="F136" s="75"/>
      <c r="G136" s="48"/>
      <c r="H136" s="106"/>
      <c r="I136" s="106"/>
      <c r="K136" s="77"/>
      <c r="L136" s="77"/>
      <c r="M136" s="155"/>
      <c r="N136" s="404">
        <f t="shared" si="5"/>
        <v>180</v>
      </c>
      <c r="T136" s="74"/>
      <c r="U136" s="64"/>
      <c r="V136" s="61"/>
      <c r="W136" s="61"/>
      <c r="X136" s="77"/>
      <c r="Y136" s="77"/>
      <c r="Z136" s="62"/>
      <c r="AA136" s="62"/>
      <c r="AB136" s="62"/>
      <c r="AC136" s="62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2"/>
      <c r="AO136" s="61"/>
      <c r="AP136" s="61"/>
      <c r="AQ136" s="61"/>
      <c r="AR136" s="61"/>
      <c r="AS136" s="61"/>
      <c r="AT136" s="61"/>
    </row>
    <row r="137" spans="1:46" s="76" customFormat="1">
      <c r="A137" s="52"/>
      <c r="B137" s="61"/>
      <c r="C137" s="73"/>
      <c r="D137" s="73"/>
      <c r="E137" s="74"/>
      <c r="F137" s="75"/>
      <c r="G137" s="48"/>
      <c r="H137" s="106"/>
      <c r="I137" s="106"/>
      <c r="K137" s="77"/>
      <c r="L137" s="77"/>
      <c r="M137" s="155"/>
      <c r="N137" s="404">
        <f t="shared" si="5"/>
        <v>180</v>
      </c>
      <c r="T137" s="74"/>
      <c r="U137" s="64"/>
      <c r="V137" s="61"/>
      <c r="W137" s="61"/>
      <c r="X137" s="77"/>
      <c r="Y137" s="77"/>
      <c r="Z137" s="62"/>
      <c r="AA137" s="62"/>
      <c r="AB137" s="62"/>
      <c r="AC137" s="62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2"/>
      <c r="AO137" s="61"/>
      <c r="AP137" s="61"/>
      <c r="AQ137" s="61"/>
      <c r="AR137" s="61"/>
      <c r="AS137" s="61"/>
      <c r="AT137" s="61"/>
    </row>
    <row r="138" spans="1:46" s="76" customFormat="1">
      <c r="A138" s="52"/>
      <c r="B138" s="61"/>
      <c r="C138" s="73"/>
      <c r="D138" s="73"/>
      <c r="E138" s="74"/>
      <c r="F138" s="75"/>
      <c r="G138" s="48"/>
      <c r="H138" s="106"/>
      <c r="I138" s="106"/>
      <c r="K138" s="77"/>
      <c r="L138" s="77"/>
      <c r="M138" s="155"/>
      <c r="N138" s="404">
        <f t="shared" si="5"/>
        <v>180</v>
      </c>
      <c r="T138" s="74"/>
      <c r="U138" s="64"/>
      <c r="V138" s="61"/>
      <c r="W138" s="61"/>
      <c r="X138" s="77"/>
      <c r="Y138" s="77"/>
      <c r="Z138" s="62"/>
      <c r="AA138" s="62"/>
      <c r="AB138" s="62"/>
      <c r="AC138" s="62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2"/>
      <c r="AO138" s="61"/>
      <c r="AP138" s="61"/>
      <c r="AQ138" s="61"/>
      <c r="AR138" s="61"/>
      <c r="AS138" s="61"/>
      <c r="AT138" s="61"/>
    </row>
    <row r="139" spans="1:46" s="76" customFormat="1">
      <c r="A139" s="52"/>
      <c r="B139" s="61"/>
      <c r="C139" s="73"/>
      <c r="D139" s="73"/>
      <c r="E139" s="74"/>
      <c r="F139" s="75"/>
      <c r="G139" s="48"/>
      <c r="H139" s="106"/>
      <c r="I139" s="106"/>
      <c r="K139" s="77"/>
      <c r="L139" s="77"/>
      <c r="M139" s="155"/>
      <c r="N139" s="404">
        <f t="shared" si="5"/>
        <v>180</v>
      </c>
      <c r="T139" s="74"/>
      <c r="U139" s="64"/>
      <c r="V139" s="61"/>
      <c r="W139" s="61"/>
      <c r="X139" s="77"/>
      <c r="Y139" s="77"/>
      <c r="Z139" s="62"/>
      <c r="AA139" s="62"/>
      <c r="AB139" s="62"/>
      <c r="AC139" s="62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2"/>
      <c r="AO139" s="61"/>
      <c r="AP139" s="61"/>
      <c r="AQ139" s="61"/>
      <c r="AR139" s="61"/>
      <c r="AS139" s="61"/>
      <c r="AT139" s="61"/>
    </row>
    <row r="140" spans="1:46" s="76" customFormat="1">
      <c r="A140" s="52"/>
      <c r="B140" s="61"/>
      <c r="C140" s="73"/>
      <c r="D140" s="73"/>
      <c r="E140" s="74"/>
      <c r="F140" s="75"/>
      <c r="G140" s="48"/>
      <c r="H140" s="106"/>
      <c r="I140" s="106"/>
      <c r="K140" s="77"/>
      <c r="L140" s="77"/>
      <c r="M140" s="155"/>
      <c r="N140" s="404">
        <f t="shared" si="5"/>
        <v>180</v>
      </c>
      <c r="T140" s="74"/>
      <c r="U140" s="64"/>
      <c r="V140" s="61"/>
      <c r="W140" s="61"/>
      <c r="X140" s="77"/>
      <c r="Y140" s="77"/>
      <c r="Z140" s="62"/>
      <c r="AA140" s="62"/>
      <c r="AB140" s="62"/>
      <c r="AC140" s="62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2"/>
      <c r="AO140" s="61"/>
      <c r="AP140" s="61"/>
      <c r="AQ140" s="61"/>
      <c r="AR140" s="61"/>
      <c r="AS140" s="61"/>
      <c r="AT140" s="61"/>
    </row>
    <row r="141" spans="1:46" s="76" customFormat="1">
      <c r="A141" s="52"/>
      <c r="B141" s="61"/>
      <c r="C141" s="73"/>
      <c r="D141" s="73"/>
      <c r="E141" s="74"/>
      <c r="F141" s="75"/>
      <c r="G141" s="48"/>
      <c r="H141" s="106"/>
      <c r="I141" s="106"/>
      <c r="K141" s="77"/>
      <c r="L141" s="77"/>
      <c r="M141" s="155"/>
      <c r="N141" s="404">
        <f t="shared" si="5"/>
        <v>180</v>
      </c>
      <c r="T141" s="74"/>
      <c r="U141" s="64"/>
      <c r="V141" s="61"/>
      <c r="W141" s="61"/>
      <c r="X141" s="77"/>
      <c r="Y141" s="77"/>
      <c r="Z141" s="62"/>
      <c r="AA141" s="62"/>
      <c r="AB141" s="62"/>
      <c r="AC141" s="62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2"/>
      <c r="AO141" s="61"/>
      <c r="AP141" s="61"/>
      <c r="AQ141" s="61"/>
      <c r="AR141" s="61"/>
      <c r="AS141" s="61"/>
      <c r="AT141" s="61"/>
    </row>
    <row r="142" spans="1:46" s="76" customFormat="1">
      <c r="A142" s="52"/>
      <c r="B142" s="61"/>
      <c r="C142" s="73"/>
      <c r="D142" s="73"/>
      <c r="E142" s="74"/>
      <c r="F142" s="75"/>
      <c r="G142" s="48"/>
      <c r="H142" s="106"/>
      <c r="I142" s="106"/>
      <c r="K142" s="77"/>
      <c r="L142" s="77"/>
      <c r="M142" s="155"/>
      <c r="N142" s="404">
        <f t="shared" si="5"/>
        <v>180</v>
      </c>
      <c r="T142" s="74"/>
      <c r="U142" s="64"/>
      <c r="V142" s="61"/>
      <c r="W142" s="61"/>
      <c r="X142" s="77"/>
      <c r="Y142" s="77"/>
      <c r="Z142" s="62"/>
      <c r="AA142" s="62"/>
      <c r="AB142" s="62"/>
      <c r="AC142" s="62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2"/>
      <c r="AO142" s="61"/>
      <c r="AP142" s="61"/>
      <c r="AQ142" s="61"/>
      <c r="AR142" s="61"/>
      <c r="AS142" s="61"/>
      <c r="AT142" s="61"/>
    </row>
    <row r="143" spans="1:46" s="76" customFormat="1">
      <c r="A143" s="52"/>
      <c r="B143" s="61"/>
      <c r="C143" s="73"/>
      <c r="D143" s="73"/>
      <c r="E143" s="74"/>
      <c r="F143" s="75"/>
      <c r="G143" s="48"/>
      <c r="H143" s="106"/>
      <c r="I143" s="106"/>
      <c r="K143" s="77"/>
      <c r="L143" s="77"/>
      <c r="M143" s="155"/>
      <c r="N143" s="404">
        <f t="shared" si="5"/>
        <v>180</v>
      </c>
      <c r="T143" s="74"/>
      <c r="U143" s="64"/>
      <c r="V143" s="61"/>
      <c r="W143" s="61"/>
      <c r="X143" s="77"/>
      <c r="Y143" s="77"/>
      <c r="Z143" s="62"/>
      <c r="AA143" s="62"/>
      <c r="AB143" s="62"/>
      <c r="AC143" s="62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2"/>
      <c r="AO143" s="61"/>
      <c r="AP143" s="61"/>
      <c r="AQ143" s="61"/>
      <c r="AR143" s="61"/>
      <c r="AS143" s="61"/>
      <c r="AT143" s="61"/>
    </row>
    <row r="144" spans="1:46" s="76" customFormat="1">
      <c r="A144" s="52"/>
      <c r="B144" s="61"/>
      <c r="C144" s="73"/>
      <c r="D144" s="73"/>
      <c r="E144" s="74"/>
      <c r="F144" s="75"/>
      <c r="G144" s="48"/>
      <c r="H144" s="106"/>
      <c r="I144" s="106"/>
      <c r="K144" s="77"/>
      <c r="L144" s="77"/>
      <c r="M144" s="155"/>
      <c r="N144" s="404">
        <f t="shared" si="5"/>
        <v>180</v>
      </c>
      <c r="T144" s="74"/>
      <c r="U144" s="64"/>
      <c r="V144" s="61"/>
      <c r="W144" s="61"/>
      <c r="X144" s="77"/>
      <c r="Y144" s="77"/>
      <c r="Z144" s="62"/>
      <c r="AA144" s="62"/>
      <c r="AB144" s="62"/>
      <c r="AC144" s="62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2"/>
      <c r="AO144" s="61"/>
      <c r="AP144" s="61"/>
      <c r="AQ144" s="61"/>
      <c r="AR144" s="61"/>
      <c r="AS144" s="61"/>
      <c r="AT144" s="61"/>
    </row>
    <row r="145" spans="1:46" s="76" customFormat="1">
      <c r="A145" s="52"/>
      <c r="B145" s="61"/>
      <c r="C145" s="73"/>
      <c r="D145" s="73"/>
      <c r="E145" s="74"/>
      <c r="F145" s="75"/>
      <c r="G145" s="48"/>
      <c r="H145" s="106"/>
      <c r="I145" s="106"/>
      <c r="K145" s="77"/>
      <c r="L145" s="77"/>
      <c r="M145" s="155"/>
      <c r="N145" s="404">
        <f t="shared" si="5"/>
        <v>180</v>
      </c>
      <c r="T145" s="74"/>
      <c r="U145" s="64"/>
      <c r="V145" s="61"/>
      <c r="W145" s="61"/>
      <c r="X145" s="77"/>
      <c r="Y145" s="77"/>
      <c r="Z145" s="62"/>
      <c r="AA145" s="62"/>
      <c r="AB145" s="62"/>
      <c r="AC145" s="62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2"/>
      <c r="AO145" s="61"/>
      <c r="AP145" s="61"/>
      <c r="AQ145" s="61"/>
      <c r="AR145" s="61"/>
      <c r="AS145" s="61"/>
      <c r="AT145" s="61"/>
    </row>
    <row r="146" spans="1:46" s="76" customFormat="1">
      <c r="A146" s="52"/>
      <c r="B146" s="61"/>
      <c r="C146" s="73"/>
      <c r="D146" s="73"/>
      <c r="E146" s="74"/>
      <c r="F146" s="75"/>
      <c r="G146" s="48"/>
      <c r="H146" s="106"/>
      <c r="I146" s="106"/>
      <c r="K146" s="77"/>
      <c r="L146" s="77"/>
      <c r="M146" s="155"/>
      <c r="N146" s="404">
        <f t="shared" si="5"/>
        <v>180</v>
      </c>
      <c r="T146" s="74"/>
      <c r="U146" s="64"/>
      <c r="V146" s="61"/>
      <c r="W146" s="61"/>
      <c r="X146" s="77"/>
      <c r="Y146" s="77"/>
      <c r="Z146" s="62"/>
      <c r="AA146" s="62"/>
      <c r="AB146" s="62"/>
      <c r="AC146" s="62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2"/>
      <c r="AO146" s="61"/>
      <c r="AP146" s="61"/>
      <c r="AQ146" s="61"/>
      <c r="AR146" s="61"/>
      <c r="AS146" s="61"/>
      <c r="AT146" s="61"/>
    </row>
    <row r="147" spans="1:46" s="76" customFormat="1">
      <c r="A147" s="52"/>
      <c r="B147" s="61"/>
      <c r="C147" s="73"/>
      <c r="D147" s="73"/>
      <c r="E147" s="74"/>
      <c r="F147" s="75"/>
      <c r="G147" s="48"/>
      <c r="H147" s="106"/>
      <c r="I147" s="106"/>
      <c r="K147" s="77"/>
      <c r="L147" s="77"/>
      <c r="M147" s="155"/>
      <c r="N147" s="404">
        <f t="shared" si="5"/>
        <v>180</v>
      </c>
      <c r="T147" s="74"/>
      <c r="U147" s="64"/>
      <c r="V147" s="61"/>
      <c r="W147" s="61"/>
      <c r="X147" s="77"/>
      <c r="Y147" s="77"/>
      <c r="Z147" s="62"/>
      <c r="AA147" s="62"/>
      <c r="AB147" s="62"/>
      <c r="AC147" s="62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2"/>
      <c r="AO147" s="61"/>
      <c r="AP147" s="61"/>
      <c r="AQ147" s="61"/>
      <c r="AR147" s="61"/>
      <c r="AS147" s="61"/>
      <c r="AT147" s="61"/>
    </row>
    <row r="148" spans="1:46" s="76" customFormat="1">
      <c r="A148" s="52"/>
      <c r="B148" s="61"/>
      <c r="C148" s="73"/>
      <c r="D148" s="73"/>
      <c r="E148" s="74"/>
      <c r="F148" s="75"/>
      <c r="G148" s="48"/>
      <c r="H148" s="106"/>
      <c r="I148" s="106"/>
      <c r="K148" s="77"/>
      <c r="L148" s="77"/>
      <c r="M148" s="155"/>
      <c r="N148" s="404">
        <f t="shared" si="5"/>
        <v>180</v>
      </c>
      <c r="T148" s="74"/>
      <c r="U148" s="64"/>
      <c r="V148" s="61"/>
      <c r="W148" s="61"/>
      <c r="X148" s="77"/>
      <c r="Y148" s="77"/>
      <c r="Z148" s="62"/>
      <c r="AA148" s="62"/>
      <c r="AB148" s="62"/>
      <c r="AC148" s="62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2"/>
      <c r="AO148" s="61"/>
      <c r="AP148" s="61"/>
      <c r="AQ148" s="61"/>
      <c r="AR148" s="61"/>
      <c r="AS148" s="61"/>
      <c r="AT148" s="61"/>
    </row>
    <row r="149" spans="1:46" s="76" customFormat="1">
      <c r="A149" s="52"/>
      <c r="B149" s="61"/>
      <c r="C149" s="73"/>
      <c r="D149" s="73"/>
      <c r="E149" s="74"/>
      <c r="F149" s="75"/>
      <c r="G149" s="48"/>
      <c r="H149" s="106"/>
      <c r="I149" s="106"/>
      <c r="K149" s="77"/>
      <c r="L149" s="77"/>
      <c r="M149" s="155"/>
      <c r="N149" s="404">
        <f t="shared" si="5"/>
        <v>180</v>
      </c>
      <c r="T149" s="74"/>
      <c r="U149" s="64"/>
      <c r="V149" s="61"/>
      <c r="W149" s="61"/>
      <c r="X149" s="77"/>
      <c r="Y149" s="77"/>
      <c r="Z149" s="62"/>
      <c r="AA149" s="62"/>
      <c r="AB149" s="62"/>
      <c r="AC149" s="62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2"/>
      <c r="AO149" s="61"/>
      <c r="AP149" s="61"/>
      <c r="AQ149" s="61"/>
      <c r="AR149" s="61"/>
      <c r="AS149" s="61"/>
      <c r="AT149" s="61"/>
    </row>
    <row r="150" spans="1:46" s="76" customFormat="1">
      <c r="A150" s="52"/>
      <c r="B150" s="61"/>
      <c r="C150" s="73"/>
      <c r="D150" s="73"/>
      <c r="E150" s="74"/>
      <c r="F150" s="75"/>
      <c r="G150" s="48"/>
      <c r="H150" s="106"/>
      <c r="I150" s="106"/>
      <c r="K150" s="77"/>
      <c r="L150" s="77"/>
      <c r="M150" s="155"/>
      <c r="N150" s="404">
        <f t="shared" si="5"/>
        <v>180</v>
      </c>
      <c r="T150" s="74"/>
      <c r="U150" s="64"/>
      <c r="V150" s="61"/>
      <c r="W150" s="61"/>
      <c r="X150" s="77"/>
      <c r="Y150" s="77"/>
      <c r="Z150" s="62"/>
      <c r="AA150" s="62"/>
      <c r="AB150" s="62"/>
      <c r="AC150" s="62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2"/>
      <c r="AO150" s="61"/>
      <c r="AP150" s="61"/>
      <c r="AQ150" s="61"/>
      <c r="AR150" s="61"/>
      <c r="AS150" s="61"/>
      <c r="AT150" s="61"/>
    </row>
    <row r="151" spans="1:46" s="76" customFormat="1">
      <c r="A151" s="52"/>
      <c r="B151" s="61"/>
      <c r="C151" s="73"/>
      <c r="D151" s="73"/>
      <c r="E151" s="74"/>
      <c r="F151" s="75"/>
      <c r="G151" s="48"/>
      <c r="H151" s="106"/>
      <c r="I151" s="106"/>
      <c r="K151" s="77"/>
      <c r="L151" s="77"/>
      <c r="M151" s="155"/>
      <c r="N151" s="404">
        <f t="shared" si="5"/>
        <v>180</v>
      </c>
      <c r="T151" s="74"/>
      <c r="U151" s="64"/>
      <c r="V151" s="61"/>
      <c r="W151" s="61"/>
      <c r="X151" s="77"/>
      <c r="Y151" s="77"/>
      <c r="Z151" s="62"/>
      <c r="AA151" s="62"/>
      <c r="AB151" s="62"/>
      <c r="AC151" s="62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2"/>
      <c r="AO151" s="61"/>
      <c r="AP151" s="61"/>
      <c r="AQ151" s="61"/>
      <c r="AR151" s="61"/>
      <c r="AS151" s="61"/>
      <c r="AT151" s="61"/>
    </row>
    <row r="152" spans="1:46" s="76" customFormat="1">
      <c r="A152" s="52"/>
      <c r="B152" s="61"/>
      <c r="C152" s="73"/>
      <c r="D152" s="73"/>
      <c r="E152" s="74"/>
      <c r="F152" s="75"/>
      <c r="G152" s="48"/>
      <c r="H152" s="106"/>
      <c r="I152" s="106"/>
      <c r="K152" s="77"/>
      <c r="L152" s="77"/>
      <c r="M152" s="155"/>
      <c r="N152" s="404">
        <f t="shared" si="5"/>
        <v>180</v>
      </c>
      <c r="T152" s="74"/>
      <c r="U152" s="64"/>
      <c r="V152" s="61"/>
      <c r="W152" s="61"/>
      <c r="X152" s="77"/>
      <c r="Y152" s="77"/>
      <c r="Z152" s="62"/>
      <c r="AA152" s="62"/>
      <c r="AB152" s="62"/>
      <c r="AC152" s="62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2"/>
      <c r="AO152" s="61"/>
      <c r="AP152" s="61"/>
      <c r="AQ152" s="61"/>
      <c r="AR152" s="61"/>
      <c r="AS152" s="61"/>
      <c r="AT152" s="61"/>
    </row>
    <row r="153" spans="1:46" s="76" customFormat="1">
      <c r="A153" s="52"/>
      <c r="B153" s="61"/>
      <c r="C153" s="73"/>
      <c r="D153" s="73"/>
      <c r="E153" s="74"/>
      <c r="F153" s="75"/>
      <c r="G153" s="48"/>
      <c r="H153" s="106"/>
      <c r="I153" s="106"/>
      <c r="K153" s="77"/>
      <c r="L153" s="77"/>
      <c r="M153" s="155"/>
      <c r="N153" s="404">
        <f t="shared" si="5"/>
        <v>180</v>
      </c>
      <c r="T153" s="74"/>
      <c r="U153" s="64"/>
      <c r="V153" s="61"/>
      <c r="W153" s="61"/>
      <c r="X153" s="77"/>
      <c r="Y153" s="77"/>
      <c r="Z153" s="62"/>
      <c r="AA153" s="62"/>
      <c r="AB153" s="62"/>
      <c r="AC153" s="62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2"/>
      <c r="AO153" s="61"/>
      <c r="AP153" s="61"/>
      <c r="AQ153" s="61"/>
      <c r="AR153" s="61"/>
      <c r="AS153" s="61"/>
      <c r="AT153" s="61"/>
    </row>
    <row r="154" spans="1:46" s="76" customFormat="1">
      <c r="A154" s="52"/>
      <c r="B154" s="61"/>
      <c r="C154" s="73"/>
      <c r="D154" s="73"/>
      <c r="E154" s="74"/>
      <c r="F154" s="75"/>
      <c r="G154" s="48"/>
      <c r="H154" s="106"/>
      <c r="I154" s="106"/>
      <c r="K154" s="77"/>
      <c r="L154" s="77"/>
      <c r="M154" s="155"/>
      <c r="N154" s="404">
        <f t="shared" si="5"/>
        <v>180</v>
      </c>
      <c r="T154" s="74"/>
      <c r="U154" s="64"/>
      <c r="V154" s="61"/>
      <c r="W154" s="61"/>
      <c r="X154" s="77"/>
      <c r="Y154" s="77"/>
      <c r="Z154" s="62"/>
      <c r="AA154" s="62"/>
      <c r="AB154" s="62"/>
      <c r="AC154" s="62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2"/>
      <c r="AO154" s="61"/>
      <c r="AP154" s="61"/>
      <c r="AQ154" s="61"/>
      <c r="AR154" s="61"/>
      <c r="AS154" s="61"/>
      <c r="AT154" s="61"/>
    </row>
    <row r="155" spans="1:46" s="76" customFormat="1">
      <c r="A155" s="52"/>
      <c r="B155" s="61"/>
      <c r="C155" s="73"/>
      <c r="D155" s="73"/>
      <c r="E155" s="74"/>
      <c r="F155" s="75"/>
      <c r="G155" s="48"/>
      <c r="H155" s="106"/>
      <c r="I155" s="106"/>
      <c r="K155" s="77"/>
      <c r="L155" s="77"/>
      <c r="M155" s="155"/>
      <c r="N155" s="404">
        <f t="shared" si="5"/>
        <v>180</v>
      </c>
      <c r="T155" s="74"/>
      <c r="U155" s="64"/>
      <c r="V155" s="61"/>
      <c r="W155" s="61"/>
      <c r="X155" s="77"/>
      <c r="Y155" s="77"/>
      <c r="Z155" s="62"/>
      <c r="AA155" s="62"/>
      <c r="AB155" s="62"/>
      <c r="AC155" s="62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2"/>
      <c r="AO155" s="61"/>
      <c r="AP155" s="61"/>
      <c r="AQ155" s="61"/>
      <c r="AR155" s="61"/>
      <c r="AS155" s="61"/>
      <c r="AT155" s="61"/>
    </row>
    <row r="156" spans="1:46" s="76" customFormat="1">
      <c r="A156" s="52"/>
      <c r="B156" s="61"/>
      <c r="C156" s="73"/>
      <c r="D156" s="73"/>
      <c r="E156" s="74"/>
      <c r="F156" s="75"/>
      <c r="G156" s="48"/>
      <c r="H156" s="106"/>
      <c r="I156" s="106"/>
      <c r="K156" s="77"/>
      <c r="L156" s="77"/>
      <c r="M156" s="155"/>
      <c r="N156" s="404">
        <f t="shared" si="5"/>
        <v>180</v>
      </c>
      <c r="T156" s="74"/>
      <c r="U156" s="64"/>
      <c r="V156" s="61"/>
      <c r="W156" s="61"/>
      <c r="X156" s="77"/>
      <c r="Y156" s="77"/>
      <c r="Z156" s="62"/>
      <c r="AA156" s="62"/>
      <c r="AB156" s="62"/>
      <c r="AC156" s="62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2"/>
      <c r="AO156" s="61"/>
      <c r="AP156" s="61"/>
      <c r="AQ156" s="61"/>
      <c r="AR156" s="61"/>
      <c r="AS156" s="61"/>
      <c r="AT156" s="61"/>
    </row>
    <row r="157" spans="1:46" s="76" customFormat="1">
      <c r="A157" s="52"/>
      <c r="B157" s="61"/>
      <c r="C157" s="73"/>
      <c r="D157" s="73"/>
      <c r="E157" s="74"/>
      <c r="F157" s="75"/>
      <c r="G157" s="48"/>
      <c r="H157" s="106"/>
      <c r="I157" s="106"/>
      <c r="K157" s="77"/>
      <c r="L157" s="77"/>
      <c r="M157" s="155"/>
      <c r="N157" s="404">
        <f t="shared" si="5"/>
        <v>180</v>
      </c>
      <c r="T157" s="74"/>
      <c r="U157" s="64"/>
      <c r="V157" s="61"/>
      <c r="W157" s="61"/>
      <c r="X157" s="77"/>
      <c r="Y157" s="77"/>
      <c r="Z157" s="62"/>
      <c r="AA157" s="62"/>
      <c r="AB157" s="62"/>
      <c r="AC157" s="62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2"/>
      <c r="AO157" s="61"/>
      <c r="AP157" s="61"/>
      <c r="AQ157" s="61"/>
      <c r="AR157" s="61"/>
      <c r="AS157" s="61"/>
      <c r="AT157" s="61"/>
    </row>
    <row r="158" spans="1:46" s="76" customFormat="1">
      <c r="A158" s="52"/>
      <c r="B158" s="61"/>
      <c r="C158" s="73"/>
      <c r="D158" s="73"/>
      <c r="E158" s="74"/>
      <c r="F158" s="75"/>
      <c r="G158" s="48"/>
      <c r="H158" s="106"/>
      <c r="I158" s="106"/>
      <c r="K158" s="77"/>
      <c r="L158" s="77"/>
      <c r="M158" s="155"/>
      <c r="N158" s="404">
        <f t="shared" si="5"/>
        <v>180</v>
      </c>
      <c r="T158" s="74"/>
      <c r="U158" s="64"/>
      <c r="V158" s="61"/>
      <c r="W158" s="61"/>
      <c r="X158" s="77"/>
      <c r="Y158" s="77"/>
      <c r="Z158" s="62"/>
      <c r="AA158" s="62"/>
      <c r="AB158" s="62"/>
      <c r="AC158" s="62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2"/>
      <c r="AO158" s="61"/>
      <c r="AP158" s="61"/>
      <c r="AQ158" s="61"/>
      <c r="AR158" s="61"/>
      <c r="AS158" s="61"/>
      <c r="AT158" s="61"/>
    </row>
    <row r="159" spans="1:46" s="76" customFormat="1">
      <c r="A159" s="52"/>
      <c r="B159" s="61"/>
      <c r="C159" s="73"/>
      <c r="D159" s="73"/>
      <c r="E159" s="74"/>
      <c r="F159" s="75"/>
      <c r="G159" s="48"/>
      <c r="H159" s="106"/>
      <c r="I159" s="106"/>
      <c r="K159" s="77"/>
      <c r="L159" s="77"/>
      <c r="M159" s="155"/>
      <c r="N159" s="404">
        <f t="shared" si="5"/>
        <v>180</v>
      </c>
      <c r="T159" s="74"/>
      <c r="U159" s="64"/>
      <c r="V159" s="61"/>
      <c r="W159" s="61"/>
      <c r="X159" s="77"/>
      <c r="Y159" s="77"/>
      <c r="Z159" s="62"/>
      <c r="AA159" s="62"/>
      <c r="AB159" s="62"/>
      <c r="AC159" s="62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2"/>
      <c r="AO159" s="61"/>
      <c r="AP159" s="61"/>
      <c r="AQ159" s="61"/>
      <c r="AR159" s="61"/>
      <c r="AS159" s="61"/>
      <c r="AT159" s="61"/>
    </row>
    <row r="160" spans="1:46" s="76" customFormat="1">
      <c r="A160" s="52"/>
      <c r="B160" s="61"/>
      <c r="C160" s="73"/>
      <c r="D160" s="73"/>
      <c r="E160" s="74"/>
      <c r="F160" s="75"/>
      <c r="G160" s="48"/>
      <c r="H160" s="106"/>
      <c r="I160" s="106"/>
      <c r="K160" s="77"/>
      <c r="L160" s="77"/>
      <c r="M160" s="155"/>
      <c r="N160" s="404">
        <f t="shared" si="5"/>
        <v>180</v>
      </c>
      <c r="T160" s="74"/>
      <c r="U160" s="64"/>
      <c r="V160" s="61"/>
      <c r="W160" s="61"/>
      <c r="X160" s="77"/>
      <c r="Y160" s="77"/>
      <c r="Z160" s="62"/>
      <c r="AA160" s="62"/>
      <c r="AB160" s="62"/>
      <c r="AC160" s="62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2"/>
      <c r="AO160" s="61"/>
      <c r="AP160" s="61"/>
      <c r="AQ160" s="61"/>
      <c r="AR160" s="61"/>
      <c r="AS160" s="61"/>
      <c r="AT160" s="61"/>
    </row>
    <row r="161" spans="1:46" s="76" customFormat="1">
      <c r="A161" s="52"/>
      <c r="B161" s="61"/>
      <c r="C161" s="73"/>
      <c r="D161" s="73"/>
      <c r="E161" s="74"/>
      <c r="F161" s="75"/>
      <c r="G161" s="48"/>
      <c r="H161" s="106"/>
      <c r="I161" s="106"/>
      <c r="K161" s="77"/>
      <c r="L161" s="77"/>
      <c r="M161" s="155"/>
      <c r="N161" s="404">
        <f t="shared" si="5"/>
        <v>180</v>
      </c>
      <c r="T161" s="74"/>
      <c r="U161" s="64"/>
      <c r="V161" s="61"/>
      <c r="W161" s="61"/>
      <c r="X161" s="77"/>
      <c r="Y161" s="77"/>
      <c r="Z161" s="62"/>
      <c r="AA161" s="62"/>
      <c r="AB161" s="62"/>
      <c r="AC161" s="62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2"/>
      <c r="AO161" s="61"/>
      <c r="AP161" s="61"/>
      <c r="AQ161" s="61"/>
      <c r="AR161" s="61"/>
      <c r="AS161" s="61"/>
      <c r="AT161" s="61"/>
    </row>
    <row r="162" spans="1:46" s="76" customFormat="1">
      <c r="A162" s="52"/>
      <c r="B162" s="61"/>
      <c r="C162" s="73"/>
      <c r="D162" s="73"/>
      <c r="E162" s="74"/>
      <c r="F162" s="75"/>
      <c r="G162" s="48"/>
      <c r="H162" s="106"/>
      <c r="I162" s="106"/>
      <c r="K162" s="77"/>
      <c r="L162" s="77"/>
      <c r="M162" s="155"/>
      <c r="N162" s="404">
        <f t="shared" si="5"/>
        <v>180</v>
      </c>
      <c r="T162" s="74"/>
      <c r="U162" s="64"/>
      <c r="V162" s="61"/>
      <c r="W162" s="61"/>
      <c r="X162" s="77"/>
      <c r="Y162" s="77"/>
      <c r="Z162" s="62"/>
      <c r="AA162" s="62"/>
      <c r="AB162" s="62"/>
      <c r="AC162" s="62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2"/>
      <c r="AO162" s="61"/>
      <c r="AP162" s="61"/>
      <c r="AQ162" s="61"/>
      <c r="AR162" s="61"/>
      <c r="AS162" s="61"/>
      <c r="AT162" s="61"/>
    </row>
    <row r="163" spans="1:46" s="76" customFormat="1">
      <c r="A163" s="52"/>
      <c r="B163" s="61"/>
      <c r="C163" s="73"/>
      <c r="D163" s="73"/>
      <c r="E163" s="74"/>
      <c r="F163" s="75"/>
      <c r="G163" s="48"/>
      <c r="H163" s="106"/>
      <c r="I163" s="106"/>
      <c r="K163" s="77"/>
      <c r="L163" s="77"/>
      <c r="M163" s="155"/>
      <c r="N163" s="404">
        <f t="shared" si="5"/>
        <v>180</v>
      </c>
      <c r="T163" s="74"/>
      <c r="U163" s="64"/>
      <c r="V163" s="61"/>
      <c r="W163" s="61"/>
      <c r="X163" s="77"/>
      <c r="Y163" s="77"/>
      <c r="Z163" s="62"/>
      <c r="AA163" s="62"/>
      <c r="AB163" s="62"/>
      <c r="AC163" s="62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2"/>
      <c r="AO163" s="61"/>
      <c r="AP163" s="61"/>
      <c r="AQ163" s="61"/>
      <c r="AR163" s="61"/>
      <c r="AS163" s="61"/>
      <c r="AT163" s="61"/>
    </row>
    <row r="164" spans="1:46" s="76" customFormat="1">
      <c r="A164" s="52"/>
      <c r="B164" s="61"/>
      <c r="C164" s="73"/>
      <c r="D164" s="73"/>
      <c r="E164" s="74"/>
      <c r="F164" s="75"/>
      <c r="G164" s="48"/>
      <c r="H164" s="106"/>
      <c r="I164" s="106"/>
      <c r="K164" s="77"/>
      <c r="L164" s="77"/>
      <c r="M164" s="155"/>
      <c r="N164" s="404">
        <f t="shared" si="5"/>
        <v>180</v>
      </c>
      <c r="T164" s="74"/>
      <c r="U164" s="64"/>
      <c r="V164" s="61"/>
      <c r="W164" s="61"/>
      <c r="X164" s="77"/>
      <c r="Y164" s="77"/>
      <c r="Z164" s="62"/>
      <c r="AA164" s="62"/>
      <c r="AB164" s="62"/>
      <c r="AC164" s="62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2"/>
      <c r="AO164" s="61"/>
      <c r="AP164" s="61"/>
      <c r="AQ164" s="61"/>
      <c r="AR164" s="61"/>
      <c r="AS164" s="61"/>
      <c r="AT164" s="61"/>
    </row>
    <row r="165" spans="1:46" s="76" customFormat="1">
      <c r="A165" s="52"/>
      <c r="B165" s="61"/>
      <c r="C165" s="73"/>
      <c r="D165" s="73"/>
      <c r="E165" s="74"/>
      <c r="F165" s="75"/>
      <c r="G165" s="48"/>
      <c r="H165" s="106"/>
      <c r="I165" s="106"/>
      <c r="K165" s="77"/>
      <c r="L165" s="77"/>
      <c r="M165" s="155"/>
      <c r="N165" s="404">
        <f t="shared" si="5"/>
        <v>180</v>
      </c>
      <c r="T165" s="74"/>
      <c r="U165" s="64"/>
      <c r="V165" s="61"/>
      <c r="W165" s="61"/>
      <c r="X165" s="77"/>
      <c r="Y165" s="77"/>
      <c r="Z165" s="62"/>
      <c r="AA165" s="62"/>
      <c r="AB165" s="62"/>
      <c r="AC165" s="62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2"/>
      <c r="AO165" s="61"/>
      <c r="AP165" s="61"/>
      <c r="AQ165" s="61"/>
      <c r="AR165" s="61"/>
      <c r="AS165" s="61"/>
      <c r="AT165" s="61"/>
    </row>
    <row r="166" spans="1:46" s="76" customFormat="1">
      <c r="A166" s="52"/>
      <c r="B166" s="61"/>
      <c r="C166" s="73"/>
      <c r="D166" s="73"/>
      <c r="E166" s="74"/>
      <c r="F166" s="75"/>
      <c r="G166" s="48"/>
      <c r="H166" s="106"/>
      <c r="I166" s="106"/>
      <c r="K166" s="77"/>
      <c r="L166" s="77"/>
      <c r="M166" s="155"/>
      <c r="N166" s="404">
        <f t="shared" si="5"/>
        <v>180</v>
      </c>
      <c r="T166" s="74"/>
      <c r="U166" s="64"/>
      <c r="V166" s="61"/>
      <c r="W166" s="61"/>
      <c r="X166" s="77"/>
      <c r="Y166" s="77"/>
      <c r="Z166" s="62"/>
      <c r="AA166" s="62"/>
      <c r="AB166" s="62"/>
      <c r="AC166" s="62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2"/>
      <c r="AO166" s="61"/>
      <c r="AP166" s="61"/>
      <c r="AQ166" s="61"/>
      <c r="AR166" s="61"/>
      <c r="AS166" s="61"/>
      <c r="AT166" s="61"/>
    </row>
    <row r="167" spans="1:46" s="76" customFormat="1">
      <c r="A167" s="52"/>
      <c r="B167" s="61"/>
      <c r="C167" s="73"/>
      <c r="D167" s="73"/>
      <c r="E167" s="74"/>
      <c r="F167" s="75"/>
      <c r="G167" s="48"/>
      <c r="H167" s="106"/>
      <c r="I167" s="106"/>
      <c r="K167" s="77"/>
      <c r="L167" s="77"/>
      <c r="M167" s="155"/>
      <c r="N167" s="404">
        <f t="shared" si="5"/>
        <v>180</v>
      </c>
      <c r="T167" s="74"/>
      <c r="U167" s="64"/>
      <c r="V167" s="61"/>
      <c r="W167" s="61"/>
      <c r="X167" s="77"/>
      <c r="Y167" s="77"/>
      <c r="Z167" s="62"/>
      <c r="AA167" s="62"/>
      <c r="AB167" s="62"/>
      <c r="AC167" s="62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2"/>
      <c r="AO167" s="61"/>
      <c r="AP167" s="61"/>
      <c r="AQ167" s="61"/>
      <c r="AR167" s="61"/>
      <c r="AS167" s="61"/>
      <c r="AT167" s="61"/>
    </row>
    <row r="168" spans="1:46" s="76" customFormat="1">
      <c r="A168" s="52"/>
      <c r="B168" s="61"/>
      <c r="C168" s="73"/>
      <c r="D168" s="73"/>
      <c r="E168" s="74"/>
      <c r="F168" s="75"/>
      <c r="G168" s="48"/>
      <c r="H168" s="106"/>
      <c r="I168" s="106"/>
      <c r="K168" s="77"/>
      <c r="L168" s="77"/>
      <c r="M168" s="155"/>
      <c r="N168" s="404">
        <f t="shared" si="5"/>
        <v>180</v>
      </c>
      <c r="T168" s="74"/>
      <c r="U168" s="64"/>
      <c r="V168" s="61"/>
      <c r="W168" s="61"/>
      <c r="X168" s="77"/>
      <c r="Y168" s="77"/>
      <c r="Z168" s="62"/>
      <c r="AA168" s="62"/>
      <c r="AB168" s="62"/>
      <c r="AC168" s="62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2"/>
      <c r="AO168" s="61"/>
      <c r="AP168" s="61"/>
      <c r="AQ168" s="61"/>
      <c r="AR168" s="61"/>
      <c r="AS168" s="61"/>
      <c r="AT168" s="61"/>
    </row>
    <row r="169" spans="1:46" s="76" customFormat="1">
      <c r="A169" s="52"/>
      <c r="B169" s="61"/>
      <c r="C169" s="73"/>
      <c r="D169" s="73"/>
      <c r="E169" s="74"/>
      <c r="F169" s="75"/>
      <c r="G169" s="48"/>
      <c r="H169" s="106"/>
      <c r="I169" s="106"/>
      <c r="K169" s="77"/>
      <c r="L169" s="77"/>
      <c r="M169" s="155"/>
      <c r="N169" s="404">
        <f t="shared" si="5"/>
        <v>180</v>
      </c>
      <c r="T169" s="74"/>
      <c r="U169" s="64"/>
      <c r="V169" s="61"/>
      <c r="W169" s="61"/>
      <c r="X169" s="77"/>
      <c r="Y169" s="77"/>
      <c r="Z169" s="62"/>
      <c r="AA169" s="62"/>
      <c r="AB169" s="62"/>
      <c r="AC169" s="62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2"/>
      <c r="AO169" s="61"/>
      <c r="AP169" s="61"/>
      <c r="AQ169" s="61"/>
      <c r="AR169" s="61"/>
      <c r="AS169" s="61"/>
      <c r="AT169" s="61"/>
    </row>
    <row r="170" spans="1:46" s="76" customFormat="1">
      <c r="A170" s="52"/>
      <c r="B170" s="61"/>
      <c r="C170" s="73"/>
      <c r="D170" s="73"/>
      <c r="E170" s="74"/>
      <c r="F170" s="75"/>
      <c r="G170" s="48"/>
      <c r="H170" s="106"/>
      <c r="I170" s="106"/>
      <c r="K170" s="77"/>
      <c r="L170" s="77"/>
      <c r="M170" s="155"/>
      <c r="N170" s="404">
        <f t="shared" si="5"/>
        <v>180</v>
      </c>
      <c r="T170" s="74"/>
      <c r="U170" s="64"/>
      <c r="V170" s="61"/>
      <c r="W170" s="61"/>
      <c r="X170" s="77"/>
      <c r="Y170" s="77"/>
      <c r="Z170" s="62"/>
      <c r="AA170" s="62"/>
      <c r="AB170" s="62"/>
      <c r="AC170" s="62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2"/>
      <c r="AO170" s="61"/>
      <c r="AP170" s="61"/>
      <c r="AQ170" s="61"/>
      <c r="AR170" s="61"/>
      <c r="AS170" s="61"/>
      <c r="AT170" s="61"/>
    </row>
    <row r="171" spans="1:46" s="76" customFormat="1">
      <c r="A171" s="52"/>
      <c r="B171" s="61"/>
      <c r="C171" s="73"/>
      <c r="D171" s="73"/>
      <c r="E171" s="74"/>
      <c r="F171" s="75"/>
      <c r="G171" s="48"/>
      <c r="H171" s="106"/>
      <c r="I171" s="106"/>
      <c r="K171" s="77"/>
      <c r="L171" s="77"/>
      <c r="M171" s="155"/>
      <c r="N171" s="404">
        <f t="shared" si="5"/>
        <v>180</v>
      </c>
      <c r="T171" s="74"/>
      <c r="U171" s="64"/>
      <c r="V171" s="61"/>
      <c r="W171" s="61"/>
      <c r="X171" s="77"/>
      <c r="Y171" s="77"/>
      <c r="Z171" s="62"/>
      <c r="AA171" s="62"/>
      <c r="AB171" s="62"/>
      <c r="AC171" s="62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2"/>
      <c r="AO171" s="61"/>
      <c r="AP171" s="61"/>
      <c r="AQ171" s="61"/>
      <c r="AR171" s="61"/>
      <c r="AS171" s="61"/>
      <c r="AT171" s="61"/>
    </row>
    <row r="172" spans="1:46" s="76" customFormat="1">
      <c r="A172" s="52"/>
      <c r="B172" s="61"/>
      <c r="C172" s="73"/>
      <c r="D172" s="73"/>
      <c r="E172" s="74"/>
      <c r="F172" s="75"/>
      <c r="G172" s="48"/>
      <c r="H172" s="106"/>
      <c r="I172" s="106"/>
      <c r="K172" s="77"/>
      <c r="L172" s="77"/>
      <c r="M172" s="155"/>
      <c r="N172" s="404">
        <f t="shared" si="5"/>
        <v>180</v>
      </c>
      <c r="T172" s="74"/>
      <c r="U172" s="64"/>
      <c r="V172" s="61"/>
      <c r="W172" s="61"/>
      <c r="X172" s="77"/>
      <c r="Y172" s="77"/>
      <c r="Z172" s="62"/>
      <c r="AA172" s="62"/>
      <c r="AB172" s="62"/>
      <c r="AC172" s="62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2"/>
      <c r="AO172" s="61"/>
      <c r="AP172" s="61"/>
      <c r="AQ172" s="61"/>
      <c r="AR172" s="61"/>
      <c r="AS172" s="61"/>
      <c r="AT172" s="61"/>
    </row>
    <row r="173" spans="1:46" s="76" customFormat="1">
      <c r="A173" s="52"/>
      <c r="B173" s="61"/>
      <c r="C173" s="73"/>
      <c r="D173" s="73"/>
      <c r="E173" s="74"/>
      <c r="F173" s="75"/>
      <c r="G173" s="48"/>
      <c r="H173" s="106"/>
      <c r="I173" s="106"/>
      <c r="K173" s="77"/>
      <c r="L173" s="77"/>
      <c r="M173" s="155"/>
      <c r="N173" s="404">
        <f t="shared" si="5"/>
        <v>180</v>
      </c>
      <c r="T173" s="74"/>
      <c r="U173" s="64"/>
      <c r="V173" s="61"/>
      <c r="W173" s="61"/>
      <c r="X173" s="77"/>
      <c r="Y173" s="77"/>
      <c r="Z173" s="62"/>
      <c r="AA173" s="62"/>
      <c r="AB173" s="62"/>
      <c r="AC173" s="62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2"/>
      <c r="AO173" s="61"/>
      <c r="AP173" s="61"/>
      <c r="AQ173" s="61"/>
      <c r="AR173" s="61"/>
      <c r="AS173" s="61"/>
      <c r="AT173" s="61"/>
    </row>
    <row r="174" spans="1:46" s="76" customFormat="1">
      <c r="A174" s="52"/>
      <c r="B174" s="61"/>
      <c r="C174" s="73"/>
      <c r="D174" s="73"/>
      <c r="E174" s="74"/>
      <c r="F174" s="75"/>
      <c r="G174" s="48"/>
      <c r="H174" s="106"/>
      <c r="I174" s="106"/>
      <c r="K174" s="77"/>
      <c r="L174" s="77"/>
      <c r="M174" s="155"/>
      <c r="N174" s="404">
        <f t="shared" si="5"/>
        <v>180</v>
      </c>
      <c r="T174" s="74"/>
      <c r="U174" s="64"/>
      <c r="V174" s="61"/>
      <c r="W174" s="61"/>
      <c r="X174" s="77"/>
      <c r="Y174" s="77"/>
      <c r="Z174" s="62"/>
      <c r="AA174" s="62"/>
      <c r="AB174" s="62"/>
      <c r="AC174" s="62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2"/>
      <c r="AO174" s="61"/>
      <c r="AP174" s="61"/>
      <c r="AQ174" s="61"/>
      <c r="AR174" s="61"/>
      <c r="AS174" s="61"/>
      <c r="AT174" s="61"/>
    </row>
    <row r="175" spans="1:46" s="76" customFormat="1">
      <c r="A175" s="52"/>
      <c r="B175" s="61"/>
      <c r="C175" s="73"/>
      <c r="D175" s="73"/>
      <c r="E175" s="74"/>
      <c r="F175" s="75"/>
      <c r="G175" s="48"/>
      <c r="H175" s="106"/>
      <c r="I175" s="106"/>
      <c r="K175" s="77"/>
      <c r="L175" s="77"/>
      <c r="M175" s="155"/>
      <c r="N175" s="404">
        <f t="shared" si="5"/>
        <v>180</v>
      </c>
      <c r="T175" s="74"/>
      <c r="U175" s="64"/>
      <c r="V175" s="61"/>
      <c r="W175" s="61"/>
      <c r="X175" s="77"/>
      <c r="Y175" s="77"/>
      <c r="Z175" s="62"/>
      <c r="AA175" s="62"/>
      <c r="AB175" s="62"/>
      <c r="AC175" s="62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2"/>
      <c r="AO175" s="61"/>
      <c r="AP175" s="61"/>
      <c r="AQ175" s="61"/>
      <c r="AR175" s="61"/>
      <c r="AS175" s="61"/>
      <c r="AT175" s="61"/>
    </row>
    <row r="176" spans="1:46" s="76" customFormat="1">
      <c r="A176" s="52"/>
      <c r="B176" s="61"/>
      <c r="C176" s="73"/>
      <c r="D176" s="73"/>
      <c r="E176" s="74"/>
      <c r="F176" s="75"/>
      <c r="G176" s="48"/>
      <c r="H176" s="106"/>
      <c r="I176" s="106"/>
      <c r="K176" s="77"/>
      <c r="L176" s="77"/>
      <c r="M176" s="155"/>
      <c r="N176" s="404">
        <f t="shared" si="5"/>
        <v>180</v>
      </c>
      <c r="T176" s="74"/>
      <c r="U176" s="64"/>
      <c r="V176" s="61"/>
      <c r="W176" s="61"/>
      <c r="X176" s="77"/>
      <c r="Y176" s="77"/>
      <c r="Z176" s="62"/>
      <c r="AA176" s="62"/>
      <c r="AB176" s="62"/>
      <c r="AC176" s="62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2"/>
      <c r="AO176" s="61"/>
      <c r="AP176" s="61"/>
      <c r="AQ176" s="61"/>
      <c r="AR176" s="61"/>
      <c r="AS176" s="61"/>
      <c r="AT176" s="61"/>
    </row>
    <row r="177" spans="1:46" s="76" customFormat="1">
      <c r="A177" s="52"/>
      <c r="B177" s="61"/>
      <c r="C177" s="73"/>
      <c r="D177" s="73"/>
      <c r="E177" s="74"/>
      <c r="F177" s="75"/>
      <c r="G177" s="48"/>
      <c r="H177" s="106"/>
      <c r="I177" s="106"/>
      <c r="K177" s="77"/>
      <c r="L177" s="77"/>
      <c r="M177" s="155"/>
      <c r="N177" s="404">
        <f t="shared" si="5"/>
        <v>180</v>
      </c>
      <c r="T177" s="74"/>
      <c r="U177" s="64"/>
      <c r="V177" s="61"/>
      <c r="W177" s="61"/>
      <c r="X177" s="77"/>
      <c r="Y177" s="77"/>
      <c r="Z177" s="62"/>
      <c r="AA177" s="62"/>
      <c r="AB177" s="62"/>
      <c r="AC177" s="62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2"/>
      <c r="AO177" s="61"/>
      <c r="AP177" s="61"/>
      <c r="AQ177" s="61"/>
      <c r="AR177" s="61"/>
      <c r="AS177" s="61"/>
      <c r="AT177" s="61"/>
    </row>
    <row r="178" spans="1:46" s="76" customFormat="1">
      <c r="A178" s="52"/>
      <c r="B178" s="61"/>
      <c r="C178" s="73"/>
      <c r="D178" s="73"/>
      <c r="E178" s="74"/>
      <c r="F178" s="75"/>
      <c r="G178" s="48"/>
      <c r="H178" s="106"/>
      <c r="I178" s="106"/>
      <c r="K178" s="77"/>
      <c r="L178" s="77"/>
      <c r="M178" s="155"/>
      <c r="N178" s="404">
        <f t="shared" si="5"/>
        <v>180</v>
      </c>
      <c r="T178" s="74"/>
      <c r="U178" s="64"/>
      <c r="V178" s="61"/>
      <c r="W178" s="61"/>
      <c r="X178" s="77"/>
      <c r="Y178" s="77"/>
      <c r="Z178" s="62"/>
      <c r="AA178" s="62"/>
      <c r="AB178" s="62"/>
      <c r="AC178" s="62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2"/>
      <c r="AO178" s="61"/>
      <c r="AP178" s="61"/>
      <c r="AQ178" s="61"/>
      <c r="AR178" s="61"/>
      <c r="AS178" s="61"/>
      <c r="AT178" s="61"/>
    </row>
    <row r="179" spans="1:46" s="76" customFormat="1">
      <c r="A179" s="52"/>
      <c r="B179" s="61"/>
      <c r="C179" s="73"/>
      <c r="D179" s="73"/>
      <c r="E179" s="74"/>
      <c r="F179" s="75"/>
      <c r="G179" s="48"/>
      <c r="H179" s="106"/>
      <c r="I179" s="106"/>
      <c r="K179" s="77"/>
      <c r="L179" s="77"/>
      <c r="M179" s="155"/>
      <c r="N179" s="404">
        <f t="shared" si="5"/>
        <v>180</v>
      </c>
      <c r="T179" s="74"/>
      <c r="U179" s="64"/>
      <c r="V179" s="61"/>
      <c r="W179" s="61"/>
      <c r="X179" s="77"/>
      <c r="Y179" s="77"/>
      <c r="Z179" s="62"/>
      <c r="AA179" s="62"/>
      <c r="AB179" s="62"/>
      <c r="AC179" s="62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2"/>
      <c r="AO179" s="61"/>
      <c r="AP179" s="61"/>
      <c r="AQ179" s="61"/>
      <c r="AR179" s="61"/>
      <c r="AS179" s="61"/>
      <c r="AT179" s="61"/>
    </row>
    <row r="180" spans="1:46" s="76" customFormat="1">
      <c r="A180" s="52"/>
      <c r="B180" s="61"/>
      <c r="C180" s="73"/>
      <c r="D180" s="73"/>
      <c r="E180" s="74"/>
      <c r="F180" s="75"/>
      <c r="G180" s="48"/>
      <c r="H180" s="106"/>
      <c r="I180" s="106"/>
      <c r="K180" s="77"/>
      <c r="L180" s="77"/>
      <c r="M180" s="155"/>
      <c r="N180" s="404">
        <f t="shared" si="5"/>
        <v>180</v>
      </c>
      <c r="T180" s="74"/>
      <c r="U180" s="64"/>
      <c r="V180" s="61"/>
      <c r="W180" s="61"/>
      <c r="X180" s="77"/>
      <c r="Y180" s="77"/>
      <c r="Z180" s="62"/>
      <c r="AA180" s="62"/>
      <c r="AB180" s="62"/>
      <c r="AC180" s="62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2"/>
      <c r="AO180" s="61"/>
      <c r="AP180" s="61"/>
      <c r="AQ180" s="61"/>
      <c r="AR180" s="61"/>
      <c r="AS180" s="61"/>
      <c r="AT180" s="61"/>
    </row>
    <row r="181" spans="1:46" s="76" customFormat="1">
      <c r="A181" s="52"/>
      <c r="B181" s="61"/>
      <c r="C181" s="73"/>
      <c r="D181" s="73"/>
      <c r="E181" s="74"/>
      <c r="F181" s="75"/>
      <c r="G181" s="48"/>
      <c r="H181" s="106"/>
      <c r="I181" s="106"/>
      <c r="K181" s="77"/>
      <c r="L181" s="77"/>
      <c r="M181" s="155"/>
      <c r="N181" s="404">
        <f t="shared" si="5"/>
        <v>180</v>
      </c>
      <c r="T181" s="74"/>
      <c r="U181" s="64"/>
      <c r="V181" s="61"/>
      <c r="W181" s="61"/>
      <c r="X181" s="77"/>
      <c r="Y181" s="77"/>
      <c r="Z181" s="62"/>
      <c r="AA181" s="62"/>
      <c r="AB181" s="62"/>
      <c r="AC181" s="62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2"/>
      <c r="AO181" s="61"/>
      <c r="AP181" s="61"/>
      <c r="AQ181" s="61"/>
      <c r="AR181" s="61"/>
      <c r="AS181" s="61"/>
      <c r="AT181" s="61"/>
    </row>
    <row r="182" spans="1:46" s="76" customFormat="1">
      <c r="A182" s="52"/>
      <c r="B182" s="61"/>
      <c r="C182" s="73"/>
      <c r="D182" s="73"/>
      <c r="E182" s="74"/>
      <c r="F182" s="75"/>
      <c r="G182" s="48"/>
      <c r="H182" s="106"/>
      <c r="I182" s="106"/>
      <c r="K182" s="77"/>
      <c r="L182" s="77"/>
      <c r="M182" s="155"/>
      <c r="N182" s="404">
        <f t="shared" si="5"/>
        <v>180</v>
      </c>
      <c r="T182" s="74"/>
      <c r="U182" s="64"/>
      <c r="V182" s="61"/>
      <c r="W182" s="61"/>
      <c r="X182" s="77"/>
      <c r="Y182" s="77"/>
      <c r="Z182" s="62"/>
      <c r="AA182" s="62"/>
      <c r="AB182" s="62"/>
      <c r="AC182" s="62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2"/>
      <c r="AO182" s="61"/>
      <c r="AP182" s="61"/>
      <c r="AQ182" s="61"/>
      <c r="AR182" s="61"/>
      <c r="AS182" s="61"/>
      <c r="AT182" s="61"/>
    </row>
    <row r="183" spans="1:46" s="76" customFormat="1">
      <c r="A183" s="52"/>
      <c r="B183" s="61"/>
      <c r="C183" s="73"/>
      <c r="D183" s="73"/>
      <c r="E183" s="74"/>
      <c r="F183" s="75"/>
      <c r="G183" s="48"/>
      <c r="H183" s="106"/>
      <c r="I183" s="106"/>
      <c r="K183" s="77"/>
      <c r="L183" s="77"/>
      <c r="M183" s="155"/>
      <c r="N183" s="404">
        <f t="shared" si="5"/>
        <v>180</v>
      </c>
      <c r="T183" s="74"/>
      <c r="U183" s="64"/>
      <c r="V183" s="61"/>
      <c r="W183" s="61"/>
      <c r="X183" s="77"/>
      <c r="Y183" s="77"/>
      <c r="Z183" s="62"/>
      <c r="AA183" s="62"/>
      <c r="AB183" s="62"/>
      <c r="AC183" s="62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2"/>
      <c r="AO183" s="61"/>
      <c r="AP183" s="61"/>
      <c r="AQ183" s="61"/>
      <c r="AR183" s="61"/>
      <c r="AS183" s="61"/>
      <c r="AT183" s="61"/>
    </row>
    <row r="184" spans="1:46" s="76" customFormat="1">
      <c r="A184" s="52"/>
      <c r="B184" s="61"/>
      <c r="C184" s="73"/>
      <c r="D184" s="73"/>
      <c r="E184" s="74"/>
      <c r="F184" s="75"/>
      <c r="G184" s="48"/>
      <c r="H184" s="106"/>
      <c r="I184" s="106"/>
      <c r="K184" s="77"/>
      <c r="L184" s="77"/>
      <c r="M184" s="155"/>
      <c r="N184" s="404">
        <f t="shared" si="5"/>
        <v>180</v>
      </c>
      <c r="T184" s="74"/>
      <c r="U184" s="64"/>
      <c r="V184" s="61"/>
      <c r="W184" s="61"/>
      <c r="X184" s="77"/>
      <c r="Y184" s="77"/>
      <c r="Z184" s="62"/>
      <c r="AA184" s="62"/>
      <c r="AB184" s="62"/>
      <c r="AC184" s="62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2"/>
      <c r="AO184" s="61"/>
      <c r="AP184" s="61"/>
      <c r="AQ184" s="61"/>
      <c r="AR184" s="61"/>
      <c r="AS184" s="61"/>
      <c r="AT184" s="61"/>
    </row>
    <row r="185" spans="1:46" s="76" customFormat="1">
      <c r="A185" s="52"/>
      <c r="B185" s="61"/>
      <c r="C185" s="73"/>
      <c r="D185" s="73"/>
      <c r="E185" s="74"/>
      <c r="F185" s="75"/>
      <c r="G185" s="48"/>
      <c r="H185" s="106"/>
      <c r="I185" s="106"/>
      <c r="K185" s="77"/>
      <c r="L185" s="77"/>
      <c r="M185" s="155"/>
      <c r="N185" s="404">
        <f t="shared" si="5"/>
        <v>180</v>
      </c>
      <c r="T185" s="74"/>
      <c r="U185" s="64"/>
      <c r="V185" s="61"/>
      <c r="W185" s="61"/>
      <c r="X185" s="77"/>
      <c r="Y185" s="77"/>
      <c r="Z185" s="62"/>
      <c r="AA185" s="62"/>
      <c r="AB185" s="62"/>
      <c r="AC185" s="62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2"/>
      <c r="AO185" s="61"/>
      <c r="AP185" s="61"/>
      <c r="AQ185" s="61"/>
      <c r="AR185" s="61"/>
      <c r="AS185" s="61"/>
      <c r="AT185" s="61"/>
    </row>
    <row r="186" spans="1:46" s="76" customFormat="1">
      <c r="A186" s="52"/>
      <c r="B186" s="61"/>
      <c r="C186" s="73"/>
      <c r="D186" s="73"/>
      <c r="E186" s="74"/>
      <c r="F186" s="75"/>
      <c r="G186" s="48"/>
      <c r="H186" s="106"/>
      <c r="I186" s="106"/>
      <c r="K186" s="77"/>
      <c r="L186" s="77"/>
      <c r="M186" s="155"/>
      <c r="N186" s="404">
        <f t="shared" ref="N186:N221" si="6">M186+180</f>
        <v>180</v>
      </c>
      <c r="T186" s="74"/>
      <c r="U186" s="64"/>
      <c r="V186" s="61"/>
      <c r="W186" s="61"/>
      <c r="X186" s="77"/>
      <c r="Y186" s="77"/>
      <c r="Z186" s="62"/>
      <c r="AA186" s="62"/>
      <c r="AB186" s="62"/>
      <c r="AC186" s="62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2"/>
      <c r="AO186" s="61"/>
      <c r="AP186" s="61"/>
      <c r="AQ186" s="61"/>
      <c r="AR186" s="61"/>
      <c r="AS186" s="61"/>
      <c r="AT186" s="61"/>
    </row>
    <row r="187" spans="1:46" s="76" customFormat="1">
      <c r="A187" s="52"/>
      <c r="B187" s="61"/>
      <c r="C187" s="73"/>
      <c r="D187" s="73"/>
      <c r="E187" s="74"/>
      <c r="F187" s="75"/>
      <c r="G187" s="48"/>
      <c r="H187" s="106"/>
      <c r="I187" s="106"/>
      <c r="K187" s="77"/>
      <c r="L187" s="77"/>
      <c r="M187" s="155"/>
      <c r="N187" s="404">
        <f t="shared" si="6"/>
        <v>180</v>
      </c>
      <c r="T187" s="74"/>
      <c r="U187" s="64"/>
      <c r="V187" s="61"/>
      <c r="W187" s="61"/>
      <c r="X187" s="77"/>
      <c r="Y187" s="77"/>
      <c r="Z187" s="62"/>
      <c r="AA187" s="62"/>
      <c r="AB187" s="62"/>
      <c r="AC187" s="62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2"/>
      <c r="AO187" s="61"/>
      <c r="AP187" s="61"/>
      <c r="AQ187" s="61"/>
      <c r="AR187" s="61"/>
      <c r="AS187" s="61"/>
      <c r="AT187" s="61"/>
    </row>
    <row r="188" spans="1:46" s="76" customFormat="1">
      <c r="A188" s="52"/>
      <c r="B188" s="61"/>
      <c r="C188" s="73"/>
      <c r="D188" s="73"/>
      <c r="E188" s="74"/>
      <c r="F188" s="75"/>
      <c r="G188" s="48"/>
      <c r="H188" s="106"/>
      <c r="I188" s="106"/>
      <c r="K188" s="77"/>
      <c r="L188" s="77"/>
      <c r="M188" s="155"/>
      <c r="N188" s="404">
        <f t="shared" si="6"/>
        <v>180</v>
      </c>
      <c r="T188" s="74"/>
      <c r="U188" s="64"/>
      <c r="V188" s="61"/>
      <c r="W188" s="61"/>
      <c r="X188" s="77"/>
      <c r="Y188" s="77"/>
      <c r="Z188" s="62"/>
      <c r="AA188" s="62"/>
      <c r="AB188" s="62"/>
      <c r="AC188" s="62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2"/>
      <c r="AO188" s="61"/>
      <c r="AP188" s="61"/>
      <c r="AQ188" s="61"/>
      <c r="AR188" s="61"/>
      <c r="AS188" s="61"/>
      <c r="AT188" s="61"/>
    </row>
    <row r="189" spans="1:46" s="76" customFormat="1">
      <c r="A189" s="52"/>
      <c r="B189" s="61"/>
      <c r="C189" s="73"/>
      <c r="D189" s="73"/>
      <c r="E189" s="74"/>
      <c r="F189" s="75"/>
      <c r="G189" s="48"/>
      <c r="H189" s="106"/>
      <c r="I189" s="106"/>
      <c r="K189" s="77"/>
      <c r="L189" s="77"/>
      <c r="M189" s="155"/>
      <c r="N189" s="404">
        <f t="shared" si="6"/>
        <v>180</v>
      </c>
      <c r="T189" s="74"/>
      <c r="U189" s="64"/>
      <c r="V189" s="61"/>
      <c r="W189" s="61"/>
      <c r="X189" s="77"/>
      <c r="Y189" s="77"/>
      <c r="Z189" s="62"/>
      <c r="AA189" s="62"/>
      <c r="AB189" s="62"/>
      <c r="AC189" s="62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2"/>
      <c r="AO189" s="61"/>
      <c r="AP189" s="61"/>
      <c r="AQ189" s="61"/>
      <c r="AR189" s="61"/>
      <c r="AS189" s="61"/>
      <c r="AT189" s="61"/>
    </row>
    <row r="190" spans="1:46" s="76" customFormat="1">
      <c r="A190" s="52"/>
      <c r="B190" s="61"/>
      <c r="C190" s="73"/>
      <c r="D190" s="73"/>
      <c r="E190" s="74"/>
      <c r="F190" s="75"/>
      <c r="G190" s="48"/>
      <c r="H190" s="106"/>
      <c r="I190" s="106"/>
      <c r="K190" s="77"/>
      <c r="L190" s="77"/>
      <c r="M190" s="155"/>
      <c r="N190" s="404">
        <f t="shared" si="6"/>
        <v>180</v>
      </c>
      <c r="T190" s="74"/>
      <c r="U190" s="64"/>
      <c r="V190" s="61"/>
      <c r="W190" s="61"/>
      <c r="X190" s="77"/>
      <c r="Y190" s="77"/>
      <c r="Z190" s="62"/>
      <c r="AA190" s="62"/>
      <c r="AB190" s="62"/>
      <c r="AC190" s="62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2"/>
      <c r="AO190" s="61"/>
      <c r="AP190" s="61"/>
      <c r="AQ190" s="61"/>
      <c r="AR190" s="61"/>
      <c r="AS190" s="61"/>
      <c r="AT190" s="61"/>
    </row>
    <row r="191" spans="1:46" s="76" customFormat="1">
      <c r="A191" s="52"/>
      <c r="B191" s="61"/>
      <c r="C191" s="73"/>
      <c r="D191" s="73"/>
      <c r="E191" s="74"/>
      <c r="F191" s="75"/>
      <c r="G191" s="48"/>
      <c r="H191" s="106"/>
      <c r="I191" s="106"/>
      <c r="K191" s="77"/>
      <c r="L191" s="77"/>
      <c r="M191" s="155"/>
      <c r="N191" s="404">
        <f t="shared" si="6"/>
        <v>180</v>
      </c>
      <c r="T191" s="74"/>
      <c r="U191" s="64"/>
      <c r="V191" s="61"/>
      <c r="W191" s="61"/>
      <c r="X191" s="77"/>
      <c r="Y191" s="77"/>
      <c r="Z191" s="62"/>
      <c r="AA191" s="62"/>
      <c r="AB191" s="62"/>
      <c r="AC191" s="62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2"/>
      <c r="AO191" s="61"/>
      <c r="AP191" s="61"/>
      <c r="AQ191" s="61"/>
      <c r="AR191" s="61"/>
      <c r="AS191" s="61"/>
      <c r="AT191" s="61"/>
    </row>
    <row r="192" spans="1:46" s="76" customFormat="1">
      <c r="A192" s="52"/>
      <c r="B192" s="61"/>
      <c r="C192" s="73"/>
      <c r="D192" s="73"/>
      <c r="E192" s="74"/>
      <c r="F192" s="75"/>
      <c r="G192" s="48"/>
      <c r="H192" s="106"/>
      <c r="I192" s="106"/>
      <c r="K192" s="77"/>
      <c r="L192" s="77"/>
      <c r="M192" s="155"/>
      <c r="N192" s="404">
        <f t="shared" si="6"/>
        <v>180</v>
      </c>
      <c r="T192" s="74"/>
      <c r="U192" s="64"/>
      <c r="V192" s="61"/>
      <c r="W192" s="61"/>
      <c r="X192" s="77"/>
      <c r="Y192" s="77"/>
      <c r="Z192" s="62"/>
      <c r="AA192" s="62"/>
      <c r="AB192" s="62"/>
      <c r="AC192" s="62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2"/>
      <c r="AO192" s="61"/>
      <c r="AP192" s="61"/>
      <c r="AQ192" s="61"/>
      <c r="AR192" s="61"/>
      <c r="AS192" s="61"/>
      <c r="AT192" s="61"/>
    </row>
    <row r="193" spans="1:46" s="76" customFormat="1">
      <c r="A193" s="52"/>
      <c r="B193" s="61"/>
      <c r="C193" s="73"/>
      <c r="D193" s="73"/>
      <c r="E193" s="74"/>
      <c r="F193" s="75"/>
      <c r="G193" s="48"/>
      <c r="H193" s="106"/>
      <c r="I193" s="106"/>
      <c r="K193" s="77"/>
      <c r="L193" s="77"/>
      <c r="M193" s="155"/>
      <c r="N193" s="404">
        <f t="shared" si="6"/>
        <v>180</v>
      </c>
      <c r="T193" s="74"/>
      <c r="U193" s="64"/>
      <c r="V193" s="61"/>
      <c r="W193" s="61"/>
      <c r="X193" s="77"/>
      <c r="Y193" s="77"/>
      <c r="Z193" s="62"/>
      <c r="AA193" s="62"/>
      <c r="AB193" s="62"/>
      <c r="AC193" s="62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2"/>
      <c r="AO193" s="61"/>
      <c r="AP193" s="61"/>
      <c r="AQ193" s="61"/>
      <c r="AR193" s="61"/>
      <c r="AS193" s="61"/>
      <c r="AT193" s="61"/>
    </row>
    <row r="194" spans="1:46" s="76" customFormat="1">
      <c r="A194" s="52"/>
      <c r="B194" s="61"/>
      <c r="C194" s="73"/>
      <c r="D194" s="73"/>
      <c r="E194" s="74"/>
      <c r="F194" s="75"/>
      <c r="G194" s="48"/>
      <c r="H194" s="106"/>
      <c r="I194" s="106"/>
      <c r="K194" s="77"/>
      <c r="L194" s="77"/>
      <c r="M194" s="155"/>
      <c r="N194" s="404">
        <f t="shared" si="6"/>
        <v>180</v>
      </c>
      <c r="T194" s="74"/>
      <c r="U194" s="64"/>
      <c r="V194" s="61"/>
      <c r="W194" s="61"/>
      <c r="X194" s="77"/>
      <c r="Y194" s="77"/>
      <c r="Z194" s="62"/>
      <c r="AA194" s="62"/>
      <c r="AB194" s="62"/>
      <c r="AC194" s="62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2"/>
      <c r="AO194" s="61"/>
      <c r="AP194" s="61"/>
      <c r="AQ194" s="61"/>
      <c r="AR194" s="61"/>
      <c r="AS194" s="61"/>
      <c r="AT194" s="61"/>
    </row>
    <row r="195" spans="1:46" s="76" customFormat="1">
      <c r="A195" s="52"/>
      <c r="B195" s="61"/>
      <c r="C195" s="73"/>
      <c r="D195" s="73"/>
      <c r="E195" s="74"/>
      <c r="F195" s="75"/>
      <c r="G195" s="48"/>
      <c r="H195" s="106"/>
      <c r="I195" s="106"/>
      <c r="K195" s="77"/>
      <c r="L195" s="77"/>
      <c r="M195" s="155"/>
      <c r="N195" s="404">
        <f t="shared" si="6"/>
        <v>180</v>
      </c>
      <c r="T195" s="74"/>
      <c r="U195" s="64"/>
      <c r="V195" s="61"/>
      <c r="W195" s="61"/>
      <c r="X195" s="77"/>
      <c r="Y195" s="77"/>
      <c r="Z195" s="62"/>
      <c r="AA195" s="62"/>
      <c r="AB195" s="62"/>
      <c r="AC195" s="62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2"/>
      <c r="AO195" s="61"/>
      <c r="AP195" s="61"/>
      <c r="AQ195" s="61"/>
      <c r="AR195" s="61"/>
      <c r="AS195" s="61"/>
      <c r="AT195" s="61"/>
    </row>
    <row r="196" spans="1:46" s="76" customFormat="1">
      <c r="A196" s="52"/>
      <c r="B196" s="61"/>
      <c r="C196" s="73"/>
      <c r="D196" s="73"/>
      <c r="E196" s="74"/>
      <c r="F196" s="75"/>
      <c r="G196" s="48"/>
      <c r="H196" s="106"/>
      <c r="I196" s="106"/>
      <c r="K196" s="77"/>
      <c r="L196" s="77"/>
      <c r="M196" s="155"/>
      <c r="N196" s="404">
        <f t="shared" si="6"/>
        <v>180</v>
      </c>
      <c r="T196" s="74"/>
      <c r="U196" s="64"/>
      <c r="V196" s="61"/>
      <c r="W196" s="61"/>
      <c r="X196" s="77"/>
      <c r="Y196" s="77"/>
      <c r="Z196" s="62"/>
      <c r="AA196" s="62"/>
      <c r="AB196" s="62"/>
      <c r="AC196" s="62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2"/>
      <c r="AO196" s="61"/>
      <c r="AP196" s="61"/>
      <c r="AQ196" s="61"/>
      <c r="AR196" s="61"/>
      <c r="AS196" s="61"/>
      <c r="AT196" s="61"/>
    </row>
    <row r="197" spans="1:46" s="76" customFormat="1">
      <c r="A197" s="52"/>
      <c r="B197" s="61"/>
      <c r="C197" s="73"/>
      <c r="D197" s="73"/>
      <c r="E197" s="74"/>
      <c r="F197" s="75"/>
      <c r="G197" s="48"/>
      <c r="H197" s="106"/>
      <c r="I197" s="106"/>
      <c r="K197" s="77"/>
      <c r="L197" s="77"/>
      <c r="M197" s="155"/>
      <c r="N197" s="404">
        <f t="shared" si="6"/>
        <v>180</v>
      </c>
      <c r="T197" s="74"/>
      <c r="U197" s="64"/>
      <c r="V197" s="61"/>
      <c r="W197" s="61"/>
      <c r="X197" s="77"/>
      <c r="Y197" s="77"/>
      <c r="Z197" s="62"/>
      <c r="AA197" s="62"/>
      <c r="AB197" s="62"/>
      <c r="AC197" s="62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2"/>
      <c r="AO197" s="61"/>
      <c r="AP197" s="61"/>
      <c r="AQ197" s="61"/>
      <c r="AR197" s="61"/>
      <c r="AS197" s="61"/>
      <c r="AT197" s="61"/>
    </row>
    <row r="198" spans="1:46" s="76" customFormat="1">
      <c r="A198" s="52"/>
      <c r="B198" s="61"/>
      <c r="C198" s="73"/>
      <c r="D198" s="73"/>
      <c r="E198" s="74"/>
      <c r="F198" s="75"/>
      <c r="G198" s="48"/>
      <c r="H198" s="106"/>
      <c r="I198" s="106"/>
      <c r="K198" s="77"/>
      <c r="L198" s="77"/>
      <c r="M198" s="155"/>
      <c r="N198" s="404">
        <f t="shared" si="6"/>
        <v>180</v>
      </c>
      <c r="T198" s="74"/>
      <c r="U198" s="64"/>
      <c r="V198" s="61"/>
      <c r="W198" s="61"/>
      <c r="X198" s="77"/>
      <c r="Y198" s="77"/>
      <c r="Z198" s="62"/>
      <c r="AA198" s="62"/>
      <c r="AB198" s="62"/>
      <c r="AC198" s="62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2"/>
      <c r="AO198" s="61"/>
      <c r="AP198" s="61"/>
      <c r="AQ198" s="61"/>
      <c r="AR198" s="61"/>
      <c r="AS198" s="61"/>
      <c r="AT198" s="61"/>
    </row>
    <row r="199" spans="1:46" s="76" customFormat="1">
      <c r="A199" s="52"/>
      <c r="B199" s="61"/>
      <c r="C199" s="73"/>
      <c r="D199" s="73"/>
      <c r="E199" s="74"/>
      <c r="F199" s="75"/>
      <c r="G199" s="48"/>
      <c r="H199" s="106"/>
      <c r="I199" s="106"/>
      <c r="K199" s="77"/>
      <c r="L199" s="77"/>
      <c r="M199" s="155"/>
      <c r="N199" s="404">
        <f t="shared" si="6"/>
        <v>180</v>
      </c>
      <c r="T199" s="74"/>
      <c r="U199" s="64"/>
      <c r="V199" s="61"/>
      <c r="W199" s="61"/>
      <c r="X199" s="77"/>
      <c r="Y199" s="77"/>
      <c r="Z199" s="62"/>
      <c r="AA199" s="62"/>
      <c r="AB199" s="62"/>
      <c r="AC199" s="62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2"/>
      <c r="AO199" s="61"/>
      <c r="AP199" s="61"/>
      <c r="AQ199" s="61"/>
      <c r="AR199" s="61"/>
      <c r="AS199" s="61"/>
      <c r="AT199" s="61"/>
    </row>
    <row r="200" spans="1:46" s="76" customFormat="1">
      <c r="A200" s="52"/>
      <c r="B200" s="61"/>
      <c r="C200" s="73"/>
      <c r="D200" s="73"/>
      <c r="E200" s="74"/>
      <c r="F200" s="75"/>
      <c r="G200" s="48"/>
      <c r="H200" s="106"/>
      <c r="I200" s="106"/>
      <c r="K200" s="77"/>
      <c r="L200" s="77"/>
      <c r="M200" s="155"/>
      <c r="N200" s="404">
        <f t="shared" si="6"/>
        <v>180</v>
      </c>
      <c r="T200" s="74"/>
      <c r="U200" s="64"/>
      <c r="V200" s="61"/>
      <c r="W200" s="61"/>
      <c r="X200" s="77"/>
      <c r="Y200" s="77"/>
      <c r="Z200" s="62"/>
      <c r="AA200" s="62"/>
      <c r="AB200" s="62"/>
      <c r="AC200" s="62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2"/>
      <c r="AO200" s="61"/>
      <c r="AP200" s="61"/>
      <c r="AQ200" s="61"/>
      <c r="AR200" s="61"/>
      <c r="AS200" s="61"/>
      <c r="AT200" s="61"/>
    </row>
    <row r="201" spans="1:46" s="76" customFormat="1">
      <c r="A201" s="52"/>
      <c r="B201" s="61"/>
      <c r="C201" s="73"/>
      <c r="D201" s="73"/>
      <c r="E201" s="74"/>
      <c r="F201" s="75"/>
      <c r="G201" s="48"/>
      <c r="H201" s="106"/>
      <c r="I201" s="106"/>
      <c r="K201" s="77"/>
      <c r="L201" s="77"/>
      <c r="M201" s="155"/>
      <c r="N201" s="404">
        <f t="shared" si="6"/>
        <v>180</v>
      </c>
      <c r="T201" s="74"/>
      <c r="U201" s="64"/>
      <c r="V201" s="61"/>
      <c r="W201" s="61"/>
      <c r="X201" s="77"/>
      <c r="Y201" s="77"/>
      <c r="Z201" s="62"/>
      <c r="AA201" s="62"/>
      <c r="AB201" s="62"/>
      <c r="AC201" s="62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2"/>
      <c r="AO201" s="61"/>
      <c r="AP201" s="61"/>
      <c r="AQ201" s="61"/>
      <c r="AR201" s="61"/>
      <c r="AS201" s="61"/>
      <c r="AT201" s="61"/>
    </row>
    <row r="202" spans="1:46" s="76" customFormat="1">
      <c r="A202" s="52"/>
      <c r="B202" s="61"/>
      <c r="C202" s="73"/>
      <c r="D202" s="73"/>
      <c r="E202" s="74"/>
      <c r="F202" s="75"/>
      <c r="G202" s="48"/>
      <c r="H202" s="106"/>
      <c r="I202" s="106"/>
      <c r="K202" s="77"/>
      <c r="L202" s="77"/>
      <c r="M202" s="155"/>
      <c r="N202" s="404">
        <f t="shared" si="6"/>
        <v>180</v>
      </c>
      <c r="T202" s="74"/>
      <c r="U202" s="64"/>
      <c r="V202" s="61"/>
      <c r="W202" s="61"/>
      <c r="X202" s="77"/>
      <c r="Y202" s="77"/>
      <c r="Z202" s="62"/>
      <c r="AA202" s="62"/>
      <c r="AB202" s="62"/>
      <c r="AC202" s="62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2"/>
      <c r="AO202" s="61"/>
      <c r="AP202" s="61"/>
      <c r="AQ202" s="61"/>
      <c r="AR202" s="61"/>
      <c r="AS202" s="61"/>
      <c r="AT202" s="61"/>
    </row>
    <row r="203" spans="1:46" s="76" customFormat="1">
      <c r="A203" s="52"/>
      <c r="B203" s="61"/>
      <c r="C203" s="73"/>
      <c r="D203" s="73"/>
      <c r="E203" s="74"/>
      <c r="F203" s="75"/>
      <c r="G203" s="48"/>
      <c r="H203" s="106"/>
      <c r="I203" s="106"/>
      <c r="K203" s="77"/>
      <c r="L203" s="77"/>
      <c r="M203" s="155"/>
      <c r="N203" s="404">
        <f t="shared" si="6"/>
        <v>180</v>
      </c>
      <c r="T203" s="74"/>
      <c r="U203" s="64"/>
      <c r="V203" s="61"/>
      <c r="W203" s="61"/>
      <c r="X203" s="77"/>
      <c r="Y203" s="77"/>
      <c r="Z203" s="62"/>
      <c r="AA203" s="62"/>
      <c r="AB203" s="62"/>
      <c r="AC203" s="62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2"/>
      <c r="AO203" s="61"/>
      <c r="AP203" s="61"/>
      <c r="AQ203" s="61"/>
      <c r="AR203" s="61"/>
      <c r="AS203" s="61"/>
      <c r="AT203" s="61"/>
    </row>
    <row r="204" spans="1:46" s="76" customFormat="1">
      <c r="A204" s="52"/>
      <c r="B204" s="61"/>
      <c r="C204" s="73"/>
      <c r="D204" s="73"/>
      <c r="E204" s="74"/>
      <c r="F204" s="75"/>
      <c r="G204" s="48"/>
      <c r="H204" s="106"/>
      <c r="I204" s="106"/>
      <c r="K204" s="77"/>
      <c r="L204" s="77"/>
      <c r="M204" s="155"/>
      <c r="N204" s="404">
        <f t="shared" si="6"/>
        <v>180</v>
      </c>
      <c r="T204" s="74"/>
      <c r="U204" s="64"/>
      <c r="V204" s="61"/>
      <c r="W204" s="61"/>
      <c r="X204" s="77"/>
      <c r="Y204" s="77"/>
      <c r="Z204" s="62"/>
      <c r="AA204" s="62"/>
      <c r="AB204" s="62"/>
      <c r="AC204" s="62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2"/>
      <c r="AO204" s="61"/>
      <c r="AP204" s="61"/>
      <c r="AQ204" s="61"/>
      <c r="AR204" s="61"/>
      <c r="AS204" s="61"/>
      <c r="AT204" s="61"/>
    </row>
    <row r="205" spans="1:46" s="76" customFormat="1">
      <c r="A205" s="52"/>
      <c r="B205" s="61"/>
      <c r="C205" s="73"/>
      <c r="D205" s="73"/>
      <c r="E205" s="74"/>
      <c r="F205" s="75"/>
      <c r="G205" s="48"/>
      <c r="H205" s="106"/>
      <c r="I205" s="106"/>
      <c r="K205" s="77"/>
      <c r="L205" s="77"/>
      <c r="M205" s="155"/>
      <c r="N205" s="404">
        <f t="shared" si="6"/>
        <v>180</v>
      </c>
      <c r="T205" s="74"/>
      <c r="U205" s="64"/>
      <c r="V205" s="61"/>
      <c r="W205" s="61"/>
      <c r="X205" s="77"/>
      <c r="Y205" s="77"/>
      <c r="Z205" s="62"/>
      <c r="AA205" s="62"/>
      <c r="AB205" s="62"/>
      <c r="AC205" s="62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2"/>
      <c r="AO205" s="61"/>
      <c r="AP205" s="61"/>
      <c r="AQ205" s="61"/>
      <c r="AR205" s="61"/>
      <c r="AS205" s="61"/>
      <c r="AT205" s="61"/>
    </row>
    <row r="206" spans="1:46" s="76" customFormat="1">
      <c r="A206" s="52"/>
      <c r="B206" s="61"/>
      <c r="C206" s="73"/>
      <c r="D206" s="73"/>
      <c r="E206" s="74"/>
      <c r="F206" s="75"/>
      <c r="G206" s="48"/>
      <c r="H206" s="106"/>
      <c r="I206" s="106"/>
      <c r="K206" s="77"/>
      <c r="L206" s="77"/>
      <c r="M206" s="155"/>
      <c r="N206" s="404">
        <f t="shared" si="6"/>
        <v>180</v>
      </c>
      <c r="T206" s="74"/>
      <c r="U206" s="64"/>
      <c r="V206" s="61"/>
      <c r="W206" s="61"/>
      <c r="X206" s="77"/>
      <c r="Y206" s="77"/>
      <c r="Z206" s="62"/>
      <c r="AA206" s="62"/>
      <c r="AB206" s="62"/>
      <c r="AC206" s="62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2"/>
      <c r="AO206" s="61"/>
      <c r="AP206" s="61"/>
      <c r="AQ206" s="61"/>
      <c r="AR206" s="61"/>
      <c r="AS206" s="61"/>
      <c r="AT206" s="61"/>
    </row>
    <row r="207" spans="1:46" s="76" customFormat="1">
      <c r="A207" s="52"/>
      <c r="B207" s="61"/>
      <c r="C207" s="73"/>
      <c r="D207" s="73"/>
      <c r="E207" s="74"/>
      <c r="F207" s="75"/>
      <c r="G207" s="48"/>
      <c r="H207" s="106"/>
      <c r="I207" s="106"/>
      <c r="K207" s="77"/>
      <c r="L207" s="77"/>
      <c r="M207" s="155"/>
      <c r="N207" s="404">
        <f t="shared" si="6"/>
        <v>180</v>
      </c>
      <c r="T207" s="74"/>
      <c r="U207" s="64"/>
      <c r="V207" s="61"/>
      <c r="W207" s="61"/>
      <c r="X207" s="77"/>
      <c r="Y207" s="77"/>
      <c r="Z207" s="62"/>
      <c r="AA207" s="62"/>
      <c r="AB207" s="62"/>
      <c r="AC207" s="62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2"/>
      <c r="AO207" s="61"/>
      <c r="AP207" s="61"/>
      <c r="AQ207" s="61"/>
      <c r="AR207" s="61"/>
      <c r="AS207" s="61"/>
      <c r="AT207" s="61"/>
    </row>
    <row r="208" spans="1:46" s="76" customFormat="1">
      <c r="A208" s="52"/>
      <c r="B208" s="61"/>
      <c r="C208" s="73"/>
      <c r="D208" s="73"/>
      <c r="E208" s="74"/>
      <c r="F208" s="75"/>
      <c r="G208" s="48"/>
      <c r="H208" s="106"/>
      <c r="I208" s="106"/>
      <c r="K208" s="77"/>
      <c r="L208" s="77"/>
      <c r="M208" s="155"/>
      <c r="N208" s="404">
        <f t="shared" si="6"/>
        <v>180</v>
      </c>
      <c r="T208" s="74"/>
      <c r="U208" s="64"/>
      <c r="V208" s="61"/>
      <c r="W208" s="61"/>
      <c r="X208" s="77"/>
      <c r="Y208" s="77"/>
      <c r="Z208" s="62"/>
      <c r="AA208" s="62"/>
      <c r="AB208" s="62"/>
      <c r="AC208" s="62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2"/>
      <c r="AO208" s="61"/>
      <c r="AP208" s="61"/>
      <c r="AQ208" s="61"/>
      <c r="AR208" s="61"/>
      <c r="AS208" s="61"/>
      <c r="AT208" s="61"/>
    </row>
    <row r="209" spans="1:46" s="76" customFormat="1">
      <c r="A209" s="52"/>
      <c r="B209" s="61"/>
      <c r="C209" s="73"/>
      <c r="D209" s="73"/>
      <c r="E209" s="74"/>
      <c r="F209" s="75"/>
      <c r="G209" s="48"/>
      <c r="H209" s="106"/>
      <c r="I209" s="106"/>
      <c r="K209" s="77"/>
      <c r="L209" s="77"/>
      <c r="M209" s="155"/>
      <c r="N209" s="404">
        <f t="shared" si="6"/>
        <v>180</v>
      </c>
      <c r="T209" s="74"/>
      <c r="U209" s="64"/>
      <c r="V209" s="61"/>
      <c r="W209" s="61"/>
      <c r="X209" s="77"/>
      <c r="Y209" s="77"/>
      <c r="Z209" s="62"/>
      <c r="AA209" s="62"/>
      <c r="AB209" s="62"/>
      <c r="AC209" s="62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2"/>
      <c r="AO209" s="61"/>
      <c r="AP209" s="61"/>
      <c r="AQ209" s="61"/>
      <c r="AR209" s="61"/>
      <c r="AS209" s="61"/>
      <c r="AT209" s="61"/>
    </row>
    <row r="210" spans="1:46" s="76" customFormat="1">
      <c r="A210" s="52"/>
      <c r="B210" s="61"/>
      <c r="C210" s="73"/>
      <c r="D210" s="73"/>
      <c r="E210" s="74"/>
      <c r="F210" s="75"/>
      <c r="G210" s="48"/>
      <c r="H210" s="106"/>
      <c r="I210" s="106"/>
      <c r="K210" s="77"/>
      <c r="L210" s="77"/>
      <c r="M210" s="155"/>
      <c r="N210" s="404">
        <f t="shared" si="6"/>
        <v>180</v>
      </c>
      <c r="T210" s="74"/>
      <c r="U210" s="64"/>
      <c r="V210" s="61"/>
      <c r="W210" s="61"/>
      <c r="X210" s="77"/>
      <c r="Y210" s="77"/>
      <c r="Z210" s="62"/>
      <c r="AA210" s="62"/>
      <c r="AB210" s="62"/>
      <c r="AC210" s="62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2"/>
      <c r="AO210" s="61"/>
      <c r="AP210" s="61"/>
      <c r="AQ210" s="61"/>
      <c r="AR210" s="61"/>
      <c r="AS210" s="61"/>
      <c r="AT210" s="61"/>
    </row>
    <row r="211" spans="1:46" s="76" customFormat="1">
      <c r="A211" s="52"/>
      <c r="B211" s="61"/>
      <c r="C211" s="73"/>
      <c r="D211" s="73"/>
      <c r="E211" s="74"/>
      <c r="F211" s="75"/>
      <c r="G211" s="48"/>
      <c r="H211" s="106"/>
      <c r="I211" s="106"/>
      <c r="K211" s="77"/>
      <c r="L211" s="77"/>
      <c r="M211" s="155"/>
      <c r="N211" s="404">
        <f t="shared" si="6"/>
        <v>180</v>
      </c>
      <c r="T211" s="74"/>
      <c r="U211" s="64"/>
      <c r="V211" s="61"/>
      <c r="W211" s="61"/>
      <c r="X211" s="77"/>
      <c r="Y211" s="77"/>
      <c r="Z211" s="62"/>
      <c r="AA211" s="62"/>
      <c r="AB211" s="62"/>
      <c r="AC211" s="62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2"/>
      <c r="AO211" s="61"/>
      <c r="AP211" s="61"/>
      <c r="AQ211" s="61"/>
      <c r="AR211" s="61"/>
      <c r="AS211" s="61"/>
      <c r="AT211" s="61"/>
    </row>
    <row r="212" spans="1:46" s="76" customFormat="1">
      <c r="A212" s="52"/>
      <c r="B212" s="61"/>
      <c r="C212" s="73"/>
      <c r="D212" s="73"/>
      <c r="E212" s="74"/>
      <c r="F212" s="75"/>
      <c r="G212" s="48"/>
      <c r="H212" s="106"/>
      <c r="I212" s="106"/>
      <c r="K212" s="77"/>
      <c r="L212" s="77"/>
      <c r="M212" s="155"/>
      <c r="N212" s="404">
        <f t="shared" si="6"/>
        <v>180</v>
      </c>
      <c r="T212" s="74"/>
      <c r="U212" s="64"/>
      <c r="V212" s="61"/>
      <c r="W212" s="61"/>
      <c r="X212" s="77"/>
      <c r="Y212" s="77"/>
      <c r="Z212" s="62"/>
      <c r="AA212" s="62"/>
      <c r="AB212" s="62"/>
      <c r="AC212" s="62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2"/>
      <c r="AO212" s="61"/>
      <c r="AP212" s="61"/>
      <c r="AQ212" s="61"/>
      <c r="AR212" s="61"/>
      <c r="AS212" s="61"/>
      <c r="AT212" s="61"/>
    </row>
    <row r="213" spans="1:46" s="76" customFormat="1">
      <c r="A213" s="52"/>
      <c r="B213" s="61"/>
      <c r="C213" s="73"/>
      <c r="D213" s="73"/>
      <c r="E213" s="74"/>
      <c r="F213" s="75"/>
      <c r="G213" s="48"/>
      <c r="H213" s="106"/>
      <c r="I213" s="106"/>
      <c r="K213" s="77"/>
      <c r="L213" s="77"/>
      <c r="M213" s="155"/>
      <c r="N213" s="404">
        <f t="shared" si="6"/>
        <v>180</v>
      </c>
      <c r="T213" s="74"/>
      <c r="U213" s="64"/>
      <c r="V213" s="61"/>
      <c r="W213" s="61"/>
      <c r="X213" s="77"/>
      <c r="Y213" s="77"/>
      <c r="Z213" s="62"/>
      <c r="AA213" s="62"/>
      <c r="AB213" s="62"/>
      <c r="AC213" s="62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2"/>
      <c r="AO213" s="61"/>
      <c r="AP213" s="61"/>
      <c r="AQ213" s="61"/>
      <c r="AR213" s="61"/>
      <c r="AS213" s="61"/>
      <c r="AT213" s="61"/>
    </row>
    <row r="214" spans="1:46" s="76" customFormat="1">
      <c r="A214" s="52"/>
      <c r="B214" s="61"/>
      <c r="C214" s="73"/>
      <c r="D214" s="73"/>
      <c r="E214" s="74"/>
      <c r="F214" s="75"/>
      <c r="G214" s="48"/>
      <c r="H214" s="106"/>
      <c r="I214" s="106"/>
      <c r="K214" s="77"/>
      <c r="L214" s="77"/>
      <c r="M214" s="155"/>
      <c r="N214" s="404">
        <f t="shared" si="6"/>
        <v>180</v>
      </c>
      <c r="T214" s="74"/>
      <c r="U214" s="64"/>
      <c r="V214" s="61"/>
      <c r="W214" s="61"/>
      <c r="X214" s="77"/>
      <c r="Y214" s="77"/>
      <c r="Z214" s="62"/>
      <c r="AA214" s="62"/>
      <c r="AB214" s="62"/>
      <c r="AC214" s="62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2"/>
      <c r="AO214" s="61"/>
      <c r="AP214" s="61"/>
      <c r="AQ214" s="61"/>
      <c r="AR214" s="61"/>
      <c r="AS214" s="61"/>
      <c r="AT214" s="61"/>
    </row>
    <row r="215" spans="1:46" s="76" customFormat="1">
      <c r="A215" s="52"/>
      <c r="B215" s="61"/>
      <c r="C215" s="73"/>
      <c r="D215" s="73"/>
      <c r="E215" s="74"/>
      <c r="F215" s="75"/>
      <c r="G215" s="48"/>
      <c r="H215" s="106"/>
      <c r="I215" s="106"/>
      <c r="K215" s="77"/>
      <c r="L215" s="77"/>
      <c r="M215" s="155"/>
      <c r="N215" s="404">
        <f t="shared" si="6"/>
        <v>180</v>
      </c>
      <c r="T215" s="74"/>
      <c r="U215" s="64"/>
      <c r="V215" s="61"/>
      <c r="W215" s="61"/>
      <c r="X215" s="77"/>
      <c r="Y215" s="77"/>
      <c r="Z215" s="62"/>
      <c r="AA215" s="62"/>
      <c r="AB215" s="62"/>
      <c r="AC215" s="62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2"/>
      <c r="AO215" s="61"/>
      <c r="AP215" s="61"/>
      <c r="AQ215" s="61"/>
      <c r="AR215" s="61"/>
      <c r="AS215" s="61"/>
      <c r="AT215" s="61"/>
    </row>
    <row r="216" spans="1:46" s="76" customFormat="1">
      <c r="A216" s="52"/>
      <c r="B216" s="61"/>
      <c r="C216" s="73"/>
      <c r="D216" s="73"/>
      <c r="E216" s="74"/>
      <c r="F216" s="75"/>
      <c r="G216" s="48"/>
      <c r="H216" s="106"/>
      <c r="I216" s="106"/>
      <c r="K216" s="77"/>
      <c r="L216" s="77"/>
      <c r="M216" s="155"/>
      <c r="N216" s="404">
        <f t="shared" si="6"/>
        <v>180</v>
      </c>
      <c r="T216" s="74"/>
      <c r="U216" s="64"/>
      <c r="V216" s="61"/>
      <c r="W216" s="61"/>
      <c r="X216" s="77"/>
      <c r="Y216" s="77"/>
      <c r="Z216" s="62"/>
      <c r="AA216" s="62"/>
      <c r="AB216" s="62"/>
      <c r="AC216" s="62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2"/>
      <c r="AO216" s="61"/>
      <c r="AP216" s="61"/>
      <c r="AQ216" s="61"/>
      <c r="AR216" s="61"/>
      <c r="AS216" s="61"/>
      <c r="AT216" s="61"/>
    </row>
    <row r="217" spans="1:46" s="76" customFormat="1">
      <c r="A217" s="52"/>
      <c r="B217" s="61"/>
      <c r="C217" s="73"/>
      <c r="D217" s="73"/>
      <c r="E217" s="74"/>
      <c r="F217" s="75"/>
      <c r="G217" s="48"/>
      <c r="H217" s="106"/>
      <c r="I217" s="106"/>
      <c r="K217" s="77"/>
      <c r="L217" s="77"/>
      <c r="M217" s="155"/>
      <c r="N217" s="404">
        <f t="shared" si="6"/>
        <v>180</v>
      </c>
      <c r="T217" s="74"/>
      <c r="U217" s="64"/>
      <c r="V217" s="61"/>
      <c r="W217" s="61"/>
      <c r="X217" s="77"/>
      <c r="Y217" s="77"/>
      <c r="Z217" s="62"/>
      <c r="AA217" s="62"/>
      <c r="AB217" s="62"/>
      <c r="AC217" s="62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2"/>
      <c r="AO217" s="61"/>
      <c r="AP217" s="61"/>
      <c r="AQ217" s="61"/>
      <c r="AR217" s="61"/>
      <c r="AS217" s="61"/>
      <c r="AT217" s="61"/>
    </row>
    <row r="218" spans="1:46" s="76" customFormat="1">
      <c r="A218" s="52"/>
      <c r="B218" s="61"/>
      <c r="C218" s="73"/>
      <c r="D218" s="73"/>
      <c r="E218" s="74"/>
      <c r="F218" s="75"/>
      <c r="G218" s="48"/>
      <c r="H218" s="106"/>
      <c r="I218" s="106"/>
      <c r="K218" s="77"/>
      <c r="L218" s="77"/>
      <c r="M218" s="155"/>
      <c r="N218" s="404">
        <f t="shared" si="6"/>
        <v>180</v>
      </c>
      <c r="T218" s="74"/>
      <c r="U218" s="64"/>
      <c r="V218" s="61"/>
      <c r="W218" s="61"/>
      <c r="X218" s="77"/>
      <c r="Y218" s="77"/>
      <c r="Z218" s="62"/>
      <c r="AA218" s="62"/>
      <c r="AB218" s="62"/>
      <c r="AC218" s="62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2"/>
      <c r="AO218" s="61"/>
      <c r="AP218" s="61"/>
      <c r="AQ218" s="61"/>
      <c r="AR218" s="61"/>
      <c r="AS218" s="61"/>
      <c r="AT218" s="61"/>
    </row>
    <row r="219" spans="1:46" s="76" customFormat="1">
      <c r="A219" s="52"/>
      <c r="B219" s="61"/>
      <c r="C219" s="73"/>
      <c r="D219" s="73"/>
      <c r="E219" s="74"/>
      <c r="F219" s="75"/>
      <c r="G219" s="48"/>
      <c r="H219" s="106"/>
      <c r="I219" s="106"/>
      <c r="K219" s="77"/>
      <c r="L219" s="77"/>
      <c r="M219" s="155"/>
      <c r="N219" s="404">
        <f t="shared" si="6"/>
        <v>180</v>
      </c>
      <c r="T219" s="74"/>
      <c r="U219" s="64"/>
      <c r="V219" s="61"/>
      <c r="W219" s="61"/>
      <c r="X219" s="77"/>
      <c r="Y219" s="77"/>
      <c r="Z219" s="62"/>
      <c r="AA219" s="62"/>
      <c r="AB219" s="62"/>
      <c r="AC219" s="62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2"/>
      <c r="AO219" s="61"/>
      <c r="AP219" s="61"/>
      <c r="AQ219" s="61"/>
      <c r="AR219" s="61"/>
      <c r="AS219" s="61"/>
      <c r="AT219" s="61"/>
    </row>
    <row r="220" spans="1:46" s="76" customFormat="1">
      <c r="A220" s="52"/>
      <c r="B220" s="61"/>
      <c r="C220" s="73"/>
      <c r="D220" s="73"/>
      <c r="E220" s="74"/>
      <c r="F220" s="75"/>
      <c r="G220" s="48"/>
      <c r="H220" s="106"/>
      <c r="I220" s="106"/>
      <c r="K220" s="77"/>
      <c r="L220" s="77"/>
      <c r="M220" s="155"/>
      <c r="N220" s="404">
        <f t="shared" si="6"/>
        <v>180</v>
      </c>
      <c r="T220" s="74"/>
      <c r="U220" s="64"/>
      <c r="V220" s="61"/>
      <c r="W220" s="61"/>
      <c r="X220" s="77"/>
      <c r="Y220" s="77"/>
      <c r="Z220" s="62"/>
      <c r="AA220" s="62"/>
      <c r="AB220" s="62"/>
      <c r="AC220" s="62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2"/>
      <c r="AO220" s="61"/>
      <c r="AP220" s="61"/>
      <c r="AQ220" s="61"/>
      <c r="AR220" s="61"/>
      <c r="AS220" s="61"/>
      <c r="AT220" s="61"/>
    </row>
    <row r="221" spans="1:46" s="76" customFormat="1">
      <c r="A221" s="52"/>
      <c r="B221" s="61"/>
      <c r="C221" s="73"/>
      <c r="D221" s="73"/>
      <c r="E221" s="74"/>
      <c r="F221" s="75"/>
      <c r="G221" s="48"/>
      <c r="H221" s="106"/>
      <c r="I221" s="106"/>
      <c r="K221" s="77"/>
      <c r="L221" s="77"/>
      <c r="M221" s="155"/>
      <c r="N221" s="404">
        <f t="shared" si="6"/>
        <v>180</v>
      </c>
      <c r="T221" s="74"/>
      <c r="U221" s="64"/>
      <c r="V221" s="61"/>
      <c r="W221" s="61"/>
      <c r="X221" s="77"/>
      <c r="Y221" s="77"/>
      <c r="Z221" s="62"/>
      <c r="AA221" s="62"/>
      <c r="AB221" s="62"/>
      <c r="AC221" s="62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2"/>
      <c r="AO221" s="61"/>
      <c r="AP221" s="61"/>
      <c r="AQ221" s="61"/>
      <c r="AR221" s="61"/>
      <c r="AS221" s="61"/>
      <c r="AT221" s="61"/>
    </row>
    <row r="222" spans="1:46" s="76" customFormat="1">
      <c r="A222" s="52"/>
      <c r="B222" s="61"/>
      <c r="C222" s="73"/>
      <c r="D222" s="73"/>
      <c r="E222" s="74"/>
      <c r="F222" s="75"/>
      <c r="G222" s="48"/>
      <c r="H222" s="106"/>
      <c r="I222" s="106"/>
      <c r="K222" s="77"/>
      <c r="L222" s="77"/>
      <c r="M222" s="155"/>
      <c r="N222" s="159"/>
      <c r="T222" s="74"/>
      <c r="U222" s="64"/>
      <c r="V222" s="61"/>
      <c r="W222" s="61"/>
      <c r="X222" s="77"/>
      <c r="Y222" s="77"/>
      <c r="Z222" s="62"/>
      <c r="AA222" s="62"/>
      <c r="AB222" s="62"/>
      <c r="AC222" s="62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2"/>
      <c r="AO222" s="61"/>
      <c r="AP222" s="61"/>
      <c r="AQ222" s="61"/>
      <c r="AR222" s="61"/>
      <c r="AS222" s="61"/>
      <c r="AT222" s="61"/>
    </row>
    <row r="223" spans="1:46" s="76" customFormat="1">
      <c r="A223" s="52"/>
      <c r="B223" s="61"/>
      <c r="C223" s="73"/>
      <c r="D223" s="73"/>
      <c r="E223" s="74"/>
      <c r="F223" s="75"/>
      <c r="G223" s="48"/>
      <c r="H223" s="106"/>
      <c r="I223" s="106"/>
      <c r="K223" s="77"/>
      <c r="L223" s="77"/>
      <c r="M223" s="155"/>
      <c r="N223" s="159"/>
      <c r="T223" s="74"/>
      <c r="U223" s="64"/>
      <c r="V223" s="61"/>
      <c r="W223" s="61"/>
      <c r="X223" s="77"/>
      <c r="Y223" s="77"/>
      <c r="Z223" s="62"/>
      <c r="AA223" s="62"/>
      <c r="AB223" s="62"/>
      <c r="AC223" s="62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2"/>
      <c r="AO223" s="61"/>
      <c r="AP223" s="61"/>
      <c r="AQ223" s="61"/>
      <c r="AR223" s="61"/>
      <c r="AS223" s="61"/>
      <c r="AT223" s="61"/>
    </row>
    <row r="224" spans="1:46" s="76" customFormat="1">
      <c r="A224" s="52"/>
      <c r="B224" s="61"/>
      <c r="C224" s="73"/>
      <c r="D224" s="73"/>
      <c r="E224" s="74"/>
      <c r="F224" s="75"/>
      <c r="G224" s="48"/>
      <c r="H224" s="106"/>
      <c r="I224" s="106"/>
      <c r="K224" s="77"/>
      <c r="L224" s="77"/>
      <c r="M224" s="155"/>
      <c r="N224" s="159"/>
      <c r="T224" s="74"/>
      <c r="U224" s="64"/>
      <c r="V224" s="61"/>
      <c r="W224" s="61"/>
      <c r="X224" s="77"/>
      <c r="Y224" s="77"/>
      <c r="Z224" s="62"/>
      <c r="AA224" s="62"/>
      <c r="AB224" s="62"/>
      <c r="AC224" s="62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2"/>
      <c r="AO224" s="61"/>
      <c r="AP224" s="61"/>
      <c r="AQ224" s="61"/>
      <c r="AR224" s="61"/>
      <c r="AS224" s="61"/>
      <c r="AT224" s="61"/>
    </row>
    <row r="225" spans="1:46" s="76" customFormat="1">
      <c r="A225" s="52"/>
      <c r="B225" s="61"/>
      <c r="C225" s="73"/>
      <c r="D225" s="73"/>
      <c r="E225" s="74"/>
      <c r="F225" s="75"/>
      <c r="G225" s="48"/>
      <c r="H225" s="106"/>
      <c r="I225" s="106"/>
      <c r="K225" s="77"/>
      <c r="L225" s="77"/>
      <c r="M225" s="155"/>
      <c r="N225" s="159"/>
      <c r="T225" s="74"/>
      <c r="U225" s="64"/>
      <c r="V225" s="61"/>
      <c r="W225" s="61"/>
      <c r="X225" s="77"/>
      <c r="Y225" s="77"/>
      <c r="Z225" s="62"/>
      <c r="AA225" s="62"/>
      <c r="AB225" s="62"/>
      <c r="AC225" s="62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2"/>
      <c r="AO225" s="61"/>
      <c r="AP225" s="61"/>
      <c r="AQ225" s="61"/>
      <c r="AR225" s="61"/>
      <c r="AS225" s="61"/>
      <c r="AT225" s="61"/>
    </row>
    <row r="226" spans="1:46" s="76" customFormat="1">
      <c r="A226" s="52"/>
      <c r="B226" s="61"/>
      <c r="C226" s="73"/>
      <c r="D226" s="73"/>
      <c r="E226" s="74"/>
      <c r="F226" s="75"/>
      <c r="G226" s="48"/>
      <c r="H226" s="106"/>
      <c r="I226" s="106"/>
      <c r="K226" s="77"/>
      <c r="L226" s="77"/>
      <c r="M226" s="155"/>
      <c r="N226" s="159"/>
      <c r="T226" s="74"/>
      <c r="U226" s="64"/>
      <c r="V226" s="61"/>
      <c r="W226" s="61"/>
      <c r="X226" s="77"/>
      <c r="Y226" s="77"/>
      <c r="Z226" s="62"/>
      <c r="AA226" s="62"/>
      <c r="AB226" s="62"/>
      <c r="AC226" s="62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2"/>
      <c r="AO226" s="61"/>
      <c r="AP226" s="61"/>
      <c r="AQ226" s="61"/>
      <c r="AR226" s="61"/>
      <c r="AS226" s="61"/>
      <c r="AT226" s="61"/>
    </row>
    <row r="227" spans="1:46" s="76" customFormat="1">
      <c r="A227" s="52"/>
      <c r="B227" s="61"/>
      <c r="C227" s="73"/>
      <c r="D227" s="73"/>
      <c r="E227" s="74"/>
      <c r="F227" s="75"/>
      <c r="G227" s="48"/>
      <c r="H227" s="106"/>
      <c r="I227" s="106"/>
      <c r="K227" s="77"/>
      <c r="L227" s="77"/>
      <c r="M227" s="155"/>
      <c r="N227" s="159"/>
      <c r="T227" s="74"/>
      <c r="U227" s="64"/>
      <c r="V227" s="61"/>
      <c r="W227" s="61"/>
      <c r="X227" s="77"/>
      <c r="Y227" s="77"/>
      <c r="Z227" s="62"/>
      <c r="AA227" s="62"/>
      <c r="AB227" s="62"/>
      <c r="AC227" s="62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2"/>
      <c r="AO227" s="61"/>
      <c r="AP227" s="61"/>
      <c r="AQ227" s="61"/>
      <c r="AR227" s="61"/>
      <c r="AS227" s="61"/>
      <c r="AT227" s="61"/>
    </row>
    <row r="228" spans="1:46" s="76" customFormat="1">
      <c r="A228" s="52"/>
      <c r="B228" s="61"/>
      <c r="C228" s="73"/>
      <c r="D228" s="73"/>
      <c r="E228" s="74"/>
      <c r="F228" s="75"/>
      <c r="G228" s="48"/>
      <c r="H228" s="106"/>
      <c r="I228" s="106"/>
      <c r="K228" s="77"/>
      <c r="L228" s="77"/>
      <c r="M228" s="155"/>
      <c r="N228" s="159"/>
      <c r="T228" s="74"/>
      <c r="U228" s="64"/>
      <c r="V228" s="61"/>
      <c r="W228" s="61"/>
      <c r="X228" s="77"/>
      <c r="Y228" s="77"/>
      <c r="Z228" s="62"/>
      <c r="AA228" s="62"/>
      <c r="AB228" s="62"/>
      <c r="AC228" s="62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2"/>
      <c r="AO228" s="61"/>
      <c r="AP228" s="61"/>
      <c r="AQ228" s="61"/>
      <c r="AR228" s="61"/>
      <c r="AS228" s="61"/>
      <c r="AT228" s="61"/>
    </row>
    <row r="229" spans="1:46" s="76" customFormat="1">
      <c r="A229" s="52"/>
      <c r="B229" s="61"/>
      <c r="C229" s="73"/>
      <c r="D229" s="73"/>
      <c r="E229" s="74"/>
      <c r="F229" s="75"/>
      <c r="G229" s="48"/>
      <c r="H229" s="106"/>
      <c r="I229" s="106"/>
      <c r="K229" s="77"/>
      <c r="L229" s="77"/>
      <c r="M229" s="155"/>
      <c r="N229" s="159"/>
      <c r="T229" s="74"/>
      <c r="U229" s="64"/>
      <c r="V229" s="61"/>
      <c r="W229" s="61"/>
      <c r="X229" s="77"/>
      <c r="Y229" s="77"/>
      <c r="Z229" s="62"/>
      <c r="AA229" s="62"/>
      <c r="AB229" s="62"/>
      <c r="AC229" s="62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2"/>
      <c r="AO229" s="61"/>
      <c r="AP229" s="61"/>
      <c r="AQ229" s="61"/>
      <c r="AR229" s="61"/>
      <c r="AS229" s="61"/>
      <c r="AT229" s="61"/>
    </row>
    <row r="230" spans="1:46" s="76" customFormat="1">
      <c r="A230" s="52"/>
      <c r="B230" s="61"/>
      <c r="C230" s="73"/>
      <c r="D230" s="73"/>
      <c r="E230" s="74"/>
      <c r="F230" s="75"/>
      <c r="G230" s="48"/>
      <c r="H230" s="106"/>
      <c r="I230" s="106"/>
      <c r="K230" s="77"/>
      <c r="L230" s="77"/>
      <c r="M230" s="155"/>
      <c r="N230" s="159"/>
      <c r="T230" s="74"/>
      <c r="U230" s="64"/>
      <c r="V230" s="61"/>
      <c r="W230" s="61"/>
      <c r="X230" s="77"/>
      <c r="Y230" s="77"/>
      <c r="Z230" s="62"/>
      <c r="AA230" s="62"/>
      <c r="AB230" s="62"/>
      <c r="AC230" s="62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2"/>
      <c r="AO230" s="61"/>
      <c r="AP230" s="61"/>
      <c r="AQ230" s="61"/>
      <c r="AR230" s="61"/>
      <c r="AS230" s="61"/>
      <c r="AT230" s="61"/>
    </row>
    <row r="231" spans="1:46" s="76" customFormat="1">
      <c r="A231" s="52"/>
      <c r="B231" s="61"/>
      <c r="C231" s="73"/>
      <c r="D231" s="73"/>
      <c r="E231" s="74"/>
      <c r="F231" s="75"/>
      <c r="G231" s="48"/>
      <c r="H231" s="106"/>
      <c r="I231" s="106"/>
      <c r="K231" s="77"/>
      <c r="L231" s="77"/>
      <c r="M231" s="155"/>
      <c r="N231" s="159"/>
      <c r="T231" s="74"/>
      <c r="U231" s="64"/>
      <c r="V231" s="61"/>
      <c r="W231" s="61"/>
      <c r="X231" s="77"/>
      <c r="Y231" s="77"/>
      <c r="Z231" s="62"/>
      <c r="AA231" s="62"/>
      <c r="AB231" s="62"/>
      <c r="AC231" s="62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2"/>
      <c r="AO231" s="61"/>
      <c r="AP231" s="61"/>
      <c r="AQ231" s="61"/>
      <c r="AR231" s="61"/>
      <c r="AS231" s="61"/>
      <c r="AT231" s="61"/>
    </row>
    <row r="232" spans="1:46" s="76" customFormat="1">
      <c r="A232" s="52"/>
      <c r="B232" s="61"/>
      <c r="C232" s="73"/>
      <c r="D232" s="73"/>
      <c r="E232" s="74"/>
      <c r="F232" s="75"/>
      <c r="G232" s="48"/>
      <c r="H232" s="106"/>
      <c r="I232" s="106"/>
      <c r="K232" s="77"/>
      <c r="L232" s="77"/>
      <c r="M232" s="155"/>
      <c r="N232" s="159"/>
      <c r="T232" s="74"/>
      <c r="U232" s="64"/>
      <c r="V232" s="61"/>
      <c r="W232" s="61"/>
      <c r="X232" s="77"/>
      <c r="Y232" s="77"/>
      <c r="Z232" s="62"/>
      <c r="AA232" s="62"/>
      <c r="AB232" s="62"/>
      <c r="AC232" s="62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2"/>
      <c r="AO232" s="61"/>
      <c r="AP232" s="61"/>
      <c r="AQ232" s="61"/>
      <c r="AR232" s="61"/>
      <c r="AS232" s="61"/>
      <c r="AT232" s="61"/>
    </row>
    <row r="233" spans="1:46" s="76" customFormat="1">
      <c r="A233" s="52"/>
      <c r="B233" s="61"/>
      <c r="C233" s="73"/>
      <c r="D233" s="73"/>
      <c r="E233" s="74"/>
      <c r="F233" s="75"/>
      <c r="G233" s="48"/>
      <c r="H233" s="106"/>
      <c r="I233" s="106"/>
      <c r="K233" s="77"/>
      <c r="L233" s="77"/>
      <c r="M233" s="155"/>
      <c r="N233" s="159"/>
      <c r="T233" s="74"/>
      <c r="U233" s="64"/>
      <c r="V233" s="61"/>
      <c r="W233" s="61"/>
      <c r="X233" s="77"/>
      <c r="Y233" s="77"/>
      <c r="Z233" s="62"/>
      <c r="AA233" s="62"/>
      <c r="AB233" s="62"/>
      <c r="AC233" s="62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2"/>
      <c r="AO233" s="61"/>
      <c r="AP233" s="61"/>
      <c r="AQ233" s="61"/>
      <c r="AR233" s="61"/>
      <c r="AS233" s="61"/>
      <c r="AT233" s="61"/>
    </row>
    <row r="234" spans="1:46" s="76" customFormat="1">
      <c r="A234" s="52"/>
      <c r="B234" s="61"/>
      <c r="C234" s="73"/>
      <c r="D234" s="73"/>
      <c r="E234" s="74"/>
      <c r="F234" s="75"/>
      <c r="G234" s="48"/>
      <c r="H234" s="106"/>
      <c r="I234" s="106"/>
      <c r="K234" s="77"/>
      <c r="L234" s="77"/>
      <c r="M234" s="155"/>
      <c r="N234" s="159"/>
      <c r="T234" s="74"/>
      <c r="U234" s="64"/>
      <c r="V234" s="61"/>
      <c r="W234" s="61"/>
      <c r="X234" s="77"/>
      <c r="Y234" s="77"/>
      <c r="Z234" s="62"/>
      <c r="AA234" s="62"/>
      <c r="AB234" s="62"/>
      <c r="AC234" s="62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2"/>
      <c r="AO234" s="61"/>
      <c r="AP234" s="61"/>
      <c r="AQ234" s="61"/>
      <c r="AR234" s="61"/>
      <c r="AS234" s="61"/>
      <c r="AT234" s="61"/>
    </row>
    <row r="235" spans="1:46" s="76" customFormat="1">
      <c r="A235" s="52"/>
      <c r="B235" s="61"/>
      <c r="C235" s="73"/>
      <c r="D235" s="73"/>
      <c r="E235" s="74"/>
      <c r="F235" s="75"/>
      <c r="G235" s="48"/>
      <c r="H235" s="106"/>
      <c r="I235" s="106"/>
      <c r="K235" s="77"/>
      <c r="L235" s="77"/>
      <c r="M235" s="155"/>
      <c r="N235" s="159"/>
      <c r="T235" s="74"/>
      <c r="U235" s="64"/>
      <c r="V235" s="61"/>
      <c r="W235" s="61"/>
      <c r="X235" s="77"/>
      <c r="Y235" s="77"/>
      <c r="Z235" s="62"/>
      <c r="AA235" s="62"/>
      <c r="AB235" s="62"/>
      <c r="AC235" s="62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2"/>
      <c r="AO235" s="61"/>
      <c r="AP235" s="61"/>
      <c r="AQ235" s="61"/>
      <c r="AR235" s="61"/>
      <c r="AS235" s="61"/>
      <c r="AT235" s="61"/>
    </row>
    <row r="236" spans="1:46" s="76" customFormat="1">
      <c r="A236" s="52"/>
      <c r="B236" s="61"/>
      <c r="C236" s="73"/>
      <c r="D236" s="73"/>
      <c r="E236" s="74"/>
      <c r="F236" s="75"/>
      <c r="G236" s="48"/>
      <c r="H236" s="106"/>
      <c r="I236" s="106"/>
      <c r="K236" s="77"/>
      <c r="L236" s="77"/>
      <c r="M236" s="155"/>
      <c r="N236" s="159"/>
      <c r="T236" s="74"/>
      <c r="U236" s="64"/>
      <c r="V236" s="61"/>
      <c r="W236" s="61"/>
      <c r="X236" s="77"/>
      <c r="Y236" s="77"/>
      <c r="Z236" s="62"/>
      <c r="AA236" s="62"/>
      <c r="AB236" s="62"/>
      <c r="AC236" s="62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2"/>
      <c r="AO236" s="61"/>
      <c r="AP236" s="61"/>
      <c r="AQ236" s="61"/>
      <c r="AR236" s="61"/>
      <c r="AS236" s="61"/>
      <c r="AT236" s="61"/>
    </row>
    <row r="237" spans="1:46" s="76" customFormat="1">
      <c r="A237" s="52"/>
      <c r="B237" s="61"/>
      <c r="C237" s="73"/>
      <c r="D237" s="73"/>
      <c r="E237" s="74"/>
      <c r="F237" s="75"/>
      <c r="G237" s="48"/>
      <c r="H237" s="106"/>
      <c r="I237" s="106"/>
      <c r="K237" s="77"/>
      <c r="L237" s="77"/>
      <c r="M237" s="155"/>
      <c r="N237" s="159"/>
      <c r="T237" s="74"/>
      <c r="U237" s="64"/>
      <c r="V237" s="61"/>
      <c r="W237" s="61"/>
      <c r="X237" s="77"/>
      <c r="Y237" s="77"/>
      <c r="Z237" s="62"/>
      <c r="AA237" s="62"/>
      <c r="AB237" s="62"/>
      <c r="AC237" s="62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2"/>
      <c r="AO237" s="61"/>
      <c r="AP237" s="61"/>
      <c r="AQ237" s="61"/>
      <c r="AR237" s="61"/>
      <c r="AS237" s="61"/>
      <c r="AT237" s="61"/>
    </row>
    <row r="238" spans="1:46" s="76" customFormat="1">
      <c r="A238" s="52"/>
      <c r="B238" s="61"/>
      <c r="C238" s="73"/>
      <c r="D238" s="73"/>
      <c r="E238" s="74"/>
      <c r="F238" s="75"/>
      <c r="G238" s="48"/>
      <c r="H238" s="106"/>
      <c r="I238" s="106"/>
      <c r="K238" s="77"/>
      <c r="L238" s="77"/>
      <c r="M238" s="155"/>
      <c r="N238" s="159"/>
      <c r="T238" s="74"/>
      <c r="U238" s="64"/>
      <c r="V238" s="61"/>
      <c r="W238" s="61"/>
      <c r="X238" s="77"/>
      <c r="Y238" s="77"/>
      <c r="Z238" s="62"/>
      <c r="AA238" s="62"/>
      <c r="AB238" s="62"/>
      <c r="AC238" s="62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2"/>
      <c r="AO238" s="61"/>
      <c r="AP238" s="61"/>
      <c r="AQ238" s="61"/>
      <c r="AR238" s="61"/>
      <c r="AS238" s="61"/>
      <c r="AT238" s="61"/>
    </row>
    <row r="239" spans="1:46" s="76" customFormat="1">
      <c r="A239" s="52"/>
      <c r="B239" s="61"/>
      <c r="C239" s="73"/>
      <c r="D239" s="73"/>
      <c r="E239" s="74"/>
      <c r="F239" s="75"/>
      <c r="G239" s="48"/>
      <c r="H239" s="106"/>
      <c r="I239" s="106"/>
      <c r="K239" s="77"/>
      <c r="L239" s="77"/>
      <c r="M239" s="155"/>
      <c r="N239" s="159"/>
      <c r="T239" s="74"/>
      <c r="U239" s="64"/>
      <c r="V239" s="61"/>
      <c r="W239" s="61"/>
      <c r="X239" s="77"/>
      <c r="Y239" s="77"/>
      <c r="Z239" s="62"/>
      <c r="AA239" s="62"/>
      <c r="AB239" s="62"/>
      <c r="AC239" s="62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2"/>
      <c r="AO239" s="61"/>
      <c r="AP239" s="61"/>
      <c r="AQ239" s="61"/>
      <c r="AR239" s="61"/>
      <c r="AS239" s="61"/>
      <c r="AT239" s="61"/>
    </row>
    <row r="240" spans="1:46" s="76" customFormat="1">
      <c r="A240" s="52"/>
      <c r="B240" s="61"/>
      <c r="C240" s="73"/>
      <c r="D240" s="73"/>
      <c r="E240" s="74"/>
      <c r="F240" s="75"/>
      <c r="G240" s="48"/>
      <c r="H240" s="106"/>
      <c r="I240" s="106"/>
      <c r="K240" s="77"/>
      <c r="L240" s="77"/>
      <c r="M240" s="155"/>
      <c r="N240" s="159"/>
      <c r="T240" s="74"/>
      <c r="U240" s="64"/>
      <c r="V240" s="61"/>
      <c r="W240" s="61"/>
      <c r="X240" s="77"/>
      <c r="Y240" s="77"/>
      <c r="Z240" s="62"/>
      <c r="AA240" s="62"/>
      <c r="AB240" s="62"/>
      <c r="AC240" s="62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2"/>
      <c r="AO240" s="61"/>
      <c r="AP240" s="61"/>
      <c r="AQ240" s="61"/>
      <c r="AR240" s="61"/>
      <c r="AS240" s="61"/>
      <c r="AT240" s="61"/>
    </row>
    <row r="241" spans="1:46" s="76" customFormat="1">
      <c r="A241" s="52"/>
      <c r="B241" s="61"/>
      <c r="C241" s="73"/>
      <c r="D241" s="73"/>
      <c r="E241" s="74"/>
      <c r="F241" s="75"/>
      <c r="G241" s="48"/>
      <c r="H241" s="106"/>
      <c r="I241" s="106"/>
      <c r="K241" s="77"/>
      <c r="L241" s="77"/>
      <c r="M241" s="155"/>
      <c r="N241" s="159"/>
      <c r="T241" s="74"/>
      <c r="U241" s="64"/>
      <c r="V241" s="61"/>
      <c r="W241" s="61"/>
      <c r="X241" s="77"/>
      <c r="Y241" s="77"/>
      <c r="Z241" s="62"/>
      <c r="AA241" s="62"/>
      <c r="AB241" s="62"/>
      <c r="AC241" s="62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2"/>
      <c r="AO241" s="61"/>
      <c r="AP241" s="61"/>
      <c r="AQ241" s="61"/>
      <c r="AR241" s="61"/>
      <c r="AS241" s="61"/>
      <c r="AT241" s="61"/>
    </row>
    <row r="242" spans="1:46" s="76" customFormat="1">
      <c r="A242" s="52"/>
      <c r="B242" s="61"/>
      <c r="C242" s="73"/>
      <c r="D242" s="73"/>
      <c r="E242" s="74"/>
      <c r="F242" s="75"/>
      <c r="G242" s="48"/>
      <c r="H242" s="106"/>
      <c r="I242" s="106"/>
      <c r="K242" s="77"/>
      <c r="L242" s="77"/>
      <c r="M242" s="155"/>
      <c r="N242" s="159"/>
      <c r="T242" s="74"/>
      <c r="U242" s="64"/>
      <c r="V242" s="61"/>
      <c r="W242" s="61"/>
      <c r="X242" s="77"/>
      <c r="Y242" s="77"/>
      <c r="Z242" s="62"/>
      <c r="AA242" s="62"/>
      <c r="AB242" s="62"/>
      <c r="AC242" s="62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2"/>
      <c r="AO242" s="61"/>
      <c r="AP242" s="61"/>
      <c r="AQ242" s="61"/>
      <c r="AR242" s="61"/>
      <c r="AS242" s="61"/>
      <c r="AT242" s="61"/>
    </row>
    <row r="243" spans="1:46" s="76" customFormat="1">
      <c r="A243" s="52"/>
      <c r="B243" s="61"/>
      <c r="C243" s="73"/>
      <c r="D243" s="73"/>
      <c r="E243" s="74"/>
      <c r="F243" s="75"/>
      <c r="G243" s="48"/>
      <c r="H243" s="106"/>
      <c r="I243" s="106"/>
      <c r="K243" s="77"/>
      <c r="L243" s="77"/>
      <c r="M243" s="155"/>
      <c r="N243" s="159"/>
      <c r="T243" s="74"/>
      <c r="U243" s="64"/>
      <c r="V243" s="61"/>
      <c r="W243" s="61"/>
      <c r="X243" s="77"/>
      <c r="Y243" s="77"/>
      <c r="Z243" s="62"/>
      <c r="AA243" s="62"/>
      <c r="AB243" s="62"/>
      <c r="AC243" s="62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2"/>
      <c r="AO243" s="61"/>
      <c r="AP243" s="61"/>
      <c r="AQ243" s="61"/>
      <c r="AR243" s="61"/>
      <c r="AS243" s="61"/>
      <c r="AT243" s="61"/>
    </row>
    <row r="244" spans="1:46" s="76" customFormat="1">
      <c r="A244" s="52"/>
      <c r="B244" s="61"/>
      <c r="C244" s="73"/>
      <c r="D244" s="73"/>
      <c r="E244" s="74"/>
      <c r="F244" s="75"/>
      <c r="G244" s="48"/>
      <c r="H244" s="106"/>
      <c r="I244" s="106"/>
      <c r="K244" s="77"/>
      <c r="L244" s="77"/>
      <c r="M244" s="155"/>
      <c r="N244" s="159"/>
      <c r="T244" s="74"/>
      <c r="U244" s="64"/>
      <c r="V244" s="61"/>
      <c r="W244" s="61"/>
      <c r="X244" s="77"/>
      <c r="Y244" s="77"/>
      <c r="Z244" s="62"/>
      <c r="AA244" s="62"/>
      <c r="AB244" s="62"/>
      <c r="AC244" s="62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2"/>
      <c r="AO244" s="61"/>
      <c r="AP244" s="61"/>
      <c r="AQ244" s="61"/>
      <c r="AR244" s="61"/>
      <c r="AS244" s="61"/>
      <c r="AT244" s="61"/>
    </row>
    <row r="245" spans="1:46" s="76" customFormat="1">
      <c r="A245" s="52"/>
      <c r="B245" s="61"/>
      <c r="C245" s="73"/>
      <c r="D245" s="73"/>
      <c r="E245" s="74"/>
      <c r="F245" s="75"/>
      <c r="G245" s="48"/>
      <c r="H245" s="106"/>
      <c r="I245" s="106"/>
      <c r="K245" s="77"/>
      <c r="L245" s="77"/>
      <c r="M245" s="155"/>
      <c r="N245" s="159"/>
      <c r="T245" s="74"/>
      <c r="U245" s="64"/>
      <c r="V245" s="61"/>
      <c r="W245" s="61"/>
      <c r="X245" s="77"/>
      <c r="Y245" s="77"/>
      <c r="Z245" s="62"/>
      <c r="AA245" s="62"/>
      <c r="AB245" s="62"/>
      <c r="AC245" s="62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2"/>
      <c r="AO245" s="61"/>
      <c r="AP245" s="61"/>
      <c r="AQ245" s="61"/>
      <c r="AR245" s="61"/>
      <c r="AS245" s="61"/>
      <c r="AT245" s="61"/>
    </row>
  </sheetData>
  <autoFilter ref="A8:AT221" xr:uid="{24E3F30B-CB41-490B-AE8B-56F5775F0E4F}"/>
  <mergeCells count="47">
    <mergeCell ref="V4:W4"/>
    <mergeCell ref="A2:H2"/>
    <mergeCell ref="A3:H3"/>
    <mergeCell ref="J3:R3"/>
    <mergeCell ref="A4:H4"/>
    <mergeCell ref="J4:R4"/>
    <mergeCell ref="B7:B8"/>
    <mergeCell ref="C7:C8"/>
    <mergeCell ref="D7:D8"/>
    <mergeCell ref="E7:E8"/>
    <mergeCell ref="F7:F8"/>
    <mergeCell ref="U5:X5"/>
    <mergeCell ref="Z5:AM5"/>
    <mergeCell ref="J6:K6"/>
    <mergeCell ref="M6:N6"/>
    <mergeCell ref="O6:Q6"/>
    <mergeCell ref="U7:U8"/>
    <mergeCell ref="G7:G8"/>
    <mergeCell ref="H7:H8"/>
    <mergeCell ref="I7:I8"/>
    <mergeCell ref="J7:J8"/>
    <mergeCell ref="K7:K8"/>
    <mergeCell ref="M7:M8"/>
    <mergeCell ref="N7:N8"/>
    <mergeCell ref="O7:O8"/>
    <mergeCell ref="P7:P8"/>
    <mergeCell ref="Q7:Q8"/>
    <mergeCell ref="T7:T8"/>
    <mergeCell ref="AG7:AG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N7:AN8"/>
    <mergeCell ref="AH7:AH8"/>
    <mergeCell ref="AI7:AI8"/>
    <mergeCell ref="AJ7:AJ8"/>
    <mergeCell ref="AK7:AK8"/>
    <mergeCell ref="AL7:AL8"/>
    <mergeCell ref="AM7:AM8"/>
  </mergeCells>
  <hyperlinks>
    <hyperlink ref="AS49" r:id="rId1" xr:uid="{FCA77B30-0DE6-4321-A920-8FF78EC57430}"/>
    <hyperlink ref="AS77" r:id="rId2" xr:uid="{FA2BB345-5DD9-4BE0-A0FA-AABF13328D0E}"/>
    <hyperlink ref="AS108" r:id="rId3" xr:uid="{123BE2A5-89FC-48E4-8956-DB1375FF09E4}"/>
    <hyperlink ref="AS117" r:id="rId4" xr:uid="{DB6D60DA-6F85-4662-981D-BE28D35C83EA}"/>
    <hyperlink ref="AS102" r:id="rId5" xr:uid="{7022CA29-F79E-4944-9C31-865ED7F0E43F}"/>
    <hyperlink ref="AS25" r:id="rId6" xr:uid="{AB98FF70-3A29-484B-A2EF-714CC7B21753}"/>
    <hyperlink ref="AS37" r:id="rId7" xr:uid="{51303E53-13A4-432B-840E-5C41040BD24C}"/>
    <hyperlink ref="AS52" r:id="rId8" xr:uid="{91FE9DC8-1BF2-4737-B19C-AFB0793DFAA7}"/>
    <hyperlink ref="AS91" r:id="rId9" xr:uid="{740EB5F5-8B7E-4C0C-888D-9206C7F9945D}"/>
    <hyperlink ref="AS55" r:id="rId10" xr:uid="{2C10F565-8AC4-402E-BD39-8833F461BAFE}"/>
    <hyperlink ref="AS110" r:id="rId11" xr:uid="{FD308E92-F97D-4E38-84F5-3939B6D85127}"/>
    <hyperlink ref="AS30" r:id="rId12" xr:uid="{D55A12BD-3809-4AD8-B362-A55E01F3ADFC}"/>
    <hyperlink ref="AS19" r:id="rId13" xr:uid="{E0A48C29-B89F-4E55-A0AE-15F246188B87}"/>
    <hyperlink ref="AS121" r:id="rId14" xr:uid="{532E7F3C-63C2-4773-8652-F8F21E52A0F3}"/>
    <hyperlink ref="AS20" r:id="rId15" xr:uid="{E2518FFD-07D1-4C56-8F9B-259E975A5C40}"/>
    <hyperlink ref="AS73" r:id="rId16" xr:uid="{17BDB2D0-FA80-4BA5-A11B-5B58CA27C36C}"/>
    <hyperlink ref="AS99" r:id="rId17" xr:uid="{44BA1EEC-C5E8-4602-BD8F-60ED147CA0CF}"/>
    <hyperlink ref="AS113" r:id="rId18" xr:uid="{013FC948-E269-4787-A209-648E3D409159}"/>
    <hyperlink ref="AS93" r:id="rId19" xr:uid="{347193DE-37AF-46C9-A9DA-44EBA6857F75}"/>
    <hyperlink ref="AS74" r:id="rId20" xr:uid="{55E28C0C-E5C6-4FEA-8AD9-614FD175058B}"/>
    <hyperlink ref="AS101" r:id="rId21" xr:uid="{496A4BF5-A377-43D7-BD0E-DCE8A56E2812}"/>
    <hyperlink ref="AS100" r:id="rId22" xr:uid="{8DD5B090-88B6-48F2-8BE4-178779899B9B}"/>
    <hyperlink ref="AS50" r:id="rId23" xr:uid="{81FABF71-66E3-453E-8C0B-2EF11048DB20}"/>
    <hyperlink ref="AS64" r:id="rId24" xr:uid="{7527276B-D012-4CDD-BF92-FB995138CA0F}"/>
    <hyperlink ref="AS22" r:id="rId25" xr:uid="{17CC6277-8355-4776-8254-215EBFD46193}"/>
    <hyperlink ref="AS67" r:id="rId26" xr:uid="{B88E9BB6-04F4-4E37-A109-FB136F0DC57C}"/>
    <hyperlink ref="AS29" r:id="rId27" xr:uid="{D5862C0F-9164-4BE6-95EC-C6474BF68D92}"/>
    <hyperlink ref="AS40" r:id="rId28" xr:uid="{DB73FB54-963F-42E7-B2D6-3885712A1913}"/>
    <hyperlink ref="AS97" r:id="rId29" xr:uid="{644F15F9-D58A-4D7D-BB87-81BDDAD8FE3D}"/>
  </hyperlinks>
  <pageMargins left="0.11811023622047245" right="0.31496062992125984" top="0.74803149606299213" bottom="0.74803149606299213" header="0.31496062992125984" footer="0.31496062992125984"/>
  <pageSetup paperSize="8" scale="54" fitToHeight="0" orientation="portrait" r:id="rId30"/>
  <headerFooter>
    <oddHeader xml:space="preserve">&amp;L&amp;"-,Gras"&amp;14Conseil Départemental de l'Ain
DGAS
Direction Cohésion et Développement social
Service Insertion&amp;R&amp;"-,Gras"&amp;14NOM du Référent :&amp;"-,Normal"&amp;U                                                                                              </oddHead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5A8CEAC-7EBF-4115-8905-3CB5E869C0CF}">
          <x14:formula1>
            <xm:f>'liste deroulante'!$B$21:$B$22</xm:f>
          </x14:formula1>
          <xm:sqref>G81 G113:G114 G15:G16 G59:G61 G107:G108 G24:G30 G33:G35 G66:G67 G91 G40:G44 G22 G46:G50 G37 G110:G111 G99:G102 G52 G117 G10:G11 G121 G18:G20 G71 G93 G55:G56 G63:G64 G73:G78 G85 G87 G96:G97</xm:sqref>
        </x14:dataValidation>
        <x14:dataValidation type="list" allowBlank="1" showInputMessage="1" showErrorMessage="1" xr:uid="{F05ED274-5C04-45C3-A937-81053733EF21}">
          <x14:formula1>
            <xm:f>'liste deroulante'!$G$17:$G$19</xm:f>
          </x14:formula1>
          <xm:sqref>L81 L10:L11 L93 L33:L35 L66:L67 L91 L40:L44 L83 L22 L46:L50 L37 L99:L100 L52 L116:L121 L87 L24:L30 L71 L113 L55:L56 L59:L64 L73:L78 L85 L15:L20 L96:L97</xm:sqref>
        </x14:dataValidation>
        <x14:dataValidation type="list" allowBlank="1" showInputMessage="1" showErrorMessage="1" xr:uid="{B447688A-D7CF-4875-AA7F-132EB752B487}">
          <x14:formula1>
            <xm:f>'liste deroulante'!$B$13:$B$14</xm:f>
          </x14:formula1>
          <xm:sqref>Q31</xm:sqref>
        </x14:dataValidation>
        <x14:dataValidation type="list" allowBlank="1" showInputMessage="1" showErrorMessage="1" xr:uid="{907EE56A-FF4F-4945-A5DD-7BD056960A53}">
          <x14:formula1>
            <xm:f>'liste deroulante'!$D$12:$D$13</xm:f>
          </x14:formula1>
          <xm:sqref>AC17:AL17 Z73:AL78 AC123:AL123 T104 T127 Z18:AL20 AC83:AL83 AC10:AL11 AC125:AL125 AC116:AL120 T65 Z15:AL16 T107 Z59:AL61 Z107:AL108 Z24:AL30 T102 Z33:AL35 Z71:AL71 Z91:AL91 Z40:AL44 Z22:AL22 T57:T62 Z37:AL37 Z110:AL111 Z81:AL81 Z66:AL67 Z52:AL52 Z117:AL117 Z11:AL11 Z121:AL121 T119:T120 T122:T124 Z99:AL102 AC106:AL106 T41:T44 Z93:AL93 T68 AC108:AL112 Z113:AL114 T113 Z46:AL50 AC62:AL62 T51:T55 Z55:AL56 Z63:AL64 Z87:AL87 T28 T79:T84 Z85:AL85 T9:T26 T70 T30:T39 Z96:AL97</xm:sqref>
        </x14:dataValidation>
        <x14:dataValidation type="list" allowBlank="1" showInputMessage="1" showErrorMessage="1" xr:uid="{366A7720-DDB6-407D-B5B9-2379B6D6180F}">
          <x14:formula1>
            <xm:f>'liste deroulante'!$B$2:$B$9</xm:f>
          </x14:formula1>
          <xm:sqref>F51:F55 F104 F72 F127 F119:F121 F68 F102 F106:F114 F117 F9:F14 F16:F22 F57:F62 F77:F84 F47:F49 F70 F24:F39 F41:F45</xm:sqref>
        </x14:dataValidation>
        <x14:dataValidation type="list" allowBlank="1" showInputMessage="1" showErrorMessage="1" xr:uid="{58361DDA-FC6F-402E-A971-803EBD960A9C}">
          <x14:formula1>
            <xm:f>'liste deroulante'!$H$2:$H$11</xm:f>
          </x14:formula1>
          <xm:sqref>U9:U128</xm:sqref>
        </x14:dataValidation>
        <x14:dataValidation type="list" allowBlank="1" showInputMessage="1" showErrorMessage="1" xr:uid="{B8E3DE5D-90FB-40EF-8993-03851A96812E}">
          <x14:formula1>
            <xm:f>'liste deroulante'!$F$2:$F$11</xm:f>
          </x14:formula1>
          <xm:sqref>V9:V128</xm:sqref>
        </x14:dataValidation>
        <x14:dataValidation type="list" allowBlank="1" showInputMessage="1" showErrorMessage="1" xr:uid="{DBD93B58-D6CA-49FC-8552-86579D28FB85}">
          <x14:formula1>
            <xm:f>'liste deroulante'!$J$2:$J$8</xm:f>
          </x14:formula1>
          <xm:sqref>Z122:AB128 Z9:AB14 Z102:AB106 Z114:AB120 Z108:AB112 Z57:AB62 Z65:AB65 Z98:AB98 Z94:AB95 Z51:AB55 Z47:AB49 Z23:AB26 Z21:AB21 Z28:AB28 Z88:AB92 Z77:AB84 Z86:AB86 Z16:AB17 Z72:AB72 Z68:AB70 Z41:AB45 Z30:AB39 W9:W128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9A8D-4A91-496F-AB64-D8BB0FF602AE}">
  <sheetPr>
    <tabColor rgb="FFFF0000"/>
  </sheetPr>
  <dimension ref="A1:AD194"/>
  <sheetViews>
    <sheetView zoomScale="98" zoomScaleNormal="98" workbookViewId="0">
      <pane xSplit="16" ySplit="15" topLeftCell="Q16" activePane="bottomRight" state="frozen"/>
      <selection pane="topRight" activeCell="Q1" sqref="Q1"/>
      <selection pane="bottomLeft" activeCell="A13" sqref="A13"/>
      <selection pane="bottomRight" activeCell="G12" sqref="G12"/>
    </sheetView>
  </sheetViews>
  <sheetFormatPr baseColWidth="10" defaultRowHeight="15"/>
  <cols>
    <col min="1" max="1" width="21.28515625" customWidth="1"/>
    <col min="2" max="4" width="11" customWidth="1"/>
    <col min="5" max="5" width="5.85546875" customWidth="1"/>
    <col min="6" max="16" width="6.7109375" customWidth="1"/>
    <col min="17" max="17" width="8.5703125" style="118" customWidth="1"/>
    <col min="18" max="18" width="10.7109375" style="12" customWidth="1"/>
    <col min="19" max="19" width="12.42578125" customWidth="1"/>
    <col min="20" max="20" width="12.28515625" customWidth="1"/>
    <col min="21" max="22" width="9.28515625" customWidth="1"/>
    <col min="23" max="23" width="12.28515625" customWidth="1"/>
    <col min="24" max="24" width="11.85546875" customWidth="1"/>
    <col min="25" max="25" width="19.7109375" customWidth="1"/>
    <col min="26" max="26" width="22.85546875" customWidth="1"/>
    <col min="27" max="27" width="14.42578125" customWidth="1"/>
    <col min="28" max="29" width="11.28515625" bestFit="1" customWidth="1"/>
  </cols>
  <sheetData>
    <row r="1" spans="1:30" ht="51.6" customHeight="1">
      <c r="A1" s="78"/>
      <c r="B1" s="78"/>
      <c r="C1" s="560" t="s">
        <v>609</v>
      </c>
      <c r="D1" s="561"/>
      <c r="E1" s="557" t="s">
        <v>612</v>
      </c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9"/>
      <c r="Q1" s="555" t="s">
        <v>551</v>
      </c>
      <c r="R1" s="555"/>
      <c r="S1" s="555"/>
      <c r="T1" s="555"/>
      <c r="U1" s="555"/>
      <c r="V1" s="555"/>
      <c r="W1" s="556" t="s">
        <v>552</v>
      </c>
      <c r="X1" s="556"/>
      <c r="Y1" s="556"/>
      <c r="Z1" s="111" t="s">
        <v>556</v>
      </c>
      <c r="AA1" s="553" t="s">
        <v>558</v>
      </c>
      <c r="AB1" s="554"/>
      <c r="AC1" s="554"/>
      <c r="AD1" s="554"/>
    </row>
    <row r="2" spans="1:30" s="174" customFormat="1">
      <c r="A2" s="551" t="s">
        <v>616</v>
      </c>
      <c r="B2" s="552"/>
      <c r="C2" s="170">
        <v>1</v>
      </c>
      <c r="D2" s="170"/>
      <c r="E2" s="169"/>
      <c r="F2" s="169"/>
      <c r="G2" s="169">
        <v>1</v>
      </c>
      <c r="H2" s="169"/>
      <c r="I2" s="169"/>
      <c r="J2" s="169"/>
      <c r="K2" s="169"/>
      <c r="L2" s="169"/>
      <c r="M2" s="169"/>
      <c r="N2" s="169"/>
      <c r="O2" s="169"/>
      <c r="P2" s="169"/>
      <c r="Q2" s="175">
        <v>1</v>
      </c>
      <c r="R2" s="176">
        <v>46084</v>
      </c>
      <c r="S2" s="178">
        <v>46089</v>
      </c>
      <c r="T2" s="177">
        <f>S2+15</f>
        <v>46104</v>
      </c>
      <c r="U2" s="171">
        <v>0</v>
      </c>
      <c r="V2" s="169">
        <v>1</v>
      </c>
      <c r="W2" s="177">
        <f>T2+35</f>
        <v>46139</v>
      </c>
      <c r="X2" s="172">
        <v>0</v>
      </c>
      <c r="Y2" s="172">
        <v>1</v>
      </c>
      <c r="Z2" s="178">
        <v>46147</v>
      </c>
      <c r="AA2" s="169"/>
      <c r="AB2" s="169"/>
      <c r="AC2" s="177">
        <f>AB2+35</f>
        <v>35</v>
      </c>
      <c r="AD2" s="173"/>
    </row>
    <row r="3" spans="1:30" s="116" customFormat="1" ht="75">
      <c r="A3" s="103" t="s">
        <v>497</v>
      </c>
      <c r="B3" s="103" t="s">
        <v>498</v>
      </c>
      <c r="C3" s="138" t="s">
        <v>610</v>
      </c>
      <c r="D3" s="138" t="s">
        <v>611</v>
      </c>
      <c r="E3" s="115" t="s">
        <v>480</v>
      </c>
      <c r="F3" s="115" t="s">
        <v>481</v>
      </c>
      <c r="G3" s="115" t="s">
        <v>482</v>
      </c>
      <c r="H3" s="115" t="s">
        <v>483</v>
      </c>
      <c r="I3" s="115" t="s">
        <v>484</v>
      </c>
      <c r="J3" s="115" t="s">
        <v>485</v>
      </c>
      <c r="K3" s="115" t="s">
        <v>486</v>
      </c>
      <c r="L3" s="115" t="s">
        <v>487</v>
      </c>
      <c r="M3" s="115" t="s">
        <v>488</v>
      </c>
      <c r="N3" s="115" t="s">
        <v>489</v>
      </c>
      <c r="O3" s="115" t="s">
        <v>490</v>
      </c>
      <c r="P3" s="115" t="s">
        <v>491</v>
      </c>
      <c r="Q3" s="119" t="s">
        <v>546</v>
      </c>
      <c r="R3" s="120" t="s">
        <v>499</v>
      </c>
      <c r="S3" s="109" t="s">
        <v>549</v>
      </c>
      <c r="T3" s="119" t="s">
        <v>550</v>
      </c>
      <c r="U3" s="120" t="s">
        <v>547</v>
      </c>
      <c r="V3" s="109" t="s">
        <v>548</v>
      </c>
      <c r="W3" s="110" t="s">
        <v>553</v>
      </c>
      <c r="X3" s="110" t="s">
        <v>554</v>
      </c>
      <c r="Y3" s="110" t="s">
        <v>555</v>
      </c>
      <c r="Z3" s="108" t="s">
        <v>557</v>
      </c>
      <c r="AA3" s="101" t="s">
        <v>559</v>
      </c>
      <c r="AB3" s="101" t="s">
        <v>560</v>
      </c>
      <c r="AC3" s="101" t="s">
        <v>561</v>
      </c>
      <c r="AD3" s="122" t="s">
        <v>562</v>
      </c>
    </row>
    <row r="4" spans="1:30" s="137" customFormat="1">
      <c r="A4" s="133" t="e">
        <f>'CROIX BLANCHE PG'!#REF!</f>
        <v>#REF!</v>
      </c>
      <c r="B4" s="133" t="e">
        <f>'CROIX BLANCHE PG'!#REF!</f>
        <v>#REF!</v>
      </c>
      <c r="C4" s="133">
        <v>1</v>
      </c>
      <c r="D4" s="133">
        <v>1</v>
      </c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4">
        <v>1</v>
      </c>
      <c r="R4" s="135">
        <v>45960</v>
      </c>
      <c r="S4" s="136"/>
      <c r="T4" s="136">
        <f>S4+15</f>
        <v>15</v>
      </c>
      <c r="U4" s="133"/>
      <c r="V4" s="133"/>
      <c r="W4" s="136">
        <f>T4+35</f>
        <v>50</v>
      </c>
      <c r="X4" s="133"/>
      <c r="Y4" s="133"/>
      <c r="Z4" s="133"/>
      <c r="AA4" s="133"/>
      <c r="AB4" s="136"/>
      <c r="AC4" s="136">
        <f>AB4+35</f>
        <v>35</v>
      </c>
    </row>
    <row r="5" spans="1:30" s="100" customFormat="1">
      <c r="A5" s="133" t="str">
        <f>'CROIX BLANCHE PG'!C9</f>
        <v>AHMADI</v>
      </c>
      <c r="B5" s="133" t="str">
        <f>'CROIX BLANCHE PG'!D9</f>
        <v>Diba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96"/>
      <c r="R5" s="197"/>
      <c r="S5" s="165"/>
      <c r="T5" s="198">
        <f t="shared" ref="T5:T28" si="0">S5+15</f>
        <v>15</v>
      </c>
      <c r="U5" s="165"/>
      <c r="V5" s="165"/>
      <c r="W5" s="199">
        <f t="shared" ref="W5:W81" si="1">S5+50</f>
        <v>50</v>
      </c>
      <c r="X5" s="165"/>
      <c r="Y5" s="165"/>
      <c r="Z5" s="165"/>
      <c r="AA5" s="165"/>
      <c r="AB5" s="165"/>
      <c r="AC5" s="199">
        <f t="shared" ref="AC5:AC81" si="2">AB5+35</f>
        <v>35</v>
      </c>
    </row>
    <row r="6" spans="1:30" s="137" customFormat="1">
      <c r="A6" s="133" t="e">
        <f>'CROIX BLANCHE PG'!#REF!</f>
        <v>#REF!</v>
      </c>
      <c r="B6" s="133" t="e">
        <f>'CROIX BLANCHE PG'!#REF!</f>
        <v>#REF!</v>
      </c>
      <c r="C6" s="133">
        <v>1</v>
      </c>
      <c r="D6" s="133">
        <v>1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  <c r="R6" s="135"/>
      <c r="S6" s="136"/>
      <c r="T6" s="198">
        <f t="shared" si="0"/>
        <v>15</v>
      </c>
      <c r="U6" s="133"/>
      <c r="V6" s="133"/>
      <c r="W6" s="199">
        <f t="shared" si="1"/>
        <v>50</v>
      </c>
      <c r="X6" s="133"/>
      <c r="Y6" s="133"/>
      <c r="Z6" s="133"/>
      <c r="AA6" s="133"/>
      <c r="AB6" s="133"/>
      <c r="AC6" s="199">
        <f t="shared" si="2"/>
        <v>35</v>
      </c>
    </row>
    <row r="7" spans="1:30" s="137" customFormat="1">
      <c r="A7" s="133" t="s">
        <v>1414</v>
      </c>
      <c r="B7" s="133" t="s">
        <v>1415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4"/>
      <c r="R7" s="135"/>
      <c r="S7" s="136"/>
      <c r="T7" s="198"/>
      <c r="U7" s="133"/>
      <c r="V7" s="133"/>
      <c r="W7" s="199"/>
      <c r="X7" s="133"/>
      <c r="Y7" s="133"/>
      <c r="Z7" s="133"/>
      <c r="AA7" s="133"/>
      <c r="AB7" s="133"/>
      <c r="AC7" s="199"/>
    </row>
    <row r="8" spans="1:30" s="100" customFormat="1">
      <c r="A8" s="133" t="str">
        <f>'CROIX BLANCHE PG'!C13</f>
        <v>AMARI</v>
      </c>
      <c r="B8" s="133" t="str">
        <f>'CROIX BLANCHE PG'!D13</f>
        <v>Yamina</v>
      </c>
      <c r="C8" s="165">
        <v>1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96"/>
      <c r="R8" s="197"/>
      <c r="S8" s="165"/>
      <c r="T8" s="198">
        <f t="shared" si="0"/>
        <v>15</v>
      </c>
      <c r="U8" s="165"/>
      <c r="V8" s="165"/>
      <c r="W8" s="199">
        <f t="shared" si="1"/>
        <v>50</v>
      </c>
      <c r="X8" s="165"/>
      <c r="Y8" s="165"/>
      <c r="Z8" s="165"/>
      <c r="AA8" s="165"/>
      <c r="AB8" s="165"/>
      <c r="AC8" s="199">
        <f t="shared" si="2"/>
        <v>35</v>
      </c>
    </row>
    <row r="9" spans="1:30" s="100" customFormat="1">
      <c r="A9" s="133" t="s">
        <v>915</v>
      </c>
      <c r="B9" s="133" t="s">
        <v>704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96">
        <v>1</v>
      </c>
      <c r="R9" s="200">
        <v>45894</v>
      </c>
      <c r="S9" s="165"/>
      <c r="T9" s="198"/>
      <c r="U9" s="165"/>
      <c r="V9" s="165"/>
      <c r="W9" s="199"/>
      <c r="X9" s="165"/>
      <c r="Y9" s="165"/>
      <c r="Z9" s="165"/>
      <c r="AA9" s="165"/>
      <c r="AB9" s="165"/>
      <c r="AC9" s="199"/>
    </row>
    <row r="10" spans="1:30" s="100" customFormat="1">
      <c r="A10" s="133" t="str">
        <f>'CROIX BLANCHE PG'!C14</f>
        <v>ARIFI</v>
      </c>
      <c r="B10" s="133" t="str">
        <f>'CROIX BLANCHE PG'!D14</f>
        <v>Sabrina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96"/>
      <c r="R10" s="197"/>
      <c r="S10" s="165"/>
      <c r="T10" s="198">
        <f t="shared" si="0"/>
        <v>15</v>
      </c>
      <c r="U10" s="165"/>
      <c r="V10" s="165"/>
      <c r="W10" s="199">
        <f t="shared" si="1"/>
        <v>50</v>
      </c>
      <c r="X10" s="165"/>
      <c r="Y10" s="165"/>
      <c r="Z10" s="165"/>
      <c r="AA10" s="165"/>
      <c r="AB10" s="165"/>
      <c r="AC10" s="199">
        <f t="shared" si="2"/>
        <v>35</v>
      </c>
    </row>
    <row r="11" spans="1:30" s="100" customFormat="1">
      <c r="A11" s="133" t="str">
        <f>'CROIX BLANCHE PG'!C16</f>
        <v>ATHOUMANI</v>
      </c>
      <c r="B11" s="133" t="str">
        <f>'CROIX BLANCHE PG'!D16</f>
        <v>Marie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96"/>
      <c r="R11" s="200"/>
      <c r="S11" s="199"/>
      <c r="T11" s="198">
        <f t="shared" si="0"/>
        <v>15</v>
      </c>
      <c r="U11" s="165"/>
      <c r="V11" s="165"/>
      <c r="W11" s="199">
        <f t="shared" si="1"/>
        <v>50</v>
      </c>
      <c r="X11" s="165"/>
      <c r="Y11" s="165"/>
      <c r="Z11" s="165"/>
      <c r="AA11" s="165"/>
      <c r="AB11" s="165"/>
      <c r="AC11" s="199">
        <f t="shared" si="2"/>
        <v>35</v>
      </c>
    </row>
    <row r="12" spans="1:30" s="100" customFormat="1">
      <c r="A12" s="133" t="s">
        <v>1495</v>
      </c>
      <c r="B12" s="133" t="s">
        <v>1146</v>
      </c>
      <c r="C12" s="165"/>
      <c r="D12" s="165"/>
      <c r="E12" s="165"/>
      <c r="F12" s="165"/>
      <c r="G12" s="165">
        <v>1</v>
      </c>
      <c r="H12" s="165"/>
      <c r="I12" s="165"/>
      <c r="J12" s="165"/>
      <c r="K12" s="165"/>
      <c r="L12" s="165"/>
      <c r="M12" s="165"/>
      <c r="N12" s="165"/>
      <c r="O12" s="165"/>
      <c r="P12" s="165"/>
      <c r="Q12" s="196"/>
      <c r="R12" s="200"/>
      <c r="S12" s="199"/>
      <c r="T12" s="198"/>
      <c r="U12" s="165"/>
      <c r="V12" s="165"/>
      <c r="W12" s="199"/>
      <c r="X12" s="165"/>
      <c r="Y12" s="165"/>
      <c r="Z12" s="165"/>
      <c r="AA12" s="165"/>
      <c r="AB12" s="165"/>
      <c r="AC12" s="199"/>
    </row>
    <row r="13" spans="1:30" s="100" customFormat="1">
      <c r="A13" s="133" t="str">
        <f>'CROIX BLANCHE PG'!C19</f>
        <v>BACAR</v>
      </c>
      <c r="B13" s="133" t="str">
        <f>'CROIX BLANCHE PG'!D19</f>
        <v>Mariata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96"/>
      <c r="R13" s="197"/>
      <c r="S13" s="165"/>
      <c r="T13" s="198">
        <f t="shared" si="0"/>
        <v>15</v>
      </c>
      <c r="U13" s="165"/>
      <c r="V13" s="165"/>
      <c r="W13" s="199">
        <f t="shared" si="1"/>
        <v>50</v>
      </c>
      <c r="X13" s="165"/>
      <c r="Y13" s="165"/>
      <c r="Z13" s="165"/>
      <c r="AA13" s="165"/>
      <c r="AB13" s="165"/>
      <c r="AC13" s="199">
        <f t="shared" si="2"/>
        <v>35</v>
      </c>
    </row>
    <row r="14" spans="1:30" s="100" customFormat="1">
      <c r="A14" s="133" t="str">
        <f>'CROIX BLANCHE PG'!C20</f>
        <v>BAHAR</v>
      </c>
      <c r="B14" s="133" t="str">
        <f>'CROIX BLANCHE PG'!D20</f>
        <v>Laura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96"/>
      <c r="R14" s="197"/>
      <c r="S14" s="165"/>
      <c r="T14" s="198">
        <f t="shared" si="0"/>
        <v>15</v>
      </c>
      <c r="U14" s="165"/>
      <c r="V14" s="165"/>
      <c r="W14" s="199">
        <f t="shared" si="1"/>
        <v>50</v>
      </c>
      <c r="X14" s="165"/>
      <c r="Y14" s="165"/>
      <c r="Z14" s="165"/>
      <c r="AA14" s="165"/>
      <c r="AB14" s="165"/>
      <c r="AC14" s="199">
        <f t="shared" si="2"/>
        <v>35</v>
      </c>
    </row>
    <row r="15" spans="1:30" s="100" customFormat="1">
      <c r="A15" s="133" t="str">
        <f>'BRSA SORTIES'!C15</f>
        <v>BAITICHE</v>
      </c>
      <c r="B15" s="133" t="str">
        <f>'BRSA SORTIES'!D15</f>
        <v>Karima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96"/>
      <c r="R15" s="197"/>
      <c r="S15" s="165"/>
      <c r="T15" s="198">
        <f t="shared" si="0"/>
        <v>15</v>
      </c>
      <c r="U15" s="165"/>
      <c r="V15" s="165"/>
      <c r="W15" s="199">
        <f t="shared" si="1"/>
        <v>50</v>
      </c>
      <c r="X15" s="165"/>
      <c r="Y15" s="165"/>
      <c r="Z15" s="165"/>
      <c r="AA15" s="165"/>
      <c r="AB15" s="165"/>
      <c r="AC15" s="199">
        <f t="shared" si="2"/>
        <v>35</v>
      </c>
    </row>
    <row r="16" spans="1:30" s="100" customFormat="1">
      <c r="A16" s="133" t="e">
        <f>'CROIX BLANCHE PG'!#REF!</f>
        <v>#REF!</v>
      </c>
      <c r="B16" s="133" t="e">
        <f>'CROIX BLANCHE PG'!#REF!</f>
        <v>#REF!</v>
      </c>
      <c r="C16" s="165">
        <v>1</v>
      </c>
      <c r="D16" s="165">
        <v>1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96">
        <v>1</v>
      </c>
      <c r="R16" s="200">
        <v>45876</v>
      </c>
      <c r="S16" s="165"/>
      <c r="T16" s="198">
        <f t="shared" si="0"/>
        <v>15</v>
      </c>
      <c r="U16" s="165"/>
      <c r="V16" s="165"/>
      <c r="W16" s="199">
        <f t="shared" si="1"/>
        <v>50</v>
      </c>
      <c r="X16" s="165"/>
      <c r="Y16" s="165"/>
      <c r="Z16" s="165"/>
      <c r="AA16" s="165"/>
      <c r="AB16" s="165"/>
      <c r="AC16" s="199">
        <f t="shared" si="2"/>
        <v>35</v>
      </c>
    </row>
    <row r="17" spans="1:29" s="100" customFormat="1">
      <c r="A17" s="133" t="s">
        <v>1070</v>
      </c>
      <c r="B17" s="133" t="s">
        <v>776</v>
      </c>
      <c r="C17" s="165"/>
      <c r="D17" s="165"/>
      <c r="E17" s="165"/>
      <c r="F17" s="165">
        <v>1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96">
        <v>1</v>
      </c>
      <c r="R17" s="200">
        <v>46197</v>
      </c>
      <c r="S17" s="199">
        <v>46202</v>
      </c>
      <c r="T17" s="198">
        <f t="shared" si="0"/>
        <v>46217</v>
      </c>
      <c r="U17" s="165"/>
      <c r="V17" s="165"/>
      <c r="W17" s="199"/>
      <c r="X17" s="165"/>
      <c r="Y17" s="165"/>
      <c r="Z17" s="165"/>
      <c r="AA17" s="165"/>
      <c r="AB17" s="165"/>
      <c r="AC17" s="199"/>
    </row>
    <row r="18" spans="1:29" s="100" customFormat="1">
      <c r="A18" s="133" t="str">
        <f>'CROIX BLANCHE PG'!C25</f>
        <v>BEKELE</v>
      </c>
      <c r="B18" s="133" t="str">
        <f>'CROIX BLANCHE PG'!D25</f>
        <v>Eteferahu</v>
      </c>
      <c r="C18" s="165">
        <v>1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96"/>
      <c r="R18" s="197"/>
      <c r="S18" s="165"/>
      <c r="T18" s="198">
        <f t="shared" si="0"/>
        <v>15</v>
      </c>
      <c r="U18" s="165"/>
      <c r="V18" s="165"/>
      <c r="W18" s="199">
        <f t="shared" si="1"/>
        <v>50</v>
      </c>
      <c r="X18" s="165"/>
      <c r="Y18" s="165"/>
      <c r="Z18" s="165"/>
      <c r="AA18" s="165"/>
      <c r="AB18" s="165"/>
      <c r="AC18" s="199">
        <f t="shared" si="2"/>
        <v>35</v>
      </c>
    </row>
    <row r="19" spans="1:29" s="100" customFormat="1">
      <c r="A19" s="133" t="str">
        <f>'CROIX BLANCHE PG'!C26</f>
        <v>BELFASSI</v>
      </c>
      <c r="B19" s="133" t="str">
        <f>'CROIX BLANCHE PG'!D26</f>
        <v>Maria Dolores</v>
      </c>
      <c r="C19" s="165"/>
      <c r="D19" s="165"/>
      <c r="E19" s="165"/>
      <c r="F19" s="165"/>
      <c r="G19" s="165"/>
      <c r="H19" s="165">
        <v>1</v>
      </c>
      <c r="I19" s="165"/>
      <c r="J19" s="165"/>
      <c r="K19" s="165"/>
      <c r="L19" s="165"/>
      <c r="M19" s="165"/>
      <c r="N19" s="165"/>
      <c r="O19" s="165"/>
      <c r="P19" s="165"/>
      <c r="Q19" s="196">
        <v>1</v>
      </c>
      <c r="R19" s="200">
        <v>46133</v>
      </c>
      <c r="S19" s="199">
        <v>46140</v>
      </c>
      <c r="T19" s="198">
        <f t="shared" si="0"/>
        <v>46155</v>
      </c>
      <c r="U19" s="165"/>
      <c r="V19" s="165"/>
      <c r="W19" s="199">
        <f t="shared" si="1"/>
        <v>46190</v>
      </c>
      <c r="X19" s="165"/>
      <c r="Y19" s="165"/>
      <c r="Z19" s="199">
        <v>46205</v>
      </c>
      <c r="AA19" s="165"/>
      <c r="AB19" s="165"/>
      <c r="AC19" s="199">
        <f t="shared" si="2"/>
        <v>35</v>
      </c>
    </row>
    <row r="20" spans="1:29" s="100" customFormat="1">
      <c r="A20" s="133" t="str">
        <f>'CROIX BLANCHE PG'!C27</f>
        <v>BENAISSA</v>
      </c>
      <c r="B20" s="133" t="str">
        <f>'CROIX BLANCHE PG'!D27</f>
        <v>Radia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96"/>
      <c r="R20" s="197"/>
      <c r="S20" s="165"/>
      <c r="T20" s="198">
        <f t="shared" si="0"/>
        <v>15</v>
      </c>
      <c r="U20" s="165"/>
      <c r="V20" s="165"/>
      <c r="W20" s="199">
        <f t="shared" si="1"/>
        <v>50</v>
      </c>
      <c r="X20" s="165"/>
      <c r="Y20" s="165"/>
      <c r="Z20" s="165"/>
      <c r="AA20" s="165"/>
      <c r="AB20" s="165"/>
      <c r="AC20" s="199">
        <f t="shared" si="2"/>
        <v>35</v>
      </c>
    </row>
    <row r="21" spans="1:29" s="100" customFormat="1">
      <c r="A21" s="133" t="str">
        <f>'CROIX BLANCHE PG'!C29</f>
        <v>BEN EL OUALI</v>
      </c>
      <c r="B21" s="133" t="str">
        <f>'CROIX BLANCHE PG'!D29</f>
        <v>Anouar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96"/>
      <c r="R21" s="197"/>
      <c r="S21" s="165"/>
      <c r="T21" s="198">
        <f t="shared" si="0"/>
        <v>15</v>
      </c>
      <c r="U21" s="165"/>
      <c r="V21" s="165"/>
      <c r="W21" s="199">
        <f t="shared" si="1"/>
        <v>50</v>
      </c>
      <c r="X21" s="165"/>
      <c r="Y21" s="165"/>
      <c r="Z21" s="165"/>
      <c r="AA21" s="165"/>
      <c r="AB21" s="165"/>
      <c r="AC21" s="199">
        <f t="shared" si="2"/>
        <v>35</v>
      </c>
    </row>
    <row r="22" spans="1:29" s="100" customFormat="1">
      <c r="A22" s="133" t="s">
        <v>1399</v>
      </c>
      <c r="B22" s="133" t="s">
        <v>1079</v>
      </c>
      <c r="C22" s="165"/>
      <c r="D22" s="165"/>
      <c r="E22" s="165"/>
      <c r="F22" s="165"/>
      <c r="G22" s="165">
        <v>1</v>
      </c>
      <c r="H22" s="165"/>
      <c r="I22" s="165"/>
      <c r="J22" s="165"/>
      <c r="K22" s="165"/>
      <c r="L22" s="165"/>
      <c r="M22" s="165"/>
      <c r="N22" s="165"/>
      <c r="O22" s="165"/>
      <c r="P22" s="165"/>
      <c r="Q22" s="196"/>
      <c r="R22" s="197"/>
      <c r="S22" s="165"/>
      <c r="T22" s="198"/>
      <c r="U22" s="165"/>
      <c r="V22" s="165"/>
      <c r="W22" s="199"/>
      <c r="X22" s="165"/>
      <c r="Y22" s="165"/>
      <c r="Z22" s="165"/>
      <c r="AA22" s="165"/>
      <c r="AB22" s="165"/>
      <c r="AC22" s="199"/>
    </row>
    <row r="23" spans="1:29" s="100" customFormat="1">
      <c r="A23" s="133" t="str">
        <f>'CROIX BLANCHE PG'!C31</f>
        <v>BENOIT</v>
      </c>
      <c r="B23" s="133" t="str">
        <f>'CROIX BLANCHE PG'!D31</f>
        <v>Xavier</v>
      </c>
      <c r="C23" s="165">
        <v>1</v>
      </c>
      <c r="D23" s="165">
        <v>1</v>
      </c>
      <c r="E23" s="165"/>
      <c r="F23" s="165"/>
      <c r="G23" s="165"/>
      <c r="H23" s="165">
        <v>1</v>
      </c>
      <c r="I23" s="165"/>
      <c r="J23" s="165"/>
      <c r="K23" s="165"/>
      <c r="L23" s="165"/>
      <c r="M23" s="165"/>
      <c r="N23" s="165"/>
      <c r="O23" s="165"/>
      <c r="P23" s="165"/>
      <c r="Q23" s="196">
        <v>1</v>
      </c>
      <c r="R23" s="200">
        <v>46176</v>
      </c>
      <c r="S23" s="199">
        <v>46204</v>
      </c>
      <c r="T23" s="198">
        <f t="shared" si="0"/>
        <v>46219</v>
      </c>
      <c r="U23" s="165"/>
      <c r="V23" s="165"/>
      <c r="W23" s="199">
        <f t="shared" si="1"/>
        <v>46254</v>
      </c>
      <c r="X23" s="165"/>
      <c r="Y23" s="165"/>
      <c r="Z23" s="165"/>
      <c r="AA23" s="165"/>
      <c r="AB23" s="165"/>
      <c r="AC23" s="199">
        <f t="shared" si="2"/>
        <v>35</v>
      </c>
    </row>
    <row r="24" spans="1:29" s="100" customFormat="1">
      <c r="A24" s="133" t="str">
        <f>'CROIX BLANCHE PG'!C32</f>
        <v>BENZEKHROUFA</v>
      </c>
      <c r="B24" s="133" t="str">
        <f>'CROIX BLANCHE PG'!D32</f>
        <v>Abdelghani</v>
      </c>
      <c r="C24" s="165"/>
      <c r="D24" s="165"/>
      <c r="E24" s="165"/>
      <c r="F24" s="165">
        <v>1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96">
        <v>1</v>
      </c>
      <c r="R24" s="200">
        <v>46128</v>
      </c>
      <c r="S24" s="199"/>
      <c r="T24" s="198">
        <f t="shared" si="0"/>
        <v>15</v>
      </c>
      <c r="U24" s="165"/>
      <c r="V24" s="165"/>
      <c r="W24" s="199">
        <f t="shared" si="1"/>
        <v>50</v>
      </c>
      <c r="X24" s="165"/>
      <c r="Y24" s="165"/>
      <c r="Z24" s="165"/>
      <c r="AA24" s="165"/>
      <c r="AB24" s="165"/>
      <c r="AC24" s="199">
        <f t="shared" si="2"/>
        <v>35</v>
      </c>
    </row>
    <row r="25" spans="1:29" s="100" customFormat="1">
      <c r="A25" s="133" t="str">
        <f>'CROIX BLANCHE PG'!C34</f>
        <v>BERTHILLOT</v>
      </c>
      <c r="B25" s="133" t="str">
        <f>'CROIX BLANCHE PG'!D34</f>
        <v>Léa</v>
      </c>
      <c r="C25" s="165"/>
      <c r="D25" s="165"/>
      <c r="E25" s="165"/>
      <c r="F25" s="165"/>
      <c r="G25" s="165">
        <v>1</v>
      </c>
      <c r="H25" s="165"/>
      <c r="I25" s="165"/>
      <c r="J25" s="165"/>
      <c r="K25" s="165"/>
      <c r="L25" s="165"/>
      <c r="M25" s="165"/>
      <c r="N25" s="165"/>
      <c r="O25" s="165"/>
      <c r="P25" s="165"/>
      <c r="Q25" s="196"/>
      <c r="R25" s="197"/>
      <c r="S25" s="165"/>
      <c r="T25" s="198">
        <f t="shared" si="0"/>
        <v>15</v>
      </c>
      <c r="U25" s="165"/>
      <c r="V25" s="165"/>
      <c r="W25" s="199">
        <f t="shared" si="1"/>
        <v>50</v>
      </c>
      <c r="X25" s="165"/>
      <c r="Y25" s="165"/>
      <c r="Z25" s="165"/>
      <c r="AA25" s="165"/>
      <c r="AB25" s="165"/>
      <c r="AC25" s="199">
        <f t="shared" si="2"/>
        <v>35</v>
      </c>
    </row>
    <row r="26" spans="1:29" s="100" customFormat="1">
      <c r="A26" s="133" t="str">
        <f>'BRSA SORTIES'!C19</f>
        <v>BLANC</v>
      </c>
      <c r="B26" s="133" t="str">
        <f>'BRSA SORTIES'!D19</f>
        <v>Mélissa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96"/>
      <c r="R26" s="197"/>
      <c r="S26" s="165"/>
      <c r="T26" s="198">
        <f t="shared" si="0"/>
        <v>15</v>
      </c>
      <c r="U26" s="165"/>
      <c r="V26" s="165"/>
      <c r="W26" s="199">
        <f t="shared" si="1"/>
        <v>50</v>
      </c>
      <c r="X26" s="165"/>
      <c r="Y26" s="165"/>
      <c r="Z26" s="165"/>
      <c r="AA26" s="165"/>
      <c r="AB26" s="165"/>
      <c r="AC26" s="199">
        <f t="shared" si="2"/>
        <v>35</v>
      </c>
    </row>
    <row r="27" spans="1:29" s="100" customFormat="1">
      <c r="A27" s="133" t="str">
        <f>'BRSA SORTIES'!C20</f>
        <v>BONNET</v>
      </c>
      <c r="B27" s="133" t="str">
        <f>'BRSA SORTIES'!D20</f>
        <v>Cédric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96"/>
      <c r="R27" s="200"/>
      <c r="S27" s="199"/>
      <c r="T27" s="198">
        <f t="shared" si="0"/>
        <v>15</v>
      </c>
      <c r="U27" s="165"/>
      <c r="V27" s="165"/>
      <c r="W27" s="199">
        <f t="shared" si="1"/>
        <v>50</v>
      </c>
      <c r="X27" s="165"/>
      <c r="Y27" s="165"/>
      <c r="Z27" s="165"/>
      <c r="AA27" s="165"/>
      <c r="AB27" s="165"/>
      <c r="AC27" s="199">
        <f t="shared" si="2"/>
        <v>35</v>
      </c>
    </row>
    <row r="28" spans="1:29" s="100" customFormat="1">
      <c r="A28" s="133" t="str">
        <f>'BRSA SORTIES'!C22</f>
        <v>BOUILLOUX</v>
      </c>
      <c r="B28" s="133" t="str">
        <f>'BRSA SORTIES'!D22</f>
        <v>Nikolas</v>
      </c>
      <c r="C28" s="165">
        <v>1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96"/>
      <c r="R28" s="197"/>
      <c r="S28" s="165"/>
      <c r="T28" s="198">
        <f t="shared" si="0"/>
        <v>15</v>
      </c>
      <c r="U28" s="165"/>
      <c r="V28" s="165"/>
      <c r="W28" s="199">
        <f t="shared" si="1"/>
        <v>50</v>
      </c>
      <c r="X28" s="165"/>
      <c r="Y28" s="165"/>
      <c r="Z28" s="165"/>
      <c r="AA28" s="165"/>
      <c r="AB28" s="165"/>
      <c r="AC28" s="199">
        <f t="shared" si="2"/>
        <v>35</v>
      </c>
    </row>
    <row r="29" spans="1:29" s="100" customFormat="1">
      <c r="A29" s="133" t="e">
        <f>'CROIX BLANCHE PG'!#REF!</f>
        <v>#REF!</v>
      </c>
      <c r="B29" s="133" t="e">
        <f>'CROIX BLANCHE PG'!#REF!</f>
        <v>#REF!</v>
      </c>
      <c r="C29" s="165">
        <v>1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96"/>
      <c r="R29" s="200"/>
      <c r="S29" s="199"/>
      <c r="T29" s="201">
        <f t="shared" ref="T29:T81" si="3">S29+15</f>
        <v>15</v>
      </c>
      <c r="U29" s="165"/>
      <c r="V29" s="165"/>
      <c r="W29" s="199">
        <f t="shared" si="1"/>
        <v>50</v>
      </c>
      <c r="X29" s="165"/>
      <c r="Y29" s="165"/>
      <c r="Z29" s="165"/>
      <c r="AA29" s="165"/>
      <c r="AB29" s="165"/>
      <c r="AC29" s="199">
        <f t="shared" si="2"/>
        <v>35</v>
      </c>
    </row>
    <row r="30" spans="1:29" s="100" customFormat="1">
      <c r="A30" s="133" t="e">
        <f>'CROIX BLANCHE PG'!#REF!</f>
        <v>#REF!</v>
      </c>
      <c r="B30" s="133" t="e">
        <f>'CROIX BLANCHE PG'!#REF!</f>
        <v>#REF!</v>
      </c>
      <c r="C30" s="165">
        <v>1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96"/>
      <c r="R30" s="200"/>
      <c r="S30" s="199"/>
      <c r="T30" s="201">
        <f t="shared" si="3"/>
        <v>15</v>
      </c>
      <c r="U30" s="165"/>
      <c r="V30" s="165"/>
      <c r="W30" s="199">
        <f t="shared" si="1"/>
        <v>50</v>
      </c>
      <c r="X30" s="165"/>
      <c r="Y30" s="165"/>
      <c r="Z30" s="165"/>
      <c r="AA30" s="165"/>
      <c r="AB30" s="165"/>
      <c r="AC30" s="199">
        <f t="shared" si="2"/>
        <v>35</v>
      </c>
    </row>
    <row r="31" spans="1:29" s="100" customFormat="1">
      <c r="A31" s="133" t="e">
        <f>'CROIX BLANCHE PG'!#REF!</f>
        <v>#REF!</v>
      </c>
      <c r="B31" s="133" t="e">
        <f>'CROIX BLANCHE PG'!#REF!</f>
        <v>#REF!</v>
      </c>
      <c r="C31" s="165">
        <v>1</v>
      </c>
      <c r="D31" s="165">
        <v>1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96">
        <v>1</v>
      </c>
      <c r="R31" s="200">
        <v>45898</v>
      </c>
      <c r="S31" s="165"/>
      <c r="T31" s="201">
        <f t="shared" si="3"/>
        <v>15</v>
      </c>
      <c r="U31" s="165"/>
      <c r="V31" s="165"/>
      <c r="W31" s="199">
        <f t="shared" si="1"/>
        <v>50</v>
      </c>
      <c r="X31" s="165"/>
      <c r="Y31" s="165"/>
      <c r="Z31" s="165"/>
      <c r="AA31" s="165"/>
      <c r="AB31" s="165"/>
      <c r="AC31" s="199">
        <f t="shared" si="2"/>
        <v>35</v>
      </c>
    </row>
    <row r="32" spans="1:29" s="100" customFormat="1">
      <c r="A32" s="133" t="str">
        <f>'BRSA SORTIES'!C27</f>
        <v>BRECANI</v>
      </c>
      <c r="B32" s="133" t="str">
        <f>'BRSA SORTIES'!D27</f>
        <v>Arjana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96"/>
      <c r="R32" s="197"/>
      <c r="S32" s="165"/>
      <c r="T32" s="201">
        <f t="shared" si="3"/>
        <v>15</v>
      </c>
      <c r="U32" s="165"/>
      <c r="V32" s="165"/>
      <c r="W32" s="199">
        <f t="shared" si="1"/>
        <v>50</v>
      </c>
      <c r="X32" s="165"/>
      <c r="Y32" s="165"/>
      <c r="Z32" s="165"/>
      <c r="AA32" s="165"/>
      <c r="AB32" s="165"/>
      <c r="AC32" s="199">
        <f t="shared" si="2"/>
        <v>35</v>
      </c>
    </row>
    <row r="33" spans="1:29" s="100" customFormat="1">
      <c r="A33" s="133" t="e">
        <f>'CROIX BLANCHE PG'!#REF!</f>
        <v>#REF!</v>
      </c>
      <c r="B33" s="133" t="e">
        <f>'CROIX BLANCHE PG'!#REF!</f>
        <v>#REF!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96"/>
      <c r="R33" s="197"/>
      <c r="S33" s="165"/>
      <c r="T33" s="201">
        <f t="shared" si="3"/>
        <v>15</v>
      </c>
      <c r="U33" s="165"/>
      <c r="V33" s="165"/>
      <c r="W33" s="199">
        <f t="shared" si="1"/>
        <v>50</v>
      </c>
      <c r="X33" s="165"/>
      <c r="Y33" s="165"/>
      <c r="Z33" s="165"/>
      <c r="AA33" s="165"/>
      <c r="AB33" s="165"/>
      <c r="AC33" s="199">
        <f t="shared" si="2"/>
        <v>35</v>
      </c>
    </row>
    <row r="34" spans="1:29" s="100" customFormat="1">
      <c r="A34" s="133" t="str">
        <f>'BRSA SORTIES'!C29</f>
        <v>BRUNET</v>
      </c>
      <c r="B34" s="133" t="str">
        <f>'BRSA SORTIES'!D29</f>
        <v>Carole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96"/>
      <c r="R34" s="197"/>
      <c r="S34" s="165"/>
      <c r="T34" s="201">
        <f t="shared" si="3"/>
        <v>15</v>
      </c>
      <c r="U34" s="165"/>
      <c r="V34" s="165"/>
      <c r="W34" s="199">
        <f t="shared" si="1"/>
        <v>50</v>
      </c>
      <c r="X34" s="165"/>
      <c r="Y34" s="165"/>
      <c r="Z34" s="165"/>
      <c r="AA34" s="165"/>
      <c r="AB34" s="165"/>
      <c r="AC34" s="199">
        <f t="shared" si="2"/>
        <v>35</v>
      </c>
    </row>
    <row r="35" spans="1:29" s="100" customFormat="1">
      <c r="A35" s="133" t="str">
        <f>'CROIX BLANCHE PG'!C42</f>
        <v>BRUZEAU</v>
      </c>
      <c r="B35" s="133" t="str">
        <f>'CROIX BLANCHE PG'!D42</f>
        <v>Laura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96"/>
      <c r="R35" s="197"/>
      <c r="S35" s="165"/>
      <c r="T35" s="201">
        <f t="shared" si="3"/>
        <v>15</v>
      </c>
      <c r="U35" s="165"/>
      <c r="V35" s="165"/>
      <c r="W35" s="199">
        <f t="shared" si="1"/>
        <v>50</v>
      </c>
      <c r="X35" s="165"/>
      <c r="Y35" s="165"/>
      <c r="Z35" s="165"/>
      <c r="AA35" s="165"/>
      <c r="AB35" s="165"/>
      <c r="AC35" s="199">
        <f t="shared" si="2"/>
        <v>35</v>
      </c>
    </row>
    <row r="36" spans="1:29" s="100" customFormat="1">
      <c r="A36" s="133" t="str">
        <f>'CROIX BLANCHE PG'!C43</f>
        <v>BUATTIER</v>
      </c>
      <c r="B36" s="133" t="str">
        <f>'CROIX BLANCHE PG'!D43</f>
        <v>Christelle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96">
        <v>1</v>
      </c>
      <c r="R36" s="200">
        <v>46140</v>
      </c>
      <c r="S36" s="206">
        <v>46146</v>
      </c>
      <c r="T36" s="207">
        <f t="shared" si="3"/>
        <v>46161</v>
      </c>
      <c r="U36" s="165"/>
      <c r="V36" s="165"/>
      <c r="W36" s="199">
        <f t="shared" si="1"/>
        <v>46196</v>
      </c>
      <c r="X36" s="165"/>
      <c r="Y36" s="165"/>
      <c r="Z36" s="199">
        <v>46205</v>
      </c>
      <c r="AA36" s="165"/>
      <c r="AB36" s="165"/>
      <c r="AC36" s="199">
        <f t="shared" si="2"/>
        <v>35</v>
      </c>
    </row>
    <row r="37" spans="1:29" s="100" customFormat="1">
      <c r="A37" s="133" t="e">
        <f>'CROIX BLANCHE PG'!#REF!</f>
        <v>#REF!</v>
      </c>
      <c r="B37" s="133" t="e">
        <f>'CROIX BLANCHE PG'!#REF!</f>
        <v>#REF!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96"/>
      <c r="R37" s="197"/>
      <c r="S37" s="165"/>
      <c r="T37" s="201">
        <f t="shared" si="3"/>
        <v>15</v>
      </c>
      <c r="U37" s="165"/>
      <c r="V37" s="165"/>
      <c r="W37" s="199">
        <f t="shared" si="1"/>
        <v>50</v>
      </c>
      <c r="X37" s="165"/>
      <c r="Y37" s="165"/>
      <c r="Z37" s="165"/>
      <c r="AA37" s="165"/>
      <c r="AB37" s="165"/>
      <c r="AC37" s="199">
        <f t="shared" si="2"/>
        <v>35</v>
      </c>
    </row>
    <row r="38" spans="1:29" s="100" customFormat="1">
      <c r="A38" s="133" t="s">
        <v>922</v>
      </c>
      <c r="B38" s="133" t="s">
        <v>923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96">
        <v>1</v>
      </c>
      <c r="R38" s="200">
        <v>45933</v>
      </c>
      <c r="S38" s="165"/>
      <c r="T38" s="201"/>
      <c r="U38" s="165"/>
      <c r="V38" s="165"/>
      <c r="W38" s="199"/>
      <c r="X38" s="165"/>
      <c r="Y38" s="165"/>
      <c r="Z38" s="165"/>
      <c r="AA38" s="165"/>
      <c r="AB38" s="165"/>
      <c r="AC38" s="199"/>
    </row>
    <row r="39" spans="1:29" s="100" customFormat="1">
      <c r="A39" s="133" t="e">
        <f>'CROIX BLANCHE PG'!#REF!</f>
        <v>#REF!</v>
      </c>
      <c r="B39" s="133" t="e">
        <f>'CROIX BLANCHE PG'!#REF!</f>
        <v>#REF!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96"/>
      <c r="R39" s="200"/>
      <c r="S39" s="199"/>
      <c r="T39" s="201">
        <f t="shared" si="3"/>
        <v>15</v>
      </c>
      <c r="U39" s="165"/>
      <c r="V39" s="165"/>
      <c r="W39" s="199">
        <f t="shared" si="1"/>
        <v>50</v>
      </c>
      <c r="X39" s="165"/>
      <c r="Y39" s="165"/>
      <c r="Z39" s="165"/>
      <c r="AA39" s="165"/>
      <c r="AB39" s="165"/>
      <c r="AC39" s="199">
        <f t="shared" si="2"/>
        <v>35</v>
      </c>
    </row>
    <row r="40" spans="1:29" s="100" customFormat="1">
      <c r="A40" s="133" t="e">
        <f>'CROIX BLANCHE PG'!#REF!</f>
        <v>#REF!</v>
      </c>
      <c r="B40" s="133" t="e">
        <f>'CROIX BLANCHE PG'!#REF!</f>
        <v>#REF!</v>
      </c>
      <c r="C40" s="165">
        <v>1</v>
      </c>
      <c r="D40" s="165">
        <v>1</v>
      </c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96">
        <v>1</v>
      </c>
      <c r="R40" s="200">
        <v>45933</v>
      </c>
      <c r="S40" s="165"/>
      <c r="T40" s="201">
        <f t="shared" si="3"/>
        <v>15</v>
      </c>
      <c r="U40" s="165"/>
      <c r="V40" s="165"/>
      <c r="W40" s="199">
        <f t="shared" si="1"/>
        <v>50</v>
      </c>
      <c r="X40" s="165"/>
      <c r="Y40" s="165"/>
      <c r="Z40" s="165"/>
      <c r="AA40" s="165"/>
      <c r="AB40" s="165"/>
      <c r="AC40" s="199">
        <f t="shared" si="2"/>
        <v>35</v>
      </c>
    </row>
    <row r="41" spans="1:29" s="100" customFormat="1">
      <c r="A41" s="133" t="e">
        <f>'CROIX BLANCHE PG'!#REF!</f>
        <v>#REF!</v>
      </c>
      <c r="B41" s="133" t="e">
        <f>'CROIX BLANCHE PG'!#REF!</f>
        <v>#REF!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96"/>
      <c r="R41" s="197"/>
      <c r="S41" s="165"/>
      <c r="T41" s="201">
        <f t="shared" si="3"/>
        <v>15</v>
      </c>
      <c r="U41" s="165"/>
      <c r="V41" s="165"/>
      <c r="W41" s="199">
        <f t="shared" si="1"/>
        <v>50</v>
      </c>
      <c r="X41" s="165"/>
      <c r="Y41" s="165"/>
      <c r="Z41" s="165"/>
      <c r="AA41" s="165"/>
      <c r="AB41" s="165"/>
      <c r="AC41" s="199">
        <f t="shared" si="2"/>
        <v>35</v>
      </c>
    </row>
    <row r="42" spans="1:29" s="100" customFormat="1">
      <c r="A42" s="133" t="str">
        <f>'CROIX BLANCHE PG'!C45</f>
        <v>CHARNAY</v>
      </c>
      <c r="B42" s="133" t="str">
        <f>'CROIX BLANCHE PG'!D45</f>
        <v>Cindy</v>
      </c>
      <c r="C42" s="165">
        <v>1</v>
      </c>
      <c r="D42" s="165">
        <v>1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96">
        <v>1</v>
      </c>
      <c r="R42" s="200">
        <v>46065</v>
      </c>
      <c r="S42" s="165"/>
      <c r="T42" s="201">
        <f t="shared" si="3"/>
        <v>15</v>
      </c>
      <c r="U42" s="165"/>
      <c r="V42" s="165"/>
      <c r="W42" s="199">
        <f t="shared" si="1"/>
        <v>50</v>
      </c>
      <c r="X42" s="165"/>
      <c r="Y42" s="165"/>
      <c r="Z42" s="165"/>
      <c r="AA42" s="165"/>
      <c r="AB42" s="165"/>
      <c r="AC42" s="199">
        <f t="shared" si="2"/>
        <v>35</v>
      </c>
    </row>
    <row r="43" spans="1:29" s="100" customFormat="1">
      <c r="A43" s="133" t="s">
        <v>924</v>
      </c>
      <c r="B43" s="133" t="s">
        <v>1275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96">
        <v>1</v>
      </c>
      <c r="R43" s="200">
        <v>45867</v>
      </c>
      <c r="S43" s="165"/>
      <c r="T43" s="201"/>
      <c r="U43" s="165"/>
      <c r="V43" s="165"/>
      <c r="W43" s="199"/>
      <c r="X43" s="165"/>
      <c r="Y43" s="165"/>
      <c r="Z43" s="165"/>
      <c r="AA43" s="165"/>
      <c r="AB43" s="165"/>
      <c r="AC43" s="199"/>
    </row>
    <row r="44" spans="1:29" s="100" customFormat="1">
      <c r="A44" s="133" t="str">
        <f>'CROIX BLANCHE PG'!C46</f>
        <v>CHAVE</v>
      </c>
      <c r="B44" s="133" t="str">
        <f>'CROIX BLANCHE PG'!D46</f>
        <v>Baptiste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>
        <v>1</v>
      </c>
      <c r="M44" s="165"/>
      <c r="N44" s="165"/>
      <c r="O44" s="165"/>
      <c r="P44" s="165"/>
      <c r="Q44" s="196"/>
      <c r="R44" s="197"/>
      <c r="S44" s="165"/>
      <c r="T44" s="201">
        <f t="shared" si="3"/>
        <v>15</v>
      </c>
      <c r="U44" s="165"/>
      <c r="V44" s="165"/>
      <c r="W44" s="199">
        <f t="shared" si="1"/>
        <v>50</v>
      </c>
      <c r="X44" s="165"/>
      <c r="Y44" s="165"/>
      <c r="Z44" s="165"/>
      <c r="AA44" s="165"/>
      <c r="AB44" s="165"/>
      <c r="AC44" s="199">
        <f t="shared" si="2"/>
        <v>35</v>
      </c>
    </row>
    <row r="45" spans="1:29" s="100" customFormat="1">
      <c r="A45" s="133" t="e">
        <f>'CROIX BLANCHE PG'!#REF!</f>
        <v>#REF!</v>
      </c>
      <c r="B45" s="133" t="e">
        <f>'CROIX BLANCHE PG'!#REF!</f>
        <v>#REF!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96"/>
      <c r="R45" s="197"/>
      <c r="S45" s="165"/>
      <c r="T45" s="201">
        <f t="shared" si="3"/>
        <v>15</v>
      </c>
      <c r="U45" s="165"/>
      <c r="V45" s="165"/>
      <c r="W45" s="199">
        <f t="shared" si="1"/>
        <v>50</v>
      </c>
      <c r="X45" s="165"/>
      <c r="Y45" s="165"/>
      <c r="Z45" s="165"/>
      <c r="AA45" s="165"/>
      <c r="AB45" s="165"/>
      <c r="AC45" s="199">
        <f t="shared" si="2"/>
        <v>35</v>
      </c>
    </row>
    <row r="46" spans="1:29" s="100" customFormat="1">
      <c r="A46" s="133" t="str">
        <f>'BRSA SORTIES'!C40</f>
        <v>DAOUD</v>
      </c>
      <c r="B46" s="133" t="str">
        <f>'BRSA SORTIES'!D40</f>
        <v>Boina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96"/>
      <c r="R46" s="197"/>
      <c r="S46" s="165"/>
      <c r="T46" s="201">
        <f t="shared" si="3"/>
        <v>15</v>
      </c>
      <c r="U46" s="165"/>
      <c r="V46" s="165"/>
      <c r="W46" s="199">
        <f t="shared" si="1"/>
        <v>50</v>
      </c>
      <c r="X46" s="165"/>
      <c r="Y46" s="165"/>
      <c r="Z46" s="165"/>
      <c r="AA46" s="165"/>
      <c r="AB46" s="165"/>
      <c r="AC46" s="199">
        <f t="shared" si="2"/>
        <v>35</v>
      </c>
    </row>
    <row r="47" spans="1:29" s="100" customFormat="1">
      <c r="A47" s="133" t="str">
        <f>'CROIX BLANCHE PG'!C48</f>
        <v>DA SILVA GONCALVES</v>
      </c>
      <c r="B47" s="133" t="str">
        <f>'CROIX BLANCHE PG'!D48</f>
        <v>Samuel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96"/>
      <c r="R47" s="197"/>
      <c r="S47" s="165"/>
      <c r="T47" s="201">
        <f t="shared" si="3"/>
        <v>15</v>
      </c>
      <c r="U47" s="165"/>
      <c r="V47" s="165"/>
      <c r="W47" s="199">
        <f t="shared" si="1"/>
        <v>50</v>
      </c>
      <c r="X47" s="165"/>
      <c r="Y47" s="165"/>
      <c r="Z47" s="165"/>
      <c r="AA47" s="165"/>
      <c r="AB47" s="165"/>
      <c r="AC47" s="199">
        <f t="shared" si="2"/>
        <v>35</v>
      </c>
    </row>
    <row r="48" spans="1:29" s="100" customFormat="1">
      <c r="A48" s="133" t="str">
        <f>'CROIX BLANCHE PG'!C49</f>
        <v>DBIJA</v>
      </c>
      <c r="B48" s="133" t="str">
        <f>'CROIX BLANCHE PG'!D49</f>
        <v>Hafida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96"/>
      <c r="R48" s="197"/>
      <c r="S48" s="165"/>
      <c r="T48" s="201">
        <f t="shared" si="3"/>
        <v>15</v>
      </c>
      <c r="U48" s="165"/>
      <c r="V48" s="165"/>
      <c r="W48" s="199">
        <f t="shared" si="1"/>
        <v>50</v>
      </c>
      <c r="X48" s="165"/>
      <c r="Y48" s="165"/>
      <c r="Z48" s="165"/>
      <c r="AA48" s="165"/>
      <c r="AB48" s="165"/>
      <c r="AC48" s="199">
        <f t="shared" si="2"/>
        <v>35</v>
      </c>
    </row>
    <row r="49" spans="1:29" s="100" customFormat="1">
      <c r="A49" s="133" t="str">
        <f>'CROIX BLANCHE PG'!C50</f>
        <v>DECAILLON</v>
      </c>
      <c r="B49" s="133" t="str">
        <f>'CROIX BLANCHE PG'!D50</f>
        <v>Candide</v>
      </c>
      <c r="C49" s="165"/>
      <c r="D49" s="165"/>
      <c r="E49" s="165"/>
      <c r="F49" s="165"/>
      <c r="G49" s="165"/>
      <c r="H49" s="165"/>
      <c r="I49" s="165"/>
      <c r="J49" s="165"/>
      <c r="K49" s="165">
        <v>1</v>
      </c>
      <c r="L49" s="165"/>
      <c r="M49" s="165"/>
      <c r="N49" s="165"/>
      <c r="O49" s="165"/>
      <c r="P49" s="165"/>
      <c r="Q49" s="196"/>
      <c r="R49" s="197"/>
      <c r="S49" s="165"/>
      <c r="T49" s="201">
        <f t="shared" si="3"/>
        <v>15</v>
      </c>
      <c r="U49" s="165"/>
      <c r="V49" s="165"/>
      <c r="W49" s="199">
        <f t="shared" si="1"/>
        <v>50</v>
      </c>
      <c r="X49" s="165"/>
      <c r="Y49" s="165"/>
      <c r="Z49" s="165"/>
      <c r="AA49" s="165"/>
      <c r="AB49" s="165"/>
      <c r="AC49" s="199">
        <f t="shared" si="2"/>
        <v>35</v>
      </c>
    </row>
    <row r="50" spans="1:29" s="100" customFormat="1">
      <c r="A50" s="133" t="e">
        <f>'CROIX BLANCHE PG'!#REF!</f>
        <v>#REF!</v>
      </c>
      <c r="B50" s="133" t="e">
        <f>'CROIX BLANCHE PG'!#REF!</f>
        <v>#REF!</v>
      </c>
      <c r="C50" s="165">
        <v>1</v>
      </c>
      <c r="D50" s="165">
        <v>1</v>
      </c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96">
        <v>1</v>
      </c>
      <c r="R50" s="200">
        <v>45938</v>
      </c>
      <c r="S50" s="165"/>
      <c r="T50" s="201">
        <f t="shared" si="3"/>
        <v>15</v>
      </c>
      <c r="U50" s="165"/>
      <c r="V50" s="165"/>
      <c r="W50" s="199">
        <f t="shared" si="1"/>
        <v>50</v>
      </c>
      <c r="X50" s="165"/>
      <c r="Y50" s="165"/>
      <c r="Z50" s="165"/>
      <c r="AA50" s="165"/>
      <c r="AB50" s="165"/>
      <c r="AC50" s="199">
        <f t="shared" si="2"/>
        <v>35</v>
      </c>
    </row>
    <row r="51" spans="1:29" s="100" customFormat="1">
      <c r="A51" s="133" t="e">
        <f>'CROIX BLANCHE PG'!#REF!</f>
        <v>#REF!</v>
      </c>
      <c r="B51" s="133" t="e">
        <f>'CROIX BLANCHE PG'!#REF!</f>
        <v>#REF!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96"/>
      <c r="R51" s="197"/>
      <c r="S51" s="165"/>
      <c r="T51" s="201">
        <f t="shared" si="3"/>
        <v>15</v>
      </c>
      <c r="U51" s="165"/>
      <c r="V51" s="165"/>
      <c r="W51" s="199">
        <f t="shared" si="1"/>
        <v>50</v>
      </c>
      <c r="X51" s="165"/>
      <c r="Y51" s="165"/>
      <c r="Z51" s="165"/>
      <c r="AA51" s="165"/>
      <c r="AB51" s="165"/>
      <c r="AC51" s="199">
        <f t="shared" si="2"/>
        <v>35</v>
      </c>
    </row>
    <row r="52" spans="1:29" s="100" customFormat="1">
      <c r="A52" s="133" t="s">
        <v>1147</v>
      </c>
      <c r="B52" s="133" t="s">
        <v>1148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96"/>
      <c r="R52" s="197"/>
      <c r="S52" s="165"/>
      <c r="T52" s="201"/>
      <c r="U52" s="165"/>
      <c r="V52" s="165"/>
      <c r="W52" s="199"/>
      <c r="X52" s="165"/>
      <c r="Y52" s="165"/>
      <c r="Z52" s="165"/>
      <c r="AA52" s="165"/>
      <c r="AB52" s="165"/>
      <c r="AC52" s="199"/>
    </row>
    <row r="53" spans="1:29" s="100" customFormat="1">
      <c r="A53" s="133" t="str">
        <f>'CROIX BLANCHE PG'!C55</f>
        <v>EL MOUSTAOUI</v>
      </c>
      <c r="B53" s="133" t="str">
        <f>'CROIX BLANCHE PG'!D55</f>
        <v>Sadik</v>
      </c>
      <c r="C53" s="165">
        <v>1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96"/>
      <c r="R53" s="197"/>
      <c r="S53" s="165"/>
      <c r="T53" s="201">
        <f t="shared" si="3"/>
        <v>15</v>
      </c>
      <c r="U53" s="165"/>
      <c r="V53" s="165"/>
      <c r="W53" s="199">
        <f t="shared" si="1"/>
        <v>50</v>
      </c>
      <c r="X53" s="165"/>
      <c r="Y53" s="165"/>
      <c r="Z53" s="165"/>
      <c r="AA53" s="165"/>
      <c r="AB53" s="165"/>
      <c r="AC53" s="199">
        <f t="shared" si="2"/>
        <v>35</v>
      </c>
    </row>
    <row r="54" spans="1:29" s="100" customFormat="1">
      <c r="A54" s="133" t="e">
        <f>'CROIX BLANCHE PG'!#REF!</f>
        <v>#REF!</v>
      </c>
      <c r="B54" s="133" t="e">
        <f>'CROIX BLANCHE PG'!#REF!</f>
        <v>#REF!</v>
      </c>
      <c r="C54" s="165"/>
      <c r="D54" s="165"/>
      <c r="E54" s="165"/>
      <c r="F54" s="165"/>
      <c r="G54" s="165">
        <v>1</v>
      </c>
      <c r="H54" s="165"/>
      <c r="I54" s="165"/>
      <c r="J54" s="165"/>
      <c r="K54" s="165"/>
      <c r="L54" s="165"/>
      <c r="M54" s="165"/>
      <c r="N54" s="165"/>
      <c r="O54" s="165"/>
      <c r="P54" s="165"/>
      <c r="Q54" s="196"/>
      <c r="R54" s="197"/>
      <c r="S54" s="165"/>
      <c r="T54" s="201">
        <f t="shared" si="3"/>
        <v>15</v>
      </c>
      <c r="U54" s="165"/>
      <c r="V54" s="165"/>
      <c r="W54" s="199">
        <f t="shared" si="1"/>
        <v>50</v>
      </c>
      <c r="X54" s="165"/>
      <c r="Y54" s="165"/>
      <c r="Z54" s="165"/>
      <c r="AA54" s="165"/>
      <c r="AB54" s="165"/>
      <c r="AC54" s="199">
        <f t="shared" si="2"/>
        <v>35</v>
      </c>
    </row>
    <row r="55" spans="1:29" s="100" customFormat="1">
      <c r="A55" s="133" t="e">
        <f>'CROIX BLANCHE PG'!#REF!</f>
        <v>#REF!</v>
      </c>
      <c r="B55" s="133" t="e">
        <f>'CROIX BLANCHE PG'!#REF!</f>
        <v>#REF!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96"/>
      <c r="R55" s="200"/>
      <c r="S55" s="165"/>
      <c r="T55" s="201">
        <f t="shared" si="3"/>
        <v>15</v>
      </c>
      <c r="U55" s="165"/>
      <c r="V55" s="165"/>
      <c r="W55" s="199">
        <f t="shared" si="1"/>
        <v>50</v>
      </c>
      <c r="X55" s="165"/>
      <c r="Y55" s="165"/>
      <c r="Z55" s="165"/>
      <c r="AA55" s="165"/>
      <c r="AB55" s="165"/>
      <c r="AC55" s="199">
        <f t="shared" si="2"/>
        <v>35</v>
      </c>
    </row>
    <row r="56" spans="1:29" s="100" customFormat="1">
      <c r="A56" s="133" t="str">
        <f>'CROIX BLANCHE PG'!C56</f>
        <v>FETET</v>
      </c>
      <c r="B56" s="133" t="str">
        <f>'CROIX BLANCHE PG'!D56</f>
        <v>Jennifer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96"/>
      <c r="R56" s="197"/>
      <c r="S56" s="165"/>
      <c r="T56" s="201">
        <f t="shared" si="3"/>
        <v>15</v>
      </c>
      <c r="U56" s="165"/>
      <c r="V56" s="165"/>
      <c r="W56" s="199">
        <f t="shared" si="1"/>
        <v>50</v>
      </c>
      <c r="X56" s="165"/>
      <c r="Y56" s="165"/>
      <c r="Z56" s="165"/>
      <c r="AA56" s="165"/>
      <c r="AB56" s="165"/>
      <c r="AC56" s="199">
        <f t="shared" si="2"/>
        <v>35</v>
      </c>
    </row>
    <row r="57" spans="1:29" s="100" customFormat="1">
      <c r="A57" s="133" t="str">
        <f>'BRSA SORTIES'!C50</f>
        <v>FETET</v>
      </c>
      <c r="B57" s="133" t="str">
        <f>'BRSA SORTIES'!D50</f>
        <v>Laura</v>
      </c>
      <c r="C57" s="165"/>
      <c r="D57" s="165">
        <v>1</v>
      </c>
      <c r="E57" s="165"/>
      <c r="F57" s="165"/>
      <c r="G57" s="165"/>
      <c r="H57" s="165"/>
      <c r="I57" s="165"/>
      <c r="J57" s="165"/>
      <c r="K57" s="165">
        <v>1</v>
      </c>
      <c r="L57" s="165"/>
      <c r="M57" s="165"/>
      <c r="N57" s="165"/>
      <c r="O57" s="165"/>
      <c r="P57" s="165"/>
      <c r="Q57" s="196">
        <v>1</v>
      </c>
      <c r="R57" s="200">
        <v>45933</v>
      </c>
      <c r="S57" s="199"/>
      <c r="T57" s="201">
        <f t="shared" si="3"/>
        <v>15</v>
      </c>
      <c r="U57" s="165"/>
      <c r="V57" s="165"/>
      <c r="W57" s="199">
        <f t="shared" si="1"/>
        <v>50</v>
      </c>
      <c r="X57" s="165"/>
      <c r="Y57" s="165"/>
      <c r="Z57" s="165"/>
      <c r="AA57" s="165"/>
      <c r="AB57" s="165"/>
      <c r="AC57" s="199">
        <f t="shared" si="2"/>
        <v>35</v>
      </c>
    </row>
    <row r="58" spans="1:29" s="100" customFormat="1">
      <c r="A58" s="133" t="s">
        <v>1236</v>
      </c>
      <c r="B58" s="133" t="s">
        <v>1235</v>
      </c>
      <c r="C58" s="165">
        <v>1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96"/>
      <c r="R58" s="200"/>
      <c r="S58" s="199"/>
      <c r="T58" s="201"/>
      <c r="U58" s="165"/>
      <c r="V58" s="165"/>
      <c r="W58" s="199"/>
      <c r="X58" s="165"/>
      <c r="Y58" s="165"/>
      <c r="Z58" s="165"/>
      <c r="AA58" s="165"/>
      <c r="AB58" s="165"/>
      <c r="AC58" s="199"/>
    </row>
    <row r="59" spans="1:29" s="100" customFormat="1">
      <c r="A59" s="133" t="str">
        <f>'CROIX BLANCHE PG'!C59</f>
        <v>GOBERT</v>
      </c>
      <c r="B59" s="133" t="str">
        <f>'CROIX BLANCHE PG'!D59</f>
        <v>Edwige</v>
      </c>
      <c r="C59" s="165"/>
      <c r="D59" s="165"/>
      <c r="E59" s="165"/>
      <c r="F59" s="165"/>
      <c r="G59" s="165"/>
      <c r="H59" s="165"/>
      <c r="I59" s="165"/>
      <c r="J59" s="165"/>
      <c r="K59" s="165">
        <v>1</v>
      </c>
      <c r="L59" s="165"/>
      <c r="M59" s="165"/>
      <c r="N59" s="165"/>
      <c r="O59" s="165"/>
      <c r="P59" s="165"/>
      <c r="Q59" s="196"/>
      <c r="R59" s="197"/>
      <c r="S59" s="165"/>
      <c r="T59" s="201">
        <f t="shared" si="3"/>
        <v>15</v>
      </c>
      <c r="U59" s="165"/>
      <c r="V59" s="165"/>
      <c r="W59" s="199">
        <f t="shared" si="1"/>
        <v>50</v>
      </c>
      <c r="X59" s="165"/>
      <c r="Y59" s="165"/>
      <c r="Z59" s="165"/>
      <c r="AA59" s="165"/>
      <c r="AB59" s="165"/>
      <c r="AC59" s="199">
        <f t="shared" si="2"/>
        <v>35</v>
      </c>
    </row>
    <row r="60" spans="1:29" s="100" customFormat="1">
      <c r="A60" s="133" t="e">
        <f>'CROIX BLANCHE PG'!#REF!</f>
        <v>#REF!</v>
      </c>
      <c r="B60" s="133" t="e">
        <f>'CROIX BLANCHE PG'!#REF!</f>
        <v>#REF!</v>
      </c>
      <c r="C60" s="165"/>
      <c r="D60" s="165">
        <v>1</v>
      </c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96">
        <v>1</v>
      </c>
      <c r="R60" s="200">
        <v>45933</v>
      </c>
      <c r="S60" s="165"/>
      <c r="T60" s="201">
        <f t="shared" si="3"/>
        <v>15</v>
      </c>
      <c r="U60" s="165"/>
      <c r="V60" s="165"/>
      <c r="W60" s="199">
        <f t="shared" si="1"/>
        <v>50</v>
      </c>
      <c r="X60" s="165"/>
      <c r="Y60" s="165"/>
      <c r="Z60" s="165"/>
      <c r="AA60" s="165"/>
      <c r="AB60" s="165"/>
      <c r="AC60" s="199">
        <f t="shared" si="2"/>
        <v>35</v>
      </c>
    </row>
    <row r="61" spans="1:29" s="100" customFormat="1">
      <c r="A61" s="133" t="str">
        <f>'CROIX BLANCHE PG'!C60</f>
        <v>HADZI-ALIJA</v>
      </c>
      <c r="B61" s="133" t="str">
        <f>'CROIX BLANCHE PG'!D60</f>
        <v>Erdan</v>
      </c>
      <c r="C61" s="165">
        <v>1</v>
      </c>
      <c r="D61" s="165">
        <v>1</v>
      </c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96">
        <v>1</v>
      </c>
      <c r="R61" s="200">
        <v>45933</v>
      </c>
      <c r="S61" s="165"/>
      <c r="T61" s="201">
        <f t="shared" si="3"/>
        <v>15</v>
      </c>
      <c r="U61" s="165"/>
      <c r="V61" s="165"/>
      <c r="W61" s="199">
        <f t="shared" si="1"/>
        <v>50</v>
      </c>
      <c r="X61" s="165"/>
      <c r="Y61" s="165"/>
      <c r="Z61" s="165"/>
      <c r="AA61" s="165"/>
      <c r="AB61" s="165"/>
      <c r="AC61" s="199">
        <f t="shared" si="2"/>
        <v>35</v>
      </c>
    </row>
    <row r="62" spans="1:29" s="100" customFormat="1">
      <c r="A62" s="133" t="s">
        <v>1411</v>
      </c>
      <c r="B62" s="133" t="s">
        <v>1412</v>
      </c>
      <c r="C62" s="165"/>
      <c r="D62" s="165"/>
      <c r="E62" s="165"/>
      <c r="F62" s="165">
        <v>1</v>
      </c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96">
        <v>1</v>
      </c>
      <c r="R62" s="200">
        <v>46261</v>
      </c>
      <c r="S62" s="199">
        <v>46262</v>
      </c>
      <c r="T62" s="201">
        <f t="shared" si="3"/>
        <v>46277</v>
      </c>
      <c r="U62" s="165"/>
      <c r="V62" s="165"/>
      <c r="W62" s="199"/>
      <c r="X62" s="165"/>
      <c r="Y62" s="165"/>
      <c r="Z62" s="165"/>
      <c r="AA62" s="165"/>
      <c r="AB62" s="165"/>
      <c r="AC62" s="199"/>
    </row>
    <row r="63" spans="1:29" s="100" customFormat="1">
      <c r="A63" s="133" t="str">
        <f>'CROIX BLANCHE PG'!C62</f>
        <v>HAMMOUMI</v>
      </c>
      <c r="B63" s="133" t="str">
        <f>'CROIX BLANCHE PG'!D62</f>
        <v>Mohammed</v>
      </c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96"/>
      <c r="R63" s="200"/>
      <c r="S63" s="199"/>
      <c r="T63" s="201">
        <f t="shared" si="3"/>
        <v>15</v>
      </c>
      <c r="U63" s="165"/>
      <c r="V63" s="165"/>
      <c r="W63" s="199">
        <f t="shared" si="1"/>
        <v>50</v>
      </c>
      <c r="X63" s="165"/>
      <c r="Y63" s="165"/>
      <c r="Z63" s="165"/>
      <c r="AA63" s="165"/>
      <c r="AB63" s="165"/>
      <c r="AC63" s="199">
        <f t="shared" si="2"/>
        <v>35</v>
      </c>
    </row>
    <row r="64" spans="1:29" s="100" customFormat="1">
      <c r="A64" s="133" t="str">
        <f>'CROIX BLANCHE PG'!C64</f>
        <v>HASSANI</v>
      </c>
      <c r="B64" s="133" t="str">
        <f>'CROIX BLANCHE PG'!D64</f>
        <v>Koulthoumi</v>
      </c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96"/>
      <c r="R64" s="197"/>
      <c r="S64" s="165"/>
      <c r="T64" s="201">
        <f t="shared" si="3"/>
        <v>15</v>
      </c>
      <c r="U64" s="165"/>
      <c r="V64" s="165"/>
      <c r="W64" s="199">
        <f t="shared" si="1"/>
        <v>50</v>
      </c>
      <c r="X64" s="165"/>
      <c r="Y64" s="165"/>
      <c r="Z64" s="165"/>
      <c r="AA64" s="165"/>
      <c r="AB64" s="165"/>
      <c r="AC64" s="199">
        <f t="shared" si="2"/>
        <v>35</v>
      </c>
    </row>
    <row r="65" spans="1:29" s="100" customFormat="1">
      <c r="A65" s="133" t="str">
        <f>'CROIX BLANCHE PG'!C65</f>
        <v>HOUICHI</v>
      </c>
      <c r="B65" s="133" t="str">
        <f>'CROIX BLANCHE PG'!D65</f>
        <v>Hikmet</v>
      </c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96"/>
      <c r="R65" s="197"/>
      <c r="S65" s="165"/>
      <c r="T65" s="201">
        <f t="shared" si="3"/>
        <v>15</v>
      </c>
      <c r="U65" s="165"/>
      <c r="V65" s="165"/>
      <c r="W65" s="199">
        <f t="shared" si="1"/>
        <v>50</v>
      </c>
      <c r="X65" s="165"/>
      <c r="Y65" s="165"/>
      <c r="Z65" s="165"/>
      <c r="AA65" s="165"/>
      <c r="AB65" s="165"/>
      <c r="AC65" s="199">
        <f t="shared" si="2"/>
        <v>35</v>
      </c>
    </row>
    <row r="66" spans="1:29" s="100" customFormat="1">
      <c r="A66" s="133" t="s">
        <v>1056</v>
      </c>
      <c r="B66" s="133" t="s">
        <v>1057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96"/>
      <c r="R66" s="197"/>
      <c r="S66" s="165"/>
      <c r="T66" s="201"/>
      <c r="U66" s="165"/>
      <c r="V66" s="165"/>
      <c r="W66" s="199"/>
      <c r="X66" s="165"/>
      <c r="Y66" s="165"/>
      <c r="Z66" s="165"/>
      <c r="AA66" s="165"/>
      <c r="AB66" s="165"/>
      <c r="AC66" s="199"/>
    </row>
    <row r="67" spans="1:29" s="100" customFormat="1">
      <c r="A67" s="133" t="s">
        <v>1097</v>
      </c>
      <c r="B67" s="133" t="s">
        <v>1098</v>
      </c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96"/>
      <c r="R67" s="197"/>
      <c r="S67" s="165"/>
      <c r="T67" s="201"/>
      <c r="U67" s="165"/>
      <c r="V67" s="165"/>
      <c r="W67" s="199"/>
      <c r="X67" s="165"/>
      <c r="Y67" s="165"/>
      <c r="Z67" s="165"/>
      <c r="AA67" s="165"/>
      <c r="AB67" s="165"/>
      <c r="AC67" s="199"/>
    </row>
    <row r="68" spans="1:29" s="100" customFormat="1">
      <c r="A68" s="133" t="str">
        <f>'CROIX BLANCHE PG'!C68</f>
        <v>KALINDA</v>
      </c>
      <c r="B68" s="133" t="str">
        <f>'CROIX BLANCHE PG'!D68</f>
        <v>Léopold</v>
      </c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96"/>
      <c r="R68" s="197"/>
      <c r="S68" s="165"/>
      <c r="T68" s="201">
        <f t="shared" si="3"/>
        <v>15</v>
      </c>
      <c r="U68" s="165"/>
      <c r="V68" s="165"/>
      <c r="W68" s="199">
        <f t="shared" si="1"/>
        <v>50</v>
      </c>
      <c r="X68" s="165"/>
      <c r="Y68" s="165"/>
      <c r="Z68" s="165"/>
      <c r="AA68" s="165"/>
      <c r="AB68" s="165"/>
      <c r="AC68" s="199">
        <f t="shared" si="2"/>
        <v>35</v>
      </c>
    </row>
    <row r="69" spans="1:29" s="100" customFormat="1">
      <c r="A69" s="133" t="str">
        <f>'CROIX BLANCHE PG'!C69</f>
        <v>KARADAVUT</v>
      </c>
      <c r="B69" s="133" t="str">
        <f>'CROIX BLANCHE PG'!D69</f>
        <v>Pembe</v>
      </c>
      <c r="C69" s="165">
        <v>1</v>
      </c>
      <c r="D69" s="165"/>
      <c r="E69" s="165"/>
      <c r="F69" s="165"/>
      <c r="G69" s="165">
        <v>1</v>
      </c>
      <c r="H69" s="165"/>
      <c r="I69" s="165"/>
      <c r="J69" s="165"/>
      <c r="K69" s="165"/>
      <c r="L69" s="165"/>
      <c r="M69" s="165"/>
      <c r="N69" s="165"/>
      <c r="O69" s="165"/>
      <c r="P69" s="165"/>
      <c r="Q69" s="196"/>
      <c r="R69" s="197"/>
      <c r="S69" s="165"/>
      <c r="T69" s="201">
        <f t="shared" si="3"/>
        <v>15</v>
      </c>
      <c r="U69" s="165"/>
      <c r="V69" s="165"/>
      <c r="W69" s="199">
        <f t="shared" si="1"/>
        <v>50</v>
      </c>
      <c r="X69" s="165"/>
      <c r="Y69" s="165"/>
      <c r="Z69" s="165"/>
      <c r="AA69" s="165"/>
      <c r="AB69" s="165"/>
      <c r="AC69" s="199">
        <f t="shared" si="2"/>
        <v>35</v>
      </c>
    </row>
    <row r="70" spans="1:29" s="100" customFormat="1">
      <c r="A70" s="133" t="str">
        <f>'CROIX BLANCHE PG'!C70</f>
        <v xml:space="preserve">KASEMI </v>
      </c>
      <c r="B70" s="133" t="str">
        <f>'CROIX BLANCHE PG'!D70</f>
        <v>Elsaïda</v>
      </c>
      <c r="C70" s="165">
        <v>1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96">
        <v>1</v>
      </c>
      <c r="R70" s="200">
        <v>46141</v>
      </c>
      <c r="S70" s="165"/>
      <c r="T70" s="201">
        <f t="shared" si="3"/>
        <v>15</v>
      </c>
      <c r="U70" s="165"/>
      <c r="V70" s="165"/>
      <c r="W70" s="199">
        <f t="shared" si="1"/>
        <v>50</v>
      </c>
      <c r="X70" s="165"/>
      <c r="Y70" s="165"/>
      <c r="Z70" s="165"/>
      <c r="AA70" s="165"/>
      <c r="AB70" s="165"/>
      <c r="AC70" s="199">
        <f t="shared" si="2"/>
        <v>35</v>
      </c>
    </row>
    <row r="71" spans="1:29" s="100" customFormat="1">
      <c r="A71" s="133" t="e">
        <f>'CROIX BLANCHE PG'!#REF!</f>
        <v>#REF!</v>
      </c>
      <c r="B71" s="133" t="e">
        <f>'CROIX BLANCHE PG'!#REF!</f>
        <v>#REF!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96"/>
      <c r="R71" s="197"/>
      <c r="S71" s="165"/>
      <c r="T71" s="201">
        <f t="shared" si="3"/>
        <v>15</v>
      </c>
      <c r="U71" s="165"/>
      <c r="V71" s="165"/>
      <c r="W71" s="199">
        <f t="shared" si="1"/>
        <v>50</v>
      </c>
      <c r="X71" s="165"/>
      <c r="Y71" s="165"/>
      <c r="Z71" s="165"/>
      <c r="AA71" s="165"/>
      <c r="AB71" s="165"/>
      <c r="AC71" s="199">
        <f t="shared" si="2"/>
        <v>35</v>
      </c>
    </row>
    <row r="72" spans="1:29" s="100" customFormat="1">
      <c r="A72" s="133" t="str">
        <f>'CROIX BLANCHE PG'!C71</f>
        <v>KIM</v>
      </c>
      <c r="B72" s="133" t="str">
        <f>'CROIX BLANCHE PG'!D71</f>
        <v>Stéphane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96"/>
      <c r="R72" s="197"/>
      <c r="S72" s="165"/>
      <c r="T72" s="201">
        <f t="shared" si="3"/>
        <v>15</v>
      </c>
      <c r="U72" s="165"/>
      <c r="V72" s="165"/>
      <c r="W72" s="199">
        <f t="shared" si="1"/>
        <v>50</v>
      </c>
      <c r="X72" s="165"/>
      <c r="Y72" s="165"/>
      <c r="Z72" s="165"/>
      <c r="AA72" s="165"/>
      <c r="AB72" s="165"/>
      <c r="AC72" s="199">
        <f t="shared" si="2"/>
        <v>35</v>
      </c>
    </row>
    <row r="73" spans="1:29" s="100" customFormat="1">
      <c r="A73" s="133" t="s">
        <v>938</v>
      </c>
      <c r="B73" s="133" t="s">
        <v>939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96">
        <v>1</v>
      </c>
      <c r="R73" s="200">
        <v>45933</v>
      </c>
      <c r="S73" s="165"/>
      <c r="T73" s="201"/>
      <c r="U73" s="165"/>
      <c r="V73" s="165"/>
      <c r="W73" s="199"/>
      <c r="X73" s="165"/>
      <c r="Y73" s="165"/>
      <c r="Z73" s="165"/>
      <c r="AA73" s="165"/>
      <c r="AB73" s="165"/>
      <c r="AC73" s="199"/>
    </row>
    <row r="74" spans="1:29" s="100" customFormat="1">
      <c r="A74" s="133" t="str">
        <f>'CROIX BLANCHE PG'!C72</f>
        <v>KULIKOVA</v>
      </c>
      <c r="B74" s="133" t="str">
        <f>'CROIX BLANCHE PG'!D72</f>
        <v>Oléna</v>
      </c>
      <c r="C74" s="165">
        <v>1</v>
      </c>
      <c r="D74" s="165">
        <v>1</v>
      </c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96"/>
      <c r="R74" s="200"/>
      <c r="S74" s="165"/>
      <c r="T74" s="201">
        <f t="shared" si="3"/>
        <v>15</v>
      </c>
      <c r="U74" s="165"/>
      <c r="V74" s="165"/>
      <c r="W74" s="199">
        <f t="shared" si="1"/>
        <v>50</v>
      </c>
      <c r="X74" s="165"/>
      <c r="Y74" s="165"/>
      <c r="Z74" s="165"/>
      <c r="AA74" s="165"/>
      <c r="AB74" s="165"/>
      <c r="AC74" s="199">
        <f t="shared" si="2"/>
        <v>35</v>
      </c>
    </row>
    <row r="75" spans="1:29" s="100" customFormat="1">
      <c r="A75" s="133" t="e">
        <f>'CROIX BLANCHE PG'!#REF!</f>
        <v>#REF!</v>
      </c>
      <c r="B75" s="133" t="e">
        <f>'CROIX BLANCHE PG'!#REF!</f>
        <v>#REF!</v>
      </c>
      <c r="C75" s="165">
        <v>1</v>
      </c>
      <c r="D75" s="165">
        <v>1</v>
      </c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96">
        <v>1</v>
      </c>
      <c r="R75" s="200">
        <v>45933</v>
      </c>
      <c r="S75" s="165"/>
      <c r="T75" s="201">
        <f t="shared" si="3"/>
        <v>15</v>
      </c>
      <c r="U75" s="165"/>
      <c r="V75" s="165"/>
      <c r="W75" s="199">
        <f t="shared" si="1"/>
        <v>50</v>
      </c>
      <c r="X75" s="165"/>
      <c r="Y75" s="165"/>
      <c r="Z75" s="165"/>
      <c r="AA75" s="165"/>
      <c r="AB75" s="165"/>
      <c r="AC75" s="199">
        <f t="shared" si="2"/>
        <v>35</v>
      </c>
    </row>
    <row r="76" spans="1:29" s="100" customFormat="1">
      <c r="A76" s="133" t="e">
        <f>'CROIX BLANCHE PG'!#REF!</f>
        <v>#REF!</v>
      </c>
      <c r="B76" s="133" t="e">
        <f>'CROIX BLANCHE PG'!#REF!</f>
        <v>#REF!</v>
      </c>
      <c r="C76" s="165">
        <v>1</v>
      </c>
      <c r="D76" s="165">
        <v>1</v>
      </c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96">
        <v>1</v>
      </c>
      <c r="R76" s="200">
        <v>45912</v>
      </c>
      <c r="S76" s="165"/>
      <c r="T76" s="201">
        <f t="shared" si="3"/>
        <v>15</v>
      </c>
      <c r="U76" s="165"/>
      <c r="V76" s="165"/>
      <c r="W76" s="199">
        <f t="shared" si="1"/>
        <v>50</v>
      </c>
      <c r="X76" s="165"/>
      <c r="Y76" s="165"/>
      <c r="Z76" s="165"/>
      <c r="AA76" s="165"/>
      <c r="AB76" s="165"/>
      <c r="AC76" s="199">
        <f t="shared" si="2"/>
        <v>35</v>
      </c>
    </row>
    <row r="77" spans="1:29" s="100" customFormat="1">
      <c r="A77" s="133" t="e">
        <f>'CROIX BLANCHE PG'!#REF!</f>
        <v>#REF!</v>
      </c>
      <c r="B77" s="133" t="e">
        <f>'CROIX BLANCHE PG'!#REF!</f>
        <v>#REF!</v>
      </c>
      <c r="C77" s="165"/>
      <c r="D77" s="165"/>
      <c r="E77" s="165"/>
      <c r="F77" s="165">
        <v>1</v>
      </c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96">
        <v>1</v>
      </c>
      <c r="R77" s="200">
        <v>46065</v>
      </c>
      <c r="S77" s="199"/>
      <c r="T77" s="201">
        <f t="shared" si="3"/>
        <v>15</v>
      </c>
      <c r="U77" s="165"/>
      <c r="V77" s="165"/>
      <c r="W77" s="199">
        <f t="shared" si="1"/>
        <v>50</v>
      </c>
      <c r="X77" s="165"/>
      <c r="Y77" s="165"/>
      <c r="Z77" s="165"/>
      <c r="AA77" s="165"/>
      <c r="AB77" s="165"/>
      <c r="AC77" s="199">
        <f t="shared" si="2"/>
        <v>35</v>
      </c>
    </row>
    <row r="78" spans="1:29" s="100" customFormat="1">
      <c r="A78" s="133" t="e">
        <f>'CROIX BLANCHE PG'!#REF!</f>
        <v>#REF!</v>
      </c>
      <c r="B78" s="133" t="e">
        <f>'CROIX BLANCHE PG'!#REF!</f>
        <v>#REF!</v>
      </c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96"/>
      <c r="R78" s="197"/>
      <c r="S78" s="165"/>
      <c r="T78" s="201">
        <f t="shared" si="3"/>
        <v>15</v>
      </c>
      <c r="U78" s="165"/>
      <c r="V78" s="165"/>
      <c r="W78" s="199">
        <f t="shared" si="1"/>
        <v>50</v>
      </c>
      <c r="X78" s="165"/>
      <c r="Y78" s="165"/>
      <c r="Z78" s="165"/>
      <c r="AA78" s="165"/>
      <c r="AB78" s="165"/>
      <c r="AC78" s="199">
        <f t="shared" si="2"/>
        <v>35</v>
      </c>
    </row>
    <row r="79" spans="1:29" s="100" customFormat="1">
      <c r="A79" s="133" t="str">
        <f>'BRSA SORTIES'!C63</f>
        <v>LIKIDI</v>
      </c>
      <c r="B79" s="133" t="str">
        <f>'BRSA SORTIES'!D63</f>
        <v>Quektor</v>
      </c>
      <c r="C79" s="165"/>
      <c r="D79" s="165"/>
      <c r="E79" s="165"/>
      <c r="F79" s="165"/>
      <c r="G79" s="165"/>
      <c r="H79" s="165"/>
      <c r="I79" s="165">
        <v>1</v>
      </c>
      <c r="J79" s="165"/>
      <c r="K79" s="165"/>
      <c r="L79" s="165"/>
      <c r="M79" s="165"/>
      <c r="N79" s="165"/>
      <c r="O79" s="165"/>
      <c r="P79" s="165"/>
      <c r="Q79" s="196"/>
      <c r="R79" s="197"/>
      <c r="S79" s="165"/>
      <c r="T79" s="201">
        <f t="shared" si="3"/>
        <v>15</v>
      </c>
      <c r="U79" s="165"/>
      <c r="V79" s="165"/>
      <c r="W79" s="199">
        <f t="shared" si="1"/>
        <v>50</v>
      </c>
      <c r="X79" s="165"/>
      <c r="Y79" s="165"/>
      <c r="Z79" s="165"/>
      <c r="AA79" s="165"/>
      <c r="AB79" s="165"/>
      <c r="AC79" s="199">
        <f t="shared" si="2"/>
        <v>35</v>
      </c>
    </row>
    <row r="80" spans="1:29" s="100" customFormat="1">
      <c r="A80" s="133" t="str">
        <f>'BRSA SORTIES'!C64</f>
        <v>LOUCIF</v>
      </c>
      <c r="B80" s="133" t="str">
        <f>'BRSA SORTIES'!D64</f>
        <v>Ines</v>
      </c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96"/>
      <c r="R80" s="197"/>
      <c r="S80" s="165"/>
      <c r="T80" s="201">
        <f t="shared" si="3"/>
        <v>15</v>
      </c>
      <c r="U80" s="165"/>
      <c r="V80" s="165"/>
      <c r="W80" s="199">
        <f t="shared" si="1"/>
        <v>50</v>
      </c>
      <c r="X80" s="165"/>
      <c r="Y80" s="165"/>
      <c r="Z80" s="165"/>
      <c r="AA80" s="165"/>
      <c r="AB80" s="165"/>
      <c r="AC80" s="199">
        <f t="shared" si="2"/>
        <v>35</v>
      </c>
    </row>
    <row r="81" spans="1:29" s="100" customFormat="1">
      <c r="A81" s="133" t="str">
        <f>'CROIX BLANCHE PG'!C73</f>
        <v>MARRET</v>
      </c>
      <c r="B81" s="133" t="str">
        <f>'CROIX BLANCHE PG'!D73</f>
        <v>Alan</v>
      </c>
      <c r="C81" s="165"/>
      <c r="D81" s="165"/>
      <c r="E81" s="165"/>
      <c r="F81" s="165">
        <v>1</v>
      </c>
      <c r="G81" s="165"/>
      <c r="H81" s="165">
        <v>1</v>
      </c>
      <c r="I81" s="165"/>
      <c r="J81" s="165"/>
      <c r="K81" s="165"/>
      <c r="L81" s="165"/>
      <c r="M81" s="165"/>
      <c r="N81" s="165"/>
      <c r="O81" s="165"/>
      <c r="P81" s="165"/>
      <c r="Q81" s="196"/>
      <c r="R81" s="197"/>
      <c r="S81" s="165"/>
      <c r="T81" s="201">
        <f t="shared" si="3"/>
        <v>15</v>
      </c>
      <c r="U81" s="165"/>
      <c r="V81" s="165"/>
      <c r="W81" s="199">
        <f t="shared" si="1"/>
        <v>50</v>
      </c>
      <c r="X81" s="165"/>
      <c r="Y81" s="165"/>
      <c r="Z81" s="165"/>
      <c r="AA81" s="165"/>
      <c r="AB81" s="165"/>
      <c r="AC81" s="199">
        <f t="shared" si="2"/>
        <v>35</v>
      </c>
    </row>
    <row r="82" spans="1:29" s="100" customFormat="1">
      <c r="A82" s="133" t="s">
        <v>944</v>
      </c>
      <c r="B82" s="133" t="s">
        <v>945</v>
      </c>
      <c r="C82" s="165"/>
      <c r="D82" s="165"/>
      <c r="E82" s="165"/>
      <c r="F82" s="165"/>
      <c r="G82" s="165"/>
      <c r="H82" s="165">
        <v>1</v>
      </c>
      <c r="I82" s="165"/>
      <c r="J82" s="165"/>
      <c r="K82" s="165"/>
      <c r="L82" s="165"/>
      <c r="M82" s="165"/>
      <c r="N82" s="165"/>
      <c r="O82" s="165"/>
      <c r="P82" s="165"/>
      <c r="Q82" s="196"/>
      <c r="R82" s="197"/>
      <c r="S82" s="165"/>
      <c r="T82" s="201"/>
      <c r="U82" s="165"/>
      <c r="V82" s="165"/>
      <c r="W82" s="199"/>
      <c r="X82" s="165"/>
      <c r="Y82" s="165"/>
      <c r="Z82" s="165"/>
      <c r="AA82" s="165"/>
      <c r="AB82" s="165"/>
      <c r="AC82" s="199"/>
    </row>
    <row r="83" spans="1:29" s="100" customFormat="1">
      <c r="A83" s="133" t="str">
        <f>'BRSA SORTIES'!C66</f>
        <v>MERCIER</v>
      </c>
      <c r="B83" s="133" t="str">
        <f>'BRSA SORTIES'!D66</f>
        <v>Florent</v>
      </c>
      <c r="C83" s="165"/>
      <c r="D83" s="165">
        <v>1</v>
      </c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96">
        <v>1</v>
      </c>
      <c r="R83" s="200">
        <v>45933</v>
      </c>
      <c r="S83" s="165"/>
      <c r="T83" s="201">
        <f t="shared" ref="T83:T130" si="4">S83+15</f>
        <v>15</v>
      </c>
      <c r="U83" s="165"/>
      <c r="V83" s="165"/>
      <c r="W83" s="199">
        <f t="shared" ref="W83:W130" si="5">S83+50</f>
        <v>50</v>
      </c>
      <c r="X83" s="165"/>
      <c r="Y83" s="165"/>
      <c r="Z83" s="165"/>
      <c r="AA83" s="165"/>
      <c r="AB83" s="165"/>
      <c r="AC83" s="199">
        <f t="shared" ref="AC83:AC130" si="6">AB83+35</f>
        <v>35</v>
      </c>
    </row>
    <row r="84" spans="1:29" s="100" customFormat="1">
      <c r="A84" s="133" t="str">
        <f>'BRSA SORTIES'!C67</f>
        <v>MEUNIER</v>
      </c>
      <c r="B84" s="133" t="str">
        <f>'BRSA SORTIES'!D67</f>
        <v>Yann</v>
      </c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96"/>
      <c r="R84" s="197"/>
      <c r="S84" s="165"/>
      <c r="T84" s="201">
        <f t="shared" si="4"/>
        <v>15</v>
      </c>
      <c r="U84" s="165"/>
      <c r="V84" s="165"/>
      <c r="W84" s="199">
        <f t="shared" si="5"/>
        <v>50</v>
      </c>
      <c r="X84" s="165"/>
      <c r="Y84" s="165"/>
      <c r="Z84" s="165"/>
      <c r="AA84" s="165"/>
      <c r="AB84" s="165"/>
      <c r="AC84" s="199">
        <f t="shared" si="6"/>
        <v>35</v>
      </c>
    </row>
    <row r="85" spans="1:29" s="100" customFormat="1">
      <c r="A85" s="133" t="str">
        <f>'CROIX BLANCHE PG'!C79</f>
        <v xml:space="preserve">MOLL </v>
      </c>
      <c r="B85" s="133" t="str">
        <f>'CROIX BLANCHE PG'!D79</f>
        <v>Armand</v>
      </c>
      <c r="C85" s="165"/>
      <c r="D85" s="165"/>
      <c r="E85" s="165"/>
      <c r="F85" s="165"/>
      <c r="G85" s="165">
        <v>1</v>
      </c>
      <c r="H85" s="165">
        <v>1</v>
      </c>
      <c r="I85" s="165"/>
      <c r="J85" s="165"/>
      <c r="K85" s="165"/>
      <c r="L85" s="165"/>
      <c r="M85" s="165"/>
      <c r="N85" s="165"/>
      <c r="O85" s="165"/>
      <c r="P85" s="165"/>
      <c r="Q85" s="196"/>
      <c r="R85" s="197"/>
      <c r="S85" s="165"/>
      <c r="T85" s="201">
        <f t="shared" si="4"/>
        <v>15</v>
      </c>
      <c r="U85" s="165"/>
      <c r="V85" s="165"/>
      <c r="W85" s="199">
        <f t="shared" si="5"/>
        <v>50</v>
      </c>
      <c r="X85" s="165"/>
      <c r="Y85" s="165"/>
      <c r="Z85" s="165"/>
      <c r="AA85" s="165"/>
      <c r="AB85" s="165"/>
      <c r="AC85" s="199">
        <f t="shared" si="6"/>
        <v>35</v>
      </c>
    </row>
    <row r="86" spans="1:29" s="100" customFormat="1">
      <c r="A86" s="133" t="str">
        <f>'CROIX BLANCHE PG'!C80</f>
        <v>MOLLA</v>
      </c>
      <c r="B86" s="133" t="str">
        <f>'CROIX BLANCHE PG'!D80</f>
        <v>Romina</v>
      </c>
      <c r="C86" s="165">
        <v>1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96"/>
      <c r="R86" s="197"/>
      <c r="S86" s="165"/>
      <c r="T86" s="201">
        <f t="shared" si="4"/>
        <v>15</v>
      </c>
      <c r="U86" s="165"/>
      <c r="V86" s="165"/>
      <c r="W86" s="199">
        <f t="shared" si="5"/>
        <v>50</v>
      </c>
      <c r="X86" s="165"/>
      <c r="Y86" s="165"/>
      <c r="Z86" s="165"/>
      <c r="AA86" s="165"/>
      <c r="AB86" s="165"/>
      <c r="AC86" s="199">
        <f t="shared" si="6"/>
        <v>35</v>
      </c>
    </row>
    <row r="87" spans="1:29" s="100" customFormat="1">
      <c r="A87" s="133" t="str">
        <f>'BRSA SORTIES'!C73</f>
        <v>MOREL</v>
      </c>
      <c r="B87" s="133" t="str">
        <f>'BRSA SORTIES'!D73</f>
        <v>Alexandre</v>
      </c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96"/>
      <c r="R87" s="197"/>
      <c r="S87" s="165"/>
      <c r="T87" s="201">
        <f t="shared" si="4"/>
        <v>15</v>
      </c>
      <c r="U87" s="165"/>
      <c r="V87" s="165"/>
      <c r="W87" s="199">
        <f t="shared" si="5"/>
        <v>50</v>
      </c>
      <c r="X87" s="165"/>
      <c r="Y87" s="165"/>
      <c r="Z87" s="165"/>
      <c r="AA87" s="165"/>
      <c r="AB87" s="165"/>
      <c r="AC87" s="199">
        <f t="shared" si="6"/>
        <v>35</v>
      </c>
    </row>
    <row r="88" spans="1:29" s="100" customFormat="1">
      <c r="A88" s="133" t="str">
        <f>'BRSA SORTIES'!C74</f>
        <v>MOREL</v>
      </c>
      <c r="B88" s="133" t="str">
        <f>'BRSA SORTIES'!D74</f>
        <v>Virginie</v>
      </c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>
        <v>1</v>
      </c>
      <c r="O88" s="165"/>
      <c r="P88" s="165"/>
      <c r="Q88" s="196"/>
      <c r="R88" s="197"/>
      <c r="S88" s="165"/>
      <c r="T88" s="201">
        <f t="shared" si="4"/>
        <v>15</v>
      </c>
      <c r="U88" s="165"/>
      <c r="V88" s="165"/>
      <c r="W88" s="199">
        <f t="shared" si="5"/>
        <v>50</v>
      </c>
      <c r="X88" s="165"/>
      <c r="Y88" s="165"/>
      <c r="Z88" s="165"/>
      <c r="AA88" s="165"/>
      <c r="AB88" s="165"/>
      <c r="AC88" s="199">
        <f t="shared" si="6"/>
        <v>35</v>
      </c>
    </row>
    <row r="89" spans="1:29" s="100" customFormat="1">
      <c r="A89" s="133" t="str">
        <f>'CROIX BLANCHE PG'!C81</f>
        <v>MOSES</v>
      </c>
      <c r="B89" s="133" t="str">
        <f>'CROIX BLANCHE PG'!D81</f>
        <v>Jal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96"/>
      <c r="R89" s="197"/>
      <c r="S89" s="165"/>
      <c r="T89" s="201">
        <f t="shared" si="4"/>
        <v>15</v>
      </c>
      <c r="U89" s="165"/>
      <c r="V89" s="165"/>
      <c r="W89" s="199">
        <f t="shared" si="5"/>
        <v>50</v>
      </c>
      <c r="X89" s="165"/>
      <c r="Y89" s="165"/>
      <c r="Z89" s="165"/>
      <c r="AA89" s="165"/>
      <c r="AB89" s="165"/>
      <c r="AC89" s="199">
        <f t="shared" si="6"/>
        <v>35</v>
      </c>
    </row>
    <row r="90" spans="1:29" s="100" customFormat="1">
      <c r="A90" s="133" t="str">
        <f>'BRSA SORTIES'!C75</f>
        <v>MOSSMAN</v>
      </c>
      <c r="B90" s="133" t="str">
        <f>'BRSA SORTIES'!D75</f>
        <v>Tiaré</v>
      </c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96"/>
      <c r="R90" s="197"/>
      <c r="S90" s="165"/>
      <c r="T90" s="201">
        <f t="shared" si="4"/>
        <v>15</v>
      </c>
      <c r="U90" s="165"/>
      <c r="V90" s="165"/>
      <c r="W90" s="199">
        <f t="shared" si="5"/>
        <v>50</v>
      </c>
      <c r="X90" s="165"/>
      <c r="Y90" s="165"/>
      <c r="Z90" s="165"/>
      <c r="AA90" s="165"/>
      <c r="AB90" s="165"/>
      <c r="AC90" s="199">
        <f t="shared" si="6"/>
        <v>35</v>
      </c>
    </row>
    <row r="91" spans="1:29" s="100" customFormat="1">
      <c r="A91" s="133" t="e">
        <f>'CROIX BLANCHE PG'!#REF!</f>
        <v>#REF!</v>
      </c>
      <c r="B91" s="133" t="e">
        <f>'CROIX BLANCHE PG'!#REF!</f>
        <v>#REF!</v>
      </c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96"/>
      <c r="R91" s="197"/>
      <c r="S91" s="165"/>
      <c r="T91" s="201">
        <f t="shared" si="4"/>
        <v>15</v>
      </c>
      <c r="U91" s="165"/>
      <c r="V91" s="165"/>
      <c r="W91" s="199">
        <f t="shared" si="5"/>
        <v>50</v>
      </c>
      <c r="X91" s="165"/>
      <c r="Y91" s="165"/>
      <c r="Z91" s="165"/>
      <c r="AA91" s="165"/>
      <c r="AB91" s="165"/>
      <c r="AC91" s="199">
        <f t="shared" si="6"/>
        <v>35</v>
      </c>
    </row>
    <row r="92" spans="1:29" s="100" customFormat="1">
      <c r="A92" s="133" t="str">
        <f>'CROIX BLANCHE PG'!C82</f>
        <v>MOUSTOIFFA</v>
      </c>
      <c r="B92" s="133" t="str">
        <f>'CROIX BLANCHE PG'!D82</f>
        <v>Zaïna</v>
      </c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96"/>
      <c r="R92" s="197"/>
      <c r="S92" s="165"/>
      <c r="T92" s="201">
        <f t="shared" si="4"/>
        <v>15</v>
      </c>
      <c r="U92" s="165"/>
      <c r="V92" s="165"/>
      <c r="W92" s="199">
        <f t="shared" si="5"/>
        <v>50</v>
      </c>
      <c r="X92" s="165"/>
      <c r="Y92" s="165"/>
      <c r="Z92" s="165"/>
      <c r="AA92" s="165"/>
      <c r="AB92" s="165"/>
      <c r="AC92" s="199">
        <f t="shared" si="6"/>
        <v>35</v>
      </c>
    </row>
    <row r="93" spans="1:29" s="100" customFormat="1">
      <c r="A93" s="133" t="str">
        <f>'CROIX BLANCHE PG'!C83</f>
        <v>MTIMET</v>
      </c>
      <c r="B93" s="133" t="str">
        <f>'CROIX BLANCHE PG'!D83</f>
        <v>Ridha</v>
      </c>
      <c r="C93" s="165">
        <v>1</v>
      </c>
      <c r="D93" s="165">
        <v>1</v>
      </c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96">
        <v>1</v>
      </c>
      <c r="R93" s="200">
        <v>45953</v>
      </c>
      <c r="S93" s="165"/>
      <c r="T93" s="201">
        <f t="shared" si="4"/>
        <v>15</v>
      </c>
      <c r="U93" s="165"/>
      <c r="V93" s="165"/>
      <c r="W93" s="199">
        <f t="shared" si="5"/>
        <v>50</v>
      </c>
      <c r="X93" s="165"/>
      <c r="Y93" s="165"/>
      <c r="Z93" s="165"/>
      <c r="AA93" s="165"/>
      <c r="AB93" s="165"/>
      <c r="AC93" s="199">
        <f t="shared" si="6"/>
        <v>35</v>
      </c>
    </row>
    <row r="94" spans="1:29" s="100" customFormat="1">
      <c r="A94" s="133" t="e">
        <f>'CROIX BLANCHE PG'!#REF!</f>
        <v>#REF!</v>
      </c>
      <c r="B94" s="133" t="e">
        <f>'CROIX BLANCHE PG'!#REF!</f>
        <v>#REF!</v>
      </c>
      <c r="C94" s="165">
        <v>1</v>
      </c>
      <c r="D94" s="165">
        <v>1</v>
      </c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96">
        <v>1</v>
      </c>
      <c r="R94" s="200">
        <v>45898</v>
      </c>
      <c r="S94" s="165"/>
      <c r="T94" s="201">
        <f t="shared" si="4"/>
        <v>15</v>
      </c>
      <c r="U94" s="165"/>
      <c r="V94" s="165"/>
      <c r="W94" s="199">
        <f t="shared" si="5"/>
        <v>50</v>
      </c>
      <c r="X94" s="165"/>
      <c r="Y94" s="165"/>
      <c r="Z94" s="165"/>
      <c r="AA94" s="165"/>
      <c r="AB94" s="165"/>
      <c r="AC94" s="199">
        <f t="shared" si="6"/>
        <v>35</v>
      </c>
    </row>
    <row r="95" spans="1:29" s="100" customFormat="1">
      <c r="A95" s="133" t="s">
        <v>959</v>
      </c>
      <c r="B95" s="133" t="s">
        <v>960</v>
      </c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96">
        <v>1</v>
      </c>
      <c r="R95" s="200">
        <v>45912</v>
      </c>
      <c r="S95" s="165"/>
      <c r="T95" s="201"/>
      <c r="U95" s="165"/>
      <c r="V95" s="165"/>
      <c r="W95" s="199"/>
      <c r="X95" s="165"/>
      <c r="Y95" s="165"/>
      <c r="Z95" s="165"/>
      <c r="AA95" s="165"/>
      <c r="AB95" s="165"/>
      <c r="AC95" s="199"/>
    </row>
    <row r="96" spans="1:29" s="100" customFormat="1">
      <c r="A96" s="133" t="s">
        <v>1080</v>
      </c>
      <c r="B96" s="133" t="s">
        <v>704</v>
      </c>
      <c r="C96" s="165"/>
      <c r="D96" s="165"/>
      <c r="E96" s="165"/>
      <c r="F96" s="165">
        <v>1</v>
      </c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96"/>
      <c r="R96" s="200"/>
      <c r="S96" s="165"/>
      <c r="T96" s="201"/>
      <c r="U96" s="165"/>
      <c r="V96" s="165"/>
      <c r="W96" s="199"/>
      <c r="X96" s="165"/>
      <c r="Y96" s="165"/>
      <c r="Z96" s="165"/>
      <c r="AA96" s="165"/>
      <c r="AB96" s="165"/>
      <c r="AC96" s="199"/>
    </row>
    <row r="97" spans="1:29" s="100" customFormat="1">
      <c r="A97" s="133" t="str">
        <f>'CROIX BLANCHE PG'!C87</f>
        <v>OULAD AYAD</v>
      </c>
      <c r="B97" s="133" t="str">
        <f>'CROIX BLANCHE PG'!D87</f>
        <v>Loubna</v>
      </c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96"/>
      <c r="R97" s="197"/>
      <c r="S97" s="165"/>
      <c r="T97" s="201">
        <f t="shared" si="4"/>
        <v>15</v>
      </c>
      <c r="U97" s="165"/>
      <c r="V97" s="165"/>
      <c r="W97" s="199">
        <f t="shared" si="5"/>
        <v>50</v>
      </c>
      <c r="X97" s="165"/>
      <c r="Y97" s="165"/>
      <c r="Z97" s="165"/>
      <c r="AA97" s="165"/>
      <c r="AB97" s="165"/>
      <c r="AC97" s="199">
        <f t="shared" si="6"/>
        <v>35</v>
      </c>
    </row>
    <row r="98" spans="1:29" s="100" customFormat="1">
      <c r="A98" s="133" t="str">
        <f>'CROIX BLANCHE PG'!C88</f>
        <v>OUSMANE</v>
      </c>
      <c r="B98" s="133" t="str">
        <f>'CROIX BLANCHE PG'!D88</f>
        <v>Tidiane</v>
      </c>
      <c r="C98" s="165">
        <v>1</v>
      </c>
      <c r="D98" s="165"/>
      <c r="E98" s="165"/>
      <c r="F98" s="165">
        <v>1</v>
      </c>
      <c r="G98" s="165">
        <v>1</v>
      </c>
      <c r="H98" s="165"/>
      <c r="I98" s="165"/>
      <c r="J98" s="165"/>
      <c r="K98" s="165"/>
      <c r="L98" s="165"/>
      <c r="M98" s="165"/>
      <c r="N98" s="165"/>
      <c r="O98" s="165"/>
      <c r="P98" s="165"/>
      <c r="Q98" s="196"/>
      <c r="R98" s="197"/>
      <c r="S98" s="165"/>
      <c r="T98" s="201">
        <f t="shared" si="4"/>
        <v>15</v>
      </c>
      <c r="U98" s="165"/>
      <c r="V98" s="165"/>
      <c r="W98" s="199">
        <f t="shared" si="5"/>
        <v>50</v>
      </c>
      <c r="X98" s="165"/>
      <c r="Y98" s="165"/>
      <c r="Z98" s="165"/>
      <c r="AA98" s="165"/>
      <c r="AB98" s="165"/>
      <c r="AC98" s="199">
        <f t="shared" si="6"/>
        <v>35</v>
      </c>
    </row>
    <row r="99" spans="1:29" s="100" customFormat="1">
      <c r="A99" s="133" t="str">
        <f>'CROIX BLANCHE PG'!C89</f>
        <v xml:space="preserve">PAGE </v>
      </c>
      <c r="B99" s="133" t="str">
        <f>'CROIX BLANCHE PG'!D89</f>
        <v>Francesca</v>
      </c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96"/>
      <c r="R99" s="197"/>
      <c r="S99" s="165"/>
      <c r="T99" s="201">
        <f t="shared" si="4"/>
        <v>15</v>
      </c>
      <c r="U99" s="165"/>
      <c r="V99" s="165"/>
      <c r="W99" s="199">
        <f t="shared" si="5"/>
        <v>50</v>
      </c>
      <c r="X99" s="165"/>
      <c r="Y99" s="165"/>
      <c r="Z99" s="165"/>
      <c r="AA99" s="165"/>
      <c r="AB99" s="165"/>
      <c r="AC99" s="199">
        <f t="shared" si="6"/>
        <v>35</v>
      </c>
    </row>
    <row r="100" spans="1:29" s="100" customFormat="1">
      <c r="A100" s="133" t="str">
        <f>'CROIX BLANCHE PG'!C90</f>
        <v>PAUVIL</v>
      </c>
      <c r="B100" s="133" t="str">
        <f>'CROIX BLANCHE PG'!D90</f>
        <v>Pauline</v>
      </c>
      <c r="C100" s="165"/>
      <c r="D100" s="165"/>
      <c r="E100" s="165"/>
      <c r="F100" s="165">
        <v>1</v>
      </c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96">
        <v>1</v>
      </c>
      <c r="R100" s="200">
        <v>46080</v>
      </c>
      <c r="S100" s="165"/>
      <c r="T100" s="201">
        <f t="shared" si="4"/>
        <v>15</v>
      </c>
      <c r="U100" s="165"/>
      <c r="V100" s="165"/>
      <c r="W100" s="199">
        <f t="shared" si="5"/>
        <v>50</v>
      </c>
      <c r="X100" s="165"/>
      <c r="Y100" s="165"/>
      <c r="Z100" s="165"/>
      <c r="AA100" s="165"/>
      <c r="AB100" s="165"/>
      <c r="AC100" s="199">
        <f t="shared" si="6"/>
        <v>35</v>
      </c>
    </row>
    <row r="101" spans="1:29" s="100" customFormat="1">
      <c r="A101" s="133" t="str">
        <f>'BRSA SORTIES'!C87</f>
        <v>PEKDURU</v>
      </c>
      <c r="B101" s="133" t="str">
        <f>'BRSA SORTIES'!D87</f>
        <v>Pembe</v>
      </c>
      <c r="C101" s="165">
        <v>1</v>
      </c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96"/>
      <c r="R101" s="197"/>
      <c r="S101" s="165"/>
      <c r="T101" s="199">
        <f t="shared" si="4"/>
        <v>15</v>
      </c>
      <c r="U101" s="165"/>
      <c r="V101" s="165"/>
      <c r="W101" s="199">
        <f t="shared" si="5"/>
        <v>50</v>
      </c>
      <c r="X101" s="165"/>
      <c r="Y101" s="165"/>
      <c r="Z101" s="165"/>
      <c r="AA101" s="165"/>
      <c r="AB101" s="165"/>
      <c r="AC101" s="199">
        <f t="shared" si="6"/>
        <v>35</v>
      </c>
    </row>
    <row r="102" spans="1:29" s="100" customFormat="1">
      <c r="A102" s="133" t="s">
        <v>964</v>
      </c>
      <c r="B102" s="133" t="s">
        <v>965</v>
      </c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96">
        <v>1</v>
      </c>
      <c r="R102" s="200">
        <v>45912</v>
      </c>
      <c r="S102" s="165"/>
      <c r="T102" s="199"/>
      <c r="U102" s="165"/>
      <c r="V102" s="165"/>
      <c r="W102" s="199"/>
      <c r="X102" s="165"/>
      <c r="Y102" s="165"/>
      <c r="Z102" s="165"/>
      <c r="AA102" s="165"/>
      <c r="AB102" s="165"/>
      <c r="AC102" s="199"/>
    </row>
    <row r="103" spans="1:29" s="100" customFormat="1">
      <c r="A103" s="133" t="s">
        <v>1237</v>
      </c>
      <c r="B103" s="133" t="s">
        <v>1238</v>
      </c>
      <c r="C103" s="165">
        <v>1</v>
      </c>
      <c r="D103" s="165">
        <v>1</v>
      </c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96">
        <v>1</v>
      </c>
      <c r="R103" s="200">
        <v>46170</v>
      </c>
      <c r="S103" s="199">
        <v>46174</v>
      </c>
      <c r="T103" s="199">
        <f t="shared" si="4"/>
        <v>46189</v>
      </c>
      <c r="U103" s="165"/>
      <c r="V103" s="165"/>
      <c r="W103" s="199"/>
      <c r="X103" s="165"/>
      <c r="Y103" s="165"/>
      <c r="Z103" s="165"/>
      <c r="AA103" s="165"/>
      <c r="AB103" s="165"/>
      <c r="AC103" s="199"/>
    </row>
    <row r="104" spans="1:29" s="100" customFormat="1">
      <c r="A104" s="133" t="str">
        <f>'CROIX BLANCHE PG'!C95</f>
        <v>PIERRE-LOUIS</v>
      </c>
      <c r="B104" s="133" t="str">
        <f>'CROIX BLANCHE PG'!D95</f>
        <v>Stephen</v>
      </c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96"/>
      <c r="R104" s="197"/>
      <c r="S104" s="165"/>
      <c r="T104" s="199">
        <f t="shared" si="4"/>
        <v>15</v>
      </c>
      <c r="U104" s="165"/>
      <c r="V104" s="165"/>
      <c r="W104" s="199">
        <f t="shared" si="5"/>
        <v>50</v>
      </c>
      <c r="X104" s="165"/>
      <c r="Y104" s="165"/>
      <c r="Z104" s="165"/>
      <c r="AA104" s="165"/>
      <c r="AB104" s="165"/>
      <c r="AC104" s="199">
        <f t="shared" si="6"/>
        <v>35</v>
      </c>
    </row>
    <row r="105" spans="1:29" s="100" customFormat="1">
      <c r="A105" s="133" t="e">
        <f>'CROIX BLANCHE PG'!#REF!</f>
        <v>#REF!</v>
      </c>
      <c r="B105" s="133" t="e">
        <f>'CROIX BLANCHE PG'!#REF!</f>
        <v>#REF!</v>
      </c>
      <c r="C105" s="165">
        <v>1</v>
      </c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96"/>
      <c r="R105" s="197"/>
      <c r="S105" s="165"/>
      <c r="T105" s="199">
        <f t="shared" si="4"/>
        <v>15</v>
      </c>
      <c r="U105" s="165"/>
      <c r="V105" s="165"/>
      <c r="W105" s="199">
        <f t="shared" si="5"/>
        <v>50</v>
      </c>
      <c r="X105" s="165"/>
      <c r="Y105" s="165"/>
      <c r="Z105" s="165"/>
      <c r="AA105" s="165"/>
      <c r="AB105" s="165"/>
      <c r="AC105" s="199">
        <f t="shared" si="6"/>
        <v>35</v>
      </c>
    </row>
    <row r="106" spans="1:29" s="100" customFormat="1">
      <c r="A106" s="133" t="str">
        <f>'CROIX BLANCHE PG'!C96</f>
        <v>PINTO</v>
      </c>
      <c r="B106" s="133" t="str">
        <f>'CROIX BLANCHE PG'!D96</f>
        <v>Jason</v>
      </c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96"/>
      <c r="R106" s="197"/>
      <c r="S106" s="165"/>
      <c r="T106" s="199">
        <f t="shared" si="4"/>
        <v>15</v>
      </c>
      <c r="U106" s="165"/>
      <c r="V106" s="165"/>
      <c r="W106" s="199">
        <f t="shared" si="5"/>
        <v>50</v>
      </c>
      <c r="X106" s="165"/>
      <c r="Y106" s="165"/>
      <c r="Z106" s="165"/>
      <c r="AA106" s="165"/>
      <c r="AB106" s="165"/>
      <c r="AC106" s="199">
        <f t="shared" si="6"/>
        <v>35</v>
      </c>
    </row>
    <row r="107" spans="1:29" s="100" customFormat="1">
      <c r="A107" s="133" t="str">
        <f>'CROIX BLANCHE PG'!C99</f>
        <v>PUZIN</v>
      </c>
      <c r="B107" s="133" t="str">
        <f>'CROIX BLANCHE PG'!D99</f>
        <v>Jacky</v>
      </c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96"/>
      <c r="R107" s="197"/>
      <c r="S107" s="165"/>
      <c r="T107" s="199">
        <f t="shared" si="4"/>
        <v>15</v>
      </c>
      <c r="U107" s="165"/>
      <c r="V107" s="165"/>
      <c r="W107" s="199">
        <f t="shared" si="5"/>
        <v>50</v>
      </c>
      <c r="X107" s="165"/>
      <c r="Y107" s="165"/>
      <c r="Z107" s="165"/>
      <c r="AA107" s="165"/>
      <c r="AB107" s="165"/>
      <c r="AC107" s="199">
        <f t="shared" si="6"/>
        <v>35</v>
      </c>
    </row>
    <row r="108" spans="1:29" s="100" customFormat="1">
      <c r="A108" s="133" t="str">
        <f>'CROIX BLANCHE PG'!C101</f>
        <v>RHAZI</v>
      </c>
      <c r="B108" s="133" t="str">
        <f>'CROIX BLANCHE PG'!D101</f>
        <v>Abdelhakim</v>
      </c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96"/>
      <c r="R108" s="197"/>
      <c r="S108" s="165"/>
      <c r="T108" s="199">
        <f t="shared" si="4"/>
        <v>15</v>
      </c>
      <c r="U108" s="165"/>
      <c r="V108" s="165"/>
      <c r="W108" s="199">
        <f t="shared" si="5"/>
        <v>50</v>
      </c>
      <c r="X108" s="165"/>
      <c r="Y108" s="165"/>
      <c r="Z108" s="165"/>
      <c r="AA108" s="165"/>
      <c r="AB108" s="165"/>
      <c r="AC108" s="199">
        <f t="shared" si="6"/>
        <v>35</v>
      </c>
    </row>
    <row r="109" spans="1:29" s="100" customFormat="1">
      <c r="A109" s="133" t="e">
        <f>'CROIX BLANCHE PG'!#REF!</f>
        <v>#REF!</v>
      </c>
      <c r="B109" s="133" t="e">
        <f>'CROIX BLANCHE PG'!#REF!</f>
        <v>#REF!</v>
      </c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96"/>
      <c r="R109" s="197"/>
      <c r="S109" s="165"/>
      <c r="T109" s="199">
        <f t="shared" si="4"/>
        <v>15</v>
      </c>
      <c r="U109" s="165"/>
      <c r="V109" s="165"/>
      <c r="W109" s="199">
        <f t="shared" si="5"/>
        <v>50</v>
      </c>
      <c r="X109" s="165"/>
      <c r="Y109" s="165"/>
      <c r="Z109" s="165"/>
      <c r="AA109" s="165"/>
      <c r="AB109" s="165"/>
      <c r="AC109" s="199">
        <f t="shared" si="6"/>
        <v>35</v>
      </c>
    </row>
    <row r="110" spans="1:29" s="100" customFormat="1">
      <c r="A110" s="133" t="str">
        <f>'CROIX BLANCHE PG'!C102</f>
        <v>ROIDA</v>
      </c>
      <c r="B110" s="133" t="str">
        <f>'CROIX BLANCHE PG'!D102</f>
        <v>Hamid</v>
      </c>
      <c r="C110" s="165">
        <v>1</v>
      </c>
      <c r="D110" s="165">
        <v>1</v>
      </c>
      <c r="E110" s="165"/>
      <c r="F110" s="165">
        <v>1</v>
      </c>
      <c r="G110" s="165">
        <v>1</v>
      </c>
      <c r="H110" s="165">
        <v>1</v>
      </c>
      <c r="I110" s="165">
        <v>1</v>
      </c>
      <c r="J110" s="165">
        <v>1</v>
      </c>
      <c r="K110" s="165"/>
      <c r="L110" s="165"/>
      <c r="M110" s="165"/>
      <c r="N110" s="165"/>
      <c r="O110" s="165"/>
      <c r="P110" s="165"/>
      <c r="Q110" s="196">
        <v>1</v>
      </c>
      <c r="R110" s="200">
        <v>45912</v>
      </c>
      <c r="S110" s="165"/>
      <c r="T110" s="199">
        <f t="shared" si="4"/>
        <v>15</v>
      </c>
      <c r="U110" s="165"/>
      <c r="V110" s="165"/>
      <c r="W110" s="199">
        <f t="shared" si="5"/>
        <v>50</v>
      </c>
      <c r="X110" s="165"/>
      <c r="Y110" s="165"/>
      <c r="Z110" s="165"/>
      <c r="AA110" s="165"/>
      <c r="AB110" s="165"/>
      <c r="AC110" s="199">
        <f t="shared" si="6"/>
        <v>35</v>
      </c>
    </row>
    <row r="111" spans="1:29" s="100" customFormat="1">
      <c r="A111" s="133" t="str">
        <f>'BRSA SORTIES'!C96</f>
        <v>ROUSSEAUX</v>
      </c>
      <c r="B111" s="133" t="str">
        <f>'BRSA SORTIES'!D96</f>
        <v>Frédéric</v>
      </c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96"/>
      <c r="R111" s="197"/>
      <c r="S111" s="165"/>
      <c r="T111" s="199">
        <f t="shared" si="4"/>
        <v>15</v>
      </c>
      <c r="U111" s="165"/>
      <c r="V111" s="165"/>
      <c r="W111" s="199">
        <f t="shared" si="5"/>
        <v>50</v>
      </c>
      <c r="X111" s="165"/>
      <c r="Y111" s="165"/>
      <c r="Z111" s="165"/>
      <c r="AA111" s="165"/>
      <c r="AB111" s="165"/>
      <c r="AC111" s="199">
        <f t="shared" si="6"/>
        <v>35</v>
      </c>
    </row>
    <row r="112" spans="1:29" s="100" customFormat="1">
      <c r="A112" s="133" t="str">
        <f>'CROIX BLANCHE PG'!C103</f>
        <v>RUSITI</v>
      </c>
      <c r="B112" s="133" t="str">
        <f>'CROIX BLANCHE PG'!D103</f>
        <v>Silvano</v>
      </c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96"/>
      <c r="R112" s="197"/>
      <c r="S112" s="165"/>
      <c r="T112" s="199">
        <f t="shared" si="4"/>
        <v>15</v>
      </c>
      <c r="U112" s="165"/>
      <c r="V112" s="165"/>
      <c r="W112" s="199">
        <f t="shared" si="5"/>
        <v>50</v>
      </c>
      <c r="X112" s="165"/>
      <c r="Y112" s="165"/>
      <c r="Z112" s="165"/>
      <c r="AA112" s="165"/>
      <c r="AB112" s="165"/>
      <c r="AC112" s="199">
        <f t="shared" si="6"/>
        <v>35</v>
      </c>
    </row>
    <row r="113" spans="1:29" s="100" customFormat="1">
      <c r="A113" s="133" t="str">
        <f>'BRSA SORTIES'!C97</f>
        <v>SAEED</v>
      </c>
      <c r="B113" s="133" t="str">
        <f>'BRSA SORTIES'!D97</f>
        <v>Sumaia</v>
      </c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96"/>
      <c r="R113" s="197"/>
      <c r="S113" s="165"/>
      <c r="T113" s="199">
        <f t="shared" si="4"/>
        <v>15</v>
      </c>
      <c r="U113" s="165"/>
      <c r="V113" s="165"/>
      <c r="W113" s="199">
        <f t="shared" si="5"/>
        <v>50</v>
      </c>
      <c r="X113" s="165"/>
      <c r="Y113" s="165"/>
      <c r="Z113" s="165"/>
      <c r="AA113" s="165"/>
      <c r="AB113" s="165"/>
      <c r="AC113" s="199">
        <f t="shared" si="6"/>
        <v>35</v>
      </c>
    </row>
    <row r="114" spans="1:29" s="100" customFormat="1">
      <c r="A114" s="133" t="str">
        <f>'BRSA SORTIES'!C99</f>
        <v>SATTA</v>
      </c>
      <c r="B114" s="133" t="str">
        <f>'BRSA SORTIES'!D99</f>
        <v>Saadia</v>
      </c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96"/>
      <c r="R114" s="197"/>
      <c r="S114" s="165"/>
      <c r="T114" s="199">
        <f t="shared" si="4"/>
        <v>15</v>
      </c>
      <c r="U114" s="165"/>
      <c r="V114" s="165"/>
      <c r="W114" s="199">
        <f t="shared" si="5"/>
        <v>50</v>
      </c>
      <c r="X114" s="165"/>
      <c r="Y114" s="165"/>
      <c r="Z114" s="165"/>
      <c r="AA114" s="165"/>
      <c r="AB114" s="165"/>
      <c r="AC114" s="199">
        <f t="shared" si="6"/>
        <v>35</v>
      </c>
    </row>
    <row r="115" spans="1:29" s="100" customFormat="1">
      <c r="A115" s="133" t="str">
        <f>'BRSA SORTIES'!C100</f>
        <v>SAVOVA</v>
      </c>
      <c r="B115" s="133" t="str">
        <f>'BRSA SORTIES'!D100</f>
        <v>Snejana</v>
      </c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96"/>
      <c r="R115" s="197"/>
      <c r="S115" s="165"/>
      <c r="T115" s="199">
        <f t="shared" si="4"/>
        <v>15</v>
      </c>
      <c r="U115" s="165"/>
      <c r="V115" s="165"/>
      <c r="W115" s="199">
        <f t="shared" si="5"/>
        <v>50</v>
      </c>
      <c r="X115" s="165"/>
      <c r="Y115" s="165"/>
      <c r="Z115" s="165"/>
      <c r="AA115" s="165"/>
      <c r="AB115" s="165"/>
      <c r="AC115" s="199">
        <f t="shared" si="6"/>
        <v>35</v>
      </c>
    </row>
    <row r="116" spans="1:29" s="100" customFormat="1">
      <c r="A116" s="133" t="str">
        <f>'CROIX BLANCHE PG'!C104</f>
        <v>SAWAS</v>
      </c>
      <c r="B116" s="133" t="str">
        <f>'CROIX BLANCHE PG'!D104</f>
        <v>Fatina</v>
      </c>
      <c r="C116" s="165"/>
      <c r="D116" s="165"/>
      <c r="E116" s="165"/>
      <c r="F116" s="165"/>
      <c r="G116" s="165">
        <v>1</v>
      </c>
      <c r="H116" s="165"/>
      <c r="I116" s="165"/>
      <c r="J116" s="165"/>
      <c r="K116" s="165"/>
      <c r="L116" s="165"/>
      <c r="M116" s="165"/>
      <c r="N116" s="165"/>
      <c r="O116" s="165"/>
      <c r="P116" s="165"/>
      <c r="Q116" s="196"/>
      <c r="R116" s="197"/>
      <c r="S116" s="165"/>
      <c r="T116" s="199">
        <f t="shared" si="4"/>
        <v>15</v>
      </c>
      <c r="U116" s="165"/>
      <c r="V116" s="165"/>
      <c r="W116" s="199">
        <f t="shared" si="5"/>
        <v>50</v>
      </c>
      <c r="X116" s="165"/>
      <c r="Y116" s="165"/>
      <c r="Z116" s="165"/>
      <c r="AA116" s="165"/>
      <c r="AB116" s="165"/>
      <c r="AC116" s="199">
        <f t="shared" si="6"/>
        <v>35</v>
      </c>
    </row>
    <row r="117" spans="1:29" s="100" customFormat="1">
      <c r="A117" s="133" t="str">
        <f>'BRSA SORTIES'!C101</f>
        <v>SAYAH</v>
      </c>
      <c r="B117" s="133" t="str">
        <f>'BRSA SORTIES'!D101</f>
        <v>Fatma</v>
      </c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>
        <v>1</v>
      </c>
      <c r="P117" s="165"/>
      <c r="Q117" s="196"/>
      <c r="R117" s="197"/>
      <c r="S117" s="165"/>
      <c r="T117" s="199">
        <f t="shared" si="4"/>
        <v>15</v>
      </c>
      <c r="U117" s="165"/>
      <c r="V117" s="165"/>
      <c r="W117" s="199">
        <f t="shared" si="5"/>
        <v>50</v>
      </c>
      <c r="X117" s="165"/>
      <c r="Y117" s="165"/>
      <c r="Z117" s="165"/>
      <c r="AA117" s="165"/>
      <c r="AB117" s="165"/>
      <c r="AC117" s="199">
        <f t="shared" si="6"/>
        <v>35</v>
      </c>
    </row>
    <row r="118" spans="1:29" s="100" customFormat="1">
      <c r="A118" s="133" t="e">
        <f>'CROIX BLANCHE PG'!#REF!</f>
        <v>#REF!</v>
      </c>
      <c r="B118" s="133" t="e">
        <f>'CROIX BLANCHE PG'!#REF!</f>
        <v>#REF!</v>
      </c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96"/>
      <c r="R118" s="197"/>
      <c r="S118" s="165"/>
      <c r="T118" s="199">
        <f t="shared" si="4"/>
        <v>15</v>
      </c>
      <c r="U118" s="165"/>
      <c r="V118" s="165"/>
      <c r="W118" s="199">
        <f t="shared" si="5"/>
        <v>50</v>
      </c>
      <c r="X118" s="165"/>
      <c r="Y118" s="165"/>
      <c r="Z118" s="165"/>
      <c r="AA118" s="165"/>
      <c r="AB118" s="165"/>
      <c r="AC118" s="199">
        <f t="shared" si="6"/>
        <v>35</v>
      </c>
    </row>
    <row r="119" spans="1:29" s="100" customFormat="1">
      <c r="A119" s="133" t="str">
        <f>'BRSA SORTIES'!C107</f>
        <v>STHELY</v>
      </c>
      <c r="B119" s="133" t="str">
        <f>'BRSA SORTIES'!D107</f>
        <v>Séverine</v>
      </c>
      <c r="C119" s="165">
        <v>1</v>
      </c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96"/>
      <c r="R119" s="197"/>
      <c r="S119" s="165"/>
      <c r="T119" s="199">
        <f t="shared" si="4"/>
        <v>15</v>
      </c>
      <c r="U119" s="165"/>
      <c r="V119" s="165"/>
      <c r="W119" s="199">
        <f t="shared" si="5"/>
        <v>50</v>
      </c>
      <c r="X119" s="165"/>
      <c r="Y119" s="165"/>
      <c r="Z119" s="165"/>
      <c r="AA119" s="165"/>
      <c r="AB119" s="165"/>
      <c r="AC119" s="199">
        <f t="shared" si="6"/>
        <v>35</v>
      </c>
    </row>
    <row r="120" spans="1:29" s="100" customFormat="1">
      <c r="A120" s="133" t="e">
        <f>'CROIX BLANCHE PG'!#REF!</f>
        <v>#REF!</v>
      </c>
      <c r="B120" s="133" t="e">
        <f>'CROIX BLANCHE PG'!#REF!</f>
        <v>#REF!</v>
      </c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96"/>
      <c r="R120" s="197"/>
      <c r="S120" s="165"/>
      <c r="T120" s="199">
        <f t="shared" si="4"/>
        <v>15</v>
      </c>
      <c r="U120" s="165"/>
      <c r="V120" s="165"/>
      <c r="W120" s="199">
        <f t="shared" si="5"/>
        <v>50</v>
      </c>
      <c r="X120" s="165"/>
      <c r="Y120" s="165"/>
      <c r="Z120" s="165"/>
      <c r="AA120" s="165"/>
      <c r="AB120" s="165"/>
      <c r="AC120" s="199">
        <f t="shared" si="6"/>
        <v>35</v>
      </c>
    </row>
    <row r="121" spans="1:29" s="100" customFormat="1">
      <c r="A121" s="133" t="e">
        <f>'CROIX BLANCHE PG'!#REF!</f>
        <v>#REF!</v>
      </c>
      <c r="B121" s="133" t="e">
        <f>'CROIX BLANCHE PG'!#REF!</f>
        <v>#REF!</v>
      </c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96"/>
      <c r="R121" s="197"/>
      <c r="S121" s="165"/>
      <c r="T121" s="199">
        <f t="shared" si="4"/>
        <v>15</v>
      </c>
      <c r="U121" s="165"/>
      <c r="V121" s="165"/>
      <c r="W121" s="199">
        <f t="shared" si="5"/>
        <v>50</v>
      </c>
      <c r="X121" s="165"/>
      <c r="Y121" s="165"/>
      <c r="Z121" s="165"/>
      <c r="AA121" s="165"/>
      <c r="AB121" s="165"/>
      <c r="AC121" s="199">
        <f t="shared" si="6"/>
        <v>35</v>
      </c>
    </row>
    <row r="122" spans="1:29" s="100" customFormat="1">
      <c r="A122" s="133" t="str">
        <f>'CROIX BLANCHE PG'!C108</f>
        <v>TOMAT</v>
      </c>
      <c r="B122" s="133" t="str">
        <f>'CROIX BLANCHE PG'!D108</f>
        <v>Antoine</v>
      </c>
      <c r="C122" s="165">
        <v>1</v>
      </c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96"/>
      <c r="R122" s="197"/>
      <c r="S122" s="165"/>
      <c r="T122" s="199">
        <f t="shared" si="4"/>
        <v>15</v>
      </c>
      <c r="U122" s="165"/>
      <c r="V122" s="165"/>
      <c r="W122" s="199">
        <f t="shared" si="5"/>
        <v>50</v>
      </c>
      <c r="X122" s="165"/>
      <c r="Y122" s="165"/>
      <c r="Z122" s="165"/>
      <c r="AA122" s="165"/>
      <c r="AB122" s="165"/>
      <c r="AC122" s="199">
        <f t="shared" si="6"/>
        <v>35</v>
      </c>
    </row>
    <row r="123" spans="1:29" s="100" customFormat="1">
      <c r="A123" s="133" t="str">
        <f>'CROIX BLANCHE PG'!C109</f>
        <v>URYN</v>
      </c>
      <c r="B123" s="133" t="str">
        <f>'CROIX BLANCHE PG'!D109</f>
        <v>Marcin-Pawel</v>
      </c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96"/>
      <c r="R123" s="200"/>
      <c r="S123" s="199"/>
      <c r="T123" s="199">
        <f t="shared" si="4"/>
        <v>15</v>
      </c>
      <c r="U123" s="165"/>
      <c r="V123" s="165"/>
      <c r="W123" s="199">
        <f t="shared" si="5"/>
        <v>50</v>
      </c>
      <c r="X123" s="165"/>
      <c r="Y123" s="165"/>
      <c r="Z123" s="165"/>
      <c r="AA123" s="165"/>
      <c r="AB123" s="165"/>
      <c r="AC123" s="199">
        <f t="shared" si="6"/>
        <v>35</v>
      </c>
    </row>
    <row r="124" spans="1:29" s="100" customFormat="1">
      <c r="A124" s="133" t="str">
        <f>'CROIX BLANCHE PG'!C111</f>
        <v>VAUPRE</v>
      </c>
      <c r="B124" s="133" t="str">
        <f>'CROIX BLANCHE PG'!D111</f>
        <v>Kévin</v>
      </c>
      <c r="C124" s="165"/>
      <c r="D124" s="165"/>
      <c r="E124" s="165"/>
      <c r="F124" s="165"/>
      <c r="G124" s="165"/>
      <c r="H124" s="165"/>
      <c r="I124" s="165"/>
      <c r="J124" s="165"/>
      <c r="K124" s="165">
        <v>1</v>
      </c>
      <c r="L124" s="165"/>
      <c r="M124" s="165"/>
      <c r="N124" s="165"/>
      <c r="O124" s="165"/>
      <c r="P124" s="165"/>
      <c r="Q124" s="196"/>
      <c r="R124" s="197"/>
      <c r="S124" s="165"/>
      <c r="T124" s="199">
        <f t="shared" si="4"/>
        <v>15</v>
      </c>
      <c r="U124" s="165"/>
      <c r="V124" s="165"/>
      <c r="W124" s="199">
        <f t="shared" si="5"/>
        <v>50</v>
      </c>
      <c r="X124" s="165"/>
      <c r="Y124" s="165"/>
      <c r="Z124" s="165"/>
      <c r="AA124" s="165"/>
      <c r="AB124" s="165"/>
      <c r="AC124" s="199">
        <f t="shared" si="6"/>
        <v>35</v>
      </c>
    </row>
    <row r="125" spans="1:29" s="100" customFormat="1">
      <c r="A125" s="133" t="str">
        <f>'BRSA SORTIES'!C113</f>
        <v>VEGLIANTI</v>
      </c>
      <c r="B125" s="133" t="str">
        <f>'BRSA SORTIES'!D113</f>
        <v>Olivier</v>
      </c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96"/>
      <c r="R125" s="197"/>
      <c r="S125" s="165"/>
      <c r="T125" s="199">
        <f t="shared" si="4"/>
        <v>15</v>
      </c>
      <c r="U125" s="165"/>
      <c r="V125" s="165"/>
      <c r="W125" s="199">
        <f t="shared" si="5"/>
        <v>50</v>
      </c>
      <c r="X125" s="165"/>
      <c r="Y125" s="165"/>
      <c r="Z125" s="165"/>
      <c r="AA125" s="165"/>
      <c r="AB125" s="165"/>
      <c r="AC125" s="199">
        <f t="shared" si="6"/>
        <v>35</v>
      </c>
    </row>
    <row r="126" spans="1:29" s="100" customFormat="1">
      <c r="A126" s="133" t="str">
        <f>'CROIX BLANCHE PG'!C112</f>
        <v>VERRES</v>
      </c>
      <c r="B126" s="133" t="str">
        <f>'CROIX BLANCHE PG'!D112</f>
        <v>Alan</v>
      </c>
      <c r="C126" s="165">
        <v>1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96">
        <v>1</v>
      </c>
      <c r="R126" s="200">
        <v>45938</v>
      </c>
      <c r="S126" s="165"/>
      <c r="T126" s="199">
        <f t="shared" si="4"/>
        <v>15</v>
      </c>
      <c r="U126" s="165"/>
      <c r="V126" s="165"/>
      <c r="W126" s="199">
        <f t="shared" si="5"/>
        <v>50</v>
      </c>
      <c r="X126" s="165"/>
      <c r="Y126" s="165"/>
      <c r="Z126" s="165"/>
      <c r="AA126" s="165"/>
      <c r="AB126" s="165"/>
      <c r="AC126" s="199">
        <f t="shared" si="6"/>
        <v>35</v>
      </c>
    </row>
    <row r="127" spans="1:29" s="100" customFormat="1">
      <c r="A127" s="133" t="e">
        <f>'CROIX BLANCHE PG'!#REF!</f>
        <v>#REF!</v>
      </c>
      <c r="B127" s="133" t="e">
        <f>'CROIX BLANCHE PG'!#REF!</f>
        <v>#REF!</v>
      </c>
      <c r="C127" s="165">
        <v>1</v>
      </c>
      <c r="D127" s="165">
        <v>1</v>
      </c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96">
        <v>1</v>
      </c>
      <c r="R127" s="200">
        <v>45912</v>
      </c>
      <c r="S127" s="165"/>
      <c r="T127" s="199">
        <f t="shared" si="4"/>
        <v>15</v>
      </c>
      <c r="U127" s="165"/>
      <c r="V127" s="165"/>
      <c r="W127" s="199">
        <f t="shared" si="5"/>
        <v>50</v>
      </c>
      <c r="X127" s="165"/>
      <c r="Y127" s="165"/>
      <c r="Z127" s="165"/>
      <c r="AA127" s="165"/>
      <c r="AB127" s="165"/>
      <c r="AC127" s="199">
        <f t="shared" si="6"/>
        <v>35</v>
      </c>
    </row>
    <row r="128" spans="1:29" s="100" customFormat="1">
      <c r="A128" s="133" t="s">
        <v>988</v>
      </c>
      <c r="B128" s="133" t="s">
        <v>989</v>
      </c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96">
        <v>1</v>
      </c>
      <c r="R128" s="200">
        <v>45876</v>
      </c>
      <c r="S128" s="165"/>
      <c r="T128" s="199"/>
      <c r="U128" s="165"/>
      <c r="V128" s="165"/>
      <c r="W128" s="199"/>
      <c r="X128" s="165"/>
      <c r="Y128" s="165"/>
      <c r="Z128" s="165"/>
      <c r="AA128" s="165"/>
      <c r="AB128" s="165"/>
      <c r="AC128" s="199"/>
    </row>
    <row r="129" spans="1:29" s="100" customFormat="1">
      <c r="A129" s="133" t="e">
        <f>'CROIX BLANCHE PG'!#REF!</f>
        <v>#REF!</v>
      </c>
      <c r="B129" s="133" t="e">
        <f>'CROIX BLANCHE PG'!#REF!</f>
        <v>#REF!</v>
      </c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96"/>
      <c r="R129" s="197"/>
      <c r="S129" s="165"/>
      <c r="T129" s="199">
        <f t="shared" si="4"/>
        <v>15</v>
      </c>
      <c r="U129" s="165"/>
      <c r="V129" s="165"/>
      <c r="W129" s="199">
        <f t="shared" si="5"/>
        <v>50</v>
      </c>
      <c r="X129" s="165"/>
      <c r="Y129" s="165"/>
      <c r="Z129" s="165"/>
      <c r="AA129" s="165"/>
      <c r="AB129" s="165"/>
      <c r="AC129" s="199">
        <f t="shared" si="6"/>
        <v>35</v>
      </c>
    </row>
    <row r="130" spans="1:29" s="100" customFormat="1">
      <c r="A130" s="133" t="str">
        <f>'CROIX BLANCHE PG'!C114</f>
        <v>ZARZAR</v>
      </c>
      <c r="B130" s="133" t="str">
        <f>'CROIX BLANCHE PG'!D114</f>
        <v>Ilhame</v>
      </c>
      <c r="C130" s="165">
        <v>1</v>
      </c>
      <c r="D130" s="165">
        <v>1</v>
      </c>
      <c r="E130" s="165"/>
      <c r="F130" s="165">
        <v>1</v>
      </c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96">
        <v>1</v>
      </c>
      <c r="R130" s="200">
        <v>45912</v>
      </c>
      <c r="S130" s="165"/>
      <c r="T130" s="199">
        <f t="shared" si="4"/>
        <v>15</v>
      </c>
      <c r="U130" s="165"/>
      <c r="V130" s="165"/>
      <c r="W130" s="199">
        <f t="shared" si="5"/>
        <v>50</v>
      </c>
      <c r="X130" s="165"/>
      <c r="Y130" s="165"/>
      <c r="Z130" s="165"/>
      <c r="AA130" s="165"/>
      <c r="AB130" s="165"/>
      <c r="AC130" s="199">
        <f t="shared" si="6"/>
        <v>35</v>
      </c>
    </row>
    <row r="131" spans="1:29" s="100" customFormat="1">
      <c r="A131" s="133" t="str">
        <f>'BRSA SORTIES'!C121</f>
        <v>ZOUNOUH</v>
      </c>
      <c r="B131" s="133" t="str">
        <f>'BRSA SORTIES'!D121</f>
        <v>El Houssaine</v>
      </c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96"/>
      <c r="R131" s="197"/>
      <c r="S131" s="165"/>
      <c r="T131" s="199"/>
      <c r="U131" s="165"/>
      <c r="V131" s="165"/>
      <c r="W131" s="165"/>
      <c r="X131" s="165"/>
      <c r="Y131" s="165"/>
      <c r="Z131" s="165"/>
      <c r="AA131" s="165"/>
      <c r="AB131" s="165"/>
      <c r="AC131" s="165"/>
    </row>
    <row r="132" spans="1:29" s="100" customFormat="1">
      <c r="A132" s="133">
        <f>'CROIX BLANCHE PG'!C116</f>
        <v>0</v>
      </c>
      <c r="B132" s="133">
        <f>'CROIX BLANCHE PG'!D116</f>
        <v>0</v>
      </c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96"/>
      <c r="R132" s="197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</row>
    <row r="133" spans="1:29" s="100" customFormat="1">
      <c r="A133" s="133">
        <f>'CROIX BLANCHE PG'!C117</f>
        <v>0</v>
      </c>
      <c r="B133" s="133">
        <f>'CROIX BLANCHE PG'!D117</f>
        <v>0</v>
      </c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96"/>
      <c r="R133" s="197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</row>
    <row r="134" spans="1:29" s="100" customFormat="1">
      <c r="A134" s="133">
        <f>'CROIX BLANCHE PG'!C118</f>
        <v>0</v>
      </c>
      <c r="B134" s="133">
        <f>'CROIX BLANCHE PG'!D118</f>
        <v>0</v>
      </c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96"/>
      <c r="R134" s="197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</row>
    <row r="135" spans="1:29" s="100" customFormat="1">
      <c r="A135" s="133">
        <f>'CROIX BLANCHE PG'!C119</f>
        <v>0</v>
      </c>
      <c r="B135" s="133">
        <f>'CROIX BLANCHE PG'!D119</f>
        <v>0</v>
      </c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96"/>
      <c r="R135" s="197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</row>
    <row r="136" spans="1:29" s="100" customFormat="1">
      <c r="A136" s="133">
        <f>'CROIX BLANCHE PG'!C120</f>
        <v>0</v>
      </c>
      <c r="B136" s="133">
        <f>'CROIX BLANCHE PG'!D120</f>
        <v>0</v>
      </c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96"/>
      <c r="R136" s="197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</row>
    <row r="137" spans="1:29" s="100" customFormat="1">
      <c r="A137" s="133">
        <f>'CROIX BLANCHE PG'!C121</f>
        <v>0</v>
      </c>
      <c r="B137" s="133">
        <f>'CROIX BLANCHE PG'!D121</f>
        <v>0</v>
      </c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96"/>
      <c r="R137" s="197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</row>
    <row r="138" spans="1:29" s="100" customFormat="1">
      <c r="A138" s="133">
        <f>'CROIX BLANCHE PG'!C122</f>
        <v>0</v>
      </c>
      <c r="B138" s="133">
        <f>'CROIX BLANCHE PG'!D122</f>
        <v>0</v>
      </c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96"/>
      <c r="R138" s="197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</row>
    <row r="139" spans="1:29" s="100" customFormat="1">
      <c r="A139" s="133">
        <f>'CROIX BLANCHE PG'!C123</f>
        <v>0</v>
      </c>
      <c r="B139" s="133">
        <f>'CROIX BLANCHE PG'!D123</f>
        <v>0</v>
      </c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96"/>
      <c r="R139" s="197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</row>
    <row r="140" spans="1:29" s="100" customFormat="1">
      <c r="A140" s="133" t="e">
        <f>'CROIX BLANCHE PG'!#REF!</f>
        <v>#REF!</v>
      </c>
      <c r="B140" s="133" t="e">
        <f>'CROIX BLANCHE PG'!#REF!</f>
        <v>#REF!</v>
      </c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96"/>
      <c r="R140" s="197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</row>
    <row r="141" spans="1:29" s="100" customFormat="1">
      <c r="A141" s="133" t="e">
        <f>'CROIX BLANCHE PG'!#REF!</f>
        <v>#REF!</v>
      </c>
      <c r="B141" s="133" t="e">
        <f>'CROIX BLANCHE PG'!#REF!</f>
        <v>#REF!</v>
      </c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96"/>
      <c r="R141" s="197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</row>
    <row r="142" spans="1:29" s="100" customFormat="1">
      <c r="A142" s="133" t="e">
        <f>'CROIX BLANCHE PG'!#REF!</f>
        <v>#REF!</v>
      </c>
      <c r="B142" s="133" t="e">
        <f>'CROIX BLANCHE PG'!#REF!</f>
        <v>#REF!</v>
      </c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96"/>
      <c r="R142" s="197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</row>
    <row r="143" spans="1:29" s="100" customFormat="1">
      <c r="A143" s="133" t="e">
        <f>'CROIX BLANCHE PG'!#REF!</f>
        <v>#REF!</v>
      </c>
      <c r="B143" s="133" t="e">
        <f>'CROIX BLANCHE PG'!#REF!</f>
        <v>#REF!</v>
      </c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96"/>
      <c r="R143" s="197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</row>
    <row r="144" spans="1:29" s="100" customFormat="1">
      <c r="A144" s="133" t="e">
        <f>'CROIX BLANCHE PG'!#REF!</f>
        <v>#REF!</v>
      </c>
      <c r="B144" s="133" t="e">
        <f>'CROIX BLANCHE PG'!#REF!</f>
        <v>#REF!</v>
      </c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96"/>
      <c r="R144" s="197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</row>
    <row r="145" spans="1:29" s="100" customFormat="1">
      <c r="A145" s="133" t="e">
        <f>'CROIX BLANCHE PG'!#REF!</f>
        <v>#REF!</v>
      </c>
      <c r="B145" s="133" t="e">
        <f>'CROIX BLANCHE PG'!#REF!</f>
        <v>#REF!</v>
      </c>
      <c r="C145" s="165">
        <v>1</v>
      </c>
      <c r="D145" s="165">
        <v>1</v>
      </c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96"/>
      <c r="R145" s="197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</row>
    <row r="146" spans="1:29" s="100" customFormat="1">
      <c r="A146" s="133" t="e">
        <f>'CROIX BLANCHE PG'!#REF!</f>
        <v>#REF!</v>
      </c>
      <c r="B146" s="133" t="e">
        <f>'CROIX BLANCHE PG'!#REF!</f>
        <v>#REF!</v>
      </c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96"/>
      <c r="R146" s="197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</row>
    <row r="147" spans="1:29" s="100" customFormat="1">
      <c r="A147" s="133" t="e">
        <f>'CROIX BLANCHE PG'!#REF!</f>
        <v>#REF!</v>
      </c>
      <c r="B147" s="133" t="e">
        <f>'CROIX BLANCHE PG'!#REF!</f>
        <v>#REF!</v>
      </c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96"/>
      <c r="R147" s="197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</row>
    <row r="148" spans="1:29" s="100" customFormat="1">
      <c r="A148" s="133" t="e">
        <f>'CROIX BLANCHE PG'!#REF!</f>
        <v>#REF!</v>
      </c>
      <c r="B148" s="133" t="e">
        <f>'CROIX BLANCHE PG'!#REF!</f>
        <v>#REF!</v>
      </c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96"/>
      <c r="R148" s="197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</row>
    <row r="149" spans="1:29" s="100" customFormat="1">
      <c r="A149" s="133" t="e">
        <f>'CROIX BLANCHE PG'!#REF!</f>
        <v>#REF!</v>
      </c>
      <c r="B149" s="133" t="e">
        <f>'CROIX BLANCHE PG'!#REF!</f>
        <v>#REF!</v>
      </c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96"/>
      <c r="R149" s="197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</row>
    <row r="150" spans="1:29" s="100" customFormat="1">
      <c r="A150" s="133" t="e">
        <f>'CROIX BLANCHE PG'!#REF!</f>
        <v>#REF!</v>
      </c>
      <c r="B150" s="133" t="e">
        <f>'CROIX BLANCHE PG'!#REF!</f>
        <v>#REF!</v>
      </c>
      <c r="C150" s="165">
        <v>1</v>
      </c>
      <c r="D150" s="165">
        <v>1</v>
      </c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96"/>
      <c r="R150" s="197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</row>
    <row r="151" spans="1:29" s="100" customFormat="1">
      <c r="A151" s="133" t="e">
        <f>'CROIX BLANCHE PG'!#REF!</f>
        <v>#REF!</v>
      </c>
      <c r="B151" s="133" t="e">
        <f>'CROIX BLANCHE PG'!#REF!</f>
        <v>#REF!</v>
      </c>
      <c r="C151" s="165">
        <v>1</v>
      </c>
      <c r="D151" s="165">
        <v>1</v>
      </c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96"/>
      <c r="R151" s="197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</row>
    <row r="152" spans="1:29" s="100" customFormat="1">
      <c r="A152" s="133" t="e">
        <f>'CROIX BLANCHE PG'!#REF!</f>
        <v>#REF!</v>
      </c>
      <c r="B152" s="133" t="e">
        <f>'CROIX BLANCHE PG'!#REF!</f>
        <v>#REF!</v>
      </c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96"/>
      <c r="R152" s="197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</row>
    <row r="153" spans="1:29" s="100" customFormat="1">
      <c r="A153" s="133" t="e">
        <f>'CROIX BLANCHE PG'!#REF!</f>
        <v>#REF!</v>
      </c>
      <c r="B153" s="133" t="e">
        <f>'CROIX BLANCHE PG'!#REF!</f>
        <v>#REF!</v>
      </c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96"/>
      <c r="R153" s="197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</row>
    <row r="154" spans="1:29" s="100" customFormat="1">
      <c r="A154" s="133" t="e">
        <f>'CROIX BLANCHE PG'!#REF!</f>
        <v>#REF!</v>
      </c>
      <c r="B154" s="133" t="e">
        <f>'CROIX BLANCHE PG'!#REF!</f>
        <v>#REF!</v>
      </c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96"/>
      <c r="R154" s="197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</row>
    <row r="155" spans="1:29" s="100" customFormat="1">
      <c r="A155" s="133" t="e">
        <f>'CROIX BLANCHE PG'!#REF!</f>
        <v>#REF!</v>
      </c>
      <c r="B155" s="133" t="e">
        <f>'CROIX BLANCHE PG'!#REF!</f>
        <v>#REF!</v>
      </c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96"/>
      <c r="R155" s="197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</row>
    <row r="156" spans="1:29" s="100" customFormat="1">
      <c r="A156" s="133" t="e">
        <f>'CROIX BLANCHE PG'!#REF!</f>
        <v>#REF!</v>
      </c>
      <c r="B156" s="133" t="e">
        <f>'CROIX BLANCHE PG'!#REF!</f>
        <v>#REF!</v>
      </c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96"/>
      <c r="R156" s="197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</row>
    <row r="157" spans="1:29" s="100" customFormat="1">
      <c r="A157" s="133" t="e">
        <f>'CROIX BLANCHE PG'!#REF!</f>
        <v>#REF!</v>
      </c>
      <c r="B157" s="133" t="e">
        <f>'CROIX BLANCHE PG'!#REF!</f>
        <v>#REF!</v>
      </c>
      <c r="C157" s="165"/>
      <c r="D157" s="165">
        <v>1</v>
      </c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96"/>
      <c r="R157" s="197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</row>
    <row r="158" spans="1:29" s="100" customFormat="1">
      <c r="A158" s="133" t="e">
        <f>'CROIX BLANCHE PG'!#REF!</f>
        <v>#REF!</v>
      </c>
      <c r="B158" s="133" t="e">
        <f>'CROIX BLANCHE PG'!#REF!</f>
        <v>#REF!</v>
      </c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96"/>
      <c r="R158" s="197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</row>
    <row r="159" spans="1:29" s="100" customFormat="1">
      <c r="A159" s="133" t="e">
        <f>'CROIX BLANCHE PG'!#REF!</f>
        <v>#REF!</v>
      </c>
      <c r="B159" s="133" t="e">
        <f>'CROIX BLANCHE PG'!#REF!</f>
        <v>#REF!</v>
      </c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96"/>
      <c r="R159" s="197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</row>
    <row r="160" spans="1:29" s="100" customFormat="1">
      <c r="A160" s="133" t="str">
        <f>'CROIX BLANCHE PG'!C74</f>
        <v>MCHINDRA</v>
      </c>
      <c r="B160" s="133" t="str">
        <f>'CROIX BLANCHE PG'!D74</f>
        <v>Yancoub</v>
      </c>
      <c r="C160" s="165">
        <v>1</v>
      </c>
      <c r="D160" s="165">
        <v>1</v>
      </c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96"/>
      <c r="R160" s="197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</row>
    <row r="161" spans="1:29" s="100" customFormat="1">
      <c r="A161" s="133" t="e">
        <f>'CROIX BLANCHE PG'!#REF!</f>
        <v>#REF!</v>
      </c>
      <c r="B161" s="133" t="e">
        <f>'CROIX BLANCHE PG'!#REF!</f>
        <v>#REF!</v>
      </c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96"/>
      <c r="R161" s="197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</row>
    <row r="162" spans="1:29" s="100" customFormat="1">
      <c r="A162" s="133" t="e">
        <f>'CROIX BLANCHE PG'!#REF!</f>
        <v>#REF!</v>
      </c>
      <c r="B162" s="133" t="e">
        <f>'CROIX BLANCHE PG'!#REF!</f>
        <v>#REF!</v>
      </c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96"/>
      <c r="R162" s="197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</row>
    <row r="163" spans="1:29" s="100" customFormat="1">
      <c r="A163" s="133" t="e">
        <f>'CROIX BLANCHE PG'!#REF!</f>
        <v>#REF!</v>
      </c>
      <c r="B163" s="133" t="e">
        <f>'CROIX BLANCHE PG'!#REF!</f>
        <v>#REF!</v>
      </c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96"/>
      <c r="R163" s="197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</row>
    <row r="164" spans="1:29" s="100" customFormat="1">
      <c r="A164" s="133" t="e">
        <f>'CROIX BLANCHE PG'!#REF!</f>
        <v>#REF!</v>
      </c>
      <c r="B164" s="133" t="e">
        <f>'CROIX BLANCHE PG'!#REF!</f>
        <v>#REF!</v>
      </c>
      <c r="C164" s="165"/>
      <c r="D164" s="165">
        <v>1</v>
      </c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96"/>
      <c r="R164" s="197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</row>
    <row r="165" spans="1:29" s="100" customFormat="1">
      <c r="A165" s="133" t="e">
        <f>'CROIX BLANCHE PG'!#REF!</f>
        <v>#REF!</v>
      </c>
      <c r="B165" s="133" t="e">
        <f>'CROIX BLANCHE PG'!#REF!</f>
        <v>#REF!</v>
      </c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96"/>
      <c r="R165" s="197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</row>
    <row r="166" spans="1:29" s="100" customFormat="1">
      <c r="A166" s="133" t="e">
        <f>'CROIX BLANCHE PG'!#REF!</f>
        <v>#REF!</v>
      </c>
      <c r="B166" s="133" t="e">
        <f>'CROIX BLANCHE PG'!#REF!</f>
        <v>#REF!</v>
      </c>
      <c r="C166" s="165">
        <v>1</v>
      </c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96"/>
      <c r="R166" s="197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</row>
    <row r="167" spans="1:29" s="100" customFormat="1">
      <c r="A167" s="133" t="e">
        <f>'CROIX BLANCHE PG'!#REF!</f>
        <v>#REF!</v>
      </c>
      <c r="B167" s="133" t="e">
        <f>'CROIX BLANCHE PG'!#REF!</f>
        <v>#REF!</v>
      </c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96"/>
      <c r="R167" s="197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</row>
    <row r="168" spans="1:29" s="100" customFormat="1">
      <c r="A168" s="133" t="e">
        <f>'CROIX BLANCHE PG'!#REF!</f>
        <v>#REF!</v>
      </c>
      <c r="B168" s="133" t="e">
        <f>'CROIX BLANCHE PG'!#REF!</f>
        <v>#REF!</v>
      </c>
      <c r="C168" s="165">
        <v>1</v>
      </c>
      <c r="D168" s="165">
        <v>1</v>
      </c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96"/>
      <c r="R168" s="197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</row>
    <row r="169" spans="1:29" s="100" customFormat="1">
      <c r="A169" s="133" t="e">
        <f>'CROIX BLANCHE PG'!#REF!</f>
        <v>#REF!</v>
      </c>
      <c r="B169" s="133" t="e">
        <f>'CROIX BLANCHE PG'!#REF!</f>
        <v>#REF!</v>
      </c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96"/>
      <c r="R169" s="197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</row>
    <row r="170" spans="1:29" s="100" customFormat="1">
      <c r="A170" s="133" t="e">
        <f>'CROIX BLANCHE PG'!#REF!</f>
        <v>#REF!</v>
      </c>
      <c r="B170" s="133" t="e">
        <f>'CROIX BLANCHE PG'!#REF!</f>
        <v>#REF!</v>
      </c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96"/>
      <c r="R170" s="197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</row>
    <row r="171" spans="1:29" s="100" customFormat="1">
      <c r="A171" s="133" t="e">
        <f>'CROIX BLANCHE PG'!#REF!</f>
        <v>#REF!</v>
      </c>
      <c r="B171" s="133" t="e">
        <f>'CROIX BLANCHE PG'!#REF!</f>
        <v>#REF!</v>
      </c>
      <c r="C171" s="165">
        <v>1</v>
      </c>
      <c r="D171" s="165">
        <v>1</v>
      </c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96"/>
      <c r="R171" s="197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</row>
    <row r="172" spans="1:29" s="100" customFormat="1">
      <c r="A172" s="133" t="e">
        <f>'CROIX BLANCHE PG'!#REF!</f>
        <v>#REF!</v>
      </c>
      <c r="B172" s="133" t="e">
        <f>'CROIX BLANCHE PG'!#REF!</f>
        <v>#REF!</v>
      </c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96"/>
      <c r="R172" s="197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</row>
    <row r="173" spans="1:29" s="100" customFormat="1">
      <c r="A173" s="133" t="e">
        <f>'CROIX BLANCHE PG'!#REF!</f>
        <v>#REF!</v>
      </c>
      <c r="B173" s="133" t="e">
        <f>'CROIX BLANCHE PG'!#REF!</f>
        <v>#REF!</v>
      </c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96"/>
      <c r="R173" s="197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</row>
    <row r="174" spans="1:29" s="100" customFormat="1">
      <c r="A174" s="133" t="e">
        <f>'CROIX BLANCHE PG'!#REF!</f>
        <v>#REF!</v>
      </c>
      <c r="B174" s="133" t="e">
        <f>'CROIX BLANCHE PG'!#REF!</f>
        <v>#REF!</v>
      </c>
      <c r="C174" s="165">
        <v>1</v>
      </c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96"/>
      <c r="R174" s="197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</row>
    <row r="175" spans="1:29" s="100" customFormat="1">
      <c r="A175" s="133" t="e">
        <f>'CROIX BLANCHE PG'!#REF!</f>
        <v>#REF!</v>
      </c>
      <c r="B175" s="133" t="e">
        <f>'CROIX BLANCHE PG'!#REF!</f>
        <v>#REF!</v>
      </c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96"/>
      <c r="R175" s="197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</row>
    <row r="176" spans="1:29" s="100" customFormat="1">
      <c r="A176" s="133" t="e">
        <f>'CROIX BLANCHE PG'!#REF!</f>
        <v>#REF!</v>
      </c>
      <c r="B176" s="133" t="e">
        <f>'CROIX BLANCHE PG'!#REF!</f>
        <v>#REF!</v>
      </c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96"/>
      <c r="R176" s="197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</row>
    <row r="177" spans="1:29" s="100" customFormat="1">
      <c r="A177" s="133" t="e">
        <f>'CROIX BLANCHE PG'!#REF!</f>
        <v>#REF!</v>
      </c>
      <c r="B177" s="133" t="e">
        <f>'CROIX BLANCHE PG'!#REF!</f>
        <v>#REF!</v>
      </c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96"/>
      <c r="R177" s="197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</row>
    <row r="178" spans="1:29" s="100" customFormat="1">
      <c r="A178" s="133" t="e">
        <f>'CROIX BLANCHE PG'!#REF!</f>
        <v>#REF!</v>
      </c>
      <c r="B178" s="133" t="e">
        <f>'CROIX BLANCHE PG'!#REF!</f>
        <v>#REF!</v>
      </c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96"/>
      <c r="R178" s="197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</row>
    <row r="179" spans="1:29" s="100" customFormat="1">
      <c r="A179" s="133" t="e">
        <f>'CROIX BLANCHE PG'!#REF!</f>
        <v>#REF!</v>
      </c>
      <c r="B179" s="133" t="e">
        <f>'CROIX BLANCHE PG'!#REF!</f>
        <v>#REF!</v>
      </c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96"/>
      <c r="R179" s="197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</row>
    <row r="180" spans="1:29" s="100" customFormat="1">
      <c r="A180" s="133" t="e">
        <f>'CROIX BLANCHE PG'!#REF!</f>
        <v>#REF!</v>
      </c>
      <c r="B180" s="133" t="e">
        <f>'CROIX BLANCHE PG'!#REF!</f>
        <v>#REF!</v>
      </c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96"/>
      <c r="R180" s="197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</row>
    <row r="181" spans="1:29" s="100" customFormat="1">
      <c r="A181" s="133" t="e">
        <f>'CROIX BLANCHE PG'!#REF!</f>
        <v>#REF!</v>
      </c>
      <c r="B181" s="133" t="e">
        <f>'CROIX BLANCHE PG'!#REF!</f>
        <v>#REF!</v>
      </c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96"/>
      <c r="R181" s="197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</row>
    <row r="182" spans="1:29" s="100" customFormat="1">
      <c r="A182" s="133" t="e">
        <f>'CROIX BLANCHE PG'!#REF!</f>
        <v>#REF!</v>
      </c>
      <c r="B182" s="133" t="e">
        <f>'CROIX BLANCHE PG'!#REF!</f>
        <v>#REF!</v>
      </c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96"/>
      <c r="R182" s="197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</row>
    <row r="183" spans="1:29" s="100" customFormat="1">
      <c r="A183" s="133" t="e">
        <f>'CROIX BLANCHE PG'!#REF!</f>
        <v>#REF!</v>
      </c>
      <c r="B183" s="133" t="e">
        <f>'CROIX BLANCHE PG'!#REF!</f>
        <v>#REF!</v>
      </c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96"/>
      <c r="R183" s="197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</row>
    <row r="184" spans="1:29" s="100" customFormat="1">
      <c r="A184" s="133" t="e">
        <f>'CROIX BLANCHE PG'!#REF!</f>
        <v>#REF!</v>
      </c>
      <c r="B184" s="133" t="e">
        <f>'CROIX BLANCHE PG'!#REF!</f>
        <v>#REF!</v>
      </c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96"/>
      <c r="R184" s="197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</row>
    <row r="185" spans="1:29" s="100" customFormat="1">
      <c r="A185" s="133" t="e">
        <f>'CROIX BLANCHE PG'!#REF!</f>
        <v>#REF!</v>
      </c>
      <c r="B185" s="133" t="e">
        <f>'CROIX BLANCHE PG'!#REF!</f>
        <v>#REF!</v>
      </c>
      <c r="C185" s="165">
        <v>1</v>
      </c>
      <c r="D185" s="165">
        <v>1</v>
      </c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96"/>
      <c r="R185" s="197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</row>
    <row r="186" spans="1:29" s="100" customFormat="1">
      <c r="A186" s="133" t="e">
        <f>'CROIX BLANCHE PG'!#REF!</f>
        <v>#REF!</v>
      </c>
      <c r="B186" s="133" t="e">
        <f>'CROIX BLANCHE PG'!#REF!</f>
        <v>#REF!</v>
      </c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96"/>
      <c r="R186" s="197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</row>
    <row r="187" spans="1:29" s="100" customFormat="1">
      <c r="A187" s="133" t="e">
        <f>'CROIX BLANCHE PG'!#REF!</f>
        <v>#REF!</v>
      </c>
      <c r="B187" s="133" t="e">
        <f>'CROIX BLANCHE PG'!#REF!</f>
        <v>#REF!</v>
      </c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96"/>
      <c r="R187" s="197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</row>
    <row r="188" spans="1:29">
      <c r="A188" s="133" t="e">
        <f>'CROIX BLANCHE PG'!#REF!</f>
        <v>#REF!</v>
      </c>
      <c r="B188" s="133" t="e">
        <f>'CROIX BLANCHE PG'!#REF!</f>
        <v>#REF!</v>
      </c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117"/>
      <c r="R188" s="121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</row>
    <row r="189" spans="1:29">
      <c r="A189" s="133"/>
      <c r="B189" s="133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117"/>
      <c r="R189" s="121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</row>
    <row r="190" spans="1:29">
      <c r="A190" s="133"/>
      <c r="B190" s="133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117"/>
      <c r="R190" s="121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</row>
    <row r="191" spans="1:29">
      <c r="A191" s="133"/>
      <c r="B191" s="133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117"/>
      <c r="R191" s="121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</row>
    <row r="192" spans="1:29">
      <c r="A192" s="133"/>
      <c r="B192" s="133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117"/>
      <c r="R192" s="121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</row>
    <row r="193" spans="1:29">
      <c r="A193" s="133"/>
      <c r="B193" s="133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117"/>
      <c r="R193" s="121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</row>
    <row r="194" spans="1:29">
      <c r="A194" s="133"/>
      <c r="B194" s="133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117"/>
      <c r="R194" s="121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</row>
  </sheetData>
  <autoFilter ref="A3:AA130" xr:uid="{E22C17CB-1396-4A79-8A08-068D2F745723}"/>
  <mergeCells count="6">
    <mergeCell ref="A2:B2"/>
    <mergeCell ref="AA1:AD1"/>
    <mergeCell ref="Q1:V1"/>
    <mergeCell ref="W1:Y1"/>
    <mergeCell ref="E1:P1"/>
    <mergeCell ref="C1:D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8947E9-FB00-43B8-9783-830066B8A4F7}">
          <x14:formula1>
            <xm:f>'liste deroulante'!$D$12:$D$13</xm:f>
          </x14:formula1>
          <xm:sqref>X4:Y130 AA4:AA130 U4:V130 E57:E58 Q2 Q4:Q130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62D-EDDB-4309-913E-A29EB26BD890}">
  <sheetPr filterMode="1">
    <tabColor rgb="FF92D050"/>
  </sheetPr>
  <dimension ref="A1:XEZ252"/>
  <sheetViews>
    <sheetView workbookViewId="0">
      <pane xSplit="10" ySplit="14" topLeftCell="K15" activePane="bottomRight" state="frozen"/>
      <selection pane="topRight" activeCell="K1" sqref="K1"/>
      <selection pane="bottomLeft" activeCell="A14" sqref="A14"/>
      <selection pane="bottomRight" activeCell="C8" sqref="C8"/>
    </sheetView>
  </sheetViews>
  <sheetFormatPr baseColWidth="10" defaultRowHeight="15"/>
  <cols>
    <col min="1" max="1" width="26.7109375" bestFit="1" customWidth="1"/>
    <col min="2" max="2" width="13.42578125" bestFit="1" customWidth="1"/>
    <col min="9" max="9" width="22.140625" style="96" customWidth="1"/>
    <col min="10" max="10" width="11.5703125" style="96"/>
    <col min="11" max="11" width="14" style="96" customWidth="1"/>
    <col min="12" max="12" width="8" bestFit="1" customWidth="1"/>
    <col min="17" max="17" width="11.5703125" customWidth="1"/>
    <col min="18" max="18" width="12.28515625" style="96" customWidth="1"/>
    <col min="19" max="19" width="17.5703125" style="96" customWidth="1"/>
  </cols>
  <sheetData>
    <row r="1" spans="1:19 16380:16380" s="163" customFormat="1" ht="31.9" customHeight="1">
      <c r="A1" s="567" t="s">
        <v>615</v>
      </c>
      <c r="B1" s="568"/>
      <c r="C1" s="167">
        <v>5</v>
      </c>
      <c r="D1" s="167">
        <v>7</v>
      </c>
      <c r="E1" s="167">
        <v>9</v>
      </c>
      <c r="F1" s="167">
        <v>12</v>
      </c>
      <c r="G1" s="167">
        <v>15</v>
      </c>
      <c r="H1" s="167">
        <v>15</v>
      </c>
      <c r="I1" s="169" t="s">
        <v>479</v>
      </c>
      <c r="J1" s="168">
        <v>46084</v>
      </c>
      <c r="K1" s="167">
        <v>1</v>
      </c>
      <c r="L1" s="167">
        <v>15</v>
      </c>
      <c r="M1" s="167">
        <v>15</v>
      </c>
      <c r="N1" s="167">
        <v>15</v>
      </c>
      <c r="O1" s="167">
        <v>15</v>
      </c>
      <c r="P1" s="167">
        <v>15</v>
      </c>
      <c r="Q1" s="167">
        <v>15</v>
      </c>
      <c r="R1" s="168">
        <v>46268</v>
      </c>
      <c r="S1" s="167" t="s">
        <v>541</v>
      </c>
    </row>
    <row r="2" spans="1:19 16380:16380">
      <c r="I2" s="100"/>
      <c r="J2" s="100"/>
      <c r="K2" s="100"/>
      <c r="R2" s="100"/>
      <c r="S2" s="100"/>
    </row>
    <row r="3" spans="1:19 16380:16380">
      <c r="C3" s="563" t="s">
        <v>515</v>
      </c>
      <c r="D3" s="564"/>
      <c r="E3" s="564"/>
      <c r="F3" s="564"/>
      <c r="G3" s="564"/>
      <c r="H3" s="565"/>
      <c r="I3" s="562" t="s">
        <v>495</v>
      </c>
      <c r="J3" s="562"/>
      <c r="K3" s="562"/>
      <c r="L3" s="563" t="s">
        <v>515</v>
      </c>
      <c r="M3" s="564"/>
      <c r="N3" s="564"/>
      <c r="O3" s="564"/>
      <c r="P3" s="564"/>
      <c r="Q3" s="564"/>
      <c r="R3" s="566" t="s">
        <v>496</v>
      </c>
      <c r="S3" s="566"/>
    </row>
    <row r="4" spans="1:19 16380:16380" s="95" customFormat="1" ht="65.45" customHeight="1">
      <c r="A4" s="93" t="s">
        <v>493</v>
      </c>
      <c r="B4" s="93" t="s">
        <v>494</v>
      </c>
      <c r="C4" s="94" t="s">
        <v>480</v>
      </c>
      <c r="D4" s="94" t="s">
        <v>481</v>
      </c>
      <c r="E4" s="94" t="s">
        <v>482</v>
      </c>
      <c r="F4" s="94" t="s">
        <v>483</v>
      </c>
      <c r="G4" s="94" t="s">
        <v>484</v>
      </c>
      <c r="H4" s="94" t="s">
        <v>485</v>
      </c>
      <c r="I4" s="97" t="s">
        <v>540</v>
      </c>
      <c r="J4" s="97" t="s">
        <v>517</v>
      </c>
      <c r="K4" s="97" t="s">
        <v>479</v>
      </c>
      <c r="L4" s="94" t="s">
        <v>487</v>
      </c>
      <c r="M4" s="94" t="s">
        <v>488</v>
      </c>
      <c r="N4" s="94" t="s">
        <v>489</v>
      </c>
      <c r="O4" s="94" t="s">
        <v>490</v>
      </c>
      <c r="P4" s="94" t="s">
        <v>491</v>
      </c>
      <c r="Q4" s="94" t="s">
        <v>492</v>
      </c>
      <c r="R4" s="97" t="s">
        <v>516</v>
      </c>
      <c r="S4" s="97" t="s">
        <v>543</v>
      </c>
    </row>
    <row r="5" spans="1:19 16380:16380">
      <c r="A5" s="78" t="e">
        <f>'CROIX BLANCHE PG'!#REF!</f>
        <v>#REF!</v>
      </c>
      <c r="B5" s="78" t="e">
        <f>'CROIX BLANCHE PG'!#REF!</f>
        <v>#REF!</v>
      </c>
      <c r="C5" s="78"/>
      <c r="D5" s="78"/>
      <c r="E5" s="78"/>
      <c r="F5" s="78"/>
      <c r="G5" s="78"/>
      <c r="H5" s="78"/>
      <c r="I5" s="98"/>
      <c r="J5" s="99"/>
      <c r="K5" s="99"/>
      <c r="L5" s="78"/>
      <c r="M5" s="78"/>
      <c r="N5" s="78"/>
      <c r="O5" s="78"/>
      <c r="P5" s="78"/>
      <c r="Q5" s="78"/>
      <c r="R5" s="99"/>
      <c r="S5" s="99"/>
    </row>
    <row r="6" spans="1:19 16380:16380">
      <c r="A6" s="78" t="str">
        <f>'CROIX BLANCHE PG'!C9</f>
        <v>AHMADI</v>
      </c>
      <c r="B6" s="78" t="str">
        <f>'CROIX BLANCHE PG'!D9</f>
        <v>Diba</v>
      </c>
      <c r="C6">
        <v>40</v>
      </c>
      <c r="D6" s="78">
        <v>40</v>
      </c>
      <c r="E6" s="78">
        <v>40</v>
      </c>
      <c r="F6" s="78"/>
      <c r="G6" s="78"/>
      <c r="H6" s="78"/>
      <c r="I6" s="89" t="s">
        <v>479</v>
      </c>
      <c r="J6" s="132">
        <v>46114</v>
      </c>
      <c r="K6" s="99">
        <v>1</v>
      </c>
      <c r="L6" s="78"/>
      <c r="M6" s="78"/>
      <c r="N6" s="78"/>
      <c r="O6" s="78"/>
      <c r="P6" s="78"/>
      <c r="Q6" s="78"/>
      <c r="R6" s="99"/>
      <c r="S6" s="166"/>
    </row>
    <row r="7" spans="1:19 16380:16380">
      <c r="A7" s="78" t="e">
        <f>'CROIX BLANCHE PG'!#REF!</f>
        <v>#REF!</v>
      </c>
      <c r="B7" s="78" t="e">
        <f>'CROIX BLANCHE PG'!#REF!</f>
        <v>#REF!</v>
      </c>
      <c r="C7" s="164"/>
      <c r="D7" s="78"/>
      <c r="E7" s="78"/>
      <c r="F7" s="78"/>
      <c r="G7" s="78"/>
      <c r="H7" s="78"/>
      <c r="I7" s="89"/>
      <c r="J7" s="99"/>
      <c r="K7" s="99"/>
      <c r="L7" s="78"/>
      <c r="M7" s="78"/>
      <c r="N7" s="78"/>
      <c r="O7" s="78"/>
      <c r="P7" s="78"/>
      <c r="Q7" s="78"/>
      <c r="R7" s="99"/>
      <c r="S7" s="99"/>
    </row>
    <row r="8" spans="1:19 16380:16380">
      <c r="A8" s="78" t="s">
        <v>1414</v>
      </c>
      <c r="B8" s="78" t="s">
        <v>1415</v>
      </c>
      <c r="C8" s="164"/>
      <c r="D8" s="78"/>
      <c r="E8" s="78"/>
      <c r="F8" s="78"/>
      <c r="G8" s="78"/>
      <c r="H8" s="78"/>
      <c r="I8" s="89"/>
      <c r="J8" s="99"/>
      <c r="K8" s="99"/>
      <c r="L8" s="78"/>
      <c r="M8" s="78"/>
      <c r="N8" s="78"/>
      <c r="O8" s="78"/>
      <c r="P8" s="78"/>
      <c r="Q8" s="78"/>
      <c r="R8" s="99"/>
      <c r="S8" s="99"/>
    </row>
    <row r="9" spans="1:19 16380:16380">
      <c r="A9" s="78" t="str">
        <f>'CROIX BLANCHE PG'!C13</f>
        <v>AMARI</v>
      </c>
      <c r="B9" s="78" t="str">
        <f>'CROIX BLANCHE PG'!D13</f>
        <v>Yamina</v>
      </c>
      <c r="C9" s="78"/>
      <c r="D9" s="78"/>
      <c r="E9" s="78"/>
      <c r="F9" s="78"/>
      <c r="G9" s="78"/>
      <c r="H9" s="78"/>
      <c r="I9" s="89" t="s">
        <v>479</v>
      </c>
      <c r="J9" s="132">
        <v>46134</v>
      </c>
      <c r="K9" s="99">
        <v>1</v>
      </c>
      <c r="L9" s="78"/>
      <c r="M9" s="78"/>
      <c r="N9" s="78"/>
      <c r="O9" s="78"/>
      <c r="P9" s="78"/>
      <c r="Q9" s="78"/>
      <c r="R9" s="99"/>
      <c r="S9" s="166"/>
    </row>
    <row r="10" spans="1:19 16380:16380">
      <c r="A10" s="78" t="str">
        <f>'CROIX BLANCHE PG'!C14</f>
        <v>ARIFI</v>
      </c>
      <c r="B10" s="78" t="str">
        <f>'CROIX BLANCHE PG'!D14</f>
        <v>Sabrina</v>
      </c>
      <c r="C10" s="78"/>
      <c r="D10" s="78"/>
      <c r="E10" s="78"/>
      <c r="F10" s="78"/>
      <c r="G10" s="78"/>
      <c r="H10" s="78"/>
      <c r="I10" s="89"/>
      <c r="J10" s="131"/>
      <c r="K10" s="99"/>
      <c r="L10" s="78"/>
      <c r="M10" s="78"/>
      <c r="N10" s="78"/>
      <c r="O10" s="78"/>
      <c r="P10" s="78"/>
      <c r="Q10" s="78"/>
      <c r="R10" s="99"/>
      <c r="S10" s="166"/>
    </row>
    <row r="11" spans="1:19 16380:16380">
      <c r="A11" s="78" t="str">
        <f>'CROIX BLANCHE PG'!C16</f>
        <v>ATHOUMANI</v>
      </c>
      <c r="B11" s="78" t="str">
        <f>'CROIX BLANCHE PG'!D16</f>
        <v>Marie</v>
      </c>
      <c r="C11" s="78"/>
      <c r="D11" s="78"/>
      <c r="E11" s="78"/>
      <c r="F11" s="78"/>
      <c r="G11" s="78"/>
      <c r="H11" s="78"/>
      <c r="I11" s="89" t="s">
        <v>479</v>
      </c>
      <c r="J11" s="132">
        <v>46115</v>
      </c>
      <c r="K11" s="99">
        <v>1</v>
      </c>
      <c r="L11" s="78"/>
      <c r="M11" s="78"/>
      <c r="N11" s="78"/>
      <c r="O11" s="78"/>
      <c r="P11" s="78"/>
      <c r="Q11" s="78"/>
      <c r="R11" s="99"/>
      <c r="S11" s="166"/>
    </row>
    <row r="12" spans="1:19 16380:16380">
      <c r="A12" s="78" t="str">
        <f>'CROIX BLANCHE PG'!C19</f>
        <v>BACAR</v>
      </c>
      <c r="B12" s="78" t="str">
        <f>'CROIX BLANCHE PG'!D19</f>
        <v>Mariata</v>
      </c>
      <c r="C12" s="78">
        <v>60</v>
      </c>
      <c r="D12" s="78">
        <v>60</v>
      </c>
      <c r="E12" s="78">
        <v>60</v>
      </c>
      <c r="F12" s="78">
        <v>60</v>
      </c>
      <c r="G12" s="78">
        <v>60</v>
      </c>
      <c r="H12" s="78">
        <v>60</v>
      </c>
      <c r="I12" s="89" t="s">
        <v>479</v>
      </c>
      <c r="J12" s="132">
        <v>46143</v>
      </c>
      <c r="K12" s="99">
        <v>1</v>
      </c>
      <c r="L12" s="78"/>
      <c r="M12" s="78"/>
      <c r="N12" s="78"/>
      <c r="O12" s="78"/>
      <c r="P12" s="78"/>
      <c r="Q12" s="78"/>
      <c r="R12" s="99"/>
      <c r="S12" s="99"/>
    </row>
    <row r="13" spans="1:19 16380:16380">
      <c r="A13" s="78" t="str">
        <f>'CROIX BLANCHE PG'!C20</f>
        <v>BAHAR</v>
      </c>
      <c r="B13" s="78" t="str">
        <f>'CROIX BLANCHE PG'!D20</f>
        <v>Laura</v>
      </c>
      <c r="C13" s="78"/>
      <c r="D13" s="78"/>
      <c r="E13" s="78"/>
      <c r="F13" s="78"/>
      <c r="G13" s="78"/>
      <c r="H13" s="78"/>
      <c r="I13" s="89"/>
      <c r="J13" s="99"/>
      <c r="K13" s="99"/>
      <c r="L13" s="78"/>
      <c r="M13" s="78"/>
      <c r="N13" s="78"/>
      <c r="O13" s="78"/>
      <c r="P13" s="78"/>
      <c r="Q13" s="78"/>
      <c r="R13" s="99"/>
      <c r="S13" s="99"/>
    </row>
    <row r="14" spans="1:19 16380:16380">
      <c r="A14" s="78" t="str">
        <f>'BRSA SORTIES'!C15</f>
        <v>BAITICHE</v>
      </c>
      <c r="B14" s="78" t="str">
        <f>'BRSA SORTIES'!D15</f>
        <v>Karima</v>
      </c>
      <c r="C14" s="78">
        <v>10</v>
      </c>
      <c r="D14" s="78">
        <v>10</v>
      </c>
      <c r="E14" s="78">
        <v>10</v>
      </c>
      <c r="F14" s="78"/>
      <c r="G14" s="78"/>
      <c r="H14" s="78"/>
      <c r="I14" s="89" t="s">
        <v>479</v>
      </c>
      <c r="J14" s="132">
        <v>46055</v>
      </c>
      <c r="K14" s="99">
        <v>1</v>
      </c>
      <c r="L14" s="165"/>
      <c r="M14" s="165"/>
      <c r="N14" s="165"/>
      <c r="O14" s="165"/>
      <c r="P14" s="165"/>
      <c r="Q14" s="165"/>
      <c r="R14" s="99"/>
      <c r="S14" s="99"/>
      <c r="XEZ14" t="s">
        <v>478</v>
      </c>
    </row>
    <row r="15" spans="1:19 16380:16380">
      <c r="A15" s="78" t="e">
        <f>'CROIX BLANCHE PG'!#REF!</f>
        <v>#REF!</v>
      </c>
      <c r="B15" s="78" t="e">
        <f>'CROIX BLANCHE PG'!#REF!</f>
        <v>#REF!</v>
      </c>
      <c r="C15" s="78"/>
      <c r="D15" s="78"/>
      <c r="E15" s="78"/>
      <c r="F15" s="78"/>
      <c r="G15" s="78"/>
      <c r="H15" s="78"/>
      <c r="I15" s="89"/>
      <c r="J15" s="99"/>
      <c r="K15" s="99"/>
      <c r="L15" s="165"/>
      <c r="M15" s="165"/>
      <c r="N15" s="165"/>
      <c r="O15" s="165"/>
      <c r="P15" s="165"/>
      <c r="Q15" s="165"/>
      <c r="R15" s="99"/>
      <c r="S15" s="99"/>
    </row>
    <row r="16" spans="1:19 16380:16380">
      <c r="A16" s="78" t="s">
        <v>1070</v>
      </c>
      <c r="B16" s="78" t="s">
        <v>776</v>
      </c>
      <c r="C16" s="78"/>
      <c r="D16" s="78"/>
      <c r="E16" s="78"/>
      <c r="F16" s="78"/>
      <c r="G16" s="78"/>
      <c r="H16" s="78"/>
      <c r="I16" s="89"/>
      <c r="J16" s="99"/>
      <c r="K16" s="99"/>
      <c r="L16" s="165"/>
      <c r="M16" s="165"/>
      <c r="N16" s="165"/>
      <c r="O16" s="165"/>
      <c r="P16" s="165"/>
      <c r="Q16" s="165"/>
      <c r="R16" s="99"/>
      <c r="S16" s="99"/>
    </row>
    <row r="17" spans="1:19">
      <c r="A17" s="78" t="str">
        <f>'CROIX BLANCHE PG'!C25</f>
        <v>BEKELE</v>
      </c>
      <c r="B17" s="78" t="str">
        <f>'CROIX BLANCHE PG'!D25</f>
        <v>Eteferahu</v>
      </c>
      <c r="C17" s="78"/>
      <c r="D17" s="78"/>
      <c r="E17" s="78"/>
      <c r="F17" s="78"/>
      <c r="G17" s="78"/>
      <c r="H17" s="78"/>
      <c r="I17" s="89"/>
      <c r="J17" s="132"/>
      <c r="K17" s="99"/>
      <c r="L17" s="165"/>
      <c r="M17" s="165"/>
      <c r="N17" s="165"/>
      <c r="O17" s="165"/>
      <c r="P17" s="165"/>
      <c r="Q17" s="165"/>
      <c r="R17" s="99"/>
      <c r="S17" s="166"/>
    </row>
    <row r="18" spans="1:19">
      <c r="A18" s="78" t="str">
        <f>'CROIX BLANCHE PG'!C26</f>
        <v>BELFASSI</v>
      </c>
      <c r="B18" s="78" t="str">
        <f>'CROIX BLANCHE PG'!D26</f>
        <v>Maria Dolores</v>
      </c>
      <c r="C18" s="78">
        <v>20</v>
      </c>
      <c r="D18" s="78">
        <v>20</v>
      </c>
      <c r="E18" s="78"/>
      <c r="F18" s="78"/>
      <c r="G18" s="78"/>
      <c r="H18" s="78"/>
      <c r="I18" s="89"/>
      <c r="J18" s="99"/>
      <c r="K18" s="99"/>
      <c r="L18" s="165"/>
      <c r="M18" s="165"/>
      <c r="N18" s="165"/>
      <c r="O18" s="165"/>
      <c r="P18" s="165"/>
      <c r="Q18" s="165"/>
      <c r="R18" s="99"/>
      <c r="S18" s="99"/>
    </row>
    <row r="19" spans="1:19">
      <c r="A19" s="78" t="str">
        <f>'CROIX BLANCHE PG'!C27</f>
        <v>BENAISSA</v>
      </c>
      <c r="B19" s="78" t="str">
        <f>'CROIX BLANCHE PG'!D27</f>
        <v>Radia</v>
      </c>
      <c r="C19" s="78">
        <v>60</v>
      </c>
      <c r="D19" s="78">
        <v>60</v>
      </c>
      <c r="E19" s="78"/>
      <c r="F19" s="78"/>
      <c r="G19" s="78"/>
      <c r="H19" s="78"/>
      <c r="I19" s="89" t="s">
        <v>479</v>
      </c>
      <c r="J19" s="132">
        <v>46163</v>
      </c>
      <c r="K19" s="99">
        <v>1</v>
      </c>
      <c r="L19" s="165"/>
      <c r="M19" s="165"/>
      <c r="N19" s="165"/>
      <c r="O19" s="165"/>
      <c r="P19" s="165"/>
      <c r="Q19" s="165"/>
      <c r="R19" s="99"/>
      <c r="S19" s="166"/>
    </row>
    <row r="20" spans="1:19">
      <c r="A20" s="78" t="str">
        <f>'CROIX BLANCHE PG'!C29</f>
        <v>BEN EL OUALI</v>
      </c>
      <c r="B20" s="78" t="str">
        <f>'CROIX BLANCHE PG'!D29</f>
        <v>Anouar</v>
      </c>
      <c r="C20" s="78"/>
      <c r="D20" s="78"/>
      <c r="E20" s="78"/>
      <c r="F20" s="78"/>
      <c r="G20" s="78"/>
      <c r="H20" s="78"/>
      <c r="I20" s="89"/>
      <c r="J20" s="99"/>
      <c r="K20" s="99"/>
      <c r="L20" s="165"/>
      <c r="M20" s="165"/>
      <c r="N20" s="165"/>
      <c r="O20" s="165"/>
      <c r="P20" s="165"/>
      <c r="Q20" s="165"/>
      <c r="R20" s="99"/>
      <c r="S20" s="99"/>
    </row>
    <row r="21" spans="1:19">
      <c r="A21" s="78" t="s">
        <v>1091</v>
      </c>
      <c r="B21" s="78"/>
      <c r="C21" s="78"/>
      <c r="D21" s="78"/>
      <c r="E21" s="78"/>
      <c r="F21" s="78"/>
      <c r="G21" s="78"/>
      <c r="H21" s="78"/>
      <c r="I21" s="89"/>
      <c r="J21" s="99"/>
      <c r="K21" s="99"/>
      <c r="L21" s="165"/>
      <c r="M21" s="165"/>
      <c r="N21" s="165"/>
      <c r="O21" s="165"/>
      <c r="P21" s="165"/>
      <c r="Q21" s="165"/>
      <c r="R21" s="99"/>
      <c r="S21" s="99"/>
    </row>
    <row r="22" spans="1:19">
      <c r="A22" s="78" t="str">
        <f>'CROIX BLANCHE PG'!C31</f>
        <v>BENOIT</v>
      </c>
      <c r="B22" s="78" t="str">
        <f>'CROIX BLANCHE PG'!D31</f>
        <v>Xavier</v>
      </c>
      <c r="C22" s="78"/>
      <c r="D22" s="78"/>
      <c r="E22" s="78"/>
      <c r="F22" s="78"/>
      <c r="G22" s="78"/>
      <c r="H22" s="78"/>
      <c r="I22" s="89"/>
      <c r="J22" s="132"/>
      <c r="K22" s="99"/>
      <c r="L22" s="165"/>
      <c r="M22" s="165"/>
      <c r="N22" s="165"/>
      <c r="O22" s="165"/>
      <c r="P22" s="165"/>
      <c r="Q22" s="165"/>
      <c r="R22" s="99"/>
      <c r="S22" s="99"/>
    </row>
    <row r="23" spans="1:19">
      <c r="A23" s="78" t="str">
        <f>'CROIX BLANCHE PG'!C32</f>
        <v>BENZEKHROUFA</v>
      </c>
      <c r="B23" s="78" t="str">
        <f>'CROIX BLANCHE PG'!D32</f>
        <v>Abdelghani</v>
      </c>
      <c r="C23" s="78"/>
      <c r="D23" s="78"/>
      <c r="E23" s="78"/>
      <c r="F23" s="78"/>
      <c r="G23" s="78"/>
      <c r="H23" s="78"/>
      <c r="I23" s="89"/>
      <c r="J23" s="99"/>
      <c r="K23" s="99"/>
      <c r="L23" s="165"/>
      <c r="M23" s="165"/>
      <c r="N23" s="165"/>
      <c r="O23" s="165"/>
      <c r="P23" s="165"/>
      <c r="Q23" s="165"/>
      <c r="R23" s="99"/>
      <c r="S23" s="99"/>
    </row>
    <row r="24" spans="1:19">
      <c r="A24" s="78" t="s">
        <v>1092</v>
      </c>
      <c r="B24" s="78"/>
      <c r="C24" s="78"/>
      <c r="D24" s="78"/>
      <c r="E24" s="78"/>
      <c r="F24" s="78"/>
      <c r="G24" s="78"/>
      <c r="H24" s="78"/>
      <c r="I24" s="89"/>
      <c r="J24" s="99"/>
      <c r="K24" s="99"/>
      <c r="L24" s="165"/>
      <c r="M24" s="165"/>
      <c r="N24" s="165"/>
      <c r="O24" s="165"/>
      <c r="P24" s="165"/>
      <c r="Q24" s="165"/>
      <c r="R24" s="99"/>
      <c r="S24" s="99"/>
    </row>
    <row r="25" spans="1:19">
      <c r="A25" s="78" t="str">
        <f>'CROIX BLANCHE PG'!C34</f>
        <v>BERTHILLOT</v>
      </c>
      <c r="B25" s="78" t="str">
        <f>'CROIX BLANCHE PG'!D34</f>
        <v>Léa</v>
      </c>
      <c r="C25" s="78"/>
      <c r="D25" s="78"/>
      <c r="E25" s="78"/>
      <c r="F25" s="78"/>
      <c r="G25" s="78"/>
      <c r="H25" s="78"/>
      <c r="I25" s="89"/>
      <c r="J25" s="102"/>
      <c r="K25" s="99"/>
      <c r="L25" s="133"/>
      <c r="M25" s="133"/>
      <c r="N25" s="133"/>
      <c r="O25" s="133"/>
      <c r="P25" s="133"/>
      <c r="Q25" s="133"/>
      <c r="R25" s="166"/>
      <c r="S25" s="166"/>
    </row>
    <row r="26" spans="1:19">
      <c r="A26" s="78" t="str">
        <f>'BRSA SORTIES'!C19</f>
        <v>BLANC</v>
      </c>
      <c r="B26" s="78" t="str">
        <f>'BRSA SORTIES'!D19</f>
        <v>Mélissa</v>
      </c>
      <c r="C26" s="78"/>
      <c r="D26" s="78"/>
      <c r="E26" s="78"/>
      <c r="F26" s="78"/>
      <c r="G26" s="78"/>
      <c r="H26" s="78"/>
      <c r="I26" s="89" t="s">
        <v>479</v>
      </c>
      <c r="J26" s="132">
        <v>46052</v>
      </c>
      <c r="K26" s="99">
        <v>1</v>
      </c>
      <c r="L26" s="165"/>
      <c r="M26" s="165"/>
      <c r="N26" s="165"/>
      <c r="O26" s="165"/>
      <c r="P26" s="165"/>
      <c r="Q26" s="165"/>
      <c r="R26" s="99"/>
      <c r="S26" s="99"/>
    </row>
    <row r="27" spans="1:19">
      <c r="A27" s="78" t="str">
        <f>'BRSA SORTIES'!C20</f>
        <v>BONNET</v>
      </c>
      <c r="B27" s="78" t="str">
        <f>'BRSA SORTIES'!D20</f>
        <v>Cédric</v>
      </c>
      <c r="C27" s="78">
        <v>10</v>
      </c>
      <c r="D27" s="78">
        <v>10</v>
      </c>
      <c r="E27" s="78">
        <v>10</v>
      </c>
      <c r="F27" s="78"/>
      <c r="G27" s="78"/>
      <c r="H27" s="78"/>
      <c r="I27" s="89" t="s">
        <v>479</v>
      </c>
      <c r="J27" s="132">
        <v>46044</v>
      </c>
      <c r="K27" s="99">
        <v>1</v>
      </c>
      <c r="L27" s="165"/>
      <c r="M27" s="165"/>
      <c r="N27" s="165"/>
      <c r="O27" s="165"/>
      <c r="P27" s="165"/>
      <c r="Q27" s="165"/>
      <c r="R27" s="99"/>
      <c r="S27" s="99"/>
    </row>
    <row r="28" spans="1:19">
      <c r="A28" s="78" t="str">
        <f>'BRSA SORTIES'!C22</f>
        <v>BOUILLOUX</v>
      </c>
      <c r="B28" s="78" t="str">
        <f>'BRSA SORTIES'!D22</f>
        <v>Nikolas</v>
      </c>
      <c r="C28" s="78"/>
      <c r="D28" s="78"/>
      <c r="E28" s="78"/>
      <c r="F28" s="78"/>
      <c r="G28" s="78"/>
      <c r="H28" s="78"/>
      <c r="I28" s="89"/>
      <c r="J28" s="132"/>
      <c r="K28" s="99"/>
      <c r="L28" s="165"/>
      <c r="M28" s="165"/>
      <c r="N28" s="165"/>
      <c r="O28" s="165"/>
      <c r="P28" s="165"/>
      <c r="Q28" s="165"/>
      <c r="R28" s="99"/>
      <c r="S28" s="99"/>
    </row>
    <row r="29" spans="1:19">
      <c r="A29" s="78" t="e">
        <f>'CROIX BLANCHE PG'!#REF!</f>
        <v>#REF!</v>
      </c>
      <c r="B29" s="78" t="e">
        <f>'CROIX BLANCHE PG'!#REF!</f>
        <v>#REF!</v>
      </c>
      <c r="C29" s="78"/>
      <c r="D29" s="78"/>
      <c r="E29" s="78"/>
      <c r="F29" s="78"/>
      <c r="G29" s="78"/>
      <c r="H29" s="78"/>
      <c r="I29" s="89"/>
      <c r="J29" s="102"/>
      <c r="K29" s="99"/>
      <c r="L29" s="133"/>
      <c r="M29" s="133"/>
      <c r="N29" s="133"/>
      <c r="O29" s="133"/>
      <c r="P29" s="133"/>
      <c r="Q29" s="133"/>
      <c r="R29" s="166"/>
      <c r="S29" s="166"/>
    </row>
    <row r="30" spans="1:19">
      <c r="A30" s="78" t="e">
        <f>'CROIX BLANCHE PG'!#REF!</f>
        <v>#REF!</v>
      </c>
      <c r="B30" s="78" t="e">
        <f>'CROIX BLANCHE PG'!#REF!</f>
        <v>#REF!</v>
      </c>
      <c r="C30" s="78"/>
      <c r="D30" s="78"/>
      <c r="E30" s="78"/>
      <c r="F30" s="78"/>
      <c r="G30" s="78"/>
      <c r="H30" s="78"/>
      <c r="I30" s="89"/>
      <c r="J30" s="99"/>
      <c r="K30" s="99"/>
      <c r="L30" s="165"/>
      <c r="M30" s="165"/>
      <c r="N30" s="165"/>
      <c r="O30" s="165"/>
      <c r="P30" s="165"/>
      <c r="Q30" s="165"/>
      <c r="R30" s="99"/>
      <c r="S30" s="99"/>
    </row>
    <row r="31" spans="1:19">
      <c r="A31" t="s">
        <v>1065</v>
      </c>
      <c r="B31" s="78"/>
      <c r="C31" s="78"/>
      <c r="D31" s="78"/>
      <c r="E31" s="78"/>
      <c r="F31" s="78"/>
      <c r="G31" s="78"/>
      <c r="H31" s="78"/>
      <c r="I31" s="89"/>
      <c r="J31" s="102"/>
      <c r="K31" s="99"/>
      <c r="L31" s="133"/>
      <c r="M31" s="133"/>
      <c r="N31" s="133"/>
      <c r="O31" s="133"/>
      <c r="P31" s="133"/>
      <c r="Q31" s="133"/>
      <c r="R31" s="166"/>
      <c r="S31" s="166"/>
    </row>
    <row r="32" spans="1:19">
      <c r="A32" s="78" t="str">
        <f>'BRSA SORTIES'!C27</f>
        <v>BRECANI</v>
      </c>
      <c r="B32" s="78" t="str">
        <f>'BRSA SORTIES'!D27</f>
        <v>Arjana</v>
      </c>
      <c r="C32" s="78">
        <v>60</v>
      </c>
      <c r="D32" s="78">
        <v>60</v>
      </c>
      <c r="E32" s="78">
        <v>60</v>
      </c>
      <c r="F32" s="78"/>
      <c r="G32" s="78"/>
      <c r="H32" s="78"/>
      <c r="I32" s="89" t="s">
        <v>479</v>
      </c>
      <c r="J32" s="132">
        <v>46053</v>
      </c>
      <c r="K32" s="99">
        <v>1</v>
      </c>
      <c r="L32" s="165"/>
      <c r="M32" s="165"/>
      <c r="N32" s="165"/>
      <c r="O32" s="165"/>
      <c r="P32" s="165"/>
      <c r="Q32" s="165"/>
      <c r="R32" s="99"/>
      <c r="S32" s="99"/>
    </row>
    <row r="33" spans="1:19">
      <c r="A33" s="78" t="str">
        <f>'BRSA SORTIES'!C29</f>
        <v>BRUNET</v>
      </c>
      <c r="B33" s="78" t="str">
        <f>'BRSA SORTIES'!D29</f>
        <v>Carole</v>
      </c>
      <c r="C33" s="78"/>
      <c r="D33" s="78"/>
      <c r="E33" s="78"/>
      <c r="F33" s="78"/>
      <c r="G33" s="78"/>
      <c r="H33" s="78"/>
      <c r="I33" s="89" t="s">
        <v>479</v>
      </c>
      <c r="J33" s="132">
        <v>46083</v>
      </c>
      <c r="K33" s="99"/>
      <c r="L33" s="165"/>
      <c r="M33" s="165"/>
      <c r="N33" s="165"/>
      <c r="O33" s="165"/>
      <c r="P33" s="165"/>
      <c r="Q33" s="165"/>
      <c r="R33" s="99"/>
      <c r="S33" s="99"/>
    </row>
    <row r="34" spans="1:19">
      <c r="A34" s="78" t="str">
        <f>'CROIX BLANCHE PG'!C42</f>
        <v>BRUZEAU</v>
      </c>
      <c r="B34" s="78" t="str">
        <f>'CROIX BLANCHE PG'!D42</f>
        <v>Laura</v>
      </c>
      <c r="C34" s="78"/>
      <c r="D34" s="78"/>
      <c r="E34" s="78"/>
      <c r="F34" s="78"/>
      <c r="G34" s="78"/>
      <c r="H34" s="78"/>
      <c r="I34" s="205" t="s">
        <v>530</v>
      </c>
      <c r="J34" s="132">
        <v>46112</v>
      </c>
      <c r="K34" s="99"/>
      <c r="L34" s="165"/>
      <c r="M34" s="165"/>
      <c r="N34" s="165"/>
      <c r="O34" s="165"/>
      <c r="P34" s="165"/>
      <c r="Q34" s="165"/>
      <c r="R34" s="99"/>
      <c r="S34" s="99"/>
    </row>
    <row r="35" spans="1:19">
      <c r="A35" s="78" t="str">
        <f>'CROIX BLANCHE PG'!C43</f>
        <v>BUATTIER</v>
      </c>
      <c r="B35" s="78" t="str">
        <f>'CROIX BLANCHE PG'!D43</f>
        <v>Christelle</v>
      </c>
      <c r="C35" s="78"/>
      <c r="D35" s="78"/>
      <c r="E35" s="78"/>
      <c r="F35" s="78"/>
      <c r="G35" s="78"/>
      <c r="H35" s="78"/>
      <c r="I35" s="89"/>
      <c r="J35" s="130"/>
      <c r="K35" s="99"/>
      <c r="L35" s="133"/>
      <c r="M35" s="133"/>
      <c r="N35" s="133"/>
      <c r="O35" s="133"/>
      <c r="P35" s="133"/>
      <c r="Q35" s="133"/>
      <c r="R35" s="166"/>
      <c r="S35" s="166"/>
    </row>
    <row r="36" spans="1:19">
      <c r="A36" s="78" t="e">
        <f>'CROIX BLANCHE PG'!#REF!</f>
        <v>#REF!</v>
      </c>
      <c r="B36" s="78" t="e">
        <f>'CROIX BLANCHE PG'!#REF!</f>
        <v>#REF!</v>
      </c>
      <c r="C36" s="78"/>
      <c r="D36" s="78"/>
      <c r="E36" s="78"/>
      <c r="F36" s="78"/>
      <c r="G36" s="78"/>
      <c r="H36" s="78"/>
      <c r="I36" s="89"/>
      <c r="J36" s="99"/>
      <c r="K36" s="99"/>
      <c r="L36" s="165"/>
      <c r="M36" s="165"/>
      <c r="N36" s="165"/>
      <c r="O36" s="165"/>
      <c r="P36" s="165"/>
      <c r="Q36" s="165"/>
      <c r="R36" s="99"/>
      <c r="S36" s="99"/>
    </row>
    <row r="37" spans="1:19">
      <c r="A37" s="78" t="e">
        <f>'CROIX BLANCHE PG'!#REF!</f>
        <v>#REF!</v>
      </c>
      <c r="B37" s="78" t="e">
        <f>'CROIX BLANCHE PG'!#REF!</f>
        <v>#REF!</v>
      </c>
      <c r="C37" s="78"/>
      <c r="D37" s="78"/>
      <c r="E37" s="78"/>
      <c r="F37" s="78"/>
      <c r="G37" s="78"/>
      <c r="H37" s="78"/>
      <c r="I37" s="89"/>
      <c r="J37" s="99"/>
      <c r="K37" s="99"/>
      <c r="L37" s="165"/>
      <c r="M37" s="165"/>
      <c r="N37" s="165"/>
      <c r="O37" s="165"/>
      <c r="P37" s="165"/>
      <c r="Q37" s="165"/>
      <c r="R37" s="99"/>
      <c r="S37" s="99"/>
    </row>
    <row r="38" spans="1:19">
      <c r="A38" s="78" t="str">
        <f>'CROIX BLANCHE PG'!C45</f>
        <v>CHARNAY</v>
      </c>
      <c r="B38" s="78" t="str">
        <f>'CROIX BLANCHE PG'!D45</f>
        <v>Cindy</v>
      </c>
      <c r="C38" s="78"/>
      <c r="D38" s="78"/>
      <c r="E38" s="78"/>
      <c r="F38" s="78"/>
      <c r="G38" s="78"/>
      <c r="H38" s="78"/>
      <c r="I38" s="89"/>
      <c r="J38" s="99"/>
      <c r="K38" s="99"/>
      <c r="L38" s="165"/>
      <c r="M38" s="165"/>
      <c r="N38" s="165"/>
      <c r="O38" s="165"/>
      <c r="P38" s="165"/>
      <c r="Q38" s="165"/>
      <c r="R38" s="99"/>
      <c r="S38" s="99"/>
    </row>
    <row r="39" spans="1:19">
      <c r="A39" s="78" t="str">
        <f>'CROIX BLANCHE PG'!C46</f>
        <v>CHAVE</v>
      </c>
      <c r="B39" s="78" t="str">
        <f>'CROIX BLANCHE PG'!D46</f>
        <v>Baptiste</v>
      </c>
      <c r="C39" s="78">
        <v>60</v>
      </c>
      <c r="D39" s="78">
        <v>60</v>
      </c>
      <c r="E39" s="78">
        <v>60</v>
      </c>
      <c r="F39" s="78">
        <v>60</v>
      </c>
      <c r="G39" s="78">
        <v>60</v>
      </c>
      <c r="H39" s="78">
        <v>60</v>
      </c>
      <c r="I39" s="89" t="s">
        <v>479</v>
      </c>
      <c r="J39" s="102">
        <v>46114</v>
      </c>
      <c r="K39" s="99">
        <v>1</v>
      </c>
      <c r="L39" s="133"/>
      <c r="M39" s="133"/>
      <c r="N39" s="133"/>
      <c r="O39" s="133"/>
      <c r="P39" s="133"/>
      <c r="Q39" s="133"/>
      <c r="R39" s="166"/>
      <c r="S39" s="166"/>
    </row>
    <row r="40" spans="1:19">
      <c r="A40" s="78" t="e">
        <f>'CROIX BLANCHE PG'!#REF!</f>
        <v>#REF!</v>
      </c>
      <c r="B40" s="78" t="e">
        <f>'CROIX BLANCHE PG'!#REF!</f>
        <v>#REF!</v>
      </c>
      <c r="C40" s="78">
        <v>60</v>
      </c>
      <c r="D40" s="78">
        <v>60</v>
      </c>
      <c r="E40" s="78">
        <v>60</v>
      </c>
      <c r="F40" s="78">
        <v>60</v>
      </c>
      <c r="G40" s="78">
        <v>60</v>
      </c>
      <c r="H40" s="78">
        <v>60</v>
      </c>
      <c r="I40" s="434" t="s">
        <v>479</v>
      </c>
      <c r="J40" s="132">
        <v>46100</v>
      </c>
      <c r="K40" s="99">
        <v>1</v>
      </c>
      <c r="L40" s="165"/>
      <c r="M40" s="165"/>
      <c r="N40" s="165"/>
      <c r="O40" s="165"/>
      <c r="P40" s="165"/>
      <c r="Q40" s="165"/>
      <c r="R40" s="99"/>
      <c r="S40" s="99"/>
    </row>
    <row r="41" spans="1:19">
      <c r="A41" s="78" t="str">
        <f>'BRSA SORTIES'!C40</f>
        <v>DAOUD</v>
      </c>
      <c r="B41" s="78" t="str">
        <f>'BRSA SORTIES'!D40</f>
        <v>Boina</v>
      </c>
      <c r="C41" s="78">
        <v>20</v>
      </c>
      <c r="D41" s="78">
        <v>20</v>
      </c>
      <c r="E41" s="78">
        <v>20</v>
      </c>
      <c r="F41" s="78">
        <v>20</v>
      </c>
      <c r="G41" s="78">
        <v>20</v>
      </c>
      <c r="H41" s="78">
        <v>20</v>
      </c>
      <c r="I41" s="89" t="s">
        <v>479</v>
      </c>
      <c r="J41" s="132">
        <v>46106</v>
      </c>
      <c r="K41" s="99">
        <v>1</v>
      </c>
      <c r="L41" s="165"/>
      <c r="M41" s="165"/>
      <c r="N41" s="165"/>
      <c r="O41" s="165"/>
      <c r="P41" s="165"/>
      <c r="Q41" s="165"/>
      <c r="R41" s="99"/>
      <c r="S41" s="99"/>
    </row>
    <row r="42" spans="1:19">
      <c r="A42" s="78" t="str">
        <f>'CROIX BLANCHE PG'!C48</f>
        <v>DA SILVA GONCALVES</v>
      </c>
      <c r="B42" s="78" t="str">
        <f>'CROIX BLANCHE PG'!D48</f>
        <v>Samuel</v>
      </c>
      <c r="C42" s="78">
        <v>60</v>
      </c>
      <c r="D42" s="78">
        <v>60</v>
      </c>
      <c r="E42" s="78">
        <v>60</v>
      </c>
      <c r="F42" s="78">
        <v>60</v>
      </c>
      <c r="G42" s="78">
        <v>60</v>
      </c>
      <c r="H42" s="78">
        <v>60</v>
      </c>
      <c r="I42" s="89" t="s">
        <v>479</v>
      </c>
      <c r="J42" s="132">
        <v>46105</v>
      </c>
      <c r="K42" s="99">
        <v>1</v>
      </c>
      <c r="L42" s="165"/>
      <c r="M42" s="165"/>
      <c r="N42" s="165"/>
      <c r="O42" s="165"/>
      <c r="P42" s="165"/>
      <c r="Q42" s="165"/>
      <c r="R42" s="99"/>
      <c r="S42" s="99"/>
    </row>
    <row r="43" spans="1:19">
      <c r="A43" s="78" t="str">
        <f>'CROIX BLANCHE PG'!C49</f>
        <v>DBIJA</v>
      </c>
      <c r="B43" s="78" t="str">
        <f>'CROIX BLANCHE PG'!D49</f>
        <v>Hafida</v>
      </c>
      <c r="C43" s="78"/>
      <c r="D43" s="78"/>
      <c r="E43" s="78"/>
      <c r="F43" s="78"/>
      <c r="G43" s="78"/>
      <c r="H43" s="78"/>
      <c r="I43" s="89"/>
      <c r="J43" s="99"/>
      <c r="K43" s="99"/>
      <c r="L43" s="165"/>
      <c r="M43" s="165"/>
      <c r="N43" s="165"/>
      <c r="O43" s="165"/>
      <c r="P43" s="165"/>
      <c r="Q43" s="165"/>
      <c r="R43" s="99"/>
      <c r="S43" s="99"/>
    </row>
    <row r="44" spans="1:19">
      <c r="A44" s="78" t="str">
        <f>'CROIX BLANCHE PG'!C50</f>
        <v>DECAILLON</v>
      </c>
      <c r="B44" s="78" t="str">
        <f>'CROIX BLANCHE PG'!D50</f>
        <v>Candide</v>
      </c>
      <c r="C44" s="78">
        <v>60</v>
      </c>
      <c r="D44" s="78">
        <v>60</v>
      </c>
      <c r="E44" s="78">
        <v>60</v>
      </c>
      <c r="F44" s="78">
        <v>60</v>
      </c>
      <c r="G44" s="78"/>
      <c r="H44" s="78"/>
      <c r="I44" s="89" t="s">
        <v>479</v>
      </c>
      <c r="J44" s="132">
        <v>46090</v>
      </c>
      <c r="K44" s="99">
        <v>1</v>
      </c>
      <c r="L44" s="165"/>
      <c r="M44" s="165"/>
      <c r="N44" s="165"/>
      <c r="O44" s="165"/>
      <c r="P44" s="165"/>
      <c r="Q44" s="165"/>
      <c r="R44" s="99"/>
      <c r="S44" s="99"/>
    </row>
    <row r="45" spans="1:19">
      <c r="A45" s="78" t="str">
        <f>'CROIX BLANCHE PG'!C55</f>
        <v>EL MOUSTAOUI</v>
      </c>
      <c r="B45" s="78" t="str">
        <f>'CROIX BLANCHE PG'!D55</f>
        <v>Sadik</v>
      </c>
      <c r="C45" s="78"/>
      <c r="D45" s="78"/>
      <c r="E45" s="78"/>
      <c r="F45" s="78"/>
      <c r="G45" s="78"/>
      <c r="H45" s="78"/>
      <c r="I45" s="89"/>
      <c r="J45" s="99"/>
      <c r="K45" s="99"/>
      <c r="L45" s="165"/>
      <c r="M45" s="165"/>
      <c r="N45" s="165"/>
      <c r="O45" s="165"/>
      <c r="P45" s="165"/>
      <c r="Q45" s="165"/>
      <c r="R45" s="99"/>
      <c r="S45" s="99"/>
    </row>
    <row r="46" spans="1:19">
      <c r="A46" s="78" t="e">
        <f>'CROIX BLANCHE PG'!#REF!</f>
        <v>#REF!</v>
      </c>
      <c r="B46" s="78" t="e">
        <f>'CROIX BLANCHE PG'!#REF!</f>
        <v>#REF!</v>
      </c>
      <c r="C46" s="78"/>
      <c r="D46" s="78"/>
      <c r="E46" s="78"/>
      <c r="F46" s="78"/>
      <c r="G46" s="78"/>
      <c r="H46" s="78"/>
      <c r="I46" s="89"/>
      <c r="J46" s="99"/>
      <c r="K46" s="99"/>
      <c r="L46" s="165"/>
      <c r="M46" s="165"/>
      <c r="N46" s="165"/>
      <c r="O46" s="165"/>
      <c r="P46" s="165"/>
      <c r="Q46" s="165"/>
      <c r="R46" s="99"/>
      <c r="S46" s="99"/>
    </row>
    <row r="47" spans="1:19">
      <c r="A47" s="78" t="str">
        <f>'CROIX BLANCHE PG'!C56</f>
        <v>FETET</v>
      </c>
      <c r="B47" s="78" t="str">
        <f>'CROIX BLANCHE PG'!D56</f>
        <v>Jennifer</v>
      </c>
      <c r="C47" s="78">
        <v>60</v>
      </c>
      <c r="D47" s="78">
        <v>60</v>
      </c>
      <c r="E47" s="78">
        <v>60</v>
      </c>
      <c r="F47" s="78">
        <v>60</v>
      </c>
      <c r="G47" s="78">
        <v>60</v>
      </c>
      <c r="H47" s="78">
        <v>60</v>
      </c>
      <c r="I47" s="89" t="s">
        <v>479</v>
      </c>
      <c r="J47" s="132">
        <v>46092</v>
      </c>
      <c r="K47" s="99">
        <v>1</v>
      </c>
      <c r="L47" s="165"/>
      <c r="M47" s="165"/>
      <c r="N47" s="165"/>
      <c r="O47" s="165"/>
      <c r="P47" s="165"/>
      <c r="Q47" s="165"/>
      <c r="R47" s="99"/>
      <c r="S47" s="99"/>
    </row>
    <row r="48" spans="1:19">
      <c r="A48" s="78" t="str">
        <f>'BRSA SORTIES'!C50</f>
        <v>FETET</v>
      </c>
      <c r="B48" s="78" t="str">
        <f>'BRSA SORTIES'!D50</f>
        <v>Laura</v>
      </c>
      <c r="C48" s="78">
        <v>60</v>
      </c>
      <c r="D48" s="78">
        <v>60</v>
      </c>
      <c r="E48" s="78">
        <v>60</v>
      </c>
      <c r="F48" s="78">
        <v>60</v>
      </c>
      <c r="G48" s="78">
        <v>60</v>
      </c>
      <c r="H48" s="78">
        <v>60</v>
      </c>
      <c r="I48" s="89" t="s">
        <v>479</v>
      </c>
      <c r="J48" s="132">
        <v>46047</v>
      </c>
      <c r="K48" s="99">
        <v>1</v>
      </c>
      <c r="L48" s="165"/>
      <c r="M48" s="165"/>
      <c r="N48" s="165"/>
      <c r="O48" s="165"/>
      <c r="P48" s="165"/>
      <c r="Q48" s="165"/>
      <c r="R48" s="99"/>
      <c r="S48" s="99"/>
    </row>
    <row r="49" spans="1:19">
      <c r="A49" s="78" t="str">
        <f>'CROIX BLANCHE PG'!C59</f>
        <v>GOBERT</v>
      </c>
      <c r="B49" s="78" t="str">
        <f>'CROIX BLANCHE PG'!D59</f>
        <v>Edwige</v>
      </c>
      <c r="C49" s="78"/>
      <c r="D49" s="78"/>
      <c r="E49" s="78"/>
      <c r="F49" s="78"/>
      <c r="G49" s="78"/>
      <c r="H49" s="78"/>
      <c r="I49" s="89" t="s">
        <v>479</v>
      </c>
      <c r="J49" s="132">
        <v>46108</v>
      </c>
      <c r="K49" s="99">
        <v>1</v>
      </c>
      <c r="L49" s="165"/>
      <c r="M49" s="165"/>
      <c r="N49" s="165"/>
      <c r="O49" s="165"/>
      <c r="P49" s="165"/>
      <c r="Q49" s="165"/>
      <c r="R49" s="99"/>
      <c r="S49" s="99"/>
    </row>
    <row r="50" spans="1:19">
      <c r="A50" s="78" t="e">
        <f>'CROIX BLANCHE PG'!#REF!</f>
        <v>#REF!</v>
      </c>
      <c r="B50" s="78" t="e">
        <f>'CROIX BLANCHE PG'!#REF!</f>
        <v>#REF!</v>
      </c>
      <c r="C50" s="78"/>
      <c r="D50" s="78"/>
      <c r="E50" s="78"/>
      <c r="F50" s="78"/>
      <c r="G50" s="78"/>
      <c r="H50" s="78"/>
      <c r="I50" s="89" t="s">
        <v>479</v>
      </c>
      <c r="J50" s="132">
        <v>46054</v>
      </c>
      <c r="K50" s="99">
        <v>1</v>
      </c>
      <c r="L50" s="165"/>
      <c r="M50" s="165"/>
      <c r="N50" s="165"/>
      <c r="O50" s="165"/>
      <c r="P50" s="165"/>
      <c r="Q50" s="165"/>
      <c r="R50" s="99"/>
      <c r="S50" s="99"/>
    </row>
    <row r="51" spans="1:19">
      <c r="A51" s="78" t="str">
        <f>'CROIX BLANCHE PG'!C60</f>
        <v>HADZI-ALIJA</v>
      </c>
      <c r="B51" s="78" t="str">
        <f>'CROIX BLANCHE PG'!D60</f>
        <v>Erdan</v>
      </c>
      <c r="C51" s="78"/>
      <c r="D51" s="78"/>
      <c r="E51" s="78"/>
      <c r="F51" s="78"/>
      <c r="G51" s="78"/>
      <c r="H51" s="78"/>
      <c r="I51" s="89"/>
      <c r="J51" s="99"/>
      <c r="K51" s="99"/>
      <c r="L51" s="165"/>
      <c r="M51" s="165"/>
      <c r="N51" s="165"/>
      <c r="O51" s="165"/>
      <c r="P51" s="165"/>
      <c r="Q51" s="165"/>
      <c r="R51" s="99"/>
      <c r="S51" s="99"/>
    </row>
    <row r="52" spans="1:19">
      <c r="A52" s="78" t="str">
        <f>'CROIX BLANCHE PG'!C62</f>
        <v>HAMMOUMI</v>
      </c>
      <c r="B52" s="78" t="str">
        <f>'CROIX BLANCHE PG'!D62</f>
        <v>Mohammed</v>
      </c>
      <c r="C52" s="78"/>
      <c r="D52" s="78"/>
      <c r="E52" s="78"/>
      <c r="F52" s="78"/>
      <c r="G52" s="78"/>
      <c r="H52" s="78"/>
      <c r="I52" s="89"/>
      <c r="J52" s="99"/>
      <c r="K52" s="99"/>
      <c r="L52" s="165"/>
      <c r="M52" s="165"/>
      <c r="N52" s="165"/>
      <c r="O52" s="165"/>
      <c r="P52" s="165"/>
      <c r="Q52" s="165"/>
      <c r="R52" s="99"/>
      <c r="S52" s="99"/>
    </row>
    <row r="53" spans="1:19">
      <c r="A53" s="78" t="str">
        <f>'CROIX BLANCHE PG'!C64</f>
        <v>HASSANI</v>
      </c>
      <c r="B53" s="78" t="str">
        <f>'CROIX BLANCHE PG'!D64</f>
        <v>Koulthoumi</v>
      </c>
      <c r="C53" s="78"/>
      <c r="D53" s="78"/>
      <c r="E53" s="78"/>
      <c r="F53" s="78"/>
      <c r="G53" s="78"/>
      <c r="H53" s="78"/>
      <c r="I53" s="89"/>
      <c r="J53" s="99"/>
      <c r="K53" s="99"/>
      <c r="L53" s="165"/>
      <c r="M53" s="165"/>
      <c r="N53" s="165"/>
      <c r="O53" s="165"/>
      <c r="P53" s="165"/>
      <c r="Q53" s="165"/>
      <c r="R53" s="99"/>
      <c r="S53" s="99"/>
    </row>
    <row r="54" spans="1:19">
      <c r="A54" s="78" t="str">
        <f>'CROIX BLANCHE PG'!C65</f>
        <v>HOUICHI</v>
      </c>
      <c r="B54" s="78" t="str">
        <f>'CROIX BLANCHE PG'!D65</f>
        <v>Hikmet</v>
      </c>
      <c r="C54" s="78">
        <v>60</v>
      </c>
      <c r="D54" s="78">
        <v>60</v>
      </c>
      <c r="E54" s="78">
        <v>60</v>
      </c>
      <c r="F54" s="78">
        <v>60</v>
      </c>
      <c r="G54" s="78">
        <v>60</v>
      </c>
      <c r="H54" s="78">
        <v>60</v>
      </c>
      <c r="I54" s="89" t="s">
        <v>479</v>
      </c>
      <c r="J54" s="132">
        <v>46105</v>
      </c>
      <c r="K54" s="99">
        <v>1</v>
      </c>
      <c r="L54" s="165"/>
      <c r="M54" s="165"/>
      <c r="N54" s="165"/>
      <c r="O54" s="165"/>
      <c r="P54" s="165"/>
      <c r="Q54" s="165"/>
      <c r="R54" s="99"/>
      <c r="S54" s="99"/>
    </row>
    <row r="55" spans="1:19">
      <c r="A55" s="78" t="s">
        <v>1056</v>
      </c>
      <c r="B55" s="78"/>
      <c r="C55" s="78"/>
      <c r="D55" s="78"/>
      <c r="E55" s="78"/>
      <c r="F55" s="78"/>
      <c r="G55" s="78"/>
      <c r="H55" s="78"/>
      <c r="I55" s="89"/>
      <c r="J55" s="99"/>
      <c r="K55" s="99"/>
      <c r="L55" s="165"/>
      <c r="M55" s="165"/>
      <c r="N55" s="165"/>
      <c r="O55" s="165"/>
      <c r="P55" s="165"/>
      <c r="Q55" s="165"/>
      <c r="R55" s="99"/>
      <c r="S55" s="99"/>
    </row>
    <row r="56" spans="1:19">
      <c r="A56" s="78" t="s">
        <v>1097</v>
      </c>
      <c r="B56" s="78" t="s">
        <v>1098</v>
      </c>
      <c r="C56" s="78"/>
      <c r="D56" s="78"/>
      <c r="E56" s="78"/>
      <c r="F56" s="78"/>
      <c r="G56" s="78"/>
      <c r="H56" s="78"/>
      <c r="I56" s="89"/>
      <c r="J56" s="99"/>
      <c r="K56" s="99"/>
      <c r="L56" s="165"/>
      <c r="M56" s="165"/>
      <c r="N56" s="165"/>
      <c r="O56" s="165"/>
      <c r="P56" s="165"/>
      <c r="Q56" s="165"/>
      <c r="R56" s="99"/>
      <c r="S56" s="99"/>
    </row>
    <row r="57" spans="1:19">
      <c r="A57" s="78" t="str">
        <f>'CROIX BLANCHE PG'!C68</f>
        <v>KALINDA</v>
      </c>
      <c r="B57" s="78" t="str">
        <f>'CROIX BLANCHE PG'!D68</f>
        <v>Léopold</v>
      </c>
      <c r="C57" s="78">
        <v>60</v>
      </c>
      <c r="D57" s="78">
        <v>60</v>
      </c>
      <c r="E57" s="78"/>
      <c r="F57" s="78"/>
      <c r="G57" s="78"/>
      <c r="H57" s="78"/>
      <c r="I57" s="89"/>
      <c r="J57" s="99"/>
      <c r="K57" s="99"/>
      <c r="L57" s="165"/>
      <c r="M57" s="165"/>
      <c r="N57" s="165"/>
      <c r="O57" s="165"/>
      <c r="P57" s="165"/>
      <c r="Q57" s="165"/>
      <c r="R57" s="99"/>
      <c r="S57" s="99"/>
    </row>
    <row r="58" spans="1:19">
      <c r="A58" s="78" t="str">
        <f>'CROIX BLANCHE PG'!C69</f>
        <v>KARADAVUT</v>
      </c>
      <c r="B58" s="78" t="str">
        <f>'CROIX BLANCHE PG'!D69</f>
        <v>Pembe</v>
      </c>
      <c r="C58" s="78"/>
      <c r="D58" s="78"/>
      <c r="E58" s="78"/>
      <c r="F58" s="78"/>
      <c r="G58" s="78"/>
      <c r="H58" s="78"/>
      <c r="I58" s="89"/>
      <c r="J58" s="99"/>
      <c r="K58" s="99"/>
      <c r="L58" s="165"/>
      <c r="M58" s="165"/>
      <c r="N58" s="165"/>
      <c r="O58" s="165"/>
      <c r="P58" s="165"/>
      <c r="Q58" s="165"/>
      <c r="R58" s="99"/>
      <c r="S58" s="99"/>
    </row>
    <row r="59" spans="1:19">
      <c r="A59" s="78" t="str">
        <f>'CROIX BLANCHE PG'!C70</f>
        <v xml:space="preserve">KASEMI </v>
      </c>
      <c r="B59" s="78" t="str">
        <f>'CROIX BLANCHE PG'!D70</f>
        <v>Elsaïda</v>
      </c>
      <c r="C59" s="78"/>
      <c r="D59" s="78"/>
      <c r="E59" s="78"/>
      <c r="F59" s="78"/>
      <c r="G59" s="78"/>
      <c r="H59" s="78"/>
      <c r="I59" s="89"/>
      <c r="J59" s="99"/>
      <c r="K59" s="99"/>
      <c r="L59" s="165"/>
      <c r="M59" s="165"/>
      <c r="N59" s="165"/>
      <c r="O59" s="165"/>
      <c r="P59" s="165"/>
      <c r="Q59" s="165"/>
      <c r="R59" s="99"/>
      <c r="S59" s="99"/>
    </row>
    <row r="60" spans="1:19">
      <c r="A60" s="78" t="e">
        <f>'CROIX BLANCHE PG'!#REF!</f>
        <v>#REF!</v>
      </c>
      <c r="B60" s="78" t="e">
        <f>'CROIX BLANCHE PG'!#REF!</f>
        <v>#REF!</v>
      </c>
      <c r="C60" s="78"/>
      <c r="D60" s="78"/>
      <c r="E60" s="78"/>
      <c r="F60" s="78"/>
      <c r="G60" s="78"/>
      <c r="H60" s="78"/>
      <c r="I60" s="89"/>
      <c r="J60" s="99"/>
      <c r="K60" s="99"/>
      <c r="L60" s="165"/>
      <c r="M60" s="165"/>
      <c r="N60" s="165"/>
      <c r="O60" s="165"/>
      <c r="P60" s="165"/>
      <c r="Q60" s="165"/>
      <c r="R60" s="99"/>
      <c r="S60" s="99"/>
    </row>
    <row r="61" spans="1:19">
      <c r="A61" s="78" t="str">
        <f>'CROIX BLANCHE PG'!C71</f>
        <v>KIM</v>
      </c>
      <c r="B61" s="78" t="str">
        <f>'CROIX BLANCHE PG'!D71</f>
        <v>Stéphane</v>
      </c>
      <c r="C61" s="78"/>
      <c r="D61" s="78"/>
      <c r="E61" s="78"/>
      <c r="F61" s="78"/>
      <c r="G61" s="78"/>
      <c r="H61" s="78"/>
      <c r="I61" s="89"/>
      <c r="J61" s="99"/>
      <c r="K61" s="99"/>
      <c r="L61" s="165"/>
      <c r="M61" s="165"/>
      <c r="N61" s="165"/>
      <c r="O61" s="165"/>
      <c r="P61" s="165"/>
      <c r="Q61" s="165"/>
      <c r="R61" s="99"/>
      <c r="S61" s="99"/>
    </row>
    <row r="62" spans="1:19">
      <c r="A62" s="78" t="str">
        <f>'CROIX BLANCHE PG'!C72</f>
        <v>KULIKOVA</v>
      </c>
      <c r="B62" s="78" t="str">
        <f>'CROIX BLANCHE PG'!D72</f>
        <v>Oléna</v>
      </c>
      <c r="C62" s="78"/>
      <c r="D62" s="78"/>
      <c r="E62" s="78"/>
      <c r="F62" s="78"/>
      <c r="G62" s="78"/>
      <c r="H62" s="78"/>
      <c r="I62" s="89"/>
      <c r="J62" s="99"/>
      <c r="K62" s="99"/>
      <c r="L62" s="165"/>
      <c r="M62" s="165"/>
      <c r="N62" s="165"/>
      <c r="O62" s="165"/>
      <c r="P62" s="165"/>
      <c r="Q62" s="165"/>
      <c r="R62" s="99"/>
      <c r="S62" s="99"/>
    </row>
    <row r="63" spans="1:19">
      <c r="A63" s="78" t="e">
        <f>'CROIX BLANCHE PG'!#REF!</f>
        <v>#REF!</v>
      </c>
      <c r="B63" s="78" t="e">
        <f>'CROIX BLANCHE PG'!#REF!</f>
        <v>#REF!</v>
      </c>
      <c r="C63" s="78"/>
      <c r="D63" s="78"/>
      <c r="E63" s="78"/>
      <c r="F63" s="78"/>
      <c r="G63" s="78"/>
      <c r="H63" s="78"/>
      <c r="I63" s="89"/>
      <c r="J63" s="99"/>
      <c r="K63" s="99"/>
      <c r="L63" s="165"/>
      <c r="M63" s="165"/>
      <c r="N63" s="165"/>
      <c r="O63" s="165"/>
      <c r="P63" s="165"/>
      <c r="Q63" s="165"/>
      <c r="R63" s="99"/>
      <c r="S63" s="99"/>
    </row>
    <row r="64" spans="1:19">
      <c r="A64" s="78" t="str">
        <f>'BRSA SORTIES'!C63</f>
        <v>LIKIDI</v>
      </c>
      <c r="B64" s="78" t="str">
        <f>'BRSA SORTIES'!D63</f>
        <v>Quektor</v>
      </c>
      <c r="C64" s="78"/>
      <c r="D64" s="78"/>
      <c r="E64" s="78"/>
      <c r="F64" s="78"/>
      <c r="G64" s="78"/>
      <c r="H64" s="78"/>
      <c r="I64" s="89"/>
      <c r="J64" s="99"/>
      <c r="K64" s="99"/>
      <c r="L64" s="165"/>
      <c r="M64" s="165"/>
      <c r="N64" s="165"/>
      <c r="O64" s="165"/>
      <c r="P64" s="165"/>
      <c r="Q64" s="165"/>
      <c r="R64" s="99"/>
      <c r="S64" s="99"/>
    </row>
    <row r="65" spans="1:19">
      <c r="A65" s="78" t="str">
        <f>'BRSA SORTIES'!C64</f>
        <v>LOUCIF</v>
      </c>
      <c r="B65" s="78" t="str">
        <f>'BRSA SORTIES'!D64</f>
        <v>Ines</v>
      </c>
      <c r="C65" s="78">
        <v>60</v>
      </c>
      <c r="D65" s="78">
        <v>60</v>
      </c>
      <c r="E65" s="78">
        <v>60</v>
      </c>
      <c r="F65" s="78">
        <v>60</v>
      </c>
      <c r="G65" s="78">
        <v>60</v>
      </c>
      <c r="H65" s="78">
        <v>60</v>
      </c>
      <c r="I65" s="89" t="s">
        <v>479</v>
      </c>
      <c r="J65" s="132">
        <v>46051</v>
      </c>
      <c r="K65" s="99">
        <v>1</v>
      </c>
      <c r="L65" s="165"/>
      <c r="M65" s="165"/>
      <c r="N65" s="165"/>
      <c r="O65" s="165"/>
      <c r="P65" s="165"/>
      <c r="Q65" s="165"/>
      <c r="R65" s="99"/>
      <c r="S65" s="99"/>
    </row>
    <row r="66" spans="1:19">
      <c r="A66" s="78" t="str">
        <f>'CROIX BLANCHE PG'!C73</f>
        <v>MARRET</v>
      </c>
      <c r="B66" s="78" t="str">
        <f>'CROIX BLANCHE PG'!D73</f>
        <v>Alan</v>
      </c>
      <c r="C66" s="78"/>
      <c r="D66" s="78"/>
      <c r="E66" s="78"/>
      <c r="F66" s="78"/>
      <c r="G66" s="78"/>
      <c r="H66" s="78"/>
      <c r="I66" s="89"/>
      <c r="J66" s="99"/>
      <c r="K66" s="99"/>
      <c r="L66" s="165"/>
      <c r="M66" s="165"/>
      <c r="N66" s="165"/>
      <c r="O66" s="165"/>
      <c r="P66" s="165"/>
      <c r="Q66" s="165"/>
      <c r="R66" s="99"/>
      <c r="S66" s="99"/>
    </row>
    <row r="67" spans="1:19">
      <c r="A67" s="78" t="s">
        <v>944</v>
      </c>
      <c r="B67" s="78" t="s">
        <v>945</v>
      </c>
      <c r="C67" s="78"/>
      <c r="D67" s="78"/>
      <c r="E67" s="78"/>
      <c r="F67" s="78"/>
      <c r="G67" s="78"/>
      <c r="H67" s="78"/>
      <c r="I67" s="89" t="s">
        <v>479</v>
      </c>
      <c r="J67" s="132">
        <v>46142</v>
      </c>
      <c r="K67" s="99">
        <v>1</v>
      </c>
      <c r="L67" s="165"/>
      <c r="M67" s="165"/>
      <c r="N67" s="165"/>
      <c r="O67" s="165"/>
      <c r="P67" s="165"/>
      <c r="Q67" s="165"/>
      <c r="R67" s="99"/>
      <c r="S67" s="99"/>
    </row>
    <row r="68" spans="1:19">
      <c r="A68" s="78" t="str">
        <f>'BRSA SORTIES'!C66</f>
        <v>MERCIER</v>
      </c>
      <c r="B68" s="78" t="str">
        <f>'BRSA SORTIES'!D66</f>
        <v>Florent</v>
      </c>
      <c r="C68" s="78"/>
      <c r="D68" s="78"/>
      <c r="E68" s="78"/>
      <c r="F68" s="78"/>
      <c r="G68" s="78"/>
      <c r="H68" s="78"/>
      <c r="I68" s="89" t="s">
        <v>479</v>
      </c>
      <c r="J68" s="132">
        <v>46052</v>
      </c>
      <c r="K68" s="99">
        <v>1</v>
      </c>
      <c r="L68" s="165"/>
      <c r="M68" s="165"/>
      <c r="N68" s="165"/>
      <c r="O68" s="165"/>
      <c r="P68" s="165"/>
      <c r="Q68" s="165"/>
      <c r="R68" s="99"/>
      <c r="S68" s="99"/>
    </row>
    <row r="69" spans="1:19">
      <c r="A69" s="78" t="str">
        <f>'BRSA SORTIES'!C67</f>
        <v>MEUNIER</v>
      </c>
      <c r="B69" s="78" t="str">
        <f>'BRSA SORTIES'!D67</f>
        <v>Yann</v>
      </c>
      <c r="C69" s="78">
        <v>20</v>
      </c>
      <c r="D69" s="78">
        <v>20</v>
      </c>
      <c r="E69" s="78">
        <v>20</v>
      </c>
      <c r="F69" s="78">
        <v>20</v>
      </c>
      <c r="G69" s="78">
        <v>20</v>
      </c>
      <c r="H69" s="78"/>
      <c r="I69" s="89" t="s">
        <v>479</v>
      </c>
      <c r="J69" s="132">
        <v>46058</v>
      </c>
      <c r="K69" s="99">
        <v>1</v>
      </c>
      <c r="L69" s="165"/>
      <c r="M69" s="165"/>
      <c r="N69" s="165"/>
      <c r="O69" s="165"/>
      <c r="P69" s="165"/>
      <c r="Q69" s="165"/>
      <c r="R69" s="99"/>
      <c r="S69" s="99"/>
    </row>
    <row r="70" spans="1:19">
      <c r="A70" s="78" t="str">
        <f>'CROIX BLANCHE PG'!C79</f>
        <v xml:space="preserve">MOLL </v>
      </c>
      <c r="B70" s="78" t="str">
        <f>'CROIX BLANCHE PG'!D79</f>
        <v>Armand</v>
      </c>
      <c r="C70" s="78"/>
      <c r="D70" s="78"/>
      <c r="E70" s="78"/>
      <c r="F70" s="78"/>
      <c r="G70" s="78"/>
      <c r="H70" s="78"/>
      <c r="I70" s="89"/>
      <c r="J70" s="99"/>
      <c r="K70" s="99"/>
      <c r="L70" s="165"/>
      <c r="M70" s="165"/>
      <c r="N70" s="165"/>
      <c r="O70" s="165"/>
      <c r="P70" s="165"/>
      <c r="Q70" s="165"/>
      <c r="R70" s="99"/>
      <c r="S70" s="99"/>
    </row>
    <row r="71" spans="1:19">
      <c r="A71" s="78" t="str">
        <f>'CROIX BLANCHE PG'!C80</f>
        <v>MOLLA</v>
      </c>
      <c r="B71" s="78" t="str">
        <f>'CROIX BLANCHE PG'!D80</f>
        <v>Romina</v>
      </c>
      <c r="C71" s="78">
        <v>20</v>
      </c>
      <c r="D71" s="78">
        <v>20</v>
      </c>
      <c r="E71" s="78"/>
      <c r="F71" s="78"/>
      <c r="G71" s="78"/>
      <c r="H71" s="78"/>
      <c r="I71" s="89" t="s">
        <v>479</v>
      </c>
      <c r="J71" s="132">
        <v>46197</v>
      </c>
      <c r="K71" s="99">
        <v>1</v>
      </c>
      <c r="L71" s="165"/>
      <c r="M71" s="165"/>
      <c r="N71" s="165"/>
      <c r="O71" s="165"/>
      <c r="P71" s="165"/>
      <c r="Q71" s="165"/>
      <c r="R71" s="99"/>
      <c r="S71" s="99"/>
    </row>
    <row r="72" spans="1:19">
      <c r="A72" s="78" t="s">
        <v>1089</v>
      </c>
      <c r="B72" s="78"/>
      <c r="C72" s="78"/>
      <c r="D72" s="78"/>
      <c r="E72" s="78"/>
      <c r="F72" s="78"/>
      <c r="G72" s="78"/>
      <c r="H72" s="78"/>
      <c r="I72" s="89"/>
      <c r="J72" s="99"/>
      <c r="K72" s="99"/>
      <c r="L72" s="165"/>
      <c r="M72" s="165"/>
      <c r="N72" s="165"/>
      <c r="O72" s="165"/>
      <c r="P72" s="165"/>
      <c r="Q72" s="165"/>
      <c r="R72" s="99"/>
      <c r="S72" s="99"/>
    </row>
    <row r="73" spans="1:19">
      <c r="A73" s="78" t="str">
        <f>'BRSA SORTIES'!C73</f>
        <v>MOREL</v>
      </c>
      <c r="B73" s="78" t="str">
        <f>'BRSA SORTIES'!D73</f>
        <v>Alexandre</v>
      </c>
      <c r="C73" s="78">
        <v>60</v>
      </c>
      <c r="D73" s="78">
        <v>60</v>
      </c>
      <c r="E73" s="78">
        <v>60</v>
      </c>
      <c r="F73" s="78">
        <v>60</v>
      </c>
      <c r="G73" s="78">
        <v>60</v>
      </c>
      <c r="H73" s="78">
        <v>60</v>
      </c>
      <c r="I73" s="89" t="s">
        <v>479</v>
      </c>
      <c r="J73" s="132">
        <v>46051</v>
      </c>
      <c r="K73" s="99">
        <v>1</v>
      </c>
      <c r="L73" s="165"/>
      <c r="M73" s="165"/>
      <c r="N73" s="165"/>
      <c r="O73" s="165"/>
      <c r="P73" s="165"/>
      <c r="Q73" s="165"/>
      <c r="R73" s="99"/>
      <c r="S73" s="99"/>
    </row>
    <row r="74" spans="1:19">
      <c r="A74" s="78" t="str">
        <f>'BRSA SORTIES'!C74</f>
        <v>MOREL</v>
      </c>
      <c r="B74" s="78" t="str">
        <f>'BRSA SORTIES'!D74</f>
        <v>Virginie</v>
      </c>
      <c r="C74" s="78">
        <v>60</v>
      </c>
      <c r="D74" s="78">
        <v>60</v>
      </c>
      <c r="E74" s="78">
        <v>60</v>
      </c>
      <c r="F74" s="78">
        <v>60</v>
      </c>
      <c r="G74" s="78"/>
      <c r="H74" s="78"/>
      <c r="I74" s="89" t="s">
        <v>479</v>
      </c>
      <c r="J74" s="132">
        <v>46060</v>
      </c>
      <c r="K74" s="99">
        <v>1</v>
      </c>
      <c r="L74" s="165"/>
      <c r="M74" s="165"/>
      <c r="N74" s="165"/>
      <c r="O74" s="165"/>
      <c r="P74" s="165"/>
      <c r="Q74" s="165"/>
      <c r="R74" s="99"/>
      <c r="S74" s="99"/>
    </row>
    <row r="75" spans="1:19">
      <c r="A75" s="78" t="str">
        <f>'CROIX BLANCHE PG'!C81</f>
        <v>MOSES</v>
      </c>
      <c r="B75" s="78" t="str">
        <f>'CROIX BLANCHE PG'!D81</f>
        <v>Jal</v>
      </c>
      <c r="C75" s="78">
        <v>60</v>
      </c>
      <c r="D75" s="78"/>
      <c r="E75" s="78"/>
      <c r="F75" s="78"/>
      <c r="G75" s="78"/>
      <c r="H75" s="78"/>
      <c r="I75" s="89"/>
      <c r="J75" s="99"/>
      <c r="K75" s="99"/>
      <c r="L75" s="165"/>
      <c r="M75" s="165"/>
      <c r="N75" s="165"/>
      <c r="O75" s="165"/>
      <c r="P75" s="165"/>
      <c r="Q75" s="165"/>
      <c r="R75" s="99"/>
      <c r="S75" s="99"/>
    </row>
    <row r="76" spans="1:19">
      <c r="A76" s="78" t="str">
        <f>'BRSA SORTIES'!C75</f>
        <v>MOSSMAN</v>
      </c>
      <c r="B76" s="78" t="str">
        <f>'BRSA SORTIES'!D75</f>
        <v>Tiaré</v>
      </c>
      <c r="C76" s="78">
        <v>20</v>
      </c>
      <c r="D76" s="78"/>
      <c r="E76" s="78"/>
      <c r="F76" s="78"/>
      <c r="G76" s="78"/>
      <c r="H76" s="78"/>
      <c r="I76" s="89" t="s">
        <v>479</v>
      </c>
      <c r="J76" s="132">
        <v>46198</v>
      </c>
      <c r="K76" s="99">
        <v>1</v>
      </c>
      <c r="L76" s="165"/>
      <c r="M76" s="165"/>
      <c r="N76" s="165"/>
      <c r="O76" s="165"/>
      <c r="P76" s="165"/>
      <c r="Q76" s="165"/>
      <c r="R76" s="99"/>
      <c r="S76" s="99"/>
    </row>
    <row r="77" spans="1:19">
      <c r="A77" s="78" t="e">
        <f>'CROIX BLANCHE PG'!#REF!</f>
        <v>#REF!</v>
      </c>
      <c r="B77" s="78" t="e">
        <f>'CROIX BLANCHE PG'!#REF!</f>
        <v>#REF!</v>
      </c>
      <c r="C77" s="78">
        <v>20</v>
      </c>
      <c r="D77" s="78">
        <v>20</v>
      </c>
      <c r="E77" s="78">
        <v>20</v>
      </c>
      <c r="F77" s="78">
        <v>20</v>
      </c>
      <c r="G77" s="78">
        <v>20</v>
      </c>
      <c r="H77" s="78">
        <v>20</v>
      </c>
      <c r="I77" s="434" t="s">
        <v>479</v>
      </c>
      <c r="J77" s="132">
        <v>46098</v>
      </c>
      <c r="K77" s="99">
        <v>1</v>
      </c>
      <c r="L77" s="165"/>
      <c r="M77" s="165"/>
      <c r="N77" s="165"/>
      <c r="O77" s="165"/>
      <c r="P77" s="165"/>
      <c r="Q77" s="165"/>
      <c r="R77" s="99"/>
      <c r="S77" s="99"/>
    </row>
    <row r="78" spans="1:19">
      <c r="A78" s="78" t="str">
        <f>'CROIX BLANCHE PG'!C82</f>
        <v>MOUSTOIFFA</v>
      </c>
      <c r="B78" s="78" t="str">
        <f>'CROIX BLANCHE PG'!D82</f>
        <v>Zaïna</v>
      </c>
      <c r="C78" s="78"/>
      <c r="D78" s="78"/>
      <c r="E78" s="78"/>
      <c r="F78" s="78"/>
      <c r="G78" s="78"/>
      <c r="H78" s="78"/>
      <c r="I78" s="89" t="s">
        <v>479</v>
      </c>
      <c r="J78" s="132">
        <v>46193</v>
      </c>
      <c r="K78" s="99">
        <v>1</v>
      </c>
      <c r="L78" s="165"/>
      <c r="M78" s="165"/>
      <c r="N78" s="165"/>
      <c r="O78" s="165"/>
      <c r="P78" s="165"/>
      <c r="Q78" s="165"/>
      <c r="R78" s="99"/>
      <c r="S78" s="99"/>
    </row>
    <row r="79" spans="1:19">
      <c r="A79" s="78" t="str">
        <f>'CROIX BLANCHE PG'!C83</f>
        <v>MTIMET</v>
      </c>
      <c r="B79" s="78" t="str">
        <f>'CROIX BLANCHE PG'!D83</f>
        <v>Ridha</v>
      </c>
      <c r="C79" s="78"/>
      <c r="D79" s="78"/>
      <c r="E79" s="78"/>
      <c r="F79" s="78"/>
      <c r="G79" s="78"/>
      <c r="H79" s="78"/>
      <c r="I79" s="89"/>
      <c r="J79" s="99"/>
      <c r="K79" s="99"/>
      <c r="L79" s="165"/>
      <c r="M79" s="165"/>
      <c r="N79" s="165"/>
      <c r="O79" s="165"/>
      <c r="P79" s="165"/>
      <c r="Q79" s="165"/>
      <c r="R79" s="99"/>
      <c r="S79" s="99"/>
    </row>
    <row r="80" spans="1:19">
      <c r="A80" s="78" t="s">
        <v>1080</v>
      </c>
      <c r="B80" s="78"/>
      <c r="C80" s="78"/>
      <c r="D80" s="78"/>
      <c r="E80" s="78"/>
      <c r="F80" s="78"/>
      <c r="G80" s="78"/>
      <c r="H80" s="78"/>
      <c r="I80" s="89"/>
      <c r="J80" s="99"/>
      <c r="K80" s="99"/>
      <c r="L80" s="165"/>
      <c r="M80" s="165"/>
      <c r="N80" s="165"/>
      <c r="O80" s="165"/>
      <c r="P80" s="165"/>
      <c r="Q80" s="165"/>
      <c r="R80" s="99"/>
      <c r="S80" s="99"/>
    </row>
    <row r="81" spans="1:19">
      <c r="A81" s="78" t="str">
        <f>'CROIX BLANCHE PG'!C87</f>
        <v>OULAD AYAD</v>
      </c>
      <c r="B81" s="78" t="str">
        <f>'CROIX BLANCHE PG'!D87</f>
        <v>Loubna</v>
      </c>
      <c r="C81" s="78"/>
      <c r="D81" s="78"/>
      <c r="E81" s="78"/>
      <c r="F81" s="78"/>
      <c r="G81" s="78"/>
      <c r="H81" s="78"/>
      <c r="I81" s="89"/>
      <c r="J81" s="99"/>
      <c r="K81" s="99"/>
      <c r="L81" s="165"/>
      <c r="M81" s="165"/>
      <c r="N81" s="165"/>
      <c r="O81" s="165"/>
      <c r="P81" s="165"/>
      <c r="Q81" s="165"/>
      <c r="R81" s="99"/>
      <c r="S81" s="99"/>
    </row>
    <row r="82" spans="1:19">
      <c r="A82" s="78" t="str">
        <f>'CROIX BLANCHE PG'!C88</f>
        <v>OUSMANE</v>
      </c>
      <c r="B82" s="78" t="str">
        <f>'CROIX BLANCHE PG'!D88</f>
        <v>Tidiane</v>
      </c>
      <c r="C82" s="78"/>
      <c r="D82" s="78"/>
      <c r="E82" s="78"/>
      <c r="F82" s="78"/>
      <c r="G82" s="78"/>
      <c r="H82" s="78"/>
      <c r="I82" s="89"/>
      <c r="J82" s="99"/>
      <c r="K82" s="99"/>
      <c r="L82" s="165"/>
      <c r="M82" s="165"/>
      <c r="N82" s="165"/>
      <c r="O82" s="165"/>
      <c r="P82" s="165"/>
      <c r="Q82" s="165"/>
      <c r="R82" s="99"/>
      <c r="S82" s="99"/>
    </row>
    <row r="83" spans="1:19">
      <c r="A83" s="78" t="str">
        <f>'CROIX BLANCHE PG'!C89</f>
        <v xml:space="preserve">PAGE </v>
      </c>
      <c r="B83" s="78" t="str">
        <f>'CROIX BLANCHE PG'!D89</f>
        <v>Francesca</v>
      </c>
      <c r="C83" s="78">
        <v>60</v>
      </c>
      <c r="D83" s="78">
        <v>60</v>
      </c>
      <c r="E83" s="78">
        <v>60</v>
      </c>
      <c r="F83" s="78"/>
      <c r="G83" s="78"/>
      <c r="H83" s="78"/>
      <c r="I83" s="89" t="s">
        <v>479</v>
      </c>
      <c r="J83" s="132">
        <v>46143</v>
      </c>
      <c r="K83" s="99">
        <v>1</v>
      </c>
      <c r="L83" s="165"/>
      <c r="M83" s="165"/>
      <c r="N83" s="165"/>
      <c r="O83" s="165"/>
      <c r="P83" s="165"/>
      <c r="Q83" s="165"/>
      <c r="R83" s="99"/>
      <c r="S83" s="99"/>
    </row>
    <row r="84" spans="1:19">
      <c r="A84" s="78" t="str">
        <f>'CROIX BLANCHE PG'!C90</f>
        <v>PAUVIL</v>
      </c>
      <c r="B84" s="78" t="str">
        <f>'CROIX BLANCHE PG'!D90</f>
        <v>Pauline</v>
      </c>
      <c r="C84" s="78"/>
      <c r="D84" s="78"/>
      <c r="E84" s="78"/>
      <c r="F84" s="78"/>
      <c r="G84" s="78"/>
      <c r="H84" s="78"/>
      <c r="I84" s="89" t="s">
        <v>479</v>
      </c>
      <c r="J84" s="132">
        <v>46112</v>
      </c>
      <c r="K84" s="99"/>
      <c r="L84" s="165"/>
      <c r="M84" s="165"/>
      <c r="N84" s="165"/>
      <c r="O84" s="165"/>
      <c r="P84" s="165"/>
      <c r="Q84" s="165"/>
      <c r="R84" s="99"/>
      <c r="S84" s="99"/>
    </row>
    <row r="85" spans="1:19">
      <c r="A85" s="78" t="str">
        <f>'BRSA SORTIES'!C87</f>
        <v>PEKDURU</v>
      </c>
      <c r="B85" s="78" t="str">
        <f>'BRSA SORTIES'!D87</f>
        <v>Pembe</v>
      </c>
      <c r="C85" s="78"/>
      <c r="D85" s="78"/>
      <c r="E85" s="78"/>
      <c r="F85" s="78"/>
      <c r="G85" s="78"/>
      <c r="H85" s="78"/>
      <c r="I85" s="204" t="s">
        <v>823</v>
      </c>
      <c r="J85" s="102"/>
      <c r="K85" s="99"/>
      <c r="L85" s="133"/>
      <c r="M85" s="133"/>
      <c r="N85" s="133"/>
      <c r="O85" s="133"/>
      <c r="P85" s="133"/>
      <c r="Q85" s="133"/>
      <c r="R85" s="166"/>
      <c r="S85" s="166"/>
    </row>
    <row r="86" spans="1:19">
      <c r="A86" s="78" t="str">
        <f>'CROIX BLANCHE PG'!C95</f>
        <v>PIERRE-LOUIS</v>
      </c>
      <c r="B86" s="78" t="str">
        <f>'CROIX BLANCHE PG'!D95</f>
        <v>Stephen</v>
      </c>
      <c r="C86" s="78"/>
      <c r="D86" s="78"/>
      <c r="E86" s="78"/>
      <c r="F86" s="78"/>
      <c r="G86" s="78"/>
      <c r="H86" s="78"/>
      <c r="I86" s="89"/>
      <c r="J86" s="99"/>
      <c r="K86" s="99"/>
      <c r="L86" s="165"/>
      <c r="M86" s="165"/>
      <c r="N86" s="165"/>
      <c r="O86" s="165"/>
      <c r="P86" s="165"/>
      <c r="Q86" s="165"/>
      <c r="R86" s="99"/>
      <c r="S86" s="99"/>
    </row>
    <row r="87" spans="1:19">
      <c r="A87" s="78" t="e">
        <f>'CROIX BLANCHE PG'!#REF!</f>
        <v>#REF!</v>
      </c>
      <c r="B87" s="78" t="e">
        <f>'CROIX BLANCHE PG'!#REF!</f>
        <v>#REF!</v>
      </c>
      <c r="C87" s="78">
        <v>20</v>
      </c>
      <c r="D87" s="78"/>
      <c r="E87" s="78"/>
      <c r="F87" s="78"/>
      <c r="G87" s="78"/>
      <c r="H87" s="78"/>
      <c r="I87" s="89"/>
      <c r="J87" s="99"/>
      <c r="K87" s="99"/>
      <c r="L87" s="165"/>
      <c r="M87" s="165"/>
      <c r="N87" s="165"/>
      <c r="O87" s="165"/>
      <c r="P87" s="165"/>
      <c r="Q87" s="165"/>
      <c r="R87" s="99"/>
      <c r="S87" s="99"/>
    </row>
    <row r="88" spans="1:19">
      <c r="A88" s="78" t="str">
        <f>'CROIX BLANCHE PG'!C96</f>
        <v>PINTO</v>
      </c>
      <c r="B88" s="78" t="str">
        <f>'CROIX BLANCHE PG'!D96</f>
        <v>Jason</v>
      </c>
      <c r="C88" s="78">
        <v>60</v>
      </c>
      <c r="D88" s="78">
        <v>60</v>
      </c>
      <c r="E88" s="78">
        <v>60</v>
      </c>
      <c r="F88" s="78"/>
      <c r="G88" s="78"/>
      <c r="H88" s="78"/>
      <c r="I88" s="89" t="s">
        <v>479</v>
      </c>
      <c r="J88" s="132">
        <v>46134</v>
      </c>
      <c r="K88" s="99">
        <v>1</v>
      </c>
      <c r="L88" s="165"/>
      <c r="M88" s="165"/>
      <c r="N88" s="165"/>
      <c r="O88" s="165"/>
      <c r="P88" s="165"/>
      <c r="Q88" s="165"/>
      <c r="R88" s="99"/>
      <c r="S88" s="99"/>
    </row>
    <row r="89" spans="1:19">
      <c r="A89" s="78" t="s">
        <v>1074</v>
      </c>
      <c r="B89" s="78" t="s">
        <v>1075</v>
      </c>
      <c r="C89" s="78"/>
      <c r="D89" s="78"/>
      <c r="E89" s="78"/>
      <c r="F89" s="78"/>
      <c r="G89" s="78"/>
      <c r="H89" s="78"/>
      <c r="I89" s="89"/>
      <c r="J89" s="99"/>
      <c r="K89" s="99"/>
      <c r="L89" s="165"/>
      <c r="M89" s="165"/>
      <c r="N89" s="165"/>
      <c r="O89" s="165"/>
      <c r="P89" s="165"/>
      <c r="Q89" s="165"/>
      <c r="R89" s="99"/>
      <c r="S89" s="99"/>
    </row>
    <row r="90" spans="1:19">
      <c r="A90" s="78" t="str">
        <f>'CROIX BLANCHE PG'!C99</f>
        <v>PUZIN</v>
      </c>
      <c r="B90" s="78" t="str">
        <f>'CROIX BLANCHE PG'!D99</f>
        <v>Jacky</v>
      </c>
      <c r="C90" s="78"/>
      <c r="D90" s="78"/>
      <c r="E90" s="78"/>
      <c r="F90" s="78"/>
      <c r="G90" s="78"/>
      <c r="H90" s="78"/>
      <c r="I90" s="89"/>
      <c r="J90" s="99"/>
      <c r="K90" s="99"/>
      <c r="L90" s="165"/>
      <c r="M90" s="165"/>
      <c r="N90" s="165"/>
      <c r="O90" s="165"/>
      <c r="P90" s="165"/>
      <c r="Q90" s="165"/>
      <c r="R90" s="99"/>
      <c r="S90" s="99"/>
    </row>
    <row r="91" spans="1:19">
      <c r="A91" s="78" t="s">
        <v>1068</v>
      </c>
      <c r="B91" s="78"/>
      <c r="C91" s="78"/>
      <c r="D91" s="78"/>
      <c r="E91" s="78"/>
      <c r="F91" s="78"/>
      <c r="G91" s="78"/>
      <c r="H91" s="78"/>
      <c r="I91" s="89"/>
      <c r="J91" s="99"/>
      <c r="K91" s="99"/>
      <c r="L91" s="165"/>
      <c r="M91" s="165"/>
      <c r="N91" s="165"/>
      <c r="O91" s="165"/>
      <c r="P91" s="165"/>
      <c r="Q91" s="165"/>
      <c r="R91" s="99"/>
      <c r="S91" s="99"/>
    </row>
    <row r="92" spans="1:19">
      <c r="A92" s="78" t="str">
        <f>'CROIX BLANCHE PG'!C101</f>
        <v>RHAZI</v>
      </c>
      <c r="B92" s="78" t="str">
        <f>'CROIX BLANCHE PG'!D101</f>
        <v>Abdelhakim</v>
      </c>
      <c r="C92" s="78"/>
      <c r="D92" s="78"/>
      <c r="E92" s="78"/>
      <c r="F92" s="78"/>
      <c r="G92" s="78"/>
      <c r="H92" s="78"/>
      <c r="I92" s="89" t="s">
        <v>479</v>
      </c>
      <c r="J92" s="132">
        <v>46039</v>
      </c>
      <c r="K92" s="99">
        <v>1</v>
      </c>
      <c r="L92" s="165"/>
      <c r="M92" s="165"/>
      <c r="N92" s="165"/>
      <c r="O92" s="165"/>
      <c r="P92" s="165"/>
      <c r="Q92" s="165"/>
      <c r="R92" s="132">
        <v>46219</v>
      </c>
      <c r="S92" s="99" t="s">
        <v>545</v>
      </c>
    </row>
    <row r="93" spans="1:19">
      <c r="A93" s="78" t="e">
        <f>'CROIX BLANCHE PG'!#REF!</f>
        <v>#REF!</v>
      </c>
      <c r="B93" s="78" t="e">
        <f>'CROIX BLANCHE PG'!#REF!</f>
        <v>#REF!</v>
      </c>
      <c r="C93" s="78">
        <v>20</v>
      </c>
      <c r="D93" s="78">
        <v>20</v>
      </c>
      <c r="E93" s="78">
        <v>20</v>
      </c>
      <c r="F93" s="78">
        <v>20</v>
      </c>
      <c r="G93" s="78">
        <v>20</v>
      </c>
      <c r="H93" s="78">
        <v>20</v>
      </c>
      <c r="I93" s="89" t="s">
        <v>479</v>
      </c>
      <c r="J93" s="132">
        <v>46076</v>
      </c>
      <c r="K93" s="99">
        <v>1</v>
      </c>
      <c r="L93" s="165"/>
      <c r="M93" s="165"/>
      <c r="N93" s="165"/>
      <c r="O93" s="165"/>
      <c r="P93" s="165"/>
      <c r="Q93" s="165"/>
      <c r="R93" s="99"/>
      <c r="S93" s="99"/>
    </row>
    <row r="94" spans="1:19">
      <c r="A94" s="78" t="str">
        <f>'CROIX BLANCHE PG'!C102</f>
        <v>ROIDA</v>
      </c>
      <c r="B94" s="78" t="str">
        <f>'CROIX BLANCHE PG'!D102</f>
        <v>Hamid</v>
      </c>
      <c r="C94" s="78"/>
      <c r="D94" s="78"/>
      <c r="E94" s="78"/>
      <c r="F94" s="78"/>
      <c r="G94" s="78"/>
      <c r="H94" s="78"/>
      <c r="I94" s="89"/>
      <c r="J94" s="99"/>
      <c r="K94" s="99"/>
      <c r="L94" s="165"/>
      <c r="M94" s="165"/>
      <c r="N94" s="165"/>
      <c r="O94" s="165"/>
      <c r="P94" s="165"/>
      <c r="Q94" s="165"/>
      <c r="R94" s="99"/>
      <c r="S94" s="99"/>
    </row>
    <row r="95" spans="1:19">
      <c r="A95" s="78" t="str">
        <f>'BRSA SORTIES'!C96</f>
        <v>ROUSSEAUX</v>
      </c>
      <c r="B95" s="78" t="str">
        <f>'BRSA SORTIES'!D96</f>
        <v>Frédéric</v>
      </c>
      <c r="C95" s="78">
        <v>20</v>
      </c>
      <c r="D95" s="78">
        <v>20</v>
      </c>
      <c r="E95" s="78">
        <v>20</v>
      </c>
      <c r="F95" s="78"/>
      <c r="G95" s="78"/>
      <c r="H95" s="78"/>
      <c r="I95" s="202" t="s">
        <v>821</v>
      </c>
      <c r="J95" s="132">
        <v>46098</v>
      </c>
      <c r="K95" s="99"/>
      <c r="L95" s="165"/>
      <c r="M95" s="165"/>
      <c r="N95" s="165"/>
      <c r="O95" s="165"/>
      <c r="P95" s="165"/>
      <c r="Q95" s="165"/>
      <c r="R95" s="99"/>
      <c r="S95" s="99"/>
    </row>
    <row r="96" spans="1:19">
      <c r="A96" s="78" t="str">
        <f>'CROIX BLANCHE PG'!C103</f>
        <v>RUSITI</v>
      </c>
      <c r="B96" s="78" t="str">
        <f>'CROIX BLANCHE PG'!D103</f>
        <v>Silvano</v>
      </c>
      <c r="C96" s="78"/>
      <c r="D96" s="78"/>
      <c r="E96" s="78"/>
      <c r="F96" s="78"/>
      <c r="G96" s="78"/>
      <c r="H96" s="78"/>
      <c r="I96" s="89"/>
      <c r="J96" s="99"/>
      <c r="K96" s="99"/>
      <c r="L96" s="165"/>
      <c r="M96" s="165"/>
      <c r="N96" s="165"/>
      <c r="O96" s="165"/>
      <c r="P96" s="165"/>
      <c r="Q96" s="165"/>
      <c r="R96" s="99"/>
      <c r="S96" s="99"/>
    </row>
    <row r="97" spans="1:19">
      <c r="A97" s="78" t="str">
        <f>'BRSA SORTIES'!C97</f>
        <v>SAEED</v>
      </c>
      <c r="B97" s="78" t="str">
        <f>'BRSA SORTIES'!D97</f>
        <v>Sumaia</v>
      </c>
      <c r="C97" s="78">
        <v>60</v>
      </c>
      <c r="D97" s="78">
        <v>60</v>
      </c>
      <c r="E97" s="78">
        <v>60</v>
      </c>
      <c r="F97" s="78"/>
      <c r="G97" s="78"/>
      <c r="H97" s="78"/>
      <c r="I97" s="89" t="s">
        <v>479</v>
      </c>
      <c r="J97" s="132">
        <v>46060</v>
      </c>
      <c r="K97" s="99">
        <v>1</v>
      </c>
      <c r="L97" s="165"/>
      <c r="M97" s="165"/>
      <c r="N97" s="165"/>
      <c r="O97" s="165"/>
      <c r="P97" s="165"/>
      <c r="Q97" s="165"/>
      <c r="R97" s="99"/>
      <c r="S97" s="99"/>
    </row>
    <row r="98" spans="1:19">
      <c r="A98" s="78" t="str">
        <f>'BRSA SORTIES'!C99</f>
        <v>SATTA</v>
      </c>
      <c r="B98" s="78" t="str">
        <f>'BRSA SORTIES'!D99</f>
        <v>Saadia</v>
      </c>
      <c r="C98" s="78">
        <v>30</v>
      </c>
      <c r="D98" s="78">
        <v>30</v>
      </c>
      <c r="E98" s="78">
        <v>30</v>
      </c>
      <c r="F98" s="78"/>
      <c r="G98" s="78"/>
      <c r="H98" s="78" t="s">
        <v>1408</v>
      </c>
      <c r="I98" s="89" t="s">
        <v>479</v>
      </c>
      <c r="J98" s="102"/>
      <c r="K98" s="99"/>
      <c r="L98" s="133"/>
      <c r="M98" s="133"/>
      <c r="N98" s="133"/>
      <c r="O98" s="133"/>
      <c r="P98" s="133"/>
      <c r="Q98" s="133"/>
      <c r="R98" s="166"/>
      <c r="S98" s="166"/>
    </row>
    <row r="99" spans="1:19">
      <c r="A99" s="78" t="str">
        <f>'BRSA SORTIES'!C100</f>
        <v>SAVOVA</v>
      </c>
      <c r="B99" s="78" t="str">
        <f>'BRSA SORTIES'!D100</f>
        <v>Snejana</v>
      </c>
      <c r="C99" s="78">
        <v>20</v>
      </c>
      <c r="D99" s="78">
        <v>20</v>
      </c>
      <c r="E99" s="78">
        <v>20</v>
      </c>
      <c r="F99" s="78">
        <v>20</v>
      </c>
      <c r="G99" s="78"/>
      <c r="H99" s="78"/>
      <c r="I99" s="89" t="s">
        <v>479</v>
      </c>
      <c r="J99" s="132">
        <v>46058</v>
      </c>
      <c r="K99" s="99">
        <v>1</v>
      </c>
      <c r="L99" s="165"/>
      <c r="M99" s="165"/>
      <c r="N99" s="165"/>
      <c r="O99" s="165"/>
      <c r="P99" s="165"/>
      <c r="Q99" s="165"/>
      <c r="R99" s="99"/>
      <c r="S99" s="99"/>
    </row>
    <row r="100" spans="1:19">
      <c r="A100" s="78" t="str">
        <f>'CROIX BLANCHE PG'!C104</f>
        <v>SAWAS</v>
      </c>
      <c r="B100" s="78" t="str">
        <f>'CROIX BLANCHE PG'!D104</f>
        <v>Fatina</v>
      </c>
      <c r="C100" s="78"/>
      <c r="D100" s="78"/>
      <c r="E100" s="78"/>
      <c r="F100" s="78"/>
      <c r="G100" s="78"/>
      <c r="H100" s="78"/>
      <c r="I100" s="88"/>
      <c r="J100" s="102"/>
      <c r="K100" s="99"/>
      <c r="L100" s="133"/>
      <c r="M100" s="133"/>
      <c r="N100" s="133"/>
      <c r="O100" s="133"/>
      <c r="P100" s="133"/>
      <c r="Q100" s="133"/>
      <c r="R100" s="166"/>
      <c r="S100" s="166"/>
    </row>
    <row r="101" spans="1:19">
      <c r="A101" s="78" t="str">
        <f>'BRSA SORTIES'!C101</f>
        <v>SAYAH</v>
      </c>
      <c r="B101" s="78" t="str">
        <f>'BRSA SORTIES'!D101</f>
        <v>Fatma</v>
      </c>
      <c r="C101" s="78">
        <v>60</v>
      </c>
      <c r="D101" s="78">
        <v>60</v>
      </c>
      <c r="E101" s="78">
        <v>60</v>
      </c>
      <c r="F101" s="78">
        <v>60</v>
      </c>
      <c r="G101" s="78">
        <v>60</v>
      </c>
      <c r="H101" s="78"/>
      <c r="I101" s="435" t="s">
        <v>479</v>
      </c>
      <c r="J101" s="132">
        <v>46061</v>
      </c>
      <c r="K101" s="99">
        <v>1</v>
      </c>
      <c r="L101" s="165"/>
      <c r="M101" s="165"/>
      <c r="N101" s="165"/>
      <c r="O101" s="165"/>
      <c r="P101" s="165"/>
      <c r="Q101" s="165"/>
      <c r="R101" s="99"/>
      <c r="S101" s="99"/>
    </row>
    <row r="102" spans="1:19" hidden="1">
      <c r="A102" s="78" t="e">
        <f>'CROIX BLANCHE PG'!#REF!</f>
        <v>#REF!</v>
      </c>
      <c r="B102" s="78" t="e">
        <f>'CROIX BLANCHE PG'!#REF!</f>
        <v>#REF!</v>
      </c>
      <c r="C102" s="78">
        <v>30</v>
      </c>
      <c r="D102" s="78">
        <v>60</v>
      </c>
      <c r="E102" s="78">
        <v>60</v>
      </c>
      <c r="F102" s="78"/>
      <c r="G102" s="78"/>
      <c r="H102" s="78"/>
      <c r="I102" s="85"/>
      <c r="J102" s="99"/>
      <c r="K102" s="99"/>
      <c r="L102" s="165"/>
      <c r="M102" s="165"/>
      <c r="N102" s="165"/>
      <c r="O102" s="165"/>
      <c r="P102" s="165"/>
      <c r="Q102" s="165"/>
      <c r="R102" s="99"/>
      <c r="S102" s="99"/>
    </row>
    <row r="103" spans="1:19" hidden="1">
      <c r="A103" s="78" t="str">
        <f>'BRSA SORTIES'!C107</f>
        <v>STHELY</v>
      </c>
      <c r="B103" s="78" t="str">
        <f>'BRSA SORTIES'!D107</f>
        <v>Séverine</v>
      </c>
      <c r="C103" s="78"/>
      <c r="D103" s="78"/>
      <c r="E103" s="78"/>
      <c r="F103" s="78"/>
      <c r="G103" s="78"/>
      <c r="H103" s="78"/>
      <c r="I103" s="85"/>
      <c r="J103" s="99"/>
      <c r="K103" s="99"/>
      <c r="L103" s="165"/>
      <c r="M103" s="165"/>
      <c r="N103" s="165"/>
      <c r="O103" s="165"/>
      <c r="P103" s="165"/>
      <c r="Q103" s="165"/>
      <c r="R103" s="99"/>
      <c r="S103" s="99"/>
    </row>
    <row r="104" spans="1:19">
      <c r="A104" s="78" t="e">
        <f>'CROIX BLANCHE PG'!#REF!</f>
        <v>#REF!</v>
      </c>
      <c r="B104" s="78" t="e">
        <f>'CROIX BLANCHE PG'!#REF!</f>
        <v>#REF!</v>
      </c>
      <c r="C104" s="78">
        <v>60</v>
      </c>
      <c r="D104" s="78">
        <v>60</v>
      </c>
      <c r="E104" s="78">
        <v>60</v>
      </c>
      <c r="F104" s="78">
        <v>60</v>
      </c>
      <c r="G104" s="78">
        <v>60</v>
      </c>
      <c r="H104" s="78">
        <v>60</v>
      </c>
      <c r="I104" s="205" t="s">
        <v>479</v>
      </c>
      <c r="J104" s="132">
        <v>46093</v>
      </c>
      <c r="K104" s="99">
        <v>1</v>
      </c>
      <c r="L104" s="165"/>
      <c r="M104" s="165"/>
      <c r="N104" s="165"/>
      <c r="O104" s="165"/>
      <c r="P104" s="165"/>
      <c r="Q104" s="165"/>
      <c r="R104" s="99"/>
      <c r="S104" s="99"/>
    </row>
    <row r="105" spans="1:19" hidden="1">
      <c r="A105" s="78" t="e">
        <f>'CROIX BLANCHE PG'!#REF!</f>
        <v>#REF!</v>
      </c>
      <c r="B105" s="78" t="e">
        <f>'CROIX BLANCHE PG'!#REF!</f>
        <v>#REF!</v>
      </c>
      <c r="C105" s="78"/>
      <c r="D105" s="78"/>
      <c r="E105" s="78"/>
      <c r="F105" s="78"/>
      <c r="G105" s="78"/>
      <c r="H105" s="78"/>
      <c r="I105" s="85"/>
      <c r="J105" s="99"/>
      <c r="K105" s="99"/>
      <c r="L105" s="165"/>
      <c r="M105" s="165"/>
      <c r="N105" s="165"/>
      <c r="O105" s="165"/>
      <c r="P105" s="165"/>
      <c r="Q105" s="165"/>
      <c r="R105" s="99"/>
      <c r="S105" s="99"/>
    </row>
    <row r="106" spans="1:19" hidden="1">
      <c r="A106" s="78" t="str">
        <f>'CROIX BLANCHE PG'!C108</f>
        <v>TOMAT</v>
      </c>
      <c r="B106" s="78" t="str">
        <f>'CROIX BLANCHE PG'!D108</f>
        <v>Antoine</v>
      </c>
      <c r="C106" s="78"/>
      <c r="D106" s="78"/>
      <c r="E106" s="78"/>
      <c r="F106" s="78"/>
      <c r="G106" s="78"/>
      <c r="H106" s="78"/>
      <c r="I106" s="85"/>
      <c r="J106" s="99"/>
      <c r="K106" s="99"/>
      <c r="L106" s="165"/>
      <c r="M106" s="165"/>
      <c r="N106" s="165"/>
      <c r="O106" s="165"/>
      <c r="P106" s="165"/>
      <c r="Q106" s="165"/>
      <c r="R106" s="99"/>
      <c r="S106" s="99"/>
    </row>
    <row r="107" spans="1:19" hidden="1">
      <c r="A107" s="78" t="s">
        <v>1081</v>
      </c>
      <c r="B107" s="78" t="s">
        <v>1082</v>
      </c>
      <c r="C107" s="78"/>
      <c r="D107" s="78"/>
      <c r="E107" s="78"/>
      <c r="F107" s="78"/>
      <c r="G107" s="78"/>
      <c r="H107" s="78"/>
      <c r="I107" s="85"/>
      <c r="J107" s="99"/>
      <c r="K107" s="99"/>
      <c r="L107" s="165"/>
      <c r="M107" s="165"/>
      <c r="N107" s="165"/>
      <c r="O107" s="165"/>
      <c r="P107" s="165"/>
      <c r="Q107" s="165"/>
      <c r="R107" s="99"/>
      <c r="S107" s="99"/>
    </row>
    <row r="108" spans="1:19">
      <c r="A108" s="78" t="str">
        <f>'CROIX BLANCHE PG'!C109</f>
        <v>URYN</v>
      </c>
      <c r="B108" s="78" t="str">
        <f>'CROIX BLANCHE PG'!D109</f>
        <v>Marcin-Pawel</v>
      </c>
      <c r="C108" s="78">
        <v>20</v>
      </c>
      <c r="D108" s="78">
        <v>20</v>
      </c>
      <c r="E108" s="78">
        <v>20</v>
      </c>
      <c r="F108" s="78">
        <v>60</v>
      </c>
      <c r="G108" s="78">
        <v>60</v>
      </c>
      <c r="H108" s="78">
        <v>60</v>
      </c>
      <c r="I108" s="89" t="s">
        <v>479</v>
      </c>
      <c r="J108" s="132">
        <v>46091</v>
      </c>
      <c r="K108" s="99">
        <v>1</v>
      </c>
      <c r="L108" s="165"/>
      <c r="M108" s="165"/>
      <c r="N108" s="165"/>
      <c r="O108" s="165"/>
      <c r="P108" s="165"/>
      <c r="Q108" s="165"/>
      <c r="R108" s="99"/>
      <c r="S108" s="99"/>
    </row>
    <row r="109" spans="1:19" hidden="1">
      <c r="A109" s="78" t="str">
        <f>'CROIX BLANCHE PG'!C111</f>
        <v>VAUPRE</v>
      </c>
      <c r="B109" s="78" t="str">
        <f>'CROIX BLANCHE PG'!D111</f>
        <v>Kévin</v>
      </c>
      <c r="C109" s="78"/>
      <c r="D109" s="78"/>
      <c r="E109" s="78"/>
      <c r="F109" s="78"/>
      <c r="G109" s="78"/>
      <c r="H109" s="78"/>
      <c r="I109" s="85"/>
      <c r="J109" s="99"/>
      <c r="K109" s="99"/>
      <c r="L109" s="165"/>
      <c r="M109" s="165"/>
      <c r="N109" s="165"/>
      <c r="O109" s="165"/>
      <c r="P109" s="165"/>
      <c r="Q109" s="165"/>
      <c r="R109" s="99"/>
      <c r="S109" s="99"/>
    </row>
    <row r="110" spans="1:19" hidden="1">
      <c r="A110" s="78" t="str">
        <f>'BRSA SORTIES'!C113</f>
        <v>VEGLIANTI</v>
      </c>
      <c r="B110" s="78" t="str">
        <f>'BRSA SORTIES'!D113</f>
        <v>Olivier</v>
      </c>
      <c r="C110" s="78">
        <v>20</v>
      </c>
      <c r="D110" s="78">
        <v>20</v>
      </c>
      <c r="E110" s="78">
        <v>20</v>
      </c>
      <c r="F110" s="78">
        <v>20</v>
      </c>
      <c r="G110" s="78">
        <v>20</v>
      </c>
      <c r="H110" s="78">
        <v>20</v>
      </c>
      <c r="I110" s="203" t="s">
        <v>822</v>
      </c>
      <c r="J110" s="132">
        <v>46098</v>
      </c>
      <c r="K110" s="99">
        <v>1</v>
      </c>
      <c r="L110" s="165"/>
      <c r="M110" s="165"/>
      <c r="N110" s="165"/>
      <c r="O110" s="165"/>
      <c r="P110" s="165"/>
      <c r="Q110" s="165"/>
      <c r="R110" s="99"/>
      <c r="S110" s="99"/>
    </row>
    <row r="111" spans="1:19" hidden="1">
      <c r="A111" s="78" t="str">
        <f>'CROIX BLANCHE PG'!C112</f>
        <v>VERRES</v>
      </c>
      <c r="B111" s="78" t="str">
        <f>'CROIX BLANCHE PG'!D112</f>
        <v>Alan</v>
      </c>
      <c r="C111" s="78"/>
      <c r="D111" s="78"/>
      <c r="E111" s="78"/>
      <c r="F111" s="78"/>
      <c r="G111" s="78"/>
      <c r="H111" s="78"/>
      <c r="I111" s="85"/>
      <c r="J111" s="99"/>
      <c r="K111" s="99"/>
      <c r="L111" s="165"/>
      <c r="M111" s="165"/>
      <c r="N111" s="165"/>
      <c r="O111" s="165"/>
      <c r="P111" s="165"/>
      <c r="Q111" s="165"/>
      <c r="R111" s="99"/>
      <c r="S111" s="99"/>
    </row>
    <row r="112" spans="1:19">
      <c r="A112" s="78" t="e">
        <f>'CROIX BLANCHE PG'!#REF!</f>
        <v>#REF!</v>
      </c>
      <c r="B112" s="78" t="e">
        <f>'CROIX BLANCHE PG'!#REF!</f>
        <v>#REF!</v>
      </c>
      <c r="C112" s="78"/>
      <c r="D112" s="78"/>
      <c r="E112" s="78"/>
      <c r="F112" s="78"/>
      <c r="G112" s="78"/>
      <c r="H112" s="78"/>
      <c r="I112" s="89" t="s">
        <v>479</v>
      </c>
      <c r="J112" s="132">
        <v>46044</v>
      </c>
      <c r="K112" s="99">
        <v>1</v>
      </c>
      <c r="L112" s="165"/>
      <c r="M112" s="165"/>
      <c r="N112" s="165"/>
      <c r="O112" s="165"/>
      <c r="P112" s="165"/>
      <c r="Q112" s="165"/>
      <c r="R112" s="99"/>
      <c r="S112" s="99"/>
    </row>
    <row r="113" spans="1:19" hidden="1">
      <c r="A113" s="78" t="str">
        <f>'CROIX BLANCHE PG'!C114</f>
        <v>ZARZAR</v>
      </c>
      <c r="B113" s="78" t="str">
        <f>'CROIX BLANCHE PG'!D114</f>
        <v>Ilhame</v>
      </c>
      <c r="C113" s="78">
        <v>60</v>
      </c>
      <c r="D113" s="78">
        <v>60</v>
      </c>
      <c r="E113" s="78">
        <v>60</v>
      </c>
      <c r="F113" s="78">
        <v>60</v>
      </c>
      <c r="G113" s="78">
        <v>60</v>
      </c>
      <c r="H113" s="78">
        <v>60</v>
      </c>
      <c r="I113" s="85"/>
      <c r="J113" s="99"/>
      <c r="K113" s="99"/>
      <c r="L113" s="165"/>
      <c r="M113" s="165"/>
      <c r="N113" s="165"/>
      <c r="O113" s="165"/>
      <c r="P113" s="165"/>
      <c r="Q113" s="165"/>
      <c r="R113" s="99"/>
      <c r="S113" s="99"/>
    </row>
    <row r="114" spans="1:19">
      <c r="A114" s="78" t="str">
        <f>'BRSA SORTIES'!C121</f>
        <v>ZOUNOUH</v>
      </c>
      <c r="B114" s="78" t="str">
        <f>'BRSA SORTIES'!D121</f>
        <v>El Houssaine</v>
      </c>
      <c r="C114" s="78">
        <v>20</v>
      </c>
      <c r="D114" s="78">
        <v>20</v>
      </c>
      <c r="E114" s="78">
        <v>20</v>
      </c>
      <c r="F114" s="78">
        <v>40</v>
      </c>
      <c r="G114" s="78">
        <v>40</v>
      </c>
      <c r="H114" s="78">
        <v>40</v>
      </c>
      <c r="I114" s="89" t="s">
        <v>479</v>
      </c>
      <c r="J114" s="132">
        <v>46081</v>
      </c>
      <c r="K114" s="99">
        <v>1</v>
      </c>
      <c r="L114" s="165"/>
      <c r="M114" s="165"/>
      <c r="N114" s="165"/>
      <c r="O114" s="165"/>
      <c r="P114" s="165"/>
      <c r="Q114" s="165"/>
      <c r="R114" s="99"/>
      <c r="S114" s="99"/>
    </row>
    <row r="115" spans="1:19">
      <c r="C115" s="78"/>
      <c r="D115" s="78"/>
      <c r="E115" s="78"/>
      <c r="F115" s="78"/>
      <c r="G115" s="78"/>
      <c r="H115" s="78"/>
      <c r="I115" s="98"/>
      <c r="J115" s="99"/>
      <c r="K115" s="99"/>
      <c r="L115" s="165"/>
      <c r="M115" s="165"/>
      <c r="N115" s="165"/>
      <c r="O115" s="165"/>
      <c r="P115" s="165"/>
      <c r="Q115" s="165"/>
      <c r="R115" s="99"/>
      <c r="S115" s="166"/>
    </row>
    <row r="116" spans="1:19">
      <c r="A116" s="78">
        <f>'CROIX BLANCHE PG'!C116</f>
        <v>0</v>
      </c>
      <c r="B116" s="78">
        <f>'CROIX BLANCHE PG'!D116</f>
        <v>0</v>
      </c>
      <c r="C116" s="78"/>
      <c r="D116" s="78"/>
      <c r="E116" s="78"/>
      <c r="F116" s="78"/>
      <c r="G116" s="78"/>
      <c r="H116" s="78"/>
      <c r="I116" s="98"/>
      <c r="J116" s="99"/>
      <c r="K116" s="99"/>
      <c r="L116" s="165"/>
      <c r="M116" s="165"/>
      <c r="N116" s="165"/>
      <c r="O116" s="165"/>
      <c r="P116" s="165"/>
      <c r="Q116" s="165"/>
      <c r="R116" s="99"/>
      <c r="S116" s="99"/>
    </row>
    <row r="117" spans="1:19">
      <c r="A117" s="78">
        <f>'CROIX BLANCHE PG'!C117</f>
        <v>0</v>
      </c>
      <c r="B117" s="78">
        <f>'CROIX BLANCHE PG'!D117</f>
        <v>0</v>
      </c>
      <c r="C117" s="78"/>
      <c r="D117" s="78"/>
      <c r="E117" s="78"/>
      <c r="F117" s="78"/>
      <c r="G117" s="78"/>
      <c r="H117" s="78"/>
      <c r="I117" s="98"/>
      <c r="J117" s="99"/>
      <c r="K117" s="99"/>
      <c r="L117" s="165"/>
      <c r="M117" s="165"/>
      <c r="N117" s="165"/>
      <c r="O117" s="165"/>
      <c r="P117" s="165"/>
      <c r="Q117" s="165"/>
      <c r="R117" s="99"/>
      <c r="S117" s="99"/>
    </row>
    <row r="118" spans="1:19">
      <c r="A118" s="78">
        <f>'CROIX BLANCHE PG'!C118</f>
        <v>0</v>
      </c>
      <c r="B118" s="78">
        <f>'CROIX BLANCHE PG'!D118</f>
        <v>0</v>
      </c>
      <c r="C118" s="78"/>
      <c r="D118" s="78"/>
      <c r="E118" s="78"/>
      <c r="F118" s="78"/>
      <c r="G118" s="78"/>
      <c r="H118" s="78"/>
      <c r="I118" s="98"/>
      <c r="J118" s="99"/>
      <c r="K118" s="99"/>
      <c r="L118" s="165"/>
      <c r="M118" s="165"/>
      <c r="N118" s="165"/>
      <c r="O118" s="165"/>
      <c r="P118" s="165"/>
      <c r="Q118" s="165"/>
      <c r="R118" s="99"/>
      <c r="S118" s="99"/>
    </row>
    <row r="119" spans="1:19">
      <c r="A119" s="78">
        <f>'CROIX BLANCHE PG'!C119</f>
        <v>0</v>
      </c>
      <c r="B119" s="78">
        <f>'CROIX BLANCHE PG'!D119</f>
        <v>0</v>
      </c>
      <c r="C119" s="78"/>
      <c r="D119" s="78"/>
      <c r="E119" s="78"/>
      <c r="F119" s="78"/>
      <c r="G119" s="78"/>
      <c r="H119" s="78"/>
      <c r="I119" s="98"/>
      <c r="J119" s="99"/>
      <c r="K119" s="99"/>
      <c r="L119" s="165"/>
      <c r="M119" s="165"/>
      <c r="N119" s="165"/>
      <c r="O119" s="165"/>
      <c r="P119" s="165"/>
      <c r="Q119" s="165"/>
      <c r="R119" s="99"/>
      <c r="S119" s="99"/>
    </row>
    <row r="120" spans="1:19">
      <c r="A120" s="78">
        <f>'CROIX BLANCHE PG'!C120</f>
        <v>0</v>
      </c>
      <c r="B120" s="78">
        <f>'CROIX BLANCHE PG'!D120</f>
        <v>0</v>
      </c>
      <c r="C120" s="78"/>
      <c r="D120" s="78"/>
      <c r="E120" s="78"/>
      <c r="F120" s="78"/>
      <c r="G120" s="78"/>
      <c r="H120" s="78"/>
      <c r="I120" s="98"/>
      <c r="J120" s="99"/>
      <c r="K120" s="99"/>
      <c r="L120" s="165"/>
      <c r="M120" s="165"/>
      <c r="N120" s="165"/>
      <c r="O120" s="165"/>
      <c r="P120" s="165"/>
      <c r="Q120" s="165"/>
      <c r="R120" s="99"/>
      <c r="S120" s="99"/>
    </row>
    <row r="121" spans="1:19">
      <c r="A121" s="78">
        <f>'CROIX BLANCHE PG'!C121</f>
        <v>0</v>
      </c>
      <c r="B121" s="78">
        <f>'CROIX BLANCHE PG'!D121</f>
        <v>0</v>
      </c>
      <c r="C121" s="78"/>
      <c r="D121" s="78"/>
      <c r="E121" s="78"/>
      <c r="F121" s="78"/>
      <c r="G121" s="78"/>
      <c r="H121" s="78"/>
      <c r="I121" s="98"/>
      <c r="J121" s="99"/>
      <c r="K121" s="99"/>
      <c r="L121" s="165"/>
      <c r="M121" s="165"/>
      <c r="N121" s="165"/>
      <c r="O121" s="165"/>
      <c r="P121" s="165"/>
      <c r="Q121" s="165"/>
      <c r="R121" s="99"/>
      <c r="S121" s="99"/>
    </row>
    <row r="122" spans="1:19">
      <c r="A122" s="78">
        <f>'CROIX BLANCHE PG'!C122</f>
        <v>0</v>
      </c>
      <c r="B122" s="78">
        <f>'CROIX BLANCHE PG'!D122</f>
        <v>0</v>
      </c>
      <c r="C122" s="78"/>
      <c r="D122" s="78"/>
      <c r="E122" s="78"/>
      <c r="F122" s="78"/>
      <c r="G122" s="78"/>
      <c r="H122" s="78"/>
      <c r="I122" s="98"/>
      <c r="J122" s="99"/>
      <c r="K122" s="99"/>
      <c r="L122" s="165"/>
      <c r="M122" s="165"/>
      <c r="N122" s="165"/>
      <c r="O122" s="165"/>
      <c r="P122" s="165"/>
      <c r="Q122" s="165"/>
      <c r="R122" s="99"/>
      <c r="S122" s="99"/>
    </row>
    <row r="123" spans="1:19">
      <c r="A123" s="78">
        <f>'CROIX BLANCHE PG'!C123</f>
        <v>0</v>
      </c>
      <c r="B123" s="78">
        <f>'CROIX BLANCHE PG'!D123</f>
        <v>0</v>
      </c>
      <c r="C123" s="78"/>
      <c r="D123" s="78"/>
      <c r="E123" s="78"/>
      <c r="F123" s="78"/>
      <c r="G123" s="78"/>
      <c r="H123" s="78"/>
      <c r="I123" s="98"/>
      <c r="J123" s="99"/>
      <c r="K123" s="99"/>
      <c r="L123" s="165"/>
      <c r="M123" s="165"/>
      <c r="N123" s="165"/>
      <c r="O123" s="165"/>
      <c r="P123" s="165"/>
      <c r="Q123" s="165"/>
      <c r="R123" s="99"/>
      <c r="S123" s="99"/>
    </row>
    <row r="124" spans="1:19">
      <c r="A124" s="78" t="e">
        <f>'CROIX BLANCHE PG'!#REF!</f>
        <v>#REF!</v>
      </c>
      <c r="B124" s="78" t="e">
        <f>'CROIX BLANCHE PG'!#REF!</f>
        <v>#REF!</v>
      </c>
      <c r="C124" s="78"/>
      <c r="D124" s="78"/>
      <c r="E124" s="78"/>
      <c r="F124" s="78"/>
      <c r="G124" s="78"/>
      <c r="H124" s="78"/>
      <c r="I124" s="98"/>
      <c r="J124" s="99"/>
      <c r="K124" s="99"/>
      <c r="L124" s="165"/>
      <c r="M124" s="165"/>
      <c r="N124" s="165"/>
      <c r="O124" s="165"/>
      <c r="P124" s="165"/>
      <c r="Q124" s="165"/>
      <c r="R124" s="99"/>
      <c r="S124" s="99"/>
    </row>
    <row r="125" spans="1:19">
      <c r="A125" s="78" t="e">
        <f>'CROIX BLANCHE PG'!#REF!</f>
        <v>#REF!</v>
      </c>
      <c r="B125" s="78" t="e">
        <f>'CROIX BLANCHE PG'!#REF!</f>
        <v>#REF!</v>
      </c>
      <c r="C125" s="78"/>
      <c r="D125" s="78"/>
      <c r="E125" s="78"/>
      <c r="F125" s="78"/>
      <c r="G125" s="78"/>
      <c r="H125" s="78"/>
      <c r="I125" s="98"/>
      <c r="J125" s="99"/>
      <c r="K125" s="99"/>
      <c r="L125" s="165"/>
      <c r="M125" s="165"/>
      <c r="N125" s="165"/>
      <c r="O125" s="165"/>
      <c r="P125" s="165"/>
      <c r="Q125" s="165"/>
      <c r="R125" s="99"/>
      <c r="S125" s="99"/>
    </row>
    <row r="126" spans="1:19">
      <c r="A126" s="78" t="e">
        <f>'CROIX BLANCHE PG'!#REF!</f>
        <v>#REF!</v>
      </c>
      <c r="B126" s="78" t="e">
        <f>'CROIX BLANCHE PG'!#REF!</f>
        <v>#REF!</v>
      </c>
      <c r="C126" s="78"/>
      <c r="D126" s="78"/>
      <c r="E126" s="78"/>
      <c r="F126" s="78"/>
      <c r="G126" s="78"/>
      <c r="H126" s="78"/>
      <c r="I126" s="98"/>
      <c r="J126" s="99"/>
      <c r="K126" s="99"/>
      <c r="L126" s="165"/>
      <c r="M126" s="165"/>
      <c r="N126" s="165"/>
      <c r="O126" s="165"/>
      <c r="P126" s="165"/>
      <c r="Q126" s="165"/>
      <c r="R126" s="99"/>
      <c r="S126" s="99"/>
    </row>
    <row r="127" spans="1:19">
      <c r="A127" s="78" t="e">
        <f>'CROIX BLANCHE PG'!#REF!</f>
        <v>#REF!</v>
      </c>
      <c r="B127" s="78" t="e">
        <f>'CROIX BLANCHE PG'!#REF!</f>
        <v>#REF!</v>
      </c>
      <c r="C127" s="78"/>
      <c r="D127" s="78"/>
      <c r="E127" s="78"/>
      <c r="F127" s="78"/>
      <c r="G127" s="78"/>
      <c r="H127" s="78"/>
      <c r="I127" s="98"/>
      <c r="J127" s="99"/>
      <c r="K127" s="99"/>
      <c r="L127" s="165"/>
      <c r="M127" s="165"/>
      <c r="N127" s="165"/>
      <c r="O127" s="165"/>
      <c r="P127" s="165"/>
      <c r="Q127" s="165"/>
      <c r="R127" s="99"/>
      <c r="S127" s="99"/>
    </row>
    <row r="128" spans="1:19">
      <c r="A128" s="78" t="e">
        <f>'CROIX BLANCHE PG'!#REF!</f>
        <v>#REF!</v>
      </c>
      <c r="B128" s="78" t="e">
        <f>'CROIX BLANCHE PG'!#REF!</f>
        <v>#REF!</v>
      </c>
      <c r="C128" s="78"/>
      <c r="D128" s="78"/>
      <c r="E128" s="78"/>
      <c r="F128" s="78"/>
      <c r="G128" s="78"/>
      <c r="H128" s="78"/>
      <c r="I128" s="98"/>
      <c r="J128" s="99"/>
      <c r="K128" s="99"/>
      <c r="L128" s="165"/>
      <c r="M128" s="165"/>
      <c r="N128" s="165"/>
      <c r="O128" s="165"/>
      <c r="P128" s="165"/>
      <c r="Q128" s="165"/>
      <c r="R128" s="99"/>
      <c r="S128" s="99"/>
    </row>
    <row r="129" spans="1:19">
      <c r="A129" s="78" t="e">
        <f>'CROIX BLANCHE PG'!#REF!</f>
        <v>#REF!</v>
      </c>
      <c r="B129" s="78" t="e">
        <f>'CROIX BLANCHE PG'!#REF!</f>
        <v>#REF!</v>
      </c>
      <c r="C129" s="78"/>
      <c r="D129" s="78"/>
      <c r="E129" s="78"/>
      <c r="F129" s="78"/>
      <c r="G129" s="78"/>
      <c r="H129" s="78"/>
      <c r="I129" s="98"/>
      <c r="J129" s="99"/>
      <c r="K129" s="99"/>
      <c r="L129" s="165"/>
      <c r="M129" s="165"/>
      <c r="N129" s="165"/>
      <c r="O129" s="165"/>
      <c r="P129" s="165"/>
      <c r="Q129" s="165"/>
      <c r="R129" s="99"/>
      <c r="S129" s="99"/>
    </row>
    <row r="130" spans="1:19">
      <c r="A130" s="78" t="e">
        <f>'CROIX BLANCHE PG'!#REF!</f>
        <v>#REF!</v>
      </c>
      <c r="B130" s="78" t="e">
        <f>'CROIX BLANCHE PG'!#REF!</f>
        <v>#REF!</v>
      </c>
      <c r="C130" s="78"/>
      <c r="D130" s="78"/>
      <c r="E130" s="78"/>
      <c r="F130" s="78"/>
      <c r="G130" s="78"/>
      <c r="H130" s="78"/>
      <c r="I130" s="98"/>
      <c r="J130" s="99"/>
      <c r="K130" s="99"/>
      <c r="L130" s="165"/>
      <c r="M130" s="165"/>
      <c r="N130" s="165"/>
      <c r="O130" s="165"/>
      <c r="P130" s="165"/>
      <c r="Q130" s="165"/>
      <c r="R130" s="99"/>
      <c r="S130" s="99"/>
    </row>
    <row r="131" spans="1:19">
      <c r="A131" s="78" t="e">
        <f>'CROIX BLANCHE PG'!#REF!</f>
        <v>#REF!</v>
      </c>
      <c r="B131" s="78" t="e">
        <f>'CROIX BLANCHE PG'!#REF!</f>
        <v>#REF!</v>
      </c>
      <c r="C131" s="78"/>
      <c r="D131" s="78"/>
      <c r="E131" s="78"/>
      <c r="F131" s="78"/>
      <c r="G131" s="78"/>
      <c r="H131" s="78"/>
      <c r="I131" s="98"/>
      <c r="J131" s="99"/>
      <c r="K131" s="99"/>
      <c r="L131" s="165"/>
      <c r="M131" s="165"/>
      <c r="N131" s="165"/>
      <c r="O131" s="165"/>
      <c r="P131" s="165"/>
      <c r="Q131" s="165"/>
      <c r="R131" s="99"/>
      <c r="S131" s="99"/>
    </row>
    <row r="132" spans="1:19">
      <c r="A132" s="78" t="e">
        <f>'CROIX BLANCHE PG'!#REF!</f>
        <v>#REF!</v>
      </c>
      <c r="B132" s="78" t="s">
        <v>664</v>
      </c>
      <c r="C132" s="78"/>
      <c r="D132" s="78"/>
      <c r="E132" s="78"/>
      <c r="F132" s="78"/>
      <c r="G132" s="78"/>
      <c r="H132" s="78"/>
      <c r="I132" s="98"/>
      <c r="J132" s="99"/>
      <c r="K132" s="99"/>
      <c r="L132" s="165"/>
      <c r="M132" s="165"/>
      <c r="N132" s="165"/>
      <c r="O132" s="165"/>
      <c r="P132" s="165"/>
      <c r="Q132" s="165"/>
      <c r="R132" s="99"/>
      <c r="S132" s="99"/>
    </row>
    <row r="133" spans="1:19">
      <c r="A133" s="78" t="s">
        <v>667</v>
      </c>
      <c r="B133" s="78" t="s">
        <v>960</v>
      </c>
      <c r="C133" s="78"/>
      <c r="D133" s="78"/>
      <c r="E133" s="78"/>
      <c r="F133" s="78"/>
      <c r="G133" s="78"/>
      <c r="H133" s="78"/>
      <c r="I133" s="98"/>
      <c r="J133" s="99"/>
      <c r="K133" s="99"/>
      <c r="L133" s="165"/>
      <c r="M133" s="165"/>
      <c r="N133" s="165"/>
      <c r="O133" s="165"/>
      <c r="P133" s="165"/>
      <c r="Q133" s="165"/>
      <c r="R133" s="99"/>
      <c r="S133" s="99"/>
    </row>
    <row r="134" spans="1:19">
      <c r="A134" s="78" t="e">
        <f>'CROIX BLANCHE PG'!#REF!</f>
        <v>#REF!</v>
      </c>
      <c r="B134" s="78" t="e">
        <f>'CROIX BLANCHE PG'!#REF!</f>
        <v>#REF!</v>
      </c>
      <c r="C134" s="78"/>
      <c r="D134" s="78"/>
      <c r="E134" s="78"/>
      <c r="F134" s="78"/>
      <c r="G134" s="78"/>
      <c r="H134" s="78"/>
      <c r="I134" s="98"/>
      <c r="J134" s="99"/>
      <c r="K134" s="99"/>
      <c r="L134" s="165"/>
      <c r="M134" s="165"/>
      <c r="N134" s="165"/>
      <c r="O134" s="165"/>
      <c r="P134" s="165"/>
      <c r="Q134" s="165"/>
      <c r="R134" s="99"/>
      <c r="S134" s="99"/>
    </row>
    <row r="135" spans="1:19">
      <c r="A135" s="78" t="e">
        <f>'CROIX BLANCHE PG'!#REF!</f>
        <v>#REF!</v>
      </c>
      <c r="B135" s="78" t="e">
        <f>'CROIX BLANCHE PG'!#REF!</f>
        <v>#REF!</v>
      </c>
      <c r="C135" s="78"/>
      <c r="D135" s="78"/>
      <c r="E135" s="78"/>
      <c r="F135" s="78"/>
      <c r="G135" s="78"/>
      <c r="H135" s="78"/>
      <c r="I135" s="98"/>
      <c r="J135" s="99"/>
      <c r="K135" s="99"/>
      <c r="L135" s="165"/>
      <c r="M135" s="165"/>
      <c r="N135" s="165"/>
      <c r="O135" s="165"/>
      <c r="P135" s="165"/>
      <c r="Q135" s="165"/>
      <c r="R135" s="99"/>
      <c r="S135" s="99"/>
    </row>
    <row r="136" spans="1:19">
      <c r="A136" s="78" t="s">
        <v>678</v>
      </c>
      <c r="B136" s="78" t="s">
        <v>393</v>
      </c>
      <c r="C136" s="78"/>
      <c r="D136" s="78"/>
      <c r="E136" s="78"/>
      <c r="F136" s="78"/>
      <c r="G136" s="78"/>
      <c r="H136" s="78"/>
      <c r="I136" s="98"/>
      <c r="J136" s="99"/>
      <c r="K136" s="99"/>
      <c r="L136" s="165"/>
      <c r="M136" s="165"/>
      <c r="N136" s="165"/>
      <c r="O136" s="165"/>
      <c r="P136" s="165"/>
      <c r="Q136" s="165"/>
      <c r="R136" s="99"/>
      <c r="S136" s="99"/>
    </row>
    <row r="137" spans="1:19">
      <c r="A137" s="78" t="s">
        <v>679</v>
      </c>
      <c r="B137" s="78" t="s">
        <v>680</v>
      </c>
      <c r="C137" s="78"/>
      <c r="D137" s="78"/>
      <c r="E137" s="78"/>
      <c r="F137" s="78"/>
      <c r="G137" s="78"/>
      <c r="H137" s="78"/>
      <c r="I137" s="98"/>
      <c r="J137" s="99"/>
      <c r="K137" s="99"/>
      <c r="L137" s="165"/>
      <c r="M137" s="165"/>
      <c r="N137" s="165"/>
      <c r="O137" s="165"/>
      <c r="P137" s="165"/>
      <c r="Q137" s="165"/>
      <c r="R137" s="99"/>
      <c r="S137" s="99"/>
    </row>
    <row r="138" spans="1:19">
      <c r="A138" s="78" t="e">
        <f>'CROIX BLANCHE PG'!#REF!</f>
        <v>#REF!</v>
      </c>
      <c r="B138" s="78" t="e">
        <f>'CROIX BLANCHE PG'!#REF!</f>
        <v>#REF!</v>
      </c>
      <c r="C138" s="78"/>
      <c r="D138" s="78"/>
      <c r="E138" s="78"/>
      <c r="F138" s="78"/>
      <c r="G138" s="78"/>
      <c r="H138" s="78"/>
      <c r="I138" s="98"/>
      <c r="J138" s="99"/>
      <c r="K138" s="99"/>
      <c r="L138" s="165"/>
      <c r="M138" s="165"/>
      <c r="N138" s="165"/>
      <c r="O138" s="165"/>
      <c r="P138" s="165"/>
      <c r="Q138" s="165"/>
      <c r="R138" s="99"/>
      <c r="S138" s="99"/>
    </row>
    <row r="139" spans="1:19">
      <c r="A139" s="78" t="e">
        <f>'CROIX BLANCHE PG'!#REF!</f>
        <v>#REF!</v>
      </c>
      <c r="B139" s="78" t="e">
        <f>'CROIX BLANCHE PG'!#REF!</f>
        <v>#REF!</v>
      </c>
      <c r="C139" s="78"/>
      <c r="D139" s="78"/>
      <c r="E139" s="78"/>
      <c r="F139" s="78"/>
      <c r="G139" s="78"/>
      <c r="H139" s="78"/>
      <c r="I139" s="98"/>
      <c r="J139" s="99"/>
      <c r="K139" s="99"/>
      <c r="L139" s="165"/>
      <c r="M139" s="165"/>
      <c r="N139" s="165"/>
      <c r="O139" s="165"/>
      <c r="P139" s="165"/>
      <c r="Q139" s="165"/>
      <c r="R139" s="99"/>
      <c r="S139" s="99"/>
    </row>
    <row r="140" spans="1:19">
      <c r="A140" s="78" t="e">
        <f>'CROIX BLANCHE PG'!#REF!</f>
        <v>#REF!</v>
      </c>
      <c r="B140" s="78" t="e">
        <f>'CROIX BLANCHE PG'!#REF!</f>
        <v>#REF!</v>
      </c>
      <c r="C140" s="78"/>
      <c r="D140" s="78"/>
      <c r="E140" s="78"/>
      <c r="F140" s="78"/>
      <c r="G140" s="78"/>
      <c r="H140" s="78"/>
      <c r="I140" s="98"/>
      <c r="J140" s="99"/>
      <c r="K140" s="99"/>
      <c r="L140" s="165"/>
      <c r="M140" s="165"/>
      <c r="N140" s="165"/>
      <c r="O140" s="165"/>
      <c r="P140" s="165"/>
      <c r="Q140" s="165"/>
      <c r="R140" s="99"/>
      <c r="S140" s="99"/>
    </row>
    <row r="141" spans="1:19">
      <c r="A141" s="78" t="s">
        <v>694</v>
      </c>
      <c r="B141" s="78" t="s">
        <v>695</v>
      </c>
      <c r="C141" s="78"/>
      <c r="D141" s="78"/>
      <c r="E141" s="78"/>
      <c r="F141" s="78"/>
      <c r="G141" s="78"/>
      <c r="H141" s="78"/>
      <c r="I141" s="98"/>
      <c r="J141" s="99"/>
      <c r="K141" s="99"/>
      <c r="L141" s="165"/>
      <c r="M141" s="165"/>
      <c r="N141" s="165"/>
      <c r="O141" s="165"/>
      <c r="P141" s="165"/>
      <c r="Q141" s="165"/>
      <c r="R141" s="99"/>
      <c r="S141" s="99"/>
    </row>
    <row r="142" spans="1:19">
      <c r="A142" s="78" t="s">
        <v>696</v>
      </c>
      <c r="B142" s="78" t="s">
        <v>335</v>
      </c>
      <c r="C142" s="78"/>
      <c r="D142" s="78"/>
      <c r="E142" s="78"/>
      <c r="F142" s="78"/>
      <c r="G142" s="78"/>
      <c r="H142" s="78"/>
      <c r="I142" s="98"/>
      <c r="J142" s="99"/>
      <c r="K142" s="99"/>
      <c r="L142" s="165"/>
      <c r="M142" s="165"/>
      <c r="N142" s="165"/>
      <c r="O142" s="165"/>
      <c r="P142" s="165"/>
      <c r="Q142" s="165"/>
      <c r="R142" s="99"/>
      <c r="S142" s="99"/>
    </row>
    <row r="143" spans="1:19">
      <c r="A143" s="78" t="e">
        <f>'CROIX BLANCHE PG'!#REF!</f>
        <v>#REF!</v>
      </c>
      <c r="B143" s="78" t="e">
        <f>'CROIX BLANCHE PG'!#REF!</f>
        <v>#REF!</v>
      </c>
      <c r="C143" s="78"/>
      <c r="D143" s="78"/>
      <c r="E143" s="78"/>
      <c r="F143" s="78"/>
      <c r="G143" s="78"/>
      <c r="H143" s="78"/>
      <c r="I143" s="98"/>
      <c r="J143" s="99"/>
      <c r="K143" s="99"/>
      <c r="L143" s="165"/>
      <c r="M143" s="165"/>
      <c r="N143" s="165"/>
      <c r="O143" s="165"/>
      <c r="P143" s="165"/>
      <c r="Q143" s="165"/>
      <c r="R143" s="99"/>
      <c r="S143" s="99"/>
    </row>
    <row r="144" spans="1:19">
      <c r="A144" s="78" t="s">
        <v>699</v>
      </c>
      <c r="B144" s="78" t="s">
        <v>1095</v>
      </c>
      <c r="C144" s="78"/>
      <c r="D144" s="78"/>
      <c r="E144" s="78"/>
      <c r="F144" s="78"/>
      <c r="G144" s="78"/>
      <c r="H144" s="78"/>
      <c r="I144" s="98"/>
      <c r="J144" s="99"/>
      <c r="K144" s="99"/>
      <c r="L144" s="165"/>
      <c r="M144" s="165"/>
      <c r="N144" s="165"/>
      <c r="O144" s="165"/>
      <c r="P144" s="165"/>
      <c r="Q144" s="165"/>
      <c r="R144" s="99"/>
      <c r="S144" s="99"/>
    </row>
    <row r="145" spans="1:19">
      <c r="A145" s="78" t="e">
        <f>'CROIX BLANCHE PG'!#REF!</f>
        <v>#REF!</v>
      </c>
      <c r="B145" s="78" t="e">
        <f>'CROIX BLANCHE PG'!#REF!</f>
        <v>#REF!</v>
      </c>
      <c r="C145" s="78"/>
      <c r="D145" s="78"/>
      <c r="E145" s="78"/>
      <c r="F145" s="78"/>
      <c r="G145" s="78"/>
      <c r="H145" s="78"/>
      <c r="I145" s="98"/>
      <c r="J145" s="99"/>
      <c r="K145" s="99"/>
      <c r="L145" s="165"/>
      <c r="M145" s="165"/>
      <c r="N145" s="165"/>
      <c r="O145" s="165"/>
      <c r="P145" s="165"/>
      <c r="Q145" s="165"/>
      <c r="R145" s="99"/>
      <c r="S145" s="99"/>
    </row>
    <row r="146" spans="1:19">
      <c r="A146" s="78" t="e">
        <f>'CROIX BLANCHE PG'!#REF!</f>
        <v>#REF!</v>
      </c>
      <c r="B146" s="78" t="e">
        <f>'CROIX BLANCHE PG'!#REF!</f>
        <v>#REF!</v>
      </c>
      <c r="C146" s="78"/>
      <c r="D146" s="78"/>
      <c r="E146" s="78"/>
      <c r="F146" s="78"/>
      <c r="G146" s="78"/>
      <c r="H146" s="78"/>
      <c r="I146" s="98"/>
      <c r="J146" s="99"/>
      <c r="K146" s="99"/>
      <c r="L146" s="165"/>
      <c r="M146" s="165"/>
      <c r="N146" s="165"/>
      <c r="O146" s="165"/>
      <c r="P146" s="165"/>
      <c r="Q146" s="165"/>
      <c r="R146" s="99"/>
      <c r="S146" s="99"/>
    </row>
    <row r="147" spans="1:19">
      <c r="A147" s="78" t="e">
        <f>'CROIX BLANCHE PG'!#REF!</f>
        <v>#REF!</v>
      </c>
      <c r="B147" s="78" t="e">
        <f>'CROIX BLANCHE PG'!#REF!</f>
        <v>#REF!</v>
      </c>
      <c r="C147" s="78"/>
      <c r="D147" s="78"/>
      <c r="E147" s="78"/>
      <c r="F147" s="78"/>
      <c r="G147" s="78"/>
      <c r="H147" s="78"/>
      <c r="I147" s="98"/>
      <c r="J147" s="99"/>
      <c r="K147" s="99"/>
      <c r="L147" s="165"/>
      <c r="M147" s="165"/>
      <c r="N147" s="165"/>
      <c r="O147" s="165"/>
      <c r="P147" s="165"/>
      <c r="Q147" s="165"/>
      <c r="R147" s="99"/>
      <c r="S147" s="99"/>
    </row>
    <row r="148" spans="1:19">
      <c r="A148" s="78" t="e">
        <f>'CROIX BLANCHE PG'!#REF!</f>
        <v>#REF!</v>
      </c>
      <c r="B148" s="78" t="e">
        <f>'CROIX BLANCHE PG'!#REF!</f>
        <v>#REF!</v>
      </c>
      <c r="C148" s="78"/>
      <c r="D148" s="78"/>
      <c r="E148" s="78"/>
      <c r="F148" s="78"/>
      <c r="G148" s="78"/>
      <c r="H148" s="78"/>
      <c r="I148" s="98"/>
      <c r="J148" s="99"/>
      <c r="K148" s="99"/>
      <c r="L148" s="165"/>
      <c r="M148" s="165"/>
      <c r="N148" s="165"/>
      <c r="O148" s="165"/>
      <c r="P148" s="165"/>
      <c r="Q148" s="165"/>
      <c r="R148" s="99"/>
      <c r="S148" s="99"/>
    </row>
    <row r="149" spans="1:19">
      <c r="A149" s="78" t="e">
        <f>'CROIX BLANCHE PG'!#REF!</f>
        <v>#REF!</v>
      </c>
      <c r="B149" s="78" t="e">
        <f>'CROIX BLANCHE PG'!#REF!</f>
        <v>#REF!</v>
      </c>
      <c r="C149" s="78"/>
      <c r="D149" s="78"/>
      <c r="E149" s="78"/>
      <c r="F149" s="78"/>
      <c r="G149" s="78"/>
      <c r="H149" s="78"/>
      <c r="I149" s="98"/>
      <c r="J149" s="99"/>
      <c r="K149" s="99"/>
      <c r="L149" s="165"/>
      <c r="M149" s="165"/>
      <c r="N149" s="165"/>
      <c r="O149" s="165"/>
      <c r="P149" s="165"/>
      <c r="Q149" s="165"/>
      <c r="R149" s="99"/>
      <c r="S149" s="99"/>
    </row>
    <row r="150" spans="1:19">
      <c r="A150" s="78" t="s">
        <v>729</v>
      </c>
      <c r="B150" s="78" t="s">
        <v>1093</v>
      </c>
      <c r="C150" s="78"/>
      <c r="D150" s="78"/>
      <c r="E150" s="78"/>
      <c r="F150" s="78"/>
      <c r="G150" s="78"/>
      <c r="H150" s="78"/>
      <c r="I150" s="98"/>
      <c r="J150" s="99"/>
      <c r="K150" s="99"/>
      <c r="L150" s="165"/>
      <c r="M150" s="165"/>
      <c r="N150" s="165"/>
      <c r="O150" s="165"/>
      <c r="P150" s="165"/>
      <c r="Q150" s="165"/>
      <c r="R150" s="99"/>
      <c r="S150" s="99"/>
    </row>
    <row r="151" spans="1:19">
      <c r="A151" s="78" t="s">
        <v>731</v>
      </c>
      <c r="B151" s="78" t="s">
        <v>704</v>
      </c>
      <c r="C151" s="78"/>
      <c r="D151" s="78"/>
      <c r="E151" s="78"/>
      <c r="F151" s="78"/>
      <c r="G151" s="78"/>
      <c r="H151" s="78"/>
      <c r="I151" s="98"/>
      <c r="J151" s="99"/>
      <c r="K151" s="99"/>
      <c r="L151" s="165"/>
      <c r="M151" s="165"/>
      <c r="N151" s="165"/>
      <c r="O151" s="165"/>
      <c r="P151" s="165"/>
      <c r="Q151" s="165"/>
      <c r="R151" s="99"/>
      <c r="S151" s="99"/>
    </row>
    <row r="152" spans="1:19">
      <c r="A152" s="78" t="s">
        <v>733</v>
      </c>
      <c r="B152" s="78" t="s">
        <v>734</v>
      </c>
      <c r="C152" s="78"/>
      <c r="D152" s="78"/>
      <c r="E152" s="78"/>
      <c r="F152" s="78"/>
      <c r="G152" s="78"/>
      <c r="H152" s="78"/>
      <c r="I152" s="98"/>
      <c r="J152" s="99"/>
      <c r="K152" s="99"/>
      <c r="L152" s="165"/>
      <c r="M152" s="165"/>
      <c r="N152" s="165"/>
      <c r="O152" s="165"/>
      <c r="P152" s="165"/>
      <c r="Q152" s="165"/>
      <c r="R152" s="99"/>
      <c r="S152" s="99"/>
    </row>
    <row r="153" spans="1:19">
      <c r="A153" s="78" t="e">
        <f>'CROIX BLANCHE PG'!#REF!</f>
        <v>#REF!</v>
      </c>
      <c r="B153" s="78" t="e">
        <f>'CROIX BLANCHE PG'!#REF!</f>
        <v>#REF!</v>
      </c>
      <c r="C153" s="78"/>
      <c r="D153" s="78"/>
      <c r="E153" s="78"/>
      <c r="F153" s="78"/>
      <c r="G153" s="78"/>
      <c r="H153" s="78"/>
      <c r="I153" s="98"/>
      <c r="J153" s="99"/>
      <c r="K153" s="99"/>
      <c r="L153" s="165"/>
      <c r="M153" s="165"/>
      <c r="N153" s="165"/>
      <c r="O153" s="165"/>
      <c r="P153" s="165"/>
      <c r="Q153" s="165"/>
      <c r="R153" s="99"/>
      <c r="S153" s="99"/>
    </row>
    <row r="154" spans="1:19">
      <c r="A154" s="78" t="str">
        <f>'CROIX BLANCHE PG'!C74</f>
        <v>MCHINDRA</v>
      </c>
      <c r="B154" s="78" t="str">
        <f>'CROIX BLANCHE PG'!D74</f>
        <v>Yancoub</v>
      </c>
      <c r="C154" s="78"/>
      <c r="D154" s="78"/>
      <c r="E154" s="78"/>
      <c r="F154" s="78"/>
      <c r="G154" s="78"/>
      <c r="H154" s="78"/>
      <c r="I154" s="98"/>
      <c r="J154" s="99"/>
      <c r="K154" s="99"/>
      <c r="L154" s="165"/>
      <c r="M154" s="165"/>
      <c r="N154" s="165"/>
      <c r="O154" s="165"/>
      <c r="P154" s="165"/>
      <c r="Q154" s="165"/>
      <c r="R154" s="99"/>
      <c r="S154" s="99"/>
    </row>
    <row r="155" spans="1:19">
      <c r="A155" s="78" t="e">
        <f>'CROIX BLANCHE PG'!#REF!</f>
        <v>#REF!</v>
      </c>
      <c r="B155" s="78" t="e">
        <f>'CROIX BLANCHE PG'!#REF!</f>
        <v>#REF!</v>
      </c>
      <c r="C155" s="78"/>
      <c r="D155" s="78"/>
      <c r="E155" s="78"/>
      <c r="F155" s="78"/>
      <c r="G155" s="78"/>
      <c r="H155" s="78"/>
      <c r="I155" s="98"/>
      <c r="J155" s="99"/>
      <c r="K155" s="99"/>
      <c r="L155" s="165"/>
      <c r="M155" s="165"/>
      <c r="N155" s="165"/>
      <c r="O155" s="165"/>
      <c r="P155" s="165"/>
      <c r="Q155" s="165"/>
      <c r="R155" s="99"/>
      <c r="S155" s="99"/>
    </row>
    <row r="156" spans="1:19">
      <c r="A156" s="78" t="e">
        <f>'CROIX BLANCHE PG'!#REF!</f>
        <v>#REF!</v>
      </c>
      <c r="B156" s="78" t="e">
        <f>'CROIX BLANCHE PG'!#REF!</f>
        <v>#REF!</v>
      </c>
      <c r="C156" s="78"/>
      <c r="D156" s="78"/>
      <c r="E156" s="78"/>
      <c r="F156" s="78"/>
      <c r="G156" s="78"/>
      <c r="H156" s="78"/>
      <c r="I156" s="98"/>
      <c r="J156" s="99"/>
      <c r="K156" s="99"/>
      <c r="L156" s="165"/>
      <c r="M156" s="165"/>
      <c r="N156" s="165"/>
      <c r="O156" s="165"/>
      <c r="P156" s="165"/>
      <c r="Q156" s="165"/>
      <c r="R156" s="99"/>
      <c r="S156" s="99"/>
    </row>
    <row r="157" spans="1:19">
      <c r="A157" s="78" t="e">
        <f>'CROIX BLANCHE PG'!#REF!</f>
        <v>#REF!</v>
      </c>
      <c r="B157" s="78" t="e">
        <f>'CROIX BLANCHE PG'!#REF!</f>
        <v>#REF!</v>
      </c>
      <c r="C157" s="78"/>
      <c r="D157" s="78"/>
      <c r="E157" s="78"/>
      <c r="F157" s="78"/>
      <c r="G157" s="78"/>
      <c r="H157" s="78"/>
      <c r="I157" s="98"/>
      <c r="J157" s="99"/>
      <c r="K157" s="99"/>
      <c r="L157" s="165"/>
      <c r="M157" s="165"/>
      <c r="N157" s="165"/>
      <c r="O157" s="165"/>
      <c r="P157" s="165"/>
      <c r="Q157" s="165"/>
      <c r="R157" s="99"/>
      <c r="S157" s="99"/>
    </row>
    <row r="158" spans="1:19">
      <c r="A158" s="78" t="e">
        <f>'CROIX BLANCHE PG'!#REF!</f>
        <v>#REF!</v>
      </c>
      <c r="B158" s="78" t="e">
        <f>'CROIX BLANCHE PG'!#REF!</f>
        <v>#REF!</v>
      </c>
      <c r="C158" s="78"/>
      <c r="D158" s="78"/>
      <c r="E158" s="78"/>
      <c r="F158" s="78"/>
      <c r="G158" s="78"/>
      <c r="H158" s="78"/>
      <c r="I158" s="98"/>
      <c r="J158" s="99"/>
      <c r="K158" s="99"/>
      <c r="L158" s="165"/>
      <c r="M158" s="165"/>
      <c r="N158" s="165"/>
      <c r="O158" s="165"/>
      <c r="P158" s="165"/>
      <c r="Q158" s="165"/>
      <c r="R158" s="99"/>
      <c r="S158" s="99"/>
    </row>
    <row r="159" spans="1:19">
      <c r="A159" s="78" t="e">
        <f>'CROIX BLANCHE PG'!#REF!</f>
        <v>#REF!</v>
      </c>
      <c r="B159" s="78" t="e">
        <f>'CROIX BLANCHE PG'!#REF!</f>
        <v>#REF!</v>
      </c>
      <c r="C159" s="78"/>
      <c r="D159" s="78"/>
      <c r="E159" s="78"/>
      <c r="F159" s="78"/>
      <c r="G159" s="78"/>
      <c r="H159" s="78"/>
      <c r="I159" s="98"/>
      <c r="J159" s="99"/>
      <c r="K159" s="99"/>
      <c r="L159" s="165"/>
      <c r="M159" s="165"/>
      <c r="N159" s="165"/>
      <c r="O159" s="165"/>
      <c r="P159" s="165"/>
      <c r="Q159" s="165"/>
      <c r="R159" s="99"/>
      <c r="S159" s="99"/>
    </row>
    <row r="160" spans="1:19">
      <c r="A160" s="78" t="e">
        <f>'CROIX BLANCHE PG'!#REF!</f>
        <v>#REF!</v>
      </c>
      <c r="B160" s="78" t="e">
        <f>'CROIX BLANCHE PG'!#REF!</f>
        <v>#REF!</v>
      </c>
      <c r="C160" s="78"/>
      <c r="D160" s="78"/>
      <c r="E160" s="78"/>
      <c r="F160" s="78"/>
      <c r="G160" s="78"/>
      <c r="H160" s="78"/>
      <c r="I160" s="98"/>
      <c r="J160" s="99"/>
      <c r="K160" s="99"/>
      <c r="L160" s="165"/>
      <c r="M160" s="165"/>
      <c r="N160" s="165"/>
      <c r="O160" s="165"/>
      <c r="P160" s="165"/>
      <c r="Q160" s="165"/>
      <c r="R160" s="99"/>
      <c r="S160" s="99"/>
    </row>
    <row r="161" spans="1:19">
      <c r="A161" s="78" t="s">
        <v>1094</v>
      </c>
      <c r="B161" s="78" t="s">
        <v>762</v>
      </c>
      <c r="C161" s="78"/>
      <c r="D161" s="78"/>
      <c r="E161" s="78"/>
      <c r="F161" s="78"/>
      <c r="G161" s="78"/>
      <c r="H161" s="78"/>
      <c r="I161" s="98"/>
      <c r="J161" s="99"/>
      <c r="K161" s="99"/>
      <c r="L161" s="165"/>
      <c r="M161" s="165"/>
      <c r="N161" s="165"/>
      <c r="O161" s="165"/>
      <c r="P161" s="165"/>
      <c r="Q161" s="165"/>
      <c r="R161" s="99"/>
      <c r="S161" s="99"/>
    </row>
    <row r="162" spans="1:19">
      <c r="A162" s="78" t="e">
        <f>'CROIX BLANCHE PG'!#REF!</f>
        <v>#REF!</v>
      </c>
      <c r="B162" s="78" t="e">
        <f>'CROIX BLANCHE PG'!#REF!</f>
        <v>#REF!</v>
      </c>
      <c r="C162" s="78"/>
      <c r="D162" s="78"/>
      <c r="E162" s="78"/>
      <c r="F162" s="78"/>
      <c r="G162" s="78"/>
      <c r="H162" s="78"/>
      <c r="I162" s="98"/>
      <c r="J162" s="99"/>
      <c r="K162" s="99"/>
      <c r="L162" s="165"/>
      <c r="M162" s="165"/>
      <c r="N162" s="165"/>
      <c r="O162" s="165"/>
      <c r="P162" s="165"/>
      <c r="Q162" s="165"/>
      <c r="R162" s="99"/>
      <c r="S162" s="99"/>
    </row>
    <row r="163" spans="1:19">
      <c r="A163" s="78" t="e">
        <f>'CROIX BLANCHE PG'!#REF!</f>
        <v>#REF!</v>
      </c>
      <c r="B163" s="78" t="e">
        <f>'CROIX BLANCHE PG'!#REF!</f>
        <v>#REF!</v>
      </c>
      <c r="C163" s="78"/>
      <c r="D163" s="78"/>
      <c r="E163" s="78"/>
      <c r="F163" s="78"/>
      <c r="G163" s="78"/>
      <c r="H163" s="78"/>
      <c r="I163" s="98"/>
      <c r="J163" s="99"/>
      <c r="K163" s="99"/>
      <c r="L163" s="165"/>
      <c r="M163" s="165"/>
      <c r="N163" s="165"/>
      <c r="O163" s="165"/>
      <c r="P163" s="165"/>
      <c r="Q163" s="165"/>
      <c r="R163" s="99"/>
      <c r="S163" s="99"/>
    </row>
    <row r="164" spans="1:19">
      <c r="A164" s="78" t="e">
        <f>'CROIX BLANCHE PG'!#REF!</f>
        <v>#REF!</v>
      </c>
      <c r="B164" s="78" t="e">
        <f>'CROIX BLANCHE PG'!#REF!</f>
        <v>#REF!</v>
      </c>
      <c r="C164" s="78"/>
      <c r="D164" s="78"/>
      <c r="E164" s="78"/>
      <c r="F164" s="78"/>
      <c r="G164" s="78"/>
      <c r="H164" s="78"/>
      <c r="I164" s="98"/>
      <c r="J164" s="99"/>
      <c r="K164" s="99"/>
      <c r="L164" s="165"/>
      <c r="M164" s="165"/>
      <c r="N164" s="165"/>
      <c r="O164" s="165"/>
      <c r="P164" s="165"/>
      <c r="Q164" s="165"/>
      <c r="R164" s="99"/>
      <c r="S164" s="99"/>
    </row>
    <row r="165" spans="1:19">
      <c r="A165" s="78" t="e">
        <f>'CROIX BLANCHE PG'!#REF!</f>
        <v>#REF!</v>
      </c>
      <c r="B165" s="78" t="e">
        <f>'CROIX BLANCHE PG'!#REF!</f>
        <v>#REF!</v>
      </c>
      <c r="C165" s="78"/>
      <c r="D165" s="78"/>
      <c r="E165" s="78"/>
      <c r="F165" s="78"/>
      <c r="G165" s="78"/>
      <c r="H165" s="78"/>
      <c r="I165" s="98"/>
      <c r="J165" s="99"/>
      <c r="K165" s="99"/>
      <c r="L165" s="165"/>
      <c r="M165" s="165"/>
      <c r="N165" s="165"/>
      <c r="O165" s="165"/>
      <c r="P165" s="165"/>
      <c r="Q165" s="165"/>
      <c r="R165" s="99"/>
      <c r="S165" s="99"/>
    </row>
    <row r="166" spans="1:19">
      <c r="A166" s="78" t="e">
        <f>'CROIX BLANCHE PG'!#REF!</f>
        <v>#REF!</v>
      </c>
      <c r="B166" s="78" t="e">
        <f>'CROIX BLANCHE PG'!#REF!</f>
        <v>#REF!</v>
      </c>
      <c r="C166" s="78"/>
      <c r="D166" s="78"/>
      <c r="E166" s="78"/>
      <c r="F166" s="78"/>
      <c r="G166" s="78"/>
      <c r="H166" s="78"/>
      <c r="I166" s="98"/>
      <c r="J166" s="99"/>
      <c r="K166" s="99"/>
      <c r="L166" s="165"/>
      <c r="M166" s="165"/>
      <c r="N166" s="165"/>
      <c r="O166" s="165"/>
      <c r="P166" s="165"/>
      <c r="Q166" s="165"/>
      <c r="R166" s="99"/>
      <c r="S166" s="99"/>
    </row>
    <row r="167" spans="1:19">
      <c r="A167" s="78" t="e">
        <f>'CROIX BLANCHE PG'!#REF!</f>
        <v>#REF!</v>
      </c>
      <c r="B167" s="78" t="e">
        <f>'CROIX BLANCHE PG'!#REF!</f>
        <v>#REF!</v>
      </c>
      <c r="C167" s="78"/>
      <c r="D167" s="78"/>
      <c r="E167" s="78"/>
      <c r="F167" s="78"/>
      <c r="G167" s="78"/>
      <c r="H167" s="78"/>
      <c r="I167" s="98"/>
      <c r="J167" s="99"/>
      <c r="K167" s="99"/>
      <c r="L167" s="78"/>
      <c r="M167" s="78"/>
      <c r="N167" s="78"/>
      <c r="O167" s="78"/>
      <c r="P167" s="78"/>
      <c r="Q167" s="78"/>
      <c r="R167" s="99"/>
      <c r="S167" s="99"/>
    </row>
    <row r="168" spans="1:19">
      <c r="A168" s="78" t="e">
        <f>'CROIX BLANCHE PG'!#REF!</f>
        <v>#REF!</v>
      </c>
      <c r="B168" s="78" t="e">
        <f>'CROIX BLANCHE PG'!#REF!</f>
        <v>#REF!</v>
      </c>
      <c r="C168" s="78"/>
      <c r="D168" s="78"/>
      <c r="E168" s="78"/>
      <c r="F168" s="78"/>
      <c r="G168" s="78"/>
      <c r="H168" s="78"/>
      <c r="I168" s="98"/>
      <c r="J168" s="99"/>
      <c r="K168" s="99"/>
      <c r="L168" s="78"/>
      <c r="M168" s="78"/>
      <c r="N168" s="78"/>
      <c r="O168" s="78"/>
      <c r="P168" s="78"/>
      <c r="Q168" s="78"/>
      <c r="R168" s="99"/>
      <c r="S168" s="99"/>
    </row>
    <row r="169" spans="1:19">
      <c r="A169" s="78" t="e">
        <f>'CROIX BLANCHE PG'!#REF!</f>
        <v>#REF!</v>
      </c>
      <c r="B169" s="78" t="e">
        <f>'CROIX BLANCHE PG'!#REF!</f>
        <v>#REF!</v>
      </c>
      <c r="C169" s="78"/>
      <c r="D169" s="78"/>
      <c r="E169" s="78"/>
      <c r="F169" s="78"/>
      <c r="G169" s="78"/>
      <c r="H169" s="78"/>
      <c r="I169" s="98"/>
      <c r="J169" s="99"/>
      <c r="K169" s="99"/>
      <c r="L169" s="78"/>
      <c r="M169" s="78"/>
      <c r="N169" s="78"/>
      <c r="O169" s="78"/>
      <c r="P169" s="78"/>
      <c r="Q169" s="78"/>
      <c r="R169" s="99"/>
      <c r="S169" s="99"/>
    </row>
    <row r="170" spans="1:19">
      <c r="A170" s="78" t="e">
        <f>'CROIX BLANCHE PG'!#REF!</f>
        <v>#REF!</v>
      </c>
      <c r="B170" s="78" t="e">
        <f>'CROIX BLANCHE PG'!#REF!</f>
        <v>#REF!</v>
      </c>
      <c r="C170" s="78"/>
      <c r="D170" s="78"/>
      <c r="E170" s="78"/>
      <c r="F170" s="78"/>
      <c r="G170" s="78"/>
      <c r="H170" s="78"/>
      <c r="I170" s="98"/>
      <c r="J170" s="99"/>
      <c r="K170" s="99"/>
      <c r="L170" s="78"/>
      <c r="M170" s="78"/>
      <c r="N170" s="78"/>
      <c r="O170" s="78"/>
      <c r="P170" s="78"/>
      <c r="Q170" s="78"/>
      <c r="R170" s="99"/>
      <c r="S170" s="99"/>
    </row>
    <row r="171" spans="1:19">
      <c r="A171" s="78" t="e">
        <f>'CROIX BLANCHE PG'!#REF!</f>
        <v>#REF!</v>
      </c>
      <c r="B171" s="78" t="e">
        <f>'CROIX BLANCHE PG'!#REF!</f>
        <v>#REF!</v>
      </c>
      <c r="C171" s="78"/>
      <c r="D171" s="78"/>
      <c r="E171" s="78"/>
      <c r="F171" s="78"/>
      <c r="G171" s="78"/>
      <c r="H171" s="78"/>
      <c r="I171" s="98"/>
      <c r="J171" s="99"/>
      <c r="K171" s="99"/>
      <c r="L171" s="78"/>
      <c r="M171" s="78"/>
      <c r="N171" s="78"/>
      <c r="O171" s="78"/>
      <c r="P171" s="78"/>
      <c r="Q171" s="78"/>
      <c r="R171" s="99"/>
      <c r="S171" s="99"/>
    </row>
    <row r="172" spans="1:19">
      <c r="A172" s="78" t="e">
        <f>'CROIX BLANCHE PG'!#REF!</f>
        <v>#REF!</v>
      </c>
      <c r="B172" s="78" t="e">
        <f>'CROIX BLANCHE PG'!#REF!</f>
        <v>#REF!</v>
      </c>
      <c r="C172" s="78"/>
      <c r="D172" s="78"/>
      <c r="E172" s="78"/>
      <c r="F172" s="78"/>
      <c r="G172" s="78"/>
      <c r="H172" s="78"/>
      <c r="I172" s="98"/>
      <c r="J172" s="99"/>
      <c r="K172" s="99"/>
      <c r="L172" s="78"/>
      <c r="M172" s="78"/>
      <c r="N172" s="78"/>
      <c r="O172" s="78"/>
      <c r="P172" s="78"/>
      <c r="Q172" s="78"/>
      <c r="R172" s="99"/>
      <c r="S172" s="99"/>
    </row>
    <row r="173" spans="1:19">
      <c r="A173" s="78" t="e">
        <f>'CROIX BLANCHE PG'!#REF!</f>
        <v>#REF!</v>
      </c>
      <c r="B173" s="78" t="e">
        <f>'CROIX BLANCHE PG'!#REF!</f>
        <v>#REF!</v>
      </c>
      <c r="C173" s="78"/>
      <c r="D173" s="78"/>
      <c r="E173" s="78"/>
      <c r="F173" s="78"/>
      <c r="G173" s="78"/>
      <c r="H173" s="78"/>
      <c r="I173" s="98"/>
      <c r="J173" s="99"/>
      <c r="K173" s="99"/>
      <c r="L173" s="78"/>
      <c r="M173" s="78"/>
      <c r="N173" s="78"/>
      <c r="O173" s="78"/>
      <c r="P173" s="78"/>
      <c r="Q173" s="78"/>
      <c r="R173" s="99"/>
      <c r="S173" s="99"/>
    </row>
    <row r="174" spans="1:19">
      <c r="A174" s="78" t="e">
        <f>'CROIX BLANCHE PG'!#REF!</f>
        <v>#REF!</v>
      </c>
      <c r="B174" s="78" t="e">
        <f>'CROIX BLANCHE PG'!#REF!</f>
        <v>#REF!</v>
      </c>
      <c r="C174" s="78"/>
      <c r="D174" s="78"/>
      <c r="E174" s="78"/>
      <c r="F174" s="78"/>
      <c r="G174" s="78"/>
      <c r="H174" s="78"/>
      <c r="I174" s="98"/>
      <c r="J174" s="99"/>
      <c r="K174" s="99"/>
      <c r="L174" s="78"/>
      <c r="M174" s="78"/>
      <c r="N174" s="78"/>
      <c r="O174" s="78"/>
      <c r="P174" s="78"/>
      <c r="Q174" s="78"/>
      <c r="R174" s="99"/>
      <c r="S174" s="99"/>
    </row>
    <row r="175" spans="1:19">
      <c r="A175" s="78" t="e">
        <f>'CROIX BLANCHE PG'!#REF!</f>
        <v>#REF!</v>
      </c>
      <c r="B175" s="78" t="e">
        <f>'CROIX BLANCHE PG'!#REF!</f>
        <v>#REF!</v>
      </c>
      <c r="C175" s="78"/>
      <c r="D175" s="78"/>
      <c r="E175" s="78"/>
      <c r="F175" s="78"/>
      <c r="G175" s="78"/>
      <c r="H175" s="78"/>
      <c r="I175" s="98"/>
      <c r="J175" s="99"/>
      <c r="K175" s="99"/>
      <c r="L175" s="78"/>
      <c r="M175" s="78"/>
      <c r="N175" s="78"/>
      <c r="O175" s="78"/>
      <c r="P175" s="78"/>
      <c r="Q175" s="78"/>
      <c r="R175" s="99"/>
      <c r="S175" s="99"/>
    </row>
    <row r="176" spans="1:19">
      <c r="A176" s="78" t="e">
        <f>'CROIX BLANCHE PG'!#REF!</f>
        <v>#REF!</v>
      </c>
      <c r="B176" s="78" t="e">
        <f>'CROIX BLANCHE PG'!#REF!</f>
        <v>#REF!</v>
      </c>
      <c r="C176" s="78"/>
      <c r="D176" s="78"/>
      <c r="E176" s="78"/>
      <c r="F176" s="78"/>
      <c r="G176" s="78"/>
      <c r="H176" s="78"/>
      <c r="I176" s="98"/>
      <c r="J176" s="99"/>
      <c r="K176" s="99"/>
      <c r="L176" s="78"/>
      <c r="M176" s="78"/>
      <c r="N176" s="78"/>
      <c r="O176" s="78"/>
      <c r="P176" s="78"/>
      <c r="Q176" s="78"/>
      <c r="R176" s="99"/>
      <c r="S176" s="99"/>
    </row>
    <row r="177" spans="1:19">
      <c r="A177" s="78" t="e">
        <f>'CROIX BLANCHE PG'!#REF!</f>
        <v>#REF!</v>
      </c>
      <c r="B177" s="78" t="e">
        <f>'CROIX BLANCHE PG'!#REF!</f>
        <v>#REF!</v>
      </c>
      <c r="C177" s="78"/>
      <c r="D177" s="78"/>
      <c r="E177" s="78"/>
      <c r="F177" s="78"/>
      <c r="G177" s="78"/>
      <c r="H177" s="78"/>
      <c r="I177" s="98"/>
      <c r="J177" s="99"/>
      <c r="K177" s="99"/>
      <c r="L177" s="78"/>
      <c r="M177" s="78"/>
      <c r="N177" s="78"/>
      <c r="O177" s="78"/>
      <c r="P177" s="78"/>
      <c r="Q177" s="78"/>
      <c r="R177" s="99"/>
      <c r="S177" s="99"/>
    </row>
    <row r="178" spans="1:19">
      <c r="A178" s="78" t="e">
        <f>'CROIX BLANCHE PG'!#REF!</f>
        <v>#REF!</v>
      </c>
      <c r="B178" s="78" t="e">
        <f>'CROIX BLANCHE PG'!#REF!</f>
        <v>#REF!</v>
      </c>
      <c r="C178" s="78"/>
      <c r="D178" s="78"/>
      <c r="E178" s="78"/>
      <c r="F178" s="78"/>
      <c r="G178" s="78"/>
      <c r="H178" s="78"/>
      <c r="I178" s="98"/>
      <c r="J178" s="99"/>
      <c r="K178" s="99"/>
      <c r="L178" s="78"/>
      <c r="M178" s="78"/>
      <c r="N178" s="78"/>
      <c r="O178" s="78"/>
      <c r="P178" s="78"/>
      <c r="Q178" s="78"/>
      <c r="R178" s="99"/>
      <c r="S178" s="99"/>
    </row>
    <row r="179" spans="1:19">
      <c r="A179" s="78" t="s">
        <v>812</v>
      </c>
      <c r="B179" s="78" t="s">
        <v>800</v>
      </c>
      <c r="C179" s="78"/>
      <c r="D179" s="78"/>
      <c r="E179" s="78"/>
      <c r="F179" s="78"/>
      <c r="G179" s="78"/>
      <c r="H179" s="78"/>
      <c r="I179" s="98"/>
      <c r="J179" s="99"/>
      <c r="K179" s="99"/>
      <c r="L179" s="78"/>
      <c r="M179" s="78"/>
      <c r="N179" s="78"/>
      <c r="O179" s="78"/>
      <c r="P179" s="78"/>
      <c r="Q179" s="78"/>
      <c r="R179" s="99"/>
      <c r="S179" s="99"/>
    </row>
    <row r="180" spans="1:19">
      <c r="A180" s="78" t="e">
        <f>'CROIX BLANCHE PG'!#REF!</f>
        <v>#REF!</v>
      </c>
      <c r="B180" s="78" t="e">
        <f>'CROIX BLANCHE PG'!#REF!</f>
        <v>#REF!</v>
      </c>
      <c r="C180" s="78"/>
      <c r="D180" s="78"/>
      <c r="E180" s="78"/>
      <c r="F180" s="78"/>
      <c r="G180" s="78"/>
      <c r="H180" s="78"/>
      <c r="I180" s="98"/>
      <c r="J180" s="99"/>
      <c r="K180" s="99"/>
      <c r="L180" s="78"/>
      <c r="M180" s="78"/>
      <c r="N180" s="78"/>
      <c r="O180" s="78"/>
      <c r="P180" s="78"/>
      <c r="Q180" s="78"/>
      <c r="R180" s="99"/>
      <c r="S180" s="99"/>
    </row>
    <row r="181" spans="1:19">
      <c r="A181" s="78" t="e">
        <f>'CROIX BLANCHE PG'!#REF!</f>
        <v>#REF!</v>
      </c>
      <c r="B181" s="78" t="e">
        <f>'CROIX BLANCHE PG'!#REF!</f>
        <v>#REF!</v>
      </c>
      <c r="C181" s="78"/>
      <c r="D181" s="78"/>
      <c r="E181" s="78"/>
      <c r="F181" s="78"/>
      <c r="G181" s="78"/>
      <c r="H181" s="78"/>
      <c r="I181" s="98"/>
      <c r="J181" s="99"/>
      <c r="K181" s="99"/>
      <c r="L181" s="78"/>
      <c r="M181" s="78"/>
      <c r="N181" s="78"/>
      <c r="O181" s="78"/>
      <c r="P181" s="78"/>
      <c r="Q181" s="78"/>
      <c r="R181" s="99"/>
      <c r="S181" s="99"/>
    </row>
    <row r="182" spans="1:19">
      <c r="A182" s="78" t="e">
        <f>'CROIX BLANCHE PG'!#REF!</f>
        <v>#REF!</v>
      </c>
      <c r="B182" s="78" t="e">
        <f>'CROIX BLANCHE PG'!#REF!</f>
        <v>#REF!</v>
      </c>
      <c r="C182" s="78"/>
      <c r="D182" s="78"/>
      <c r="E182" s="78"/>
      <c r="F182" s="78"/>
      <c r="G182" s="78"/>
      <c r="H182" s="78"/>
      <c r="I182" s="98"/>
      <c r="J182" s="99"/>
      <c r="K182" s="99"/>
      <c r="L182" s="78"/>
      <c r="M182" s="78"/>
      <c r="N182" s="78"/>
      <c r="O182" s="78"/>
      <c r="P182" s="78"/>
      <c r="Q182" s="78"/>
      <c r="R182" s="99"/>
      <c r="S182" s="99"/>
    </row>
    <row r="183" spans="1:19">
      <c r="A183" s="78" t="e">
        <f>'CROIX BLANCHE PG'!#REF!</f>
        <v>#REF!</v>
      </c>
      <c r="B183" s="78" t="e">
        <f>'CROIX BLANCHE PG'!#REF!</f>
        <v>#REF!</v>
      </c>
      <c r="C183" s="78"/>
      <c r="D183" s="78"/>
      <c r="E183" s="78"/>
      <c r="F183" s="78"/>
      <c r="G183" s="78"/>
      <c r="H183" s="78"/>
      <c r="I183" s="98"/>
      <c r="J183" s="99"/>
      <c r="K183" s="99"/>
      <c r="L183" s="78"/>
      <c r="M183" s="78"/>
      <c r="N183" s="78"/>
      <c r="O183" s="78"/>
      <c r="P183" s="78"/>
      <c r="Q183" s="78"/>
      <c r="R183" s="99"/>
      <c r="S183" s="99"/>
    </row>
    <row r="184" spans="1:19">
      <c r="A184" s="78" t="e">
        <f>'CROIX BLANCHE PG'!#REF!</f>
        <v>#REF!</v>
      </c>
      <c r="B184" s="78" t="e">
        <f>'CROIX BLANCHE PG'!#REF!</f>
        <v>#REF!</v>
      </c>
      <c r="C184" s="78"/>
      <c r="D184" s="78"/>
      <c r="E184" s="78"/>
      <c r="F184" s="78"/>
      <c r="G184" s="78"/>
      <c r="H184" s="78"/>
      <c r="I184" s="98"/>
      <c r="J184" s="99"/>
      <c r="K184" s="99"/>
      <c r="L184" s="78"/>
      <c r="M184" s="78"/>
      <c r="N184" s="78"/>
      <c r="O184" s="78"/>
      <c r="P184" s="78"/>
      <c r="Q184" s="78"/>
      <c r="R184" s="99"/>
      <c r="S184" s="99"/>
    </row>
    <row r="185" spans="1:19">
      <c r="A185" s="78" t="e">
        <f>'CROIX BLANCHE PG'!#REF!</f>
        <v>#REF!</v>
      </c>
      <c r="B185" s="78" t="e">
        <f>'CROIX BLANCHE PG'!#REF!</f>
        <v>#REF!</v>
      </c>
      <c r="C185" s="78"/>
      <c r="D185" s="78"/>
      <c r="E185" s="78"/>
      <c r="F185" s="78"/>
      <c r="G185" s="78"/>
      <c r="H185" s="78"/>
      <c r="I185" s="98"/>
      <c r="J185" s="99"/>
      <c r="K185" s="99"/>
      <c r="L185" s="78"/>
      <c r="M185" s="78"/>
      <c r="N185" s="78"/>
      <c r="O185" s="78"/>
      <c r="P185" s="78"/>
      <c r="Q185" s="78"/>
      <c r="R185" s="99"/>
      <c r="S185" s="99"/>
    </row>
    <row r="186" spans="1:19">
      <c r="A186" s="78" t="e">
        <f>'CROIX BLANCHE PG'!#REF!</f>
        <v>#REF!</v>
      </c>
      <c r="B186" s="78" t="e">
        <f>'CROIX BLANCHE PG'!#REF!</f>
        <v>#REF!</v>
      </c>
      <c r="C186" s="78"/>
      <c r="D186" s="78"/>
      <c r="E186" s="78"/>
      <c r="F186" s="78"/>
      <c r="G186" s="78"/>
      <c r="H186" s="78"/>
      <c r="I186" s="98"/>
      <c r="J186" s="99"/>
      <c r="K186" s="99"/>
      <c r="L186" s="78"/>
      <c r="M186" s="78"/>
      <c r="N186" s="78"/>
      <c r="O186" s="78"/>
      <c r="P186" s="78"/>
      <c r="Q186" s="78"/>
      <c r="R186" s="99"/>
      <c r="S186" s="99"/>
    </row>
    <row r="187" spans="1:19">
      <c r="A187" s="78" t="e">
        <f>'CROIX BLANCHE PG'!#REF!</f>
        <v>#REF!</v>
      </c>
      <c r="B187" s="78" t="e">
        <f>'CROIX BLANCHE PG'!#REF!</f>
        <v>#REF!</v>
      </c>
      <c r="C187" s="78"/>
      <c r="D187" s="78"/>
      <c r="E187" s="78"/>
      <c r="F187" s="78"/>
      <c r="G187" s="78"/>
      <c r="H187" s="78"/>
      <c r="I187" s="98"/>
      <c r="J187" s="99"/>
      <c r="K187" s="99"/>
      <c r="L187" s="78"/>
      <c r="M187" s="78"/>
      <c r="N187" s="78"/>
      <c r="O187" s="78"/>
      <c r="P187" s="78"/>
      <c r="Q187" s="78"/>
      <c r="R187" s="99"/>
      <c r="S187" s="99"/>
    </row>
    <row r="188" spans="1:19">
      <c r="A188" s="78" t="e">
        <f>'CROIX BLANCHE PG'!#REF!</f>
        <v>#REF!</v>
      </c>
      <c r="B188" s="78" t="e">
        <f>'CROIX BLANCHE PG'!#REF!</f>
        <v>#REF!</v>
      </c>
      <c r="C188" s="78"/>
      <c r="D188" s="78"/>
      <c r="E188" s="78"/>
      <c r="F188" s="78"/>
      <c r="G188" s="78"/>
      <c r="H188" s="78"/>
      <c r="I188" s="98"/>
      <c r="J188" s="99"/>
      <c r="K188" s="99"/>
      <c r="L188" s="78"/>
      <c r="M188" s="78"/>
      <c r="N188" s="78"/>
      <c r="O188" s="78"/>
      <c r="P188" s="78"/>
      <c r="Q188" s="78"/>
      <c r="R188" s="99"/>
      <c r="S188" s="99"/>
    </row>
    <row r="189" spans="1:19">
      <c r="A189" s="78" t="e">
        <f>'CROIX BLANCHE PG'!#REF!</f>
        <v>#REF!</v>
      </c>
      <c r="B189" s="78" t="e">
        <f>'CROIX BLANCHE PG'!#REF!</f>
        <v>#REF!</v>
      </c>
      <c r="C189" s="78"/>
      <c r="D189" s="78"/>
      <c r="E189" s="78"/>
      <c r="F189" s="78"/>
      <c r="G189" s="78"/>
      <c r="H189" s="78"/>
      <c r="I189" s="98"/>
      <c r="J189" s="99"/>
      <c r="K189" s="99"/>
      <c r="L189" s="78"/>
      <c r="M189" s="78"/>
      <c r="N189" s="78"/>
      <c r="O189" s="78"/>
      <c r="P189" s="78"/>
      <c r="Q189" s="78"/>
      <c r="R189" s="99"/>
      <c r="S189" s="99"/>
    </row>
    <row r="190" spans="1:19">
      <c r="A190" s="78" t="e">
        <f>'CROIX BLANCHE PG'!#REF!</f>
        <v>#REF!</v>
      </c>
      <c r="B190" s="78" t="e">
        <f>'CROIX BLANCHE PG'!#REF!</f>
        <v>#REF!</v>
      </c>
      <c r="C190" s="78"/>
      <c r="D190" s="78"/>
      <c r="E190" s="78"/>
      <c r="F190" s="78"/>
      <c r="G190" s="78"/>
      <c r="H190" s="78"/>
      <c r="I190" s="98"/>
      <c r="J190" s="99"/>
      <c r="K190" s="99"/>
      <c r="L190" s="78"/>
      <c r="M190" s="78"/>
      <c r="N190" s="78"/>
      <c r="O190" s="78"/>
      <c r="P190" s="78"/>
      <c r="Q190" s="78"/>
      <c r="R190" s="99"/>
      <c r="S190" s="99"/>
    </row>
    <row r="191" spans="1:19">
      <c r="A191" s="78"/>
      <c r="B191" s="78"/>
      <c r="C191" s="78"/>
      <c r="D191" s="78"/>
      <c r="E191" s="78"/>
      <c r="F191" s="78"/>
      <c r="G191" s="78"/>
      <c r="H191" s="78"/>
      <c r="I191" s="98"/>
      <c r="J191" s="99"/>
      <c r="K191" s="99"/>
      <c r="L191" s="78"/>
      <c r="M191" s="78"/>
      <c r="N191" s="78"/>
      <c r="O191" s="78"/>
      <c r="P191" s="78"/>
      <c r="Q191" s="78"/>
      <c r="R191" s="99"/>
      <c r="S191" s="99"/>
    </row>
    <row r="192" spans="1:19">
      <c r="A192" s="78"/>
      <c r="B192" s="78"/>
      <c r="C192" s="78"/>
      <c r="D192" s="78"/>
      <c r="E192" s="78"/>
      <c r="F192" s="78"/>
      <c r="G192" s="78"/>
      <c r="H192" s="78"/>
      <c r="I192" s="98"/>
      <c r="J192" s="99"/>
      <c r="K192" s="99"/>
      <c r="L192" s="78"/>
      <c r="M192" s="78"/>
      <c r="N192" s="78"/>
      <c r="O192" s="78"/>
      <c r="P192" s="78"/>
      <c r="Q192" s="78"/>
      <c r="R192" s="99"/>
      <c r="S192" s="99"/>
    </row>
    <row r="193" spans="1:19">
      <c r="A193" s="78"/>
      <c r="B193" s="78"/>
      <c r="C193" s="78"/>
      <c r="D193" s="78"/>
      <c r="E193" s="78"/>
      <c r="F193" s="78"/>
      <c r="G193" s="78"/>
      <c r="H193" s="78"/>
      <c r="I193" s="98"/>
      <c r="J193" s="99"/>
      <c r="K193" s="99"/>
      <c r="L193" s="78"/>
      <c r="M193" s="78"/>
      <c r="N193" s="78"/>
      <c r="O193" s="78"/>
      <c r="P193" s="78"/>
      <c r="Q193" s="78"/>
      <c r="R193" s="99"/>
      <c r="S193" s="99"/>
    </row>
    <row r="194" spans="1:19">
      <c r="A194" s="78"/>
      <c r="B194" s="78"/>
      <c r="C194" s="78"/>
      <c r="D194" s="78"/>
      <c r="E194" s="78"/>
      <c r="F194" s="78"/>
      <c r="G194" s="78"/>
      <c r="H194" s="78"/>
      <c r="I194" s="98"/>
      <c r="J194" s="99"/>
      <c r="K194" s="99"/>
      <c r="L194" s="78"/>
      <c r="M194" s="78"/>
      <c r="N194" s="78"/>
      <c r="O194" s="78"/>
      <c r="P194" s="78"/>
      <c r="Q194" s="78"/>
      <c r="R194" s="99"/>
      <c r="S194" s="99"/>
    </row>
    <row r="195" spans="1:19">
      <c r="A195" s="78"/>
      <c r="B195" s="78"/>
      <c r="C195" s="78"/>
      <c r="D195" s="78"/>
      <c r="E195" s="78"/>
      <c r="F195" s="78"/>
      <c r="G195" s="78"/>
      <c r="H195" s="78"/>
      <c r="I195" s="98"/>
      <c r="J195" s="99"/>
      <c r="K195" s="99"/>
      <c r="L195" s="78"/>
      <c r="M195" s="78"/>
      <c r="N195" s="78"/>
      <c r="O195" s="78"/>
      <c r="P195" s="78"/>
      <c r="Q195" s="78"/>
      <c r="R195" s="99"/>
      <c r="S195" s="99"/>
    </row>
    <row r="196" spans="1:19">
      <c r="A196" s="78"/>
      <c r="B196" s="78"/>
      <c r="C196" s="78"/>
      <c r="D196" s="78"/>
      <c r="E196" s="78"/>
      <c r="F196" s="78"/>
      <c r="G196" s="78"/>
      <c r="H196" s="78"/>
      <c r="I196" s="98"/>
      <c r="J196" s="99"/>
      <c r="K196" s="99"/>
      <c r="L196" s="78"/>
      <c r="M196" s="78"/>
      <c r="N196" s="78"/>
      <c r="O196" s="78"/>
      <c r="P196" s="78"/>
      <c r="Q196" s="78"/>
      <c r="R196" s="99"/>
      <c r="S196" s="99"/>
    </row>
    <row r="197" spans="1:19">
      <c r="A197" s="78"/>
      <c r="B197" s="78"/>
      <c r="C197" s="78"/>
      <c r="D197" s="78"/>
      <c r="E197" s="78"/>
      <c r="F197" s="78"/>
      <c r="G197" s="78"/>
      <c r="H197" s="78"/>
      <c r="I197" s="98"/>
      <c r="J197" s="99"/>
      <c r="K197" s="99"/>
      <c r="L197" s="78"/>
      <c r="M197" s="78"/>
      <c r="N197" s="78"/>
      <c r="O197" s="78"/>
      <c r="P197" s="78"/>
      <c r="Q197" s="78"/>
      <c r="R197" s="99"/>
      <c r="S197" s="99"/>
    </row>
    <row r="198" spans="1:19">
      <c r="A198" s="78"/>
      <c r="B198" s="78"/>
      <c r="C198" s="78"/>
      <c r="D198" s="78"/>
      <c r="E198" s="78"/>
      <c r="F198" s="78"/>
      <c r="G198" s="78"/>
      <c r="H198" s="78"/>
      <c r="I198" s="98"/>
      <c r="J198" s="99"/>
      <c r="K198" s="99"/>
      <c r="L198" s="78"/>
      <c r="M198" s="78"/>
      <c r="N198" s="78"/>
      <c r="O198" s="78"/>
      <c r="P198" s="78"/>
      <c r="Q198" s="78"/>
      <c r="R198" s="99"/>
      <c r="S198" s="99"/>
    </row>
    <row r="199" spans="1:19">
      <c r="A199" s="78"/>
      <c r="B199" s="78"/>
      <c r="C199" s="78"/>
      <c r="D199" s="78"/>
      <c r="E199" s="78"/>
      <c r="F199" s="78"/>
      <c r="G199" s="78"/>
      <c r="H199" s="78"/>
      <c r="I199" s="98"/>
      <c r="J199" s="99"/>
      <c r="K199" s="99"/>
      <c r="L199" s="78"/>
      <c r="M199" s="78"/>
      <c r="N199" s="78"/>
      <c r="O199" s="78"/>
      <c r="P199" s="78"/>
      <c r="Q199" s="78"/>
      <c r="R199" s="99"/>
      <c r="S199" s="99"/>
    </row>
    <row r="200" spans="1:19">
      <c r="A200" s="78"/>
      <c r="B200" s="78"/>
      <c r="C200" s="78"/>
      <c r="D200" s="78"/>
      <c r="E200" s="78"/>
      <c r="F200" s="78"/>
      <c r="G200" s="78"/>
      <c r="H200" s="78"/>
      <c r="I200" s="98"/>
      <c r="J200" s="99"/>
      <c r="K200" s="99"/>
      <c r="L200" s="78"/>
      <c r="M200" s="78"/>
      <c r="N200" s="78"/>
      <c r="O200" s="78"/>
      <c r="P200" s="78"/>
      <c r="Q200" s="78"/>
      <c r="R200" s="99"/>
      <c r="S200" s="99"/>
    </row>
    <row r="201" spans="1:19">
      <c r="A201" s="78"/>
      <c r="B201" s="78"/>
      <c r="C201" s="78"/>
      <c r="D201" s="78"/>
      <c r="E201" s="78"/>
      <c r="F201" s="78"/>
      <c r="G201" s="78"/>
      <c r="H201" s="78"/>
      <c r="I201" s="98"/>
      <c r="J201" s="99"/>
      <c r="K201" s="99"/>
      <c r="L201" s="78"/>
      <c r="M201" s="78"/>
      <c r="N201" s="78"/>
      <c r="O201" s="78"/>
      <c r="P201" s="78"/>
      <c r="Q201" s="78"/>
      <c r="R201" s="99"/>
      <c r="S201" s="99"/>
    </row>
    <row r="202" spans="1:19">
      <c r="A202" s="78"/>
      <c r="B202" s="78"/>
      <c r="C202" s="78"/>
      <c r="D202" s="78"/>
      <c r="E202" s="78"/>
      <c r="F202" s="78"/>
      <c r="G202" s="78"/>
      <c r="H202" s="78"/>
      <c r="I202" s="98"/>
      <c r="J202" s="99"/>
      <c r="K202" s="99"/>
      <c r="L202" s="78"/>
      <c r="M202" s="78"/>
      <c r="N202" s="78"/>
      <c r="O202" s="78"/>
      <c r="P202" s="78"/>
      <c r="Q202" s="78"/>
      <c r="R202" s="99"/>
      <c r="S202" s="99"/>
    </row>
    <row r="203" spans="1:19">
      <c r="A203" s="78"/>
      <c r="B203" s="78"/>
      <c r="C203" s="78"/>
      <c r="D203" s="78"/>
      <c r="E203" s="78"/>
      <c r="F203" s="78"/>
      <c r="G203" s="78"/>
      <c r="H203" s="78"/>
      <c r="I203" s="98"/>
      <c r="J203" s="99"/>
      <c r="K203" s="99"/>
      <c r="L203" s="78"/>
      <c r="M203" s="78"/>
      <c r="N203" s="78"/>
      <c r="O203" s="78"/>
      <c r="P203" s="78"/>
      <c r="Q203" s="78"/>
      <c r="R203" s="99"/>
      <c r="S203" s="99"/>
    </row>
    <row r="204" spans="1:19">
      <c r="A204" s="78"/>
      <c r="B204" s="78"/>
      <c r="C204" s="78"/>
      <c r="D204" s="78"/>
      <c r="E204" s="78"/>
      <c r="F204" s="78"/>
      <c r="G204" s="78"/>
      <c r="H204" s="78"/>
      <c r="I204" s="98"/>
      <c r="J204" s="99"/>
      <c r="K204" s="99"/>
      <c r="L204" s="78"/>
      <c r="M204" s="78"/>
      <c r="N204" s="78"/>
      <c r="O204" s="78"/>
      <c r="P204" s="78"/>
      <c r="Q204" s="78"/>
      <c r="R204" s="99"/>
      <c r="S204" s="99"/>
    </row>
    <row r="205" spans="1:19">
      <c r="A205" s="78"/>
      <c r="B205" s="78"/>
      <c r="C205" s="78"/>
      <c r="D205" s="78"/>
      <c r="E205" s="78"/>
      <c r="F205" s="78"/>
      <c r="G205" s="78"/>
      <c r="H205" s="78"/>
      <c r="I205" s="98"/>
      <c r="J205" s="99"/>
      <c r="K205" s="99"/>
      <c r="L205" s="78"/>
      <c r="M205" s="78"/>
      <c r="N205" s="78"/>
      <c r="O205" s="78"/>
      <c r="P205" s="78"/>
      <c r="Q205" s="78"/>
      <c r="R205" s="99"/>
      <c r="S205" s="99"/>
    </row>
    <row r="206" spans="1:19">
      <c r="A206" s="78"/>
      <c r="B206" s="78"/>
      <c r="C206" s="78"/>
      <c r="D206" s="78"/>
      <c r="E206" s="78"/>
      <c r="F206" s="78"/>
      <c r="G206" s="78"/>
      <c r="H206" s="78"/>
      <c r="I206" s="98"/>
      <c r="J206" s="99"/>
      <c r="K206" s="99"/>
      <c r="L206" s="78"/>
      <c r="M206" s="78"/>
      <c r="N206" s="78"/>
      <c r="O206" s="78"/>
      <c r="P206" s="78"/>
      <c r="Q206" s="78"/>
      <c r="R206" s="99"/>
      <c r="S206" s="99"/>
    </row>
    <row r="207" spans="1:19">
      <c r="A207" s="78"/>
      <c r="B207" s="78"/>
      <c r="C207" s="78"/>
      <c r="D207" s="78"/>
      <c r="E207" s="78"/>
      <c r="F207" s="78"/>
      <c r="G207" s="78"/>
      <c r="H207" s="78"/>
      <c r="I207" s="98"/>
      <c r="J207" s="99"/>
      <c r="K207" s="99"/>
      <c r="L207" s="78"/>
      <c r="M207" s="78"/>
      <c r="N207" s="78"/>
      <c r="O207" s="78"/>
      <c r="P207" s="78"/>
      <c r="Q207" s="78"/>
      <c r="R207" s="99"/>
      <c r="S207" s="99"/>
    </row>
    <row r="208" spans="1:19">
      <c r="A208" s="78"/>
      <c r="B208" s="78"/>
      <c r="C208" s="78"/>
      <c r="D208" s="78"/>
      <c r="E208" s="78"/>
      <c r="F208" s="78"/>
      <c r="G208" s="78"/>
      <c r="H208" s="78"/>
      <c r="I208" s="98"/>
      <c r="J208" s="99"/>
      <c r="K208" s="99"/>
      <c r="L208" s="78"/>
      <c r="M208" s="78"/>
      <c r="N208" s="78"/>
      <c r="O208" s="78"/>
      <c r="P208" s="78"/>
      <c r="Q208" s="78"/>
      <c r="R208" s="99"/>
      <c r="S208" s="99"/>
    </row>
    <row r="209" spans="1:19">
      <c r="A209" s="78"/>
      <c r="B209" s="78"/>
      <c r="C209" s="78"/>
      <c r="D209" s="78"/>
      <c r="E209" s="78"/>
      <c r="F209" s="78"/>
      <c r="G209" s="78"/>
      <c r="H209" s="78"/>
      <c r="I209" s="98"/>
      <c r="J209" s="99"/>
      <c r="K209" s="99"/>
      <c r="L209" s="78"/>
      <c r="M209" s="78"/>
      <c r="N209" s="78"/>
      <c r="O209" s="78"/>
      <c r="P209" s="78"/>
      <c r="Q209" s="78"/>
      <c r="R209" s="99"/>
      <c r="S209" s="99"/>
    </row>
    <row r="210" spans="1:19">
      <c r="A210" s="78"/>
      <c r="B210" s="78"/>
      <c r="C210" s="78"/>
      <c r="D210" s="78"/>
      <c r="E210" s="78"/>
      <c r="F210" s="78"/>
      <c r="G210" s="78"/>
      <c r="H210" s="78"/>
      <c r="I210" s="98"/>
      <c r="J210" s="99"/>
      <c r="K210" s="99"/>
      <c r="L210" s="78"/>
      <c r="M210" s="78"/>
      <c r="N210" s="78"/>
      <c r="O210" s="78"/>
      <c r="P210" s="78"/>
      <c r="Q210" s="78"/>
      <c r="R210" s="99"/>
      <c r="S210" s="99"/>
    </row>
    <row r="211" spans="1:19">
      <c r="A211" s="78"/>
      <c r="B211" s="78"/>
      <c r="C211" s="78"/>
      <c r="D211" s="78"/>
      <c r="E211" s="78"/>
      <c r="F211" s="78"/>
      <c r="G211" s="78"/>
      <c r="H211" s="78"/>
      <c r="I211" s="98"/>
      <c r="J211" s="99"/>
      <c r="K211" s="99"/>
      <c r="L211" s="78"/>
      <c r="M211" s="78"/>
      <c r="N211" s="78"/>
      <c r="O211" s="78"/>
      <c r="P211" s="78"/>
      <c r="Q211" s="78"/>
      <c r="R211" s="99"/>
      <c r="S211" s="99"/>
    </row>
    <row r="212" spans="1:19">
      <c r="A212" s="78"/>
      <c r="B212" s="78"/>
      <c r="C212" s="78"/>
      <c r="D212" s="78"/>
      <c r="E212" s="78"/>
      <c r="F212" s="78"/>
      <c r="G212" s="78"/>
      <c r="H212" s="78"/>
      <c r="I212" s="98"/>
      <c r="J212" s="99"/>
      <c r="K212" s="99"/>
      <c r="L212" s="78"/>
      <c r="M212" s="78"/>
      <c r="N212" s="78"/>
      <c r="O212" s="78"/>
      <c r="P212" s="78"/>
      <c r="Q212" s="78"/>
      <c r="R212" s="99"/>
      <c r="S212" s="99"/>
    </row>
    <row r="213" spans="1:19">
      <c r="A213" s="78"/>
      <c r="B213" s="78"/>
      <c r="C213" s="78"/>
      <c r="D213" s="78"/>
      <c r="E213" s="78"/>
      <c r="F213" s="78"/>
      <c r="G213" s="78"/>
      <c r="H213" s="78"/>
      <c r="I213" s="98"/>
      <c r="J213" s="99"/>
      <c r="K213" s="99"/>
      <c r="L213" s="78"/>
      <c r="M213" s="78"/>
      <c r="N213" s="78"/>
      <c r="O213" s="78"/>
      <c r="P213" s="78"/>
      <c r="Q213" s="78"/>
      <c r="R213" s="99"/>
      <c r="S213" s="99"/>
    </row>
    <row r="214" spans="1:19">
      <c r="A214" s="78"/>
      <c r="B214" s="78"/>
      <c r="C214" s="78"/>
      <c r="D214" s="78"/>
      <c r="E214" s="78"/>
      <c r="F214" s="78"/>
      <c r="G214" s="78"/>
      <c r="H214" s="78"/>
      <c r="I214" s="98"/>
      <c r="J214" s="99"/>
      <c r="K214" s="99"/>
      <c r="L214" s="78"/>
      <c r="M214" s="78"/>
      <c r="N214" s="78"/>
      <c r="O214" s="78"/>
      <c r="P214" s="78"/>
      <c r="Q214" s="78"/>
      <c r="R214" s="99"/>
      <c r="S214" s="99"/>
    </row>
    <row r="215" spans="1:19">
      <c r="A215" s="78"/>
      <c r="B215" s="78"/>
      <c r="C215" s="78"/>
      <c r="D215" s="78"/>
      <c r="E215" s="78"/>
      <c r="F215" s="78"/>
      <c r="G215" s="78"/>
      <c r="H215" s="78"/>
      <c r="I215" s="98"/>
      <c r="J215" s="99"/>
      <c r="K215" s="99"/>
      <c r="L215" s="78"/>
      <c r="M215" s="78"/>
      <c r="N215" s="78"/>
      <c r="O215" s="78"/>
      <c r="P215" s="78"/>
      <c r="Q215" s="78"/>
      <c r="R215" s="99"/>
      <c r="S215" s="99"/>
    </row>
    <row r="216" spans="1:19">
      <c r="A216" s="78"/>
      <c r="B216" s="78"/>
      <c r="C216" s="78"/>
      <c r="D216" s="78"/>
      <c r="E216" s="78"/>
      <c r="F216" s="78"/>
      <c r="G216" s="78"/>
      <c r="H216" s="78"/>
      <c r="I216" s="98"/>
      <c r="J216" s="99"/>
      <c r="K216" s="99"/>
      <c r="L216" s="78"/>
      <c r="M216" s="78"/>
      <c r="N216" s="78"/>
      <c r="O216" s="78"/>
      <c r="P216" s="78"/>
      <c r="Q216" s="78"/>
      <c r="R216" s="99"/>
      <c r="S216" s="99"/>
    </row>
    <row r="217" spans="1:19">
      <c r="A217" s="78"/>
      <c r="B217" s="78"/>
      <c r="C217" s="78"/>
      <c r="D217" s="78"/>
      <c r="E217" s="78"/>
      <c r="F217" s="78"/>
      <c r="G217" s="78"/>
      <c r="H217" s="78"/>
      <c r="I217" s="98"/>
      <c r="J217" s="99"/>
      <c r="K217" s="99"/>
      <c r="L217" s="78"/>
      <c r="M217" s="78"/>
      <c r="N217" s="78"/>
      <c r="O217" s="78"/>
      <c r="P217" s="78"/>
      <c r="Q217" s="78"/>
      <c r="R217" s="99"/>
      <c r="S217" s="99"/>
    </row>
    <row r="218" spans="1:19">
      <c r="A218" s="78"/>
      <c r="B218" s="78"/>
      <c r="C218" s="78"/>
      <c r="D218" s="78"/>
      <c r="E218" s="78"/>
      <c r="F218" s="78"/>
      <c r="G218" s="78"/>
      <c r="H218" s="78"/>
      <c r="I218" s="98"/>
      <c r="J218" s="99"/>
      <c r="K218" s="99"/>
      <c r="L218" s="78"/>
      <c r="M218" s="78"/>
      <c r="N218" s="78"/>
      <c r="O218" s="78"/>
      <c r="P218" s="78"/>
      <c r="Q218" s="78"/>
      <c r="R218" s="99"/>
      <c r="S218" s="99"/>
    </row>
    <row r="219" spans="1:19">
      <c r="A219" s="78"/>
      <c r="B219" s="78"/>
      <c r="C219" s="78"/>
      <c r="D219" s="78"/>
      <c r="E219" s="78"/>
      <c r="F219" s="78"/>
      <c r="G219" s="78"/>
      <c r="H219" s="78"/>
      <c r="I219" s="98"/>
      <c r="J219" s="99"/>
      <c r="K219" s="99"/>
      <c r="L219" s="78"/>
      <c r="M219" s="78"/>
      <c r="N219" s="78"/>
      <c r="O219" s="78"/>
      <c r="P219" s="78"/>
      <c r="Q219" s="78"/>
      <c r="R219" s="99"/>
      <c r="S219" s="99"/>
    </row>
    <row r="220" spans="1:19">
      <c r="A220" s="78"/>
      <c r="B220" s="78"/>
      <c r="C220" s="78"/>
      <c r="D220" s="78"/>
      <c r="E220" s="78"/>
      <c r="F220" s="78"/>
      <c r="G220" s="78"/>
      <c r="H220" s="78"/>
      <c r="I220" s="98"/>
      <c r="J220" s="99"/>
      <c r="K220" s="99"/>
      <c r="L220" s="78"/>
      <c r="M220" s="78"/>
      <c r="N220" s="78"/>
      <c r="O220" s="78"/>
      <c r="P220" s="78"/>
      <c r="Q220" s="78"/>
      <c r="R220" s="99"/>
      <c r="S220" s="99"/>
    </row>
    <row r="221" spans="1:19">
      <c r="A221" s="78"/>
      <c r="B221" s="78"/>
      <c r="C221" s="78"/>
      <c r="D221" s="78"/>
      <c r="E221" s="78"/>
      <c r="F221" s="78"/>
      <c r="G221" s="78"/>
      <c r="H221" s="78"/>
      <c r="I221" s="98"/>
      <c r="J221" s="99"/>
      <c r="K221" s="99"/>
      <c r="L221" s="78"/>
      <c r="M221" s="78"/>
      <c r="N221" s="78"/>
      <c r="O221" s="78"/>
      <c r="P221" s="78"/>
      <c r="Q221" s="78"/>
      <c r="R221" s="99"/>
      <c r="S221" s="99"/>
    </row>
    <row r="222" spans="1:19">
      <c r="A222" s="78"/>
      <c r="B222" s="78"/>
      <c r="C222" s="78"/>
      <c r="D222" s="78"/>
      <c r="E222" s="78"/>
      <c r="F222" s="78"/>
      <c r="G222" s="78"/>
      <c r="H222" s="78"/>
      <c r="I222" s="98"/>
      <c r="J222" s="99"/>
      <c r="K222" s="99"/>
      <c r="L222" s="78"/>
      <c r="M222" s="78"/>
      <c r="N222" s="78"/>
      <c r="O222" s="78"/>
      <c r="P222" s="78"/>
      <c r="Q222" s="78"/>
      <c r="R222" s="99"/>
      <c r="S222" s="99"/>
    </row>
    <row r="223" spans="1:19">
      <c r="A223" s="78"/>
      <c r="B223" s="78"/>
      <c r="C223" s="78"/>
      <c r="D223" s="78"/>
      <c r="E223" s="78"/>
      <c r="F223" s="78"/>
      <c r="G223" s="78"/>
      <c r="H223" s="78"/>
      <c r="I223" s="98"/>
      <c r="J223" s="99"/>
      <c r="K223" s="99"/>
      <c r="L223" s="78"/>
      <c r="M223" s="78"/>
      <c r="N223" s="78"/>
      <c r="O223" s="78"/>
      <c r="P223" s="78"/>
      <c r="Q223" s="78"/>
      <c r="R223" s="99"/>
      <c r="S223" s="99"/>
    </row>
    <row r="224" spans="1:19">
      <c r="A224" s="78"/>
      <c r="B224" s="78"/>
      <c r="C224" s="78"/>
      <c r="D224" s="78"/>
      <c r="E224" s="78"/>
      <c r="F224" s="78"/>
      <c r="G224" s="78"/>
      <c r="H224" s="78"/>
      <c r="I224" s="98"/>
      <c r="J224" s="99"/>
      <c r="K224" s="99"/>
      <c r="L224" s="78"/>
      <c r="M224" s="78"/>
      <c r="N224" s="78"/>
      <c r="O224" s="78"/>
      <c r="P224" s="78"/>
      <c r="Q224" s="78"/>
      <c r="R224" s="99"/>
      <c r="S224" s="99"/>
    </row>
    <row r="225" spans="1:19">
      <c r="A225" s="78"/>
      <c r="B225" s="78"/>
      <c r="C225" s="78"/>
      <c r="D225" s="78"/>
      <c r="E225" s="78"/>
      <c r="F225" s="78"/>
      <c r="G225" s="78"/>
      <c r="H225" s="78"/>
      <c r="I225" s="98"/>
      <c r="J225" s="99"/>
      <c r="K225" s="99"/>
      <c r="L225" s="78"/>
      <c r="M225" s="78"/>
      <c r="N225" s="78"/>
      <c r="O225" s="78"/>
      <c r="P225" s="78"/>
      <c r="Q225" s="78"/>
      <c r="R225" s="99"/>
      <c r="S225" s="99"/>
    </row>
    <row r="226" spans="1:19">
      <c r="A226" s="78"/>
      <c r="B226" s="78"/>
      <c r="C226" s="78"/>
      <c r="D226" s="78"/>
      <c r="E226" s="78"/>
      <c r="F226" s="78"/>
      <c r="G226" s="78"/>
      <c r="H226" s="78"/>
      <c r="I226" s="98"/>
      <c r="J226" s="99"/>
      <c r="K226" s="99"/>
      <c r="L226" s="78"/>
      <c r="M226" s="78"/>
      <c r="N226" s="78"/>
      <c r="O226" s="78"/>
      <c r="P226" s="78"/>
      <c r="Q226" s="78"/>
      <c r="R226" s="99"/>
      <c r="S226" s="99"/>
    </row>
    <row r="227" spans="1:19">
      <c r="A227" s="78"/>
      <c r="B227" s="78"/>
      <c r="C227" s="78"/>
      <c r="D227" s="78"/>
      <c r="E227" s="78"/>
      <c r="F227" s="78"/>
      <c r="G227" s="78"/>
      <c r="H227" s="78"/>
      <c r="I227" s="98"/>
      <c r="J227" s="99"/>
      <c r="K227" s="99"/>
      <c r="L227" s="78"/>
      <c r="M227" s="78"/>
      <c r="N227" s="78"/>
      <c r="O227" s="78"/>
      <c r="P227" s="78"/>
      <c r="Q227" s="78"/>
      <c r="R227" s="99"/>
      <c r="S227" s="99"/>
    </row>
    <row r="228" spans="1:19">
      <c r="A228" s="78"/>
      <c r="B228" s="78"/>
      <c r="C228" s="78"/>
      <c r="D228" s="78"/>
      <c r="E228" s="78"/>
      <c r="F228" s="78"/>
      <c r="G228" s="78"/>
      <c r="H228" s="78"/>
      <c r="I228" s="98"/>
      <c r="J228" s="99"/>
      <c r="K228" s="99"/>
      <c r="L228" s="78"/>
      <c r="M228" s="78"/>
      <c r="N228" s="78"/>
      <c r="O228" s="78"/>
      <c r="P228" s="78"/>
      <c r="Q228" s="78"/>
      <c r="R228" s="99"/>
      <c r="S228" s="99"/>
    </row>
    <row r="229" spans="1:19">
      <c r="A229" s="78"/>
      <c r="B229" s="78"/>
      <c r="C229" s="78"/>
      <c r="D229" s="78"/>
      <c r="E229" s="78"/>
      <c r="F229" s="78"/>
      <c r="G229" s="78"/>
      <c r="H229" s="78"/>
      <c r="I229" s="98"/>
      <c r="J229" s="99"/>
      <c r="K229" s="99"/>
      <c r="L229" s="78"/>
      <c r="M229" s="78"/>
      <c r="N229" s="78"/>
      <c r="O229" s="78"/>
      <c r="P229" s="78"/>
      <c r="Q229" s="78"/>
      <c r="R229" s="99"/>
      <c r="S229" s="99"/>
    </row>
    <row r="230" spans="1:19">
      <c r="A230" s="78"/>
      <c r="B230" s="78"/>
      <c r="C230" s="78"/>
      <c r="D230" s="78"/>
      <c r="E230" s="78"/>
      <c r="F230" s="78"/>
      <c r="G230" s="78"/>
      <c r="H230" s="78"/>
      <c r="I230" s="98"/>
      <c r="J230" s="99"/>
      <c r="K230" s="99"/>
      <c r="L230" s="78"/>
      <c r="M230" s="78"/>
      <c r="N230" s="78"/>
      <c r="O230" s="78"/>
      <c r="P230" s="78"/>
      <c r="Q230" s="78"/>
      <c r="R230" s="99"/>
      <c r="S230" s="99"/>
    </row>
    <row r="231" spans="1:19">
      <c r="A231" s="78"/>
      <c r="B231" s="78"/>
      <c r="C231" s="78"/>
      <c r="D231" s="78"/>
      <c r="E231" s="78"/>
      <c r="F231" s="78"/>
      <c r="G231" s="78"/>
      <c r="H231" s="78"/>
      <c r="I231" s="98"/>
      <c r="J231" s="99"/>
      <c r="K231" s="99"/>
      <c r="L231" s="78"/>
      <c r="M231" s="78"/>
      <c r="N231" s="78"/>
      <c r="O231" s="78"/>
      <c r="P231" s="78"/>
      <c r="Q231" s="78"/>
      <c r="R231" s="99"/>
      <c r="S231" s="99"/>
    </row>
    <row r="232" spans="1:19">
      <c r="A232" s="78"/>
      <c r="B232" s="78"/>
      <c r="C232" s="78"/>
      <c r="D232" s="78"/>
      <c r="E232" s="78"/>
      <c r="F232" s="78"/>
      <c r="G232" s="78"/>
      <c r="H232" s="78"/>
      <c r="I232" s="98"/>
      <c r="J232" s="99"/>
      <c r="K232" s="99"/>
      <c r="L232" s="78"/>
      <c r="M232" s="78"/>
      <c r="N232" s="78"/>
      <c r="O232" s="78"/>
      <c r="P232" s="78"/>
      <c r="Q232" s="78"/>
      <c r="R232" s="99"/>
      <c r="S232" s="99"/>
    </row>
    <row r="233" spans="1:19">
      <c r="A233" s="78"/>
      <c r="B233" s="78"/>
      <c r="C233" s="78"/>
      <c r="D233" s="78"/>
      <c r="E233" s="78"/>
      <c r="F233" s="78"/>
      <c r="G233" s="78"/>
      <c r="H233" s="78"/>
      <c r="I233" s="98"/>
      <c r="J233" s="99"/>
      <c r="K233" s="99"/>
      <c r="L233" s="78"/>
      <c r="M233" s="78"/>
      <c r="N233" s="78"/>
      <c r="O233" s="78"/>
      <c r="P233" s="78"/>
      <c r="Q233" s="78"/>
      <c r="R233" s="99"/>
      <c r="S233" s="99"/>
    </row>
    <row r="234" spans="1:19">
      <c r="A234" s="78"/>
      <c r="B234" s="78"/>
      <c r="C234" s="78"/>
      <c r="D234" s="78"/>
      <c r="E234" s="78"/>
      <c r="F234" s="78"/>
      <c r="G234" s="78"/>
      <c r="H234" s="78"/>
      <c r="I234" s="98"/>
      <c r="J234" s="99"/>
      <c r="K234" s="99"/>
      <c r="L234" s="78"/>
      <c r="M234" s="78"/>
      <c r="N234" s="78"/>
      <c r="O234" s="78"/>
      <c r="P234" s="78"/>
      <c r="Q234" s="78"/>
      <c r="R234" s="99"/>
      <c r="S234" s="99"/>
    </row>
    <row r="235" spans="1:19">
      <c r="A235" s="78"/>
      <c r="B235" s="78"/>
      <c r="C235" s="78"/>
      <c r="D235" s="78"/>
      <c r="E235" s="78"/>
      <c r="F235" s="78"/>
      <c r="G235" s="78"/>
      <c r="H235" s="78"/>
      <c r="I235" s="98"/>
      <c r="J235" s="99"/>
      <c r="K235" s="99"/>
      <c r="L235" s="78"/>
      <c r="M235" s="78"/>
      <c r="N235" s="78"/>
      <c r="O235" s="78"/>
      <c r="P235" s="78"/>
      <c r="Q235" s="78"/>
      <c r="R235" s="99"/>
      <c r="S235" s="99"/>
    </row>
    <row r="236" spans="1:19">
      <c r="A236" s="78"/>
      <c r="B236" s="78"/>
      <c r="C236" s="78"/>
      <c r="D236" s="78"/>
      <c r="E236" s="78"/>
      <c r="F236" s="78"/>
      <c r="G236" s="78"/>
      <c r="H236" s="78"/>
      <c r="I236" s="98"/>
      <c r="J236" s="99"/>
      <c r="K236" s="99"/>
      <c r="L236" s="78"/>
      <c r="M236" s="78"/>
      <c r="N236" s="78"/>
      <c r="O236" s="78"/>
      <c r="P236" s="78"/>
      <c r="Q236" s="78"/>
      <c r="R236" s="99"/>
      <c r="S236" s="99"/>
    </row>
    <row r="237" spans="1:19">
      <c r="A237" s="78"/>
      <c r="B237" s="78"/>
      <c r="C237" s="78"/>
      <c r="D237" s="78"/>
      <c r="E237" s="78"/>
      <c r="F237" s="78"/>
      <c r="G237" s="78"/>
      <c r="H237" s="78"/>
      <c r="I237" s="98"/>
      <c r="J237" s="99"/>
      <c r="K237" s="99"/>
      <c r="L237" s="78"/>
      <c r="M237" s="78"/>
      <c r="N237" s="78"/>
      <c r="O237" s="78"/>
      <c r="P237" s="78"/>
      <c r="Q237" s="78"/>
      <c r="R237" s="99"/>
      <c r="S237" s="99"/>
    </row>
    <row r="238" spans="1:19">
      <c r="A238" s="78"/>
      <c r="B238" s="78"/>
      <c r="C238" s="78"/>
      <c r="D238" s="78"/>
      <c r="E238" s="78"/>
      <c r="F238" s="78"/>
      <c r="G238" s="78"/>
      <c r="H238" s="78"/>
      <c r="I238" s="98"/>
      <c r="J238" s="99"/>
      <c r="K238" s="99"/>
      <c r="L238" s="78"/>
      <c r="M238" s="78"/>
      <c r="N238" s="78"/>
      <c r="O238" s="78"/>
      <c r="P238" s="78"/>
      <c r="Q238" s="78"/>
      <c r="R238" s="99"/>
      <c r="S238" s="99"/>
    </row>
    <row r="239" spans="1:19">
      <c r="A239" s="78"/>
      <c r="B239" s="78"/>
      <c r="C239" s="78"/>
      <c r="D239" s="78"/>
      <c r="E239" s="78"/>
      <c r="F239" s="78"/>
      <c r="G239" s="78"/>
      <c r="H239" s="78"/>
      <c r="I239" s="98"/>
      <c r="J239" s="99"/>
      <c r="K239" s="99"/>
      <c r="L239" s="78"/>
      <c r="M239" s="78"/>
      <c r="N239" s="78"/>
      <c r="O239" s="78"/>
      <c r="P239" s="78"/>
      <c r="Q239" s="78"/>
      <c r="R239" s="99"/>
      <c r="S239" s="99"/>
    </row>
    <row r="240" spans="1:19">
      <c r="A240" s="78"/>
      <c r="B240" s="78"/>
      <c r="C240" s="78"/>
      <c r="D240" s="78"/>
      <c r="E240" s="78"/>
      <c r="F240" s="78"/>
      <c r="G240" s="78"/>
      <c r="H240" s="78"/>
      <c r="I240" s="98"/>
      <c r="J240" s="99"/>
      <c r="K240" s="99"/>
      <c r="L240" s="78"/>
      <c r="M240" s="78"/>
      <c r="N240" s="78"/>
      <c r="O240" s="78"/>
      <c r="P240" s="78"/>
      <c r="Q240" s="78"/>
      <c r="R240" s="99"/>
      <c r="S240" s="99"/>
    </row>
    <row r="241" spans="1:19">
      <c r="A241" s="78"/>
      <c r="B241" s="78"/>
      <c r="C241" s="78"/>
      <c r="D241" s="78"/>
      <c r="E241" s="78"/>
      <c r="F241" s="78"/>
      <c r="G241" s="78"/>
      <c r="H241" s="78"/>
      <c r="I241" s="98"/>
      <c r="J241" s="99"/>
      <c r="K241" s="99"/>
      <c r="L241" s="78"/>
      <c r="M241" s="78"/>
      <c r="N241" s="78"/>
      <c r="O241" s="78"/>
      <c r="P241" s="78"/>
      <c r="Q241" s="78"/>
      <c r="R241" s="99"/>
      <c r="S241" s="99"/>
    </row>
    <row r="242" spans="1:19">
      <c r="A242" s="78"/>
      <c r="B242" s="78"/>
      <c r="C242" s="78"/>
      <c r="D242" s="78"/>
      <c r="E242" s="78"/>
      <c r="F242" s="78"/>
      <c r="G242" s="78"/>
      <c r="H242" s="78"/>
      <c r="I242" s="98"/>
      <c r="J242" s="99"/>
      <c r="K242" s="99"/>
      <c r="L242" s="78"/>
      <c r="M242" s="78"/>
      <c r="N242" s="78"/>
      <c r="O242" s="78"/>
      <c r="P242" s="78"/>
      <c r="Q242" s="78"/>
      <c r="R242" s="99"/>
      <c r="S242" s="99"/>
    </row>
    <row r="243" spans="1:19">
      <c r="A243" s="78"/>
      <c r="B243" s="78"/>
      <c r="C243" s="78"/>
      <c r="D243" s="78"/>
      <c r="E243" s="78"/>
      <c r="F243" s="78"/>
      <c r="G243" s="78"/>
      <c r="H243" s="78"/>
      <c r="I243" s="98"/>
      <c r="J243" s="99"/>
      <c r="K243" s="99"/>
      <c r="L243" s="78"/>
      <c r="M243" s="78"/>
      <c r="N243" s="78"/>
      <c r="O243" s="78"/>
      <c r="P243" s="78"/>
      <c r="Q243" s="78"/>
      <c r="R243" s="99"/>
      <c r="S243" s="99"/>
    </row>
    <row r="244" spans="1:19">
      <c r="A244" s="78"/>
      <c r="B244" s="78"/>
      <c r="C244" s="78"/>
      <c r="D244" s="78"/>
      <c r="E244" s="78"/>
      <c r="F244" s="78"/>
      <c r="G244" s="78"/>
      <c r="H244" s="78"/>
      <c r="I244" s="98"/>
      <c r="J244" s="99"/>
      <c r="K244" s="99"/>
      <c r="L244" s="78"/>
      <c r="M244" s="78"/>
      <c r="N244" s="78"/>
      <c r="O244" s="78"/>
      <c r="P244" s="78"/>
      <c r="Q244" s="78"/>
      <c r="R244" s="99"/>
      <c r="S244" s="99"/>
    </row>
    <row r="245" spans="1:19">
      <c r="A245" s="78"/>
      <c r="B245" s="78"/>
      <c r="C245" s="78"/>
      <c r="D245" s="78"/>
      <c r="E245" s="78"/>
      <c r="F245" s="78"/>
      <c r="G245" s="78"/>
      <c r="H245" s="78"/>
      <c r="I245" s="98"/>
      <c r="J245" s="99"/>
      <c r="K245" s="99"/>
      <c r="L245" s="78"/>
      <c r="M245" s="78"/>
      <c r="N245" s="78"/>
      <c r="O245" s="78"/>
      <c r="P245" s="78"/>
      <c r="Q245" s="78"/>
      <c r="R245" s="99"/>
      <c r="S245" s="99"/>
    </row>
    <row r="246" spans="1:19">
      <c r="A246" s="78"/>
      <c r="B246" s="78"/>
      <c r="C246" s="78"/>
      <c r="D246" s="78"/>
      <c r="E246" s="78"/>
      <c r="F246" s="78"/>
      <c r="G246" s="78"/>
      <c r="H246" s="78"/>
      <c r="I246" s="98"/>
      <c r="J246" s="99"/>
      <c r="K246" s="99"/>
      <c r="L246" s="78"/>
      <c r="M246" s="78"/>
      <c r="N246" s="78"/>
      <c r="O246" s="78"/>
      <c r="P246" s="78"/>
      <c r="Q246" s="78"/>
      <c r="R246" s="99"/>
      <c r="S246" s="99"/>
    </row>
    <row r="247" spans="1:19">
      <c r="A247" s="78"/>
      <c r="B247" s="78"/>
      <c r="C247" s="78"/>
      <c r="D247" s="78"/>
      <c r="E247" s="78"/>
      <c r="F247" s="78"/>
      <c r="G247" s="78"/>
      <c r="H247" s="78"/>
      <c r="I247" s="98"/>
      <c r="J247" s="99"/>
      <c r="K247" s="99"/>
      <c r="L247" s="78"/>
      <c r="M247" s="78"/>
      <c r="N247" s="78"/>
      <c r="O247" s="78"/>
      <c r="P247" s="78"/>
      <c r="Q247" s="78"/>
      <c r="R247" s="99"/>
      <c r="S247" s="99"/>
    </row>
    <row r="248" spans="1:19">
      <c r="A248" s="78"/>
      <c r="B248" s="78"/>
      <c r="C248" s="78"/>
      <c r="D248" s="78"/>
      <c r="E248" s="78"/>
      <c r="F248" s="78"/>
      <c r="G248" s="78"/>
      <c r="H248" s="78"/>
      <c r="I248" s="98"/>
      <c r="J248" s="99"/>
      <c r="K248" s="99"/>
      <c r="L248" s="78"/>
      <c r="M248" s="78"/>
      <c r="N248" s="78"/>
      <c r="O248" s="78"/>
      <c r="P248" s="78"/>
      <c r="Q248" s="78"/>
      <c r="R248" s="99"/>
      <c r="S248" s="99"/>
    </row>
    <row r="249" spans="1:19">
      <c r="A249" s="78"/>
      <c r="B249" s="78"/>
      <c r="C249" s="78"/>
      <c r="D249" s="78"/>
      <c r="E249" s="78"/>
      <c r="F249" s="78"/>
      <c r="G249" s="78"/>
      <c r="H249" s="78"/>
      <c r="I249" s="98"/>
      <c r="J249" s="99"/>
      <c r="K249" s="99"/>
      <c r="L249" s="78"/>
      <c r="M249" s="78"/>
      <c r="N249" s="78"/>
      <c r="O249" s="78"/>
      <c r="P249" s="78"/>
      <c r="Q249" s="78"/>
      <c r="R249" s="99"/>
      <c r="S249" s="99"/>
    </row>
    <row r="250" spans="1:19">
      <c r="A250" s="78"/>
      <c r="B250" s="78"/>
      <c r="C250" s="78"/>
      <c r="D250" s="78"/>
      <c r="E250" s="78"/>
      <c r="F250" s="78"/>
      <c r="G250" s="78"/>
      <c r="H250" s="78"/>
      <c r="I250" s="98"/>
      <c r="J250" s="99"/>
      <c r="K250" s="99"/>
      <c r="L250" s="78"/>
      <c r="M250" s="78"/>
      <c r="N250" s="78"/>
      <c r="O250" s="78"/>
      <c r="P250" s="78"/>
      <c r="Q250" s="78"/>
      <c r="R250" s="99"/>
      <c r="S250" s="99"/>
    </row>
    <row r="251" spans="1:19">
      <c r="I251" s="98"/>
    </row>
    <row r="252" spans="1:19">
      <c r="I252" s="98"/>
    </row>
  </sheetData>
  <autoFilter ref="A4:S114" xr:uid="{1F10B933-3C9E-4CE7-A247-EB4F6AD7194F}">
    <filterColumn colId="8">
      <colorFilter dxfId="3" cellColor="0"/>
    </filterColumn>
    <sortState xmlns:xlrd2="http://schemas.microsoft.com/office/spreadsheetml/2017/richdata2" ref="A5:S117">
      <sortCondition ref="A4"/>
    </sortState>
  </autoFilter>
  <mergeCells count="5">
    <mergeCell ref="I3:K3"/>
    <mergeCell ref="C3:H3"/>
    <mergeCell ref="L3:Q3"/>
    <mergeCell ref="R3:S3"/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770D7E7-738A-43CD-A856-6A43163FFF4D}">
          <x14:formula1>
            <xm:f>'liste deroulante'!$E$15:$E$16</xm:f>
          </x14:formula1>
          <xm:sqref>K117:K162</xm:sqref>
        </x14:dataValidation>
        <x14:dataValidation type="list" allowBlank="1" showInputMessage="1" showErrorMessage="1" xr:uid="{EB2E554A-235B-4A5D-8A78-0D5A44C98859}">
          <x14:formula1>
            <xm:f>'liste deroulante'!$D$12:$D$13</xm:f>
          </x14:formula1>
          <xm:sqref>K1 K5:K116</xm:sqref>
        </x14:dataValidation>
        <x14:dataValidation type="list" allowBlank="1" showInputMessage="1" showErrorMessage="1" xr:uid="{4AAFD18E-073C-481E-B6FF-BD2EDC5F1549}">
          <x14:formula1>
            <xm:f>'liste deroulante'!$H$17:$H$18</xm:f>
          </x14:formula1>
          <xm:sqref>S5:S22 S1</xm:sqref>
        </x14:dataValidation>
        <x14:dataValidation type="list" allowBlank="1" showInputMessage="1" showErrorMessage="1" xr:uid="{636375CE-262F-4A76-A5AB-4EC462D3551C}">
          <x14:formula1>
            <xm:f>'liste deroulante'!$G$17:$G$20</xm:f>
          </x14:formula1>
          <xm:sqref>I1 I5 I115:I252</xm:sqref>
        </x14:dataValidation>
        <x14:dataValidation type="list" allowBlank="1" showInputMessage="1" showErrorMessage="1" xr:uid="{AD02DC2D-1FE5-4B1F-8AE9-12F370E21D25}">
          <x14:formula1>
            <xm:f>'liste deroulante'!$H$9:$H$10</xm:f>
          </x14:formula1>
          <xm:sqref>S23:S161</xm:sqref>
        </x14:dataValidation>
        <x14:dataValidation type="list" allowBlank="1" showInputMessage="1" showErrorMessage="1" xr:uid="{CF9B0D4E-B25A-4B8C-B55E-250584C49ACD}">
          <x14:formula1>
            <xm:f>'liste deroulante'!$G$17:$G$19</xm:f>
          </x14:formula1>
          <xm:sqref>I112 I108 I6:I99 I104 I114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120F-1DDB-4C04-832C-24E507C41BBA}">
  <dimension ref="A3:G43"/>
  <sheetViews>
    <sheetView topLeftCell="A10" workbookViewId="0">
      <selection activeCell="B35" sqref="B35"/>
    </sheetView>
  </sheetViews>
  <sheetFormatPr baseColWidth="10" defaultRowHeight="15"/>
  <cols>
    <col min="1" max="1" width="35.85546875" bestFit="1" customWidth="1"/>
    <col min="2" max="2" width="12" bestFit="1" customWidth="1"/>
    <col min="3" max="3" width="11.85546875" bestFit="1" customWidth="1"/>
    <col min="4" max="4" width="13.85546875" bestFit="1" customWidth="1"/>
    <col min="5" max="5" width="19.28515625" bestFit="1" customWidth="1"/>
    <col min="6" max="6" width="23.42578125" bestFit="1" customWidth="1"/>
    <col min="7" max="7" width="25" bestFit="1" customWidth="1"/>
    <col min="8" max="8" width="15.42578125" bestFit="1" customWidth="1"/>
    <col min="9" max="9" width="31.140625" bestFit="1" customWidth="1"/>
    <col min="10" max="10" width="7.140625" bestFit="1" customWidth="1"/>
    <col min="11" max="11" width="5.85546875" bestFit="1" customWidth="1"/>
    <col min="12" max="12" width="25" bestFit="1" customWidth="1"/>
    <col min="13" max="13" width="12.140625" bestFit="1" customWidth="1"/>
    <col min="14" max="14" width="4.7109375" bestFit="1" customWidth="1"/>
    <col min="15" max="15" width="31.140625" bestFit="1" customWidth="1"/>
    <col min="16" max="16" width="7.140625" bestFit="1" customWidth="1"/>
    <col min="17" max="17" width="5.85546875" bestFit="1" customWidth="1"/>
    <col min="18" max="18" width="28.28515625" bestFit="1" customWidth="1"/>
    <col min="19" max="19" width="29.7109375" bestFit="1" customWidth="1"/>
    <col min="20" max="24" width="22.28515625" bestFit="1" customWidth="1"/>
    <col min="25" max="25" width="22.85546875" bestFit="1" customWidth="1"/>
    <col min="26" max="26" width="22.28515625" bestFit="1" customWidth="1"/>
    <col min="27" max="29" width="21.7109375" bestFit="1" customWidth="1"/>
    <col min="30" max="33" width="22.28515625" bestFit="1" customWidth="1"/>
    <col min="34" max="36" width="23.28515625" bestFit="1" customWidth="1"/>
  </cols>
  <sheetData>
    <row r="3" spans="1:6">
      <c r="A3" s="123" t="s">
        <v>580</v>
      </c>
      <c r="E3" s="123" t="s">
        <v>592</v>
      </c>
    </row>
    <row r="4" spans="1:6">
      <c r="A4" s="125" t="s">
        <v>613</v>
      </c>
      <c r="B4" s="124">
        <v>32</v>
      </c>
      <c r="E4" s="125" t="s">
        <v>581</v>
      </c>
      <c r="F4" s="124">
        <v>1540</v>
      </c>
    </row>
    <row r="5" spans="1:6">
      <c r="A5" s="125" t="s">
        <v>614</v>
      </c>
      <c r="B5" s="124">
        <v>20</v>
      </c>
      <c r="E5" s="125" t="s">
        <v>582</v>
      </c>
      <c r="F5" s="124">
        <v>1390</v>
      </c>
    </row>
    <row r="6" spans="1:6">
      <c r="A6" s="125" t="s">
        <v>566</v>
      </c>
      <c r="B6" s="124"/>
      <c r="E6" s="125" t="s">
        <v>567</v>
      </c>
      <c r="F6" s="124">
        <v>1090</v>
      </c>
    </row>
    <row r="7" spans="1:6">
      <c r="A7" s="125" t="s">
        <v>565</v>
      </c>
      <c r="B7" s="124"/>
      <c r="E7" s="125" t="s">
        <v>568</v>
      </c>
      <c r="F7" s="124">
        <v>500</v>
      </c>
    </row>
    <row r="8" spans="1:6">
      <c r="A8" s="125" t="s">
        <v>567</v>
      </c>
      <c r="B8" s="124"/>
      <c r="E8" s="125" t="s">
        <v>569</v>
      </c>
      <c r="F8" s="124">
        <v>420</v>
      </c>
    </row>
    <row r="9" spans="1:6">
      <c r="A9" s="125" t="s">
        <v>568</v>
      </c>
      <c r="B9" s="124"/>
      <c r="E9" s="125" t="s">
        <v>583</v>
      </c>
      <c r="F9" s="124">
        <v>160</v>
      </c>
    </row>
    <row r="10" spans="1:6">
      <c r="A10" s="125" t="s">
        <v>569</v>
      </c>
      <c r="B10" s="124"/>
      <c r="E10" s="125" t="s">
        <v>584</v>
      </c>
      <c r="F10" s="124"/>
    </row>
    <row r="11" spans="1:6">
      <c r="A11" s="125" t="s">
        <v>570</v>
      </c>
      <c r="B11" s="124"/>
      <c r="E11" s="125" t="s">
        <v>585</v>
      </c>
      <c r="F11" s="124"/>
    </row>
    <row r="12" spans="1:6">
      <c r="A12" s="125" t="s">
        <v>571</v>
      </c>
      <c r="B12" s="124"/>
      <c r="E12" s="125" t="s">
        <v>586</v>
      </c>
      <c r="F12" s="124"/>
    </row>
    <row r="13" spans="1:6">
      <c r="A13" s="125" t="s">
        <v>572</v>
      </c>
      <c r="B13" s="124"/>
      <c r="E13" s="125" t="s">
        <v>587</v>
      </c>
      <c r="F13" s="124"/>
    </row>
    <row r="14" spans="1:6">
      <c r="A14" s="125" t="s">
        <v>573</v>
      </c>
      <c r="B14" s="124"/>
      <c r="E14" s="125" t="s">
        <v>588</v>
      </c>
      <c r="F14" s="124"/>
    </row>
    <row r="15" spans="1:6">
      <c r="A15" s="125" t="s">
        <v>574</v>
      </c>
      <c r="B15" s="124"/>
      <c r="E15" s="125" t="s">
        <v>589</v>
      </c>
      <c r="F15" s="124"/>
    </row>
    <row r="16" spans="1:6">
      <c r="A16" s="125" t="s">
        <v>575</v>
      </c>
      <c r="B16" s="124"/>
      <c r="E16" s="125" t="s">
        <v>590</v>
      </c>
      <c r="F16" s="124"/>
    </row>
    <row r="17" spans="1:7">
      <c r="A17" s="125" t="s">
        <v>576</v>
      </c>
      <c r="B17" s="124"/>
      <c r="E17" s="125" t="s">
        <v>591</v>
      </c>
      <c r="F17" s="124"/>
    </row>
    <row r="18" spans="1:7">
      <c r="A18" s="125" t="s">
        <v>579</v>
      </c>
      <c r="B18" s="124"/>
    </row>
    <row r="19" spans="1:7">
      <c r="A19" s="125" t="s">
        <v>577</v>
      </c>
      <c r="B19" s="124"/>
    </row>
    <row r="20" spans="1:7">
      <c r="A20" s="125"/>
      <c r="B20" s="124"/>
    </row>
    <row r="21" spans="1:7">
      <c r="A21" s="123" t="s">
        <v>578</v>
      </c>
      <c r="C21" s="123" t="s">
        <v>605</v>
      </c>
      <c r="D21" t="s">
        <v>594</v>
      </c>
      <c r="E21" s="123" t="s">
        <v>604</v>
      </c>
      <c r="F21" t="s">
        <v>601</v>
      </c>
      <c r="G21" t="s">
        <v>599</v>
      </c>
    </row>
    <row r="22" spans="1:7">
      <c r="A22" s="125" t="s">
        <v>595</v>
      </c>
      <c r="B22" s="124">
        <v>40.956043956043956</v>
      </c>
      <c r="C22" s="125" t="s">
        <v>622</v>
      </c>
      <c r="D22" s="124">
        <v>114</v>
      </c>
      <c r="E22" s="125" t="s">
        <v>42</v>
      </c>
      <c r="F22" s="124">
        <v>3</v>
      </c>
      <c r="G22" s="124"/>
    </row>
    <row r="23" spans="1:7">
      <c r="A23" s="125" t="s">
        <v>596</v>
      </c>
      <c r="B23" s="124">
        <v>126</v>
      </c>
      <c r="C23" s="125" t="s">
        <v>619</v>
      </c>
      <c r="D23" s="124">
        <v>71</v>
      </c>
      <c r="E23" s="126" t="s">
        <v>563</v>
      </c>
      <c r="F23" s="124">
        <v>3</v>
      </c>
      <c r="G23" s="124"/>
    </row>
    <row r="24" spans="1:7">
      <c r="A24" s="125" t="s">
        <v>597</v>
      </c>
      <c r="B24" s="124">
        <v>55</v>
      </c>
      <c r="C24" s="125" t="s">
        <v>563</v>
      </c>
      <c r="D24" s="124"/>
      <c r="E24" s="125" t="s">
        <v>43</v>
      </c>
      <c r="F24" s="124">
        <v>8</v>
      </c>
      <c r="G24" s="124">
        <v>2</v>
      </c>
    </row>
    <row r="25" spans="1:7">
      <c r="A25" s="125" t="s">
        <v>598</v>
      </c>
      <c r="B25" s="124">
        <v>1</v>
      </c>
      <c r="C25" s="125" t="s">
        <v>564</v>
      </c>
      <c r="D25" s="124">
        <v>185</v>
      </c>
      <c r="E25" s="126" t="s">
        <v>54</v>
      </c>
      <c r="F25" s="124">
        <v>2</v>
      </c>
      <c r="G25" s="124">
        <v>2</v>
      </c>
    </row>
    <row r="26" spans="1:7">
      <c r="A26" s="125" t="s">
        <v>594</v>
      </c>
      <c r="B26" s="124">
        <v>185</v>
      </c>
      <c r="E26" s="126" t="s">
        <v>563</v>
      </c>
      <c r="F26" s="124">
        <v>6</v>
      </c>
      <c r="G26" s="124"/>
    </row>
    <row r="27" spans="1:7">
      <c r="A27" s="125" t="s">
        <v>608</v>
      </c>
      <c r="B27" s="124">
        <v>123</v>
      </c>
      <c r="E27" s="125" t="s">
        <v>41</v>
      </c>
      <c r="F27" s="124">
        <v>10</v>
      </c>
      <c r="G27" s="124">
        <v>7</v>
      </c>
    </row>
    <row r="28" spans="1:7">
      <c r="A28" s="125" t="s">
        <v>600</v>
      </c>
      <c r="B28" s="124"/>
      <c r="E28" s="126" t="s">
        <v>34</v>
      </c>
      <c r="F28" s="124">
        <v>3</v>
      </c>
      <c r="G28" s="124">
        <v>3</v>
      </c>
    </row>
    <row r="29" spans="1:7">
      <c r="E29" s="126" t="s">
        <v>54</v>
      </c>
      <c r="F29" s="124">
        <v>4</v>
      </c>
      <c r="G29" s="124">
        <v>4</v>
      </c>
    </row>
    <row r="30" spans="1:7">
      <c r="E30" s="126" t="s">
        <v>563</v>
      </c>
      <c r="F30" s="124">
        <v>3</v>
      </c>
      <c r="G30" s="124"/>
    </row>
    <row r="31" spans="1:7">
      <c r="A31" s="123" t="s">
        <v>603</v>
      </c>
      <c r="B31" t="s">
        <v>602</v>
      </c>
      <c r="E31" s="125" t="s">
        <v>78</v>
      </c>
      <c r="F31" s="124">
        <v>1</v>
      </c>
      <c r="G31" s="124"/>
    </row>
    <row r="32" spans="1:7">
      <c r="A32" s="125" t="s">
        <v>46</v>
      </c>
      <c r="B32" s="124">
        <v>3</v>
      </c>
      <c r="E32" s="126" t="s">
        <v>563</v>
      </c>
      <c r="F32" s="124">
        <v>1</v>
      </c>
      <c r="G32" s="124"/>
    </row>
    <row r="33" spans="1:7">
      <c r="A33" s="125" t="s">
        <v>44</v>
      </c>
      <c r="B33" s="124">
        <v>5</v>
      </c>
      <c r="E33" s="125" t="s">
        <v>39</v>
      </c>
      <c r="F33" s="124">
        <v>42</v>
      </c>
      <c r="G33" s="124">
        <v>42</v>
      </c>
    </row>
    <row r="34" spans="1:7">
      <c r="A34" s="125" t="s">
        <v>563</v>
      </c>
      <c r="B34" s="124"/>
      <c r="E34" s="126" t="s">
        <v>34</v>
      </c>
      <c r="F34" s="124">
        <v>5</v>
      </c>
      <c r="G34" s="124">
        <v>5</v>
      </c>
    </row>
    <row r="35" spans="1:7">
      <c r="A35" s="125" t="s">
        <v>538</v>
      </c>
      <c r="B35" s="124">
        <v>3</v>
      </c>
      <c r="E35" s="126" t="s">
        <v>54</v>
      </c>
      <c r="F35" s="124">
        <v>5</v>
      </c>
      <c r="G35" s="124">
        <v>5</v>
      </c>
    </row>
    <row r="36" spans="1:7">
      <c r="A36" s="125" t="s">
        <v>996</v>
      </c>
      <c r="B36" s="124">
        <v>1</v>
      </c>
      <c r="E36" s="126" t="s">
        <v>53</v>
      </c>
      <c r="F36" s="124">
        <v>24</v>
      </c>
      <c r="G36" s="124">
        <v>24</v>
      </c>
    </row>
    <row r="37" spans="1:7">
      <c r="A37" s="125" t="s">
        <v>618</v>
      </c>
      <c r="B37" s="124">
        <v>1</v>
      </c>
      <c r="E37" s="126" t="s">
        <v>51</v>
      </c>
      <c r="F37" s="124">
        <v>4</v>
      </c>
      <c r="G37" s="124">
        <v>4</v>
      </c>
    </row>
    <row r="38" spans="1:7">
      <c r="A38" s="125" t="s">
        <v>564</v>
      </c>
      <c r="B38" s="124">
        <v>13</v>
      </c>
      <c r="E38" s="126" t="s">
        <v>52</v>
      </c>
      <c r="F38" s="124">
        <v>4</v>
      </c>
      <c r="G38" s="124">
        <v>4</v>
      </c>
    </row>
    <row r="39" spans="1:7">
      <c r="E39" s="125" t="s">
        <v>563</v>
      </c>
      <c r="F39" s="124"/>
      <c r="G39" s="124"/>
    </row>
    <row r="40" spans="1:7">
      <c r="E40" s="126" t="s">
        <v>563</v>
      </c>
      <c r="F40" s="124"/>
      <c r="G40" s="124"/>
    </row>
    <row r="41" spans="1:7">
      <c r="E41" s="125" t="s">
        <v>1272</v>
      </c>
      <c r="F41" s="124">
        <v>12</v>
      </c>
      <c r="G41" s="124"/>
    </row>
    <row r="42" spans="1:7">
      <c r="E42" s="126" t="s">
        <v>563</v>
      </c>
      <c r="F42" s="124">
        <v>12</v>
      </c>
      <c r="G42" s="124"/>
    </row>
    <row r="43" spans="1:7">
      <c r="E43" s="125" t="s">
        <v>564</v>
      </c>
      <c r="F43" s="124">
        <v>76</v>
      </c>
      <c r="G43" s="124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tabColor theme="0"/>
  </sheetPr>
  <dimension ref="A1:J30"/>
  <sheetViews>
    <sheetView topLeftCell="A6" workbookViewId="0">
      <selection activeCell="H12" sqref="H12"/>
    </sheetView>
  </sheetViews>
  <sheetFormatPr baseColWidth="10" defaultRowHeight="15"/>
  <cols>
    <col min="2" max="2" width="31.7109375" customWidth="1"/>
    <col min="3" max="3" width="20.42578125" customWidth="1"/>
    <col min="6" max="6" width="11.7109375" customWidth="1"/>
    <col min="7" max="7" width="13.28515625" customWidth="1"/>
    <col min="8" max="8" width="16.28515625" customWidth="1"/>
  </cols>
  <sheetData>
    <row r="1" spans="1:10" ht="26.25" thickBot="1">
      <c r="A1" s="1" t="s">
        <v>4</v>
      </c>
      <c r="B1" s="1" t="s">
        <v>5</v>
      </c>
      <c r="C1" s="1" t="s">
        <v>6</v>
      </c>
      <c r="F1" s="9" t="s">
        <v>39</v>
      </c>
      <c r="H1" s="9" t="s">
        <v>533</v>
      </c>
      <c r="J1" s="9" t="s">
        <v>49</v>
      </c>
    </row>
    <row r="2" spans="1:10" ht="15.75" thickBot="1">
      <c r="A2" s="8"/>
      <c r="B2" s="9" t="s">
        <v>29</v>
      </c>
      <c r="C2" s="9"/>
      <c r="F2" t="s">
        <v>50</v>
      </c>
      <c r="G2" t="s">
        <v>35</v>
      </c>
      <c r="H2" s="107" t="s">
        <v>41</v>
      </c>
      <c r="J2" t="s">
        <v>46</v>
      </c>
    </row>
    <row r="3" spans="1:10" ht="39" thickBot="1">
      <c r="A3" s="2" t="s">
        <v>7</v>
      </c>
      <c r="B3" s="3" t="s">
        <v>8</v>
      </c>
      <c r="C3" s="3" t="s">
        <v>9</v>
      </c>
      <c r="E3" s="6" t="s">
        <v>27</v>
      </c>
      <c r="F3" s="6" t="s">
        <v>51</v>
      </c>
      <c r="G3" s="6" t="s">
        <v>36</v>
      </c>
      <c r="H3" s="6" t="s">
        <v>39</v>
      </c>
      <c r="J3" s="6" t="s">
        <v>47</v>
      </c>
    </row>
    <row r="4" spans="1:10" ht="26.25" thickBot="1">
      <c r="A4" s="4" t="s">
        <v>10</v>
      </c>
      <c r="B4" s="5" t="s">
        <v>11</v>
      </c>
      <c r="C4" s="5" t="s">
        <v>12</v>
      </c>
      <c r="E4" s="7" t="s">
        <v>28</v>
      </c>
      <c r="F4" s="7" t="s">
        <v>52</v>
      </c>
      <c r="G4" s="7" t="s">
        <v>37</v>
      </c>
      <c r="H4" s="7" t="s">
        <v>42</v>
      </c>
      <c r="J4" s="7" t="s">
        <v>44</v>
      </c>
    </row>
    <row r="5" spans="1:10" ht="26.25" thickBot="1">
      <c r="A5" s="2" t="s">
        <v>13</v>
      </c>
      <c r="B5" s="3" t="s">
        <v>14</v>
      </c>
      <c r="C5" s="3" t="s">
        <v>15</v>
      </c>
      <c r="F5" s="6" t="s">
        <v>53</v>
      </c>
      <c r="G5" t="s">
        <v>38</v>
      </c>
      <c r="H5" t="s">
        <v>43</v>
      </c>
      <c r="J5" t="s">
        <v>45</v>
      </c>
    </row>
    <row r="6" spans="1:10" ht="26.25" thickBot="1">
      <c r="A6" s="4" t="s">
        <v>16</v>
      </c>
      <c r="B6" s="5" t="s">
        <v>17</v>
      </c>
      <c r="C6" s="5" t="s">
        <v>18</v>
      </c>
      <c r="F6" s="7" t="s">
        <v>57</v>
      </c>
      <c r="H6" t="s">
        <v>534</v>
      </c>
      <c r="J6" s="187" t="s">
        <v>618</v>
      </c>
    </row>
    <row r="7" spans="1:10" ht="15.75" thickBot="1">
      <c r="A7" s="2" t="s">
        <v>19</v>
      </c>
      <c r="B7" s="3" t="s">
        <v>20</v>
      </c>
      <c r="C7" s="3" t="s">
        <v>18</v>
      </c>
      <c r="F7" s="7" t="s">
        <v>34</v>
      </c>
      <c r="H7" t="s">
        <v>78</v>
      </c>
      <c r="J7" t="s">
        <v>538</v>
      </c>
    </row>
    <row r="8" spans="1:10" ht="94.9" customHeight="1" thickBot="1">
      <c r="A8" s="4" t="s">
        <v>21</v>
      </c>
      <c r="B8" s="5" t="s">
        <v>22</v>
      </c>
      <c r="C8" s="5" t="s">
        <v>23</v>
      </c>
      <c r="F8" s="6" t="s">
        <v>40</v>
      </c>
      <c r="H8" s="10" t="s">
        <v>535</v>
      </c>
      <c r="J8" s="10"/>
    </row>
    <row r="9" spans="1:10" ht="26.25" thickBot="1">
      <c r="A9" s="2" t="s">
        <v>24</v>
      </c>
      <c r="B9" s="3" t="s">
        <v>25</v>
      </c>
      <c r="C9" s="3" t="s">
        <v>26</v>
      </c>
      <c r="F9" s="7" t="s">
        <v>54</v>
      </c>
      <c r="H9" t="s">
        <v>536</v>
      </c>
    </row>
    <row r="10" spans="1:10">
      <c r="F10" s="6" t="s">
        <v>55</v>
      </c>
      <c r="H10" s="6" t="s">
        <v>545</v>
      </c>
    </row>
    <row r="11" spans="1:10">
      <c r="D11" t="s">
        <v>30</v>
      </c>
      <c r="F11" s="7"/>
      <c r="H11" t="s">
        <v>1272</v>
      </c>
    </row>
    <row r="12" spans="1:10">
      <c r="B12" t="s">
        <v>59</v>
      </c>
      <c r="D12">
        <v>1</v>
      </c>
    </row>
    <row r="13" spans="1:10">
      <c r="B13" t="s">
        <v>60</v>
      </c>
      <c r="D13">
        <v>0</v>
      </c>
    </row>
    <row r="14" spans="1:10">
      <c r="B14" t="s">
        <v>61</v>
      </c>
    </row>
    <row r="15" spans="1:10">
      <c r="E15" t="s">
        <v>513</v>
      </c>
    </row>
    <row r="16" spans="1:10">
      <c r="A16" t="s">
        <v>31</v>
      </c>
      <c r="B16" t="s">
        <v>63</v>
      </c>
      <c r="E16" t="s">
        <v>514</v>
      </c>
      <c r="G16" t="s">
        <v>528</v>
      </c>
    </row>
    <row r="17" spans="2:8">
      <c r="B17" t="s">
        <v>64</v>
      </c>
      <c r="G17" t="s">
        <v>529</v>
      </c>
      <c r="H17" t="s">
        <v>541</v>
      </c>
    </row>
    <row r="18" spans="2:8">
      <c r="B18" t="s">
        <v>65</v>
      </c>
      <c r="G18" t="s">
        <v>479</v>
      </c>
      <c r="H18" t="s">
        <v>542</v>
      </c>
    </row>
    <row r="19" spans="2:8">
      <c r="B19" t="s">
        <v>66</v>
      </c>
      <c r="G19" t="s">
        <v>530</v>
      </c>
    </row>
    <row r="20" spans="2:8">
      <c r="B20" t="s">
        <v>67</v>
      </c>
      <c r="G20" t="s">
        <v>34</v>
      </c>
    </row>
    <row r="21" spans="2:8">
      <c r="B21" t="s">
        <v>68</v>
      </c>
    </row>
    <row r="22" spans="2:8">
      <c r="B22" t="s">
        <v>69</v>
      </c>
    </row>
    <row r="23" spans="2:8">
      <c r="B23" t="s">
        <v>70</v>
      </c>
    </row>
    <row r="24" spans="2:8">
      <c r="B24" t="s">
        <v>71</v>
      </c>
    </row>
    <row r="25" spans="2:8">
      <c r="B25" t="s">
        <v>72</v>
      </c>
    </row>
    <row r="26" spans="2:8">
      <c r="B26" t="s">
        <v>73</v>
      </c>
    </row>
    <row r="27" spans="2:8">
      <c r="B27" t="s">
        <v>74</v>
      </c>
    </row>
    <row r="28" spans="2:8">
      <c r="B28" t="s">
        <v>75</v>
      </c>
    </row>
    <row r="29" spans="2:8">
      <c r="B29" t="s">
        <v>76</v>
      </c>
    </row>
    <row r="30" spans="2:8">
      <c r="B30" t="s">
        <v>77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86F3-6960-4B8A-B46B-0C7210B276C9}">
  <dimension ref="A1:H118"/>
  <sheetViews>
    <sheetView topLeftCell="A2" workbookViewId="0">
      <selection activeCell="E2" sqref="E2"/>
    </sheetView>
  </sheetViews>
  <sheetFormatPr baseColWidth="10" defaultColWidth="11.42578125" defaultRowHeight="15"/>
  <cols>
    <col min="1" max="1" width="6.7109375" style="46" bestFit="1" customWidth="1"/>
    <col min="2" max="2" width="6.7109375" style="12" bestFit="1" customWidth="1"/>
    <col min="3" max="3" width="12.42578125" style="12" customWidth="1"/>
    <col min="4" max="4" width="67" style="47" hidden="1" customWidth="1"/>
    <col min="5" max="5" width="68.85546875" style="47" customWidth="1"/>
    <col min="6" max="6" width="14.28515625" style="47" customWidth="1"/>
    <col min="8" max="8" width="11.7109375" style="12" bestFit="1" customWidth="1"/>
    <col min="9" max="16384" width="11.42578125" style="12"/>
  </cols>
  <sheetData>
    <row r="1" spans="1:8" ht="30" customHeight="1">
      <c r="A1" s="569"/>
      <c r="B1" s="569"/>
      <c r="C1" s="569"/>
      <c r="D1" s="569"/>
      <c r="E1" s="11"/>
      <c r="F1" s="11"/>
    </row>
    <row r="2" spans="1:8" ht="30" customHeight="1">
      <c r="A2" s="13"/>
      <c r="B2" s="13"/>
      <c r="C2" s="13"/>
      <c r="D2" s="13"/>
      <c r="E2" s="13"/>
      <c r="F2" s="13"/>
    </row>
    <row r="3" spans="1:8" ht="30" customHeight="1">
      <c r="A3" s="570" t="s">
        <v>79</v>
      </c>
      <c r="B3" s="570"/>
      <c r="C3" s="571"/>
      <c r="D3" s="14"/>
      <c r="E3" s="572"/>
      <c r="F3" s="572"/>
    </row>
    <row r="4" spans="1:8" ht="30" customHeight="1" thickBot="1">
      <c r="A4" s="15" t="s">
        <v>80</v>
      </c>
      <c r="B4" s="14" t="s">
        <v>81</v>
      </c>
      <c r="C4" s="16" t="s">
        <v>82</v>
      </c>
      <c r="D4" s="14" t="s">
        <v>82</v>
      </c>
      <c r="E4" s="17" t="s">
        <v>82</v>
      </c>
      <c r="F4" s="14" t="s">
        <v>83</v>
      </c>
    </row>
    <row r="5" spans="1:8" s="21" customFormat="1" ht="30" customHeight="1" thickTop="1" thickBot="1">
      <c r="A5" s="573">
        <v>1</v>
      </c>
      <c r="B5" s="575" t="s">
        <v>84</v>
      </c>
      <c r="C5" s="577" t="s">
        <v>85</v>
      </c>
      <c r="D5" s="18" t="s">
        <v>86</v>
      </c>
      <c r="E5" s="19" t="s">
        <v>87</v>
      </c>
      <c r="F5" s="20">
        <v>3</v>
      </c>
    </row>
    <row r="6" spans="1:8" s="21" customFormat="1" ht="30" customHeight="1" thickBot="1">
      <c r="A6" s="574"/>
      <c r="B6" s="576"/>
      <c r="C6" s="578"/>
      <c r="D6" s="22" t="s">
        <v>88</v>
      </c>
      <c r="E6" s="23" t="s">
        <v>89</v>
      </c>
      <c r="F6" s="24">
        <v>3</v>
      </c>
    </row>
    <row r="7" spans="1:8" s="21" customFormat="1" ht="30" customHeight="1" thickTop="1" thickBot="1">
      <c r="A7" s="574"/>
      <c r="B7" s="576"/>
      <c r="C7" s="578"/>
      <c r="D7" s="18" t="s">
        <v>90</v>
      </c>
      <c r="E7" s="19" t="s">
        <v>91</v>
      </c>
      <c r="F7" s="20">
        <v>3</v>
      </c>
    </row>
    <row r="8" spans="1:8" s="21" customFormat="1" ht="30" customHeight="1" thickBot="1">
      <c r="A8" s="574"/>
      <c r="B8" s="576"/>
      <c r="C8" s="578"/>
      <c r="D8" s="22" t="s">
        <v>92</v>
      </c>
      <c r="E8" s="23" t="s">
        <v>93</v>
      </c>
      <c r="F8" s="24">
        <v>3</v>
      </c>
    </row>
    <row r="9" spans="1:8" s="21" customFormat="1" ht="30" customHeight="1" thickTop="1" thickBot="1">
      <c r="A9" s="574"/>
      <c r="B9" s="576"/>
      <c r="C9" s="578"/>
      <c r="D9" s="18" t="s">
        <v>94</v>
      </c>
      <c r="E9" s="19" t="s">
        <v>95</v>
      </c>
      <c r="F9" s="20">
        <v>3</v>
      </c>
      <c r="H9" s="25"/>
    </row>
    <row r="10" spans="1:8" s="21" customFormat="1" ht="30" customHeight="1" thickTop="1" thickBot="1">
      <c r="A10" s="579">
        <v>2</v>
      </c>
      <c r="B10" s="582" t="s">
        <v>96</v>
      </c>
      <c r="C10" s="584" t="s">
        <v>97</v>
      </c>
      <c r="D10" s="22" t="s">
        <v>98</v>
      </c>
      <c r="E10" s="23" t="s">
        <v>99</v>
      </c>
      <c r="F10" s="24">
        <v>3</v>
      </c>
    </row>
    <row r="11" spans="1:8" s="21" customFormat="1" ht="30" customHeight="1" thickTop="1" thickBot="1">
      <c r="A11" s="580"/>
      <c r="B11" s="583"/>
      <c r="C11" s="585"/>
      <c r="D11" s="18" t="s">
        <v>100</v>
      </c>
      <c r="E11" s="19" t="s">
        <v>101</v>
      </c>
      <c r="F11" s="20">
        <v>3</v>
      </c>
    </row>
    <row r="12" spans="1:8" s="21" customFormat="1" ht="30" customHeight="1" thickBot="1">
      <c r="A12" s="580"/>
      <c r="B12" s="583"/>
      <c r="C12" s="585"/>
      <c r="D12" s="22" t="s">
        <v>102</v>
      </c>
      <c r="E12" s="23" t="s">
        <v>103</v>
      </c>
      <c r="F12" s="24">
        <v>35</v>
      </c>
    </row>
    <row r="13" spans="1:8" s="21" customFormat="1" ht="30" customHeight="1" thickTop="1" thickBot="1">
      <c r="A13" s="580"/>
      <c r="B13" s="583"/>
      <c r="C13" s="585"/>
      <c r="D13" s="18" t="s">
        <v>104</v>
      </c>
      <c r="E13" s="19" t="s">
        <v>105</v>
      </c>
      <c r="F13" s="20">
        <v>3</v>
      </c>
    </row>
    <row r="14" spans="1:8" s="21" customFormat="1" ht="30" customHeight="1" thickBot="1">
      <c r="A14" s="580"/>
      <c r="B14" s="26"/>
      <c r="C14" s="585"/>
      <c r="D14" s="22" t="s">
        <v>106</v>
      </c>
      <c r="E14" s="23" t="s">
        <v>107</v>
      </c>
      <c r="F14" s="24">
        <v>3</v>
      </c>
    </row>
    <row r="15" spans="1:8" s="21" customFormat="1" ht="14.25" thickTop="1" thickBot="1">
      <c r="A15" s="581"/>
      <c r="B15" s="26"/>
      <c r="C15" s="586"/>
      <c r="D15" s="18" t="s">
        <v>108</v>
      </c>
      <c r="E15" s="19" t="s">
        <v>109</v>
      </c>
      <c r="F15" s="20">
        <v>35</v>
      </c>
    </row>
    <row r="16" spans="1:8" s="21" customFormat="1" ht="14.25" thickTop="1" thickBot="1">
      <c r="A16" s="587">
        <v>3</v>
      </c>
      <c r="B16" s="589" t="s">
        <v>110</v>
      </c>
      <c r="C16" s="591" t="s">
        <v>111</v>
      </c>
      <c r="D16" s="22" t="s">
        <v>112</v>
      </c>
      <c r="E16" s="23" t="s">
        <v>113</v>
      </c>
      <c r="F16" s="24">
        <v>3</v>
      </c>
    </row>
    <row r="17" spans="1:6" s="21" customFormat="1" ht="26.1" customHeight="1" thickTop="1" thickBot="1">
      <c r="A17" s="588"/>
      <c r="B17" s="590"/>
      <c r="C17" s="592"/>
      <c r="D17" s="18" t="s">
        <v>114</v>
      </c>
      <c r="E17" s="19" t="s">
        <v>115</v>
      </c>
      <c r="F17" s="20">
        <v>3</v>
      </c>
    </row>
    <row r="18" spans="1:6" s="21" customFormat="1" ht="30" customHeight="1" thickBot="1">
      <c r="A18" s="588"/>
      <c r="B18" s="590"/>
      <c r="C18" s="592"/>
      <c r="D18" s="22"/>
      <c r="E18" s="23" t="s">
        <v>116</v>
      </c>
      <c r="F18" s="24">
        <v>3</v>
      </c>
    </row>
    <row r="19" spans="1:6" s="21" customFormat="1" ht="30" customHeight="1" thickTop="1">
      <c r="A19" s="588"/>
      <c r="B19" s="590"/>
      <c r="C19" s="592"/>
      <c r="D19" s="18"/>
      <c r="E19" s="19" t="s">
        <v>117</v>
      </c>
      <c r="F19" s="20">
        <v>3</v>
      </c>
    </row>
    <row r="20" spans="1:6" s="21" customFormat="1" ht="30" customHeight="1" thickBot="1">
      <c r="A20" s="588"/>
      <c r="B20" s="590"/>
      <c r="C20" s="592"/>
      <c r="D20" s="27"/>
      <c r="E20" s="28" t="s">
        <v>118</v>
      </c>
      <c r="F20" s="29">
        <v>5</v>
      </c>
    </row>
    <row r="21" spans="1:6" s="21" customFormat="1" ht="30" customHeight="1" thickBot="1">
      <c r="A21" s="588"/>
      <c r="B21" s="590"/>
      <c r="C21" s="592"/>
      <c r="D21" s="22"/>
      <c r="E21" s="30" t="s">
        <v>119</v>
      </c>
      <c r="F21" s="24">
        <v>3</v>
      </c>
    </row>
    <row r="22" spans="1:6" s="21" customFormat="1" ht="14.25" thickTop="1" thickBot="1">
      <c r="A22" s="588"/>
      <c r="B22" s="590"/>
      <c r="C22" s="592"/>
      <c r="D22" s="18"/>
      <c r="E22" s="19" t="s">
        <v>120</v>
      </c>
      <c r="F22" s="20">
        <v>3</v>
      </c>
    </row>
    <row r="23" spans="1:6" s="21" customFormat="1" ht="30" customHeight="1" thickBot="1">
      <c r="A23" s="593">
        <v>4</v>
      </c>
      <c r="B23" s="594"/>
      <c r="C23" s="595" t="s">
        <v>121</v>
      </c>
      <c r="D23" s="22" t="s">
        <v>122</v>
      </c>
      <c r="E23" s="23" t="s">
        <v>123</v>
      </c>
      <c r="F23" s="24">
        <v>3</v>
      </c>
    </row>
    <row r="24" spans="1:6" s="21" customFormat="1" ht="30" customHeight="1" thickTop="1" thickBot="1">
      <c r="A24" s="593"/>
      <c r="B24" s="594"/>
      <c r="C24" s="595"/>
      <c r="D24" s="18" t="s">
        <v>124</v>
      </c>
      <c r="E24" s="19" t="s">
        <v>125</v>
      </c>
      <c r="F24" s="20">
        <v>3</v>
      </c>
    </row>
    <row r="25" spans="1:6" s="21" customFormat="1" ht="30" customHeight="1" thickBot="1">
      <c r="A25" s="593"/>
      <c r="B25" s="594"/>
      <c r="C25" s="595"/>
      <c r="D25" s="22" t="s">
        <v>126</v>
      </c>
      <c r="E25" s="23" t="s">
        <v>127</v>
      </c>
      <c r="F25" s="24">
        <v>3</v>
      </c>
    </row>
    <row r="26" spans="1:6" s="21" customFormat="1" ht="30" customHeight="1" thickTop="1" thickBot="1">
      <c r="A26" s="593"/>
      <c r="B26" s="594"/>
      <c r="C26" s="595"/>
      <c r="D26" s="18" t="s">
        <v>128</v>
      </c>
      <c r="E26" s="19" t="s">
        <v>129</v>
      </c>
      <c r="F26" s="20">
        <v>3</v>
      </c>
    </row>
    <row r="27" spans="1:6" s="31" customFormat="1" ht="30" customHeight="1" thickBot="1">
      <c r="A27" s="593"/>
      <c r="B27" s="594"/>
      <c r="C27" s="595"/>
      <c r="D27" s="22" t="s">
        <v>130</v>
      </c>
      <c r="E27" s="23" t="s">
        <v>131</v>
      </c>
      <c r="F27" s="24">
        <v>3</v>
      </c>
    </row>
    <row r="28" spans="1:6" s="31" customFormat="1" ht="30" customHeight="1" thickTop="1" thickBot="1">
      <c r="A28" s="593"/>
      <c r="B28" s="594"/>
      <c r="C28" s="595"/>
      <c r="D28" s="18" t="s">
        <v>132</v>
      </c>
      <c r="E28" s="19" t="s">
        <v>133</v>
      </c>
      <c r="F28" s="20">
        <v>3</v>
      </c>
    </row>
    <row r="29" spans="1:6" s="31" customFormat="1" ht="30" customHeight="1" thickBot="1">
      <c r="A29" s="593"/>
      <c r="B29" s="594"/>
      <c r="C29" s="595"/>
      <c r="D29" s="22" t="s">
        <v>134</v>
      </c>
      <c r="E29" s="23" t="s">
        <v>135</v>
      </c>
      <c r="F29" s="24">
        <v>3</v>
      </c>
    </row>
    <row r="30" spans="1:6" s="31" customFormat="1" ht="30" customHeight="1" thickTop="1" thickBot="1">
      <c r="A30" s="593"/>
      <c r="B30" s="594"/>
      <c r="C30" s="595"/>
      <c r="D30" s="18" t="s">
        <v>136</v>
      </c>
      <c r="E30" s="19" t="s">
        <v>137</v>
      </c>
      <c r="F30" s="20">
        <v>3</v>
      </c>
    </row>
    <row r="31" spans="1:6" s="31" customFormat="1" ht="30" customHeight="1" thickBot="1">
      <c r="A31" s="593"/>
      <c r="B31" s="594"/>
      <c r="C31" s="595"/>
      <c r="D31" s="22" t="s">
        <v>138</v>
      </c>
      <c r="E31" s="23" t="s">
        <v>139</v>
      </c>
      <c r="F31" s="24">
        <v>35</v>
      </c>
    </row>
    <row r="32" spans="1:6" s="31" customFormat="1" ht="30" customHeight="1" thickTop="1" thickBot="1">
      <c r="A32" s="593"/>
      <c r="B32" s="594"/>
      <c r="C32" s="595"/>
      <c r="D32" s="18" t="s">
        <v>140</v>
      </c>
      <c r="E32" s="19" t="s">
        <v>141</v>
      </c>
      <c r="F32" s="20">
        <v>3</v>
      </c>
    </row>
    <row r="33" spans="1:6" s="21" customFormat="1" ht="30" customHeight="1" thickBot="1">
      <c r="A33" s="593"/>
      <c r="B33" s="594"/>
      <c r="C33" s="595"/>
      <c r="D33" s="22"/>
      <c r="E33" s="23" t="s">
        <v>142</v>
      </c>
      <c r="F33" s="24">
        <v>3</v>
      </c>
    </row>
    <row r="34" spans="1:6" s="21" customFormat="1" ht="30" customHeight="1" thickTop="1" thickBot="1">
      <c r="A34" s="573">
        <v>5</v>
      </c>
      <c r="B34" s="596" t="s">
        <v>143</v>
      </c>
      <c r="C34" s="600" t="s">
        <v>144</v>
      </c>
      <c r="D34" s="18" t="s">
        <v>145</v>
      </c>
      <c r="E34" s="19" t="s">
        <v>146</v>
      </c>
      <c r="F34" s="20">
        <v>3</v>
      </c>
    </row>
    <row r="35" spans="1:6" s="21" customFormat="1" ht="30" customHeight="1" thickBot="1">
      <c r="A35" s="593"/>
      <c r="B35" s="597"/>
      <c r="C35" s="601"/>
      <c r="D35" s="22" t="s">
        <v>147</v>
      </c>
      <c r="E35" s="23" t="s">
        <v>148</v>
      </c>
      <c r="F35" s="24">
        <v>3</v>
      </c>
    </row>
    <row r="36" spans="1:6" s="21" customFormat="1" ht="30" customHeight="1" thickTop="1" thickBot="1">
      <c r="A36" s="593"/>
      <c r="B36" s="597"/>
      <c r="C36" s="601"/>
      <c r="D36" s="18" t="s">
        <v>149</v>
      </c>
      <c r="E36" s="19" t="s">
        <v>150</v>
      </c>
      <c r="F36" s="20">
        <v>3</v>
      </c>
    </row>
    <row r="37" spans="1:6" s="21" customFormat="1" ht="30" customHeight="1" thickBot="1">
      <c r="A37" s="593"/>
      <c r="B37" s="597"/>
      <c r="C37" s="601"/>
      <c r="D37" s="22" t="s">
        <v>151</v>
      </c>
      <c r="E37" s="23" t="s">
        <v>152</v>
      </c>
      <c r="F37" s="24">
        <v>3</v>
      </c>
    </row>
    <row r="38" spans="1:6" s="21" customFormat="1" ht="30" customHeight="1" thickTop="1" thickBot="1">
      <c r="A38" s="593"/>
      <c r="B38" s="597"/>
      <c r="C38" s="601"/>
      <c r="D38" s="18" t="s">
        <v>153</v>
      </c>
      <c r="E38" s="19" t="s">
        <v>154</v>
      </c>
      <c r="F38" s="20">
        <v>3</v>
      </c>
    </row>
    <row r="39" spans="1:6" s="21" customFormat="1" ht="30" customHeight="1" thickBot="1">
      <c r="A39" s="593"/>
      <c r="B39" s="597"/>
      <c r="C39" s="601"/>
      <c r="D39" s="22" t="s">
        <v>155</v>
      </c>
      <c r="E39" s="23" t="s">
        <v>156</v>
      </c>
      <c r="F39" s="24">
        <v>3</v>
      </c>
    </row>
    <row r="40" spans="1:6" s="21" customFormat="1" ht="30" customHeight="1" thickTop="1" thickBot="1">
      <c r="A40" s="574"/>
      <c r="B40" s="598"/>
      <c r="C40" s="602"/>
      <c r="D40" s="18" t="s">
        <v>157</v>
      </c>
      <c r="E40" s="19" t="s">
        <v>158</v>
      </c>
      <c r="F40" s="20">
        <v>3</v>
      </c>
    </row>
    <row r="41" spans="1:6" s="21" customFormat="1" ht="30" customHeight="1" thickBot="1">
      <c r="A41" s="574"/>
      <c r="B41" s="598"/>
      <c r="C41" s="602"/>
      <c r="D41" s="22" t="s">
        <v>159</v>
      </c>
      <c r="E41" s="23" t="s">
        <v>160</v>
      </c>
      <c r="F41" s="24">
        <v>3</v>
      </c>
    </row>
    <row r="42" spans="1:6" s="21" customFormat="1" ht="30" customHeight="1" thickTop="1" thickBot="1">
      <c r="A42" s="574"/>
      <c r="B42" s="598"/>
      <c r="C42" s="602"/>
      <c r="D42" s="18" t="s">
        <v>161</v>
      </c>
      <c r="E42" s="19" t="s">
        <v>162</v>
      </c>
      <c r="F42" s="20">
        <v>3</v>
      </c>
    </row>
    <row r="43" spans="1:6" s="21" customFormat="1" ht="30" customHeight="1" thickBot="1">
      <c r="A43" s="574"/>
      <c r="B43" s="598"/>
      <c r="C43" s="602"/>
      <c r="D43" s="22" t="s">
        <v>163</v>
      </c>
      <c r="E43" s="23" t="s">
        <v>164</v>
      </c>
      <c r="F43" s="24">
        <v>3</v>
      </c>
    </row>
    <row r="44" spans="1:6" s="21" customFormat="1" ht="30" customHeight="1" thickTop="1" thickBot="1">
      <c r="A44" s="574"/>
      <c r="B44" s="598"/>
      <c r="C44" s="602"/>
      <c r="D44" s="18" t="s">
        <v>165</v>
      </c>
      <c r="E44" s="19" t="s">
        <v>166</v>
      </c>
      <c r="F44" s="20">
        <v>3</v>
      </c>
    </row>
    <row r="45" spans="1:6" s="21" customFormat="1" ht="30" customHeight="1" thickBot="1">
      <c r="A45" s="574"/>
      <c r="B45" s="598"/>
      <c r="C45" s="602"/>
      <c r="D45" s="22" t="s">
        <v>167</v>
      </c>
      <c r="E45" s="23" t="s">
        <v>168</v>
      </c>
      <c r="F45" s="24">
        <v>3</v>
      </c>
    </row>
    <row r="46" spans="1:6" s="21" customFormat="1" ht="30" customHeight="1" thickTop="1" thickBot="1">
      <c r="A46" s="574"/>
      <c r="B46" s="598"/>
      <c r="C46" s="602"/>
      <c r="D46" s="18" t="s">
        <v>169</v>
      </c>
      <c r="E46" s="19" t="s">
        <v>170</v>
      </c>
      <c r="F46" s="20">
        <v>3</v>
      </c>
    </row>
    <row r="47" spans="1:6" s="21" customFormat="1" ht="30" customHeight="1" thickBot="1">
      <c r="A47" s="574"/>
      <c r="B47" s="599"/>
      <c r="C47" s="602"/>
      <c r="D47" s="22" t="s">
        <v>171</v>
      </c>
      <c r="E47" s="23" t="s">
        <v>172</v>
      </c>
      <c r="F47" s="24">
        <v>3</v>
      </c>
    </row>
    <row r="48" spans="1:6" s="21" customFormat="1" ht="96" customHeight="1" thickTop="1" thickBot="1">
      <c r="A48" s="32">
        <v>6</v>
      </c>
      <c r="B48" s="33" t="s">
        <v>173</v>
      </c>
      <c r="C48" s="34" t="s">
        <v>174</v>
      </c>
      <c r="D48" s="35" t="s">
        <v>175</v>
      </c>
      <c r="E48" s="35" t="s">
        <v>175</v>
      </c>
      <c r="F48" s="24">
        <v>1</v>
      </c>
    </row>
    <row r="49" spans="1:6" ht="30" customHeight="1" thickTop="1" thickBot="1">
      <c r="A49" s="573">
        <v>8</v>
      </c>
      <c r="B49" s="603" t="s">
        <v>176</v>
      </c>
      <c r="C49" s="606" t="s">
        <v>177</v>
      </c>
      <c r="D49" s="22"/>
      <c r="E49" s="23" t="s">
        <v>178</v>
      </c>
      <c r="F49" s="24">
        <v>1</v>
      </c>
    </row>
    <row r="50" spans="1:6" ht="30" customHeight="1" thickTop="1" thickBot="1">
      <c r="A50" s="593"/>
      <c r="B50" s="604"/>
      <c r="C50" s="607"/>
      <c r="D50" s="18"/>
      <c r="E50" s="19" t="s">
        <v>179</v>
      </c>
      <c r="F50" s="20">
        <v>3</v>
      </c>
    </row>
    <row r="51" spans="1:6" ht="30" customHeight="1" thickBot="1">
      <c r="A51" s="593"/>
      <c r="B51" s="604"/>
      <c r="C51" s="607"/>
      <c r="D51" s="22"/>
      <c r="E51" s="23" t="s">
        <v>180</v>
      </c>
      <c r="F51" s="24">
        <v>2</v>
      </c>
    </row>
    <row r="52" spans="1:6" ht="30" customHeight="1" thickTop="1" thickBot="1">
      <c r="A52" s="593"/>
      <c r="B52" s="604"/>
      <c r="C52" s="607"/>
      <c r="D52" s="18"/>
      <c r="E52" s="19" t="s">
        <v>181</v>
      </c>
      <c r="F52" s="20">
        <v>3</v>
      </c>
    </row>
    <row r="53" spans="1:6" ht="30" customHeight="1" thickBot="1">
      <c r="A53" s="593"/>
      <c r="B53" s="604"/>
      <c r="C53" s="607"/>
      <c r="D53" s="22"/>
      <c r="E53" s="23" t="s">
        <v>182</v>
      </c>
      <c r="F53" s="24">
        <v>5</v>
      </c>
    </row>
    <row r="54" spans="1:6" ht="30" customHeight="1" thickTop="1" thickBot="1">
      <c r="A54" s="593"/>
      <c r="B54" s="604"/>
      <c r="C54" s="607"/>
      <c r="D54" s="18"/>
      <c r="E54" s="19" t="s">
        <v>183</v>
      </c>
      <c r="F54" s="20">
        <v>1</v>
      </c>
    </row>
    <row r="55" spans="1:6" ht="30" customHeight="1" thickBot="1">
      <c r="A55" s="593"/>
      <c r="B55" s="604"/>
      <c r="C55" s="607"/>
      <c r="D55" s="22"/>
      <c r="E55" s="23" t="s">
        <v>184</v>
      </c>
      <c r="F55" s="24">
        <v>1</v>
      </c>
    </row>
    <row r="56" spans="1:6" ht="30" customHeight="1" thickTop="1" thickBot="1">
      <c r="A56" s="593"/>
      <c r="B56" s="604"/>
      <c r="C56" s="607"/>
      <c r="D56" s="18"/>
      <c r="E56" s="19" t="s">
        <v>185</v>
      </c>
      <c r="F56" s="20">
        <v>3</v>
      </c>
    </row>
    <row r="57" spans="1:6" ht="30" customHeight="1" thickBot="1">
      <c r="A57" s="593"/>
      <c r="B57" s="604"/>
      <c r="C57" s="607"/>
      <c r="D57" s="22"/>
      <c r="E57" s="23" t="s">
        <v>186</v>
      </c>
      <c r="F57" s="24">
        <v>3</v>
      </c>
    </row>
    <row r="58" spans="1:6" ht="30" customHeight="1" thickTop="1" thickBot="1">
      <c r="A58" s="593"/>
      <c r="B58" s="604"/>
      <c r="C58" s="607"/>
      <c r="D58" s="22"/>
      <c r="E58" s="23" t="s">
        <v>187</v>
      </c>
      <c r="F58" s="24">
        <v>3</v>
      </c>
    </row>
    <row r="59" spans="1:6" ht="30" customHeight="1" thickTop="1" thickBot="1">
      <c r="A59" s="593"/>
      <c r="B59" s="604"/>
      <c r="C59" s="607"/>
      <c r="D59" s="18"/>
      <c r="E59" s="19" t="s">
        <v>188</v>
      </c>
      <c r="F59" s="20">
        <v>3</v>
      </c>
    </row>
    <row r="60" spans="1:6" ht="30" customHeight="1" thickBot="1">
      <c r="A60" s="593"/>
      <c r="B60" s="604"/>
      <c r="C60" s="607"/>
      <c r="D60" s="22"/>
      <c r="E60" s="23" t="s">
        <v>189</v>
      </c>
      <c r="F60" s="24">
        <v>1</v>
      </c>
    </row>
    <row r="61" spans="1:6" ht="30" customHeight="1" thickTop="1" thickBot="1">
      <c r="A61" s="593"/>
      <c r="B61" s="604"/>
      <c r="C61" s="607"/>
      <c r="D61" s="18"/>
      <c r="E61" s="19" t="s">
        <v>190</v>
      </c>
      <c r="F61" s="20">
        <v>1</v>
      </c>
    </row>
    <row r="62" spans="1:6" ht="30" customHeight="1" thickBot="1">
      <c r="A62" s="593"/>
      <c r="B62" s="604"/>
      <c r="C62" s="607"/>
      <c r="D62" s="22"/>
      <c r="E62" s="23" t="s">
        <v>191</v>
      </c>
      <c r="F62" s="24">
        <v>2</v>
      </c>
    </row>
    <row r="63" spans="1:6" ht="30" customHeight="1" thickTop="1" thickBot="1">
      <c r="A63" s="593"/>
      <c r="B63" s="604"/>
      <c r="C63" s="607"/>
      <c r="D63" s="18"/>
      <c r="E63" s="19" t="s">
        <v>192</v>
      </c>
      <c r="F63" s="20">
        <v>2</v>
      </c>
    </row>
    <row r="64" spans="1:6" ht="30" customHeight="1" thickBot="1">
      <c r="A64" s="593"/>
      <c r="B64" s="605"/>
      <c r="C64" s="608"/>
      <c r="D64" s="22"/>
      <c r="E64" s="23" t="s">
        <v>193</v>
      </c>
      <c r="F64" s="24">
        <v>1</v>
      </c>
    </row>
    <row r="65" spans="1:6" ht="30" customHeight="1" thickTop="1" thickBot="1">
      <c r="A65" s="573">
        <v>9</v>
      </c>
      <c r="B65" s="603" t="s">
        <v>194</v>
      </c>
      <c r="C65" s="610" t="s">
        <v>195</v>
      </c>
      <c r="D65" s="18"/>
      <c r="E65" s="19" t="s">
        <v>196</v>
      </c>
      <c r="F65" s="20">
        <v>3</v>
      </c>
    </row>
    <row r="66" spans="1:6" ht="30" customHeight="1" thickBot="1">
      <c r="A66" s="593"/>
      <c r="B66" s="604"/>
      <c r="C66" s="611"/>
      <c r="D66" s="22"/>
      <c r="E66" s="23" t="s">
        <v>197</v>
      </c>
      <c r="F66" s="24">
        <v>3</v>
      </c>
    </row>
    <row r="67" spans="1:6" ht="30" customHeight="1" thickTop="1" thickBot="1">
      <c r="A67" s="593"/>
      <c r="B67" s="604"/>
      <c r="C67" s="611"/>
      <c r="D67" s="18"/>
      <c r="E67" s="19" t="s">
        <v>198</v>
      </c>
      <c r="F67" s="20">
        <v>1</v>
      </c>
    </row>
    <row r="68" spans="1:6" ht="30" customHeight="1" thickBot="1">
      <c r="A68" s="593"/>
      <c r="B68" s="604"/>
      <c r="C68" s="611"/>
      <c r="D68" s="22"/>
      <c r="E68" s="23" t="s">
        <v>199</v>
      </c>
      <c r="F68" s="24">
        <v>1</v>
      </c>
    </row>
    <row r="69" spans="1:6" ht="30" customHeight="1" thickTop="1" thickBot="1">
      <c r="A69" s="593"/>
      <c r="B69" s="604"/>
      <c r="C69" s="611"/>
      <c r="D69" s="18"/>
      <c r="E69" s="19" t="s">
        <v>200</v>
      </c>
      <c r="F69" s="20">
        <v>5</v>
      </c>
    </row>
    <row r="70" spans="1:6" ht="30" customHeight="1" thickBot="1">
      <c r="A70" s="593"/>
      <c r="B70" s="604"/>
      <c r="C70" s="611"/>
      <c r="D70" s="22"/>
      <c r="E70" s="23" t="s">
        <v>201</v>
      </c>
      <c r="F70" s="24">
        <v>3</v>
      </c>
    </row>
    <row r="71" spans="1:6" ht="30" customHeight="1" thickTop="1" thickBot="1">
      <c r="A71" s="593"/>
      <c r="B71" s="604"/>
      <c r="C71" s="611"/>
      <c r="D71" s="18"/>
      <c r="E71" s="19" t="s">
        <v>202</v>
      </c>
      <c r="F71" s="20">
        <v>2</v>
      </c>
    </row>
    <row r="72" spans="1:6" ht="30" customHeight="1" thickBot="1">
      <c r="A72" s="593"/>
      <c r="B72" s="604"/>
      <c r="C72" s="611"/>
      <c r="D72" s="22"/>
      <c r="E72" s="23" t="s">
        <v>203</v>
      </c>
      <c r="F72" s="24">
        <v>7</v>
      </c>
    </row>
    <row r="73" spans="1:6" ht="30" customHeight="1" thickTop="1" thickBot="1">
      <c r="A73" s="609"/>
      <c r="B73" s="36"/>
      <c r="C73" s="611"/>
      <c r="D73" s="18" t="s">
        <v>204</v>
      </c>
      <c r="E73" s="19" t="s">
        <v>205</v>
      </c>
      <c r="F73" s="20">
        <v>1</v>
      </c>
    </row>
    <row r="74" spans="1:6" ht="30" customHeight="1" thickTop="1" thickBot="1">
      <c r="A74" s="573">
        <v>10</v>
      </c>
      <c r="B74" s="603" t="s">
        <v>206</v>
      </c>
      <c r="C74" s="610" t="s">
        <v>207</v>
      </c>
      <c r="D74" s="22"/>
      <c r="E74" s="23" t="s">
        <v>208</v>
      </c>
      <c r="F74" s="24">
        <v>3</v>
      </c>
    </row>
    <row r="75" spans="1:6" ht="30" customHeight="1" thickTop="1" thickBot="1">
      <c r="A75" s="593"/>
      <c r="B75" s="604"/>
      <c r="C75" s="611"/>
      <c r="D75" s="18"/>
      <c r="E75" s="19" t="s">
        <v>209</v>
      </c>
      <c r="F75" s="20">
        <v>3</v>
      </c>
    </row>
    <row r="76" spans="1:6" ht="30" customHeight="1" thickBot="1">
      <c r="A76" s="593"/>
      <c r="B76" s="604"/>
      <c r="C76" s="611"/>
      <c r="D76" s="22"/>
      <c r="E76" s="23" t="s">
        <v>210</v>
      </c>
      <c r="F76" s="24">
        <v>1</v>
      </c>
    </row>
    <row r="77" spans="1:6" ht="30" customHeight="1" thickTop="1" thickBot="1">
      <c r="A77" s="593"/>
      <c r="B77" s="604"/>
      <c r="C77" s="611"/>
      <c r="D77" s="18"/>
      <c r="E77" s="19" t="s">
        <v>211</v>
      </c>
      <c r="F77" s="20">
        <v>2</v>
      </c>
    </row>
    <row r="78" spans="1:6" ht="30" customHeight="1" thickBot="1">
      <c r="A78" s="593"/>
      <c r="B78" s="604"/>
      <c r="C78" s="611"/>
      <c r="D78" s="22"/>
      <c r="E78" s="23" t="s">
        <v>212</v>
      </c>
      <c r="F78" s="24">
        <v>1</v>
      </c>
    </row>
    <row r="79" spans="1:6" ht="30" customHeight="1" thickTop="1" thickBot="1">
      <c r="A79" s="593"/>
      <c r="B79" s="604"/>
      <c r="C79" s="611"/>
      <c r="D79" s="18"/>
      <c r="E79" s="19" t="s">
        <v>213</v>
      </c>
      <c r="F79" s="20">
        <v>3</v>
      </c>
    </row>
    <row r="80" spans="1:6" ht="30" customHeight="1" thickBot="1">
      <c r="A80" s="593"/>
      <c r="B80" s="604"/>
      <c r="C80" s="611"/>
      <c r="D80" s="22"/>
      <c r="E80" s="23" t="s">
        <v>214</v>
      </c>
      <c r="F80" s="24">
        <v>1</v>
      </c>
    </row>
    <row r="81" spans="1:7" ht="30" customHeight="1" thickTop="1" thickBot="1">
      <c r="A81" s="593"/>
      <c r="B81" s="604"/>
      <c r="C81" s="611"/>
      <c r="D81" s="18"/>
      <c r="E81" s="19" t="s">
        <v>215</v>
      </c>
      <c r="F81" s="20">
        <v>4</v>
      </c>
    </row>
    <row r="82" spans="1:7" ht="30" customHeight="1" thickBot="1">
      <c r="A82" s="593"/>
      <c r="B82" s="604"/>
      <c r="C82" s="611"/>
      <c r="D82" s="22"/>
      <c r="E82" s="23" t="s">
        <v>216</v>
      </c>
      <c r="F82" s="24">
        <v>2</v>
      </c>
    </row>
    <row r="83" spans="1:7" ht="30" customHeight="1" thickTop="1" thickBot="1">
      <c r="A83" s="593"/>
      <c r="B83" s="604"/>
      <c r="C83" s="611"/>
      <c r="D83" s="22"/>
      <c r="E83" s="23" t="s">
        <v>217</v>
      </c>
      <c r="F83" s="24">
        <v>3</v>
      </c>
    </row>
    <row r="84" spans="1:7" s="40" customFormat="1" ht="30" customHeight="1" thickTop="1" thickBot="1">
      <c r="A84" s="593"/>
      <c r="B84" s="604"/>
      <c r="C84" s="611"/>
      <c r="D84" s="37"/>
      <c r="E84" s="38" t="s">
        <v>218</v>
      </c>
      <c r="F84" s="24">
        <v>3</v>
      </c>
      <c r="G84" s="39"/>
    </row>
    <row r="85" spans="1:7" ht="30" customHeight="1" thickTop="1" thickBot="1">
      <c r="A85" s="593"/>
      <c r="B85" s="604"/>
      <c r="C85" s="611"/>
      <c r="D85" s="18"/>
      <c r="E85" s="19" t="s">
        <v>219</v>
      </c>
      <c r="F85" s="20">
        <v>1</v>
      </c>
    </row>
    <row r="86" spans="1:7" ht="30" customHeight="1" thickTop="1" thickBot="1">
      <c r="A86" s="573">
        <v>11</v>
      </c>
      <c r="B86" s="603" t="s">
        <v>220</v>
      </c>
      <c r="C86" s="610" t="s">
        <v>221</v>
      </c>
      <c r="D86" s="22"/>
      <c r="E86" s="23" t="s">
        <v>222</v>
      </c>
      <c r="F86" s="24">
        <v>1</v>
      </c>
    </row>
    <row r="87" spans="1:7" ht="30" customHeight="1" thickTop="1" thickBot="1">
      <c r="A87" s="593"/>
      <c r="B87" s="604"/>
      <c r="C87" s="611"/>
      <c r="D87" s="18"/>
      <c r="E87" s="19" t="s">
        <v>223</v>
      </c>
      <c r="F87" s="20">
        <v>5</v>
      </c>
    </row>
    <row r="88" spans="1:7" ht="30" customHeight="1" thickBot="1">
      <c r="A88" s="593"/>
      <c r="B88" s="604"/>
      <c r="C88" s="611"/>
      <c r="D88" s="22"/>
      <c r="E88" s="23" t="s">
        <v>224</v>
      </c>
      <c r="F88" s="24">
        <v>3</v>
      </c>
    </row>
    <row r="89" spans="1:7" ht="30" customHeight="1" thickTop="1" thickBot="1">
      <c r="A89" s="593"/>
      <c r="B89" s="604"/>
      <c r="C89" s="611"/>
      <c r="D89" s="18"/>
      <c r="E89" s="19" t="s">
        <v>225</v>
      </c>
      <c r="F89" s="20">
        <v>3</v>
      </c>
    </row>
    <row r="90" spans="1:7" ht="30" customHeight="1" thickBot="1">
      <c r="A90" s="593"/>
      <c r="B90" s="604"/>
      <c r="C90" s="611"/>
      <c r="D90" s="22"/>
      <c r="E90" s="23" t="s">
        <v>226</v>
      </c>
      <c r="F90" s="24">
        <v>2</v>
      </c>
    </row>
    <row r="91" spans="1:7" ht="30" customHeight="1" thickTop="1" thickBot="1">
      <c r="A91" s="593"/>
      <c r="B91" s="604"/>
      <c r="C91" s="611"/>
      <c r="D91" s="18"/>
      <c r="E91" s="19" t="s">
        <v>227</v>
      </c>
      <c r="F91" s="20">
        <v>3</v>
      </c>
    </row>
    <row r="92" spans="1:7" ht="30" customHeight="1" thickBot="1">
      <c r="A92" s="593"/>
      <c r="B92" s="604"/>
      <c r="C92" s="611"/>
      <c r="D92" s="22"/>
      <c r="E92" s="23" t="s">
        <v>228</v>
      </c>
      <c r="F92" s="24">
        <v>3</v>
      </c>
    </row>
    <row r="93" spans="1:7" ht="30" customHeight="1" thickTop="1" thickBot="1">
      <c r="A93" s="593"/>
      <c r="B93" s="604"/>
      <c r="C93" s="611"/>
      <c r="D93" s="18"/>
      <c r="E93" s="19" t="s">
        <v>229</v>
      </c>
      <c r="F93" s="20">
        <v>3</v>
      </c>
    </row>
    <row r="94" spans="1:7" ht="30" customHeight="1" thickBot="1">
      <c r="A94" s="593"/>
      <c r="B94" s="604"/>
      <c r="C94" s="611"/>
      <c r="D94" s="22"/>
      <c r="E94" s="23" t="s">
        <v>230</v>
      </c>
      <c r="F94" s="24">
        <v>3</v>
      </c>
    </row>
    <row r="95" spans="1:7" ht="30" customHeight="1" thickTop="1" thickBot="1">
      <c r="A95" s="593"/>
      <c r="B95" s="604"/>
      <c r="C95" s="611"/>
      <c r="D95" s="18"/>
      <c r="E95" s="19" t="s">
        <v>231</v>
      </c>
      <c r="F95" s="20">
        <v>3</v>
      </c>
    </row>
    <row r="96" spans="1:7" ht="30" customHeight="1" thickTop="1" thickBot="1">
      <c r="A96" s="573">
        <v>12</v>
      </c>
      <c r="B96" s="603" t="s">
        <v>232</v>
      </c>
      <c r="C96" s="610" t="s">
        <v>233</v>
      </c>
      <c r="D96" s="22"/>
      <c r="E96" s="23" t="s">
        <v>234</v>
      </c>
      <c r="F96" s="24">
        <v>5</v>
      </c>
    </row>
    <row r="97" spans="1:6" ht="30" customHeight="1" thickTop="1" thickBot="1">
      <c r="A97" s="593"/>
      <c r="B97" s="604"/>
      <c r="C97" s="611"/>
      <c r="D97" s="18"/>
      <c r="E97" s="19" t="s">
        <v>235</v>
      </c>
      <c r="F97" s="20">
        <v>2</v>
      </c>
    </row>
    <row r="98" spans="1:6" ht="30" customHeight="1" thickBot="1">
      <c r="A98" s="593"/>
      <c r="B98" s="604"/>
      <c r="C98" s="611"/>
      <c r="D98" s="22"/>
      <c r="E98" s="23" t="s">
        <v>236</v>
      </c>
      <c r="F98" s="24">
        <v>1</v>
      </c>
    </row>
    <row r="99" spans="1:6" ht="30" customHeight="1" thickTop="1" thickBot="1">
      <c r="A99" s="593"/>
      <c r="B99" s="604"/>
      <c r="C99" s="611"/>
      <c r="D99" s="18"/>
      <c r="E99" s="19" t="s">
        <v>237</v>
      </c>
      <c r="F99" s="20">
        <v>1</v>
      </c>
    </row>
    <row r="100" spans="1:6" ht="30" customHeight="1" thickBot="1">
      <c r="A100" s="593"/>
      <c r="B100" s="604"/>
      <c r="C100" s="611"/>
      <c r="D100" s="22"/>
      <c r="E100" s="23" t="s">
        <v>238</v>
      </c>
      <c r="F100" s="24">
        <v>3</v>
      </c>
    </row>
    <row r="101" spans="1:6" ht="30" customHeight="1" thickTop="1" thickBot="1">
      <c r="A101" s="593"/>
      <c r="B101" s="604"/>
      <c r="C101" s="611"/>
      <c r="D101" s="18"/>
      <c r="E101" s="19" t="s">
        <v>239</v>
      </c>
      <c r="F101" s="20">
        <v>2</v>
      </c>
    </row>
    <row r="102" spans="1:6" ht="30" customHeight="1" thickBot="1">
      <c r="A102" s="593"/>
      <c r="B102" s="604"/>
      <c r="C102" s="611"/>
      <c r="D102" s="22"/>
      <c r="E102" s="23" t="s">
        <v>240</v>
      </c>
      <c r="F102" s="24">
        <v>3</v>
      </c>
    </row>
    <row r="103" spans="1:6" ht="30" customHeight="1" thickTop="1" thickBot="1">
      <c r="A103" s="593"/>
      <c r="B103" s="604"/>
      <c r="C103" s="611"/>
      <c r="D103" s="18"/>
      <c r="E103" s="19" t="s">
        <v>241</v>
      </c>
      <c r="F103" s="20">
        <v>8</v>
      </c>
    </row>
    <row r="104" spans="1:6" ht="30" customHeight="1" thickBot="1">
      <c r="A104" s="593"/>
      <c r="B104" s="604"/>
      <c r="C104" s="611"/>
      <c r="D104" s="22"/>
      <c r="E104" s="23" t="s">
        <v>242</v>
      </c>
      <c r="F104" s="24">
        <v>3</v>
      </c>
    </row>
    <row r="105" spans="1:6" ht="30" customHeight="1" thickTop="1" thickBot="1">
      <c r="A105" s="573">
        <v>13</v>
      </c>
      <c r="B105" s="603" t="s">
        <v>243</v>
      </c>
      <c r="C105" s="610" t="s">
        <v>244</v>
      </c>
      <c r="D105" s="22"/>
      <c r="E105" s="23" t="s">
        <v>245</v>
      </c>
      <c r="F105" s="24">
        <v>3</v>
      </c>
    </row>
    <row r="106" spans="1:6" ht="30" customHeight="1" thickTop="1" thickBot="1">
      <c r="A106" s="593"/>
      <c r="B106" s="604"/>
      <c r="C106" s="611"/>
      <c r="D106" s="18"/>
      <c r="E106" s="19" t="s">
        <v>246</v>
      </c>
      <c r="F106" s="20">
        <v>3</v>
      </c>
    </row>
    <row r="107" spans="1:6" ht="30" customHeight="1" thickBot="1">
      <c r="A107" s="593"/>
      <c r="B107" s="604"/>
      <c r="C107" s="611"/>
      <c r="D107" s="22"/>
      <c r="E107" s="23" t="s">
        <v>247</v>
      </c>
      <c r="F107" s="24">
        <v>2</v>
      </c>
    </row>
    <row r="108" spans="1:6" ht="30" customHeight="1" thickTop="1" thickBot="1">
      <c r="A108" s="593"/>
      <c r="B108" s="604"/>
      <c r="C108" s="611"/>
      <c r="D108" s="18"/>
      <c r="E108" s="19" t="s">
        <v>248</v>
      </c>
      <c r="F108" s="20">
        <v>3</v>
      </c>
    </row>
    <row r="109" spans="1:6" ht="30" customHeight="1" thickBot="1">
      <c r="A109" s="593"/>
      <c r="B109" s="604"/>
      <c r="C109" s="611"/>
      <c r="D109" s="22"/>
      <c r="E109" s="23" t="s">
        <v>249</v>
      </c>
      <c r="F109" s="24">
        <v>3</v>
      </c>
    </row>
    <row r="110" spans="1:6" ht="30" customHeight="1" thickTop="1" thickBot="1">
      <c r="A110" s="593"/>
      <c r="B110" s="604"/>
      <c r="C110" s="611"/>
      <c r="D110" s="18"/>
      <c r="E110" s="19" t="s">
        <v>250</v>
      </c>
      <c r="F110" s="20">
        <v>3</v>
      </c>
    </row>
    <row r="111" spans="1:6" ht="30" customHeight="1" thickTop="1" thickBot="1">
      <c r="A111" s="573">
        <v>14</v>
      </c>
      <c r="B111" s="603" t="s">
        <v>251</v>
      </c>
      <c r="C111" s="610" t="s">
        <v>252</v>
      </c>
      <c r="D111" s="22"/>
      <c r="E111" s="23" t="s">
        <v>253</v>
      </c>
      <c r="F111" s="24">
        <v>3</v>
      </c>
    </row>
    <row r="112" spans="1:6" ht="30" customHeight="1" thickTop="1" thickBot="1">
      <c r="A112" s="593"/>
      <c r="B112" s="604"/>
      <c r="C112" s="611"/>
      <c r="D112" s="22"/>
      <c r="E112" s="41" t="s">
        <v>254</v>
      </c>
      <c r="F112" s="24">
        <v>2</v>
      </c>
    </row>
    <row r="113" spans="1:6" ht="30" customHeight="1" thickTop="1" thickBot="1">
      <c r="A113" s="593"/>
      <c r="B113" s="604"/>
      <c r="C113" s="611"/>
      <c r="D113" s="27"/>
      <c r="E113" s="42" t="s">
        <v>255</v>
      </c>
      <c r="F113" s="20">
        <v>2</v>
      </c>
    </row>
    <row r="114" spans="1:6" ht="30" customHeight="1" thickTop="1" thickBot="1">
      <c r="A114" s="593"/>
      <c r="B114" s="604"/>
      <c r="C114" s="611"/>
      <c r="D114" s="27"/>
      <c r="E114" s="42" t="s">
        <v>256</v>
      </c>
      <c r="F114" s="20">
        <v>1</v>
      </c>
    </row>
    <row r="115" spans="1:6" ht="30" customHeight="1" thickTop="1" thickBot="1">
      <c r="A115" s="573">
        <v>15</v>
      </c>
      <c r="B115" s="603" t="s">
        <v>257</v>
      </c>
      <c r="C115" s="612" t="s">
        <v>258</v>
      </c>
      <c r="D115" s="22"/>
      <c r="E115" s="43" t="s">
        <v>259</v>
      </c>
      <c r="F115" s="24">
        <v>5</v>
      </c>
    </row>
    <row r="116" spans="1:6" ht="30" customHeight="1" thickTop="1" thickBot="1">
      <c r="A116" s="593"/>
      <c r="B116" s="604"/>
      <c r="C116" s="613"/>
      <c r="D116" s="18"/>
      <c r="E116" s="44" t="s">
        <v>260</v>
      </c>
      <c r="F116" s="20">
        <v>5</v>
      </c>
    </row>
    <row r="117" spans="1:6" ht="30" customHeight="1" thickTop="1" thickBot="1">
      <c r="A117" s="593"/>
      <c r="B117" s="604"/>
      <c r="C117" s="613"/>
      <c r="D117" s="22"/>
      <c r="E117" s="45" t="s">
        <v>261</v>
      </c>
      <c r="F117" s="24">
        <v>5</v>
      </c>
    </row>
    <row r="118" spans="1:6" ht="30" customHeight="1" thickTop="1"/>
  </sheetData>
  <mergeCells count="42">
    <mergeCell ref="A111:A114"/>
    <mergeCell ref="B111:B114"/>
    <mergeCell ref="C111:C114"/>
    <mergeCell ref="A115:A117"/>
    <mergeCell ref="B115:B117"/>
    <mergeCell ref="C115:C117"/>
    <mergeCell ref="A96:A104"/>
    <mergeCell ref="B96:B104"/>
    <mergeCell ref="C96:C104"/>
    <mergeCell ref="A105:A110"/>
    <mergeCell ref="B105:B110"/>
    <mergeCell ref="C105:C110"/>
    <mergeCell ref="A74:A85"/>
    <mergeCell ref="B74:B85"/>
    <mergeCell ref="C74:C85"/>
    <mergeCell ref="A86:A95"/>
    <mergeCell ref="B86:B95"/>
    <mergeCell ref="C86:C95"/>
    <mergeCell ref="A49:A64"/>
    <mergeCell ref="B49:B64"/>
    <mergeCell ref="C49:C64"/>
    <mergeCell ref="A65:A73"/>
    <mergeCell ref="B65:B72"/>
    <mergeCell ref="C65:C73"/>
    <mergeCell ref="A23:A33"/>
    <mergeCell ref="B23:B33"/>
    <mergeCell ref="C23:C33"/>
    <mergeCell ref="A34:A47"/>
    <mergeCell ref="B34:B47"/>
    <mergeCell ref="C34:C47"/>
    <mergeCell ref="A10:A15"/>
    <mergeCell ref="B10:B13"/>
    <mergeCell ref="C10:C15"/>
    <mergeCell ref="A16:A22"/>
    <mergeCell ref="B16:B22"/>
    <mergeCell ref="C16:C22"/>
    <mergeCell ref="A1:D1"/>
    <mergeCell ref="A3:C3"/>
    <mergeCell ref="E3:F3"/>
    <mergeCell ref="A5:A9"/>
    <mergeCell ref="B5:B9"/>
    <mergeCell ref="C5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505D-5DCD-4E86-9A50-15B77CBCE4C8}">
  <dimension ref="A1:AB109"/>
  <sheetViews>
    <sheetView workbookViewId="0">
      <selection activeCell="D30" sqref="D30"/>
    </sheetView>
  </sheetViews>
  <sheetFormatPr baseColWidth="10" defaultRowHeight="15"/>
  <cols>
    <col min="15" max="15" width="22.42578125" customWidth="1"/>
    <col min="16" max="16" width="20" customWidth="1"/>
    <col min="17" max="17" width="40" customWidth="1"/>
    <col min="18" max="18" width="25.28515625" customWidth="1"/>
    <col min="19" max="19" width="23.42578125" customWidth="1"/>
    <col min="20" max="20" width="15.7109375" customWidth="1"/>
    <col min="21" max="21" width="36.7109375" customWidth="1"/>
    <col min="22" max="22" width="23.85546875" customWidth="1"/>
    <col min="23" max="23" width="51.85546875" customWidth="1"/>
    <col min="24" max="24" width="54.85546875" customWidth="1"/>
    <col min="25" max="25" width="40" customWidth="1"/>
    <col min="26" max="26" width="18.140625" customWidth="1"/>
    <col min="27" max="27" width="36.7109375" customWidth="1"/>
  </cols>
  <sheetData>
    <row r="1" spans="1:28">
      <c r="A1" t="s">
        <v>497</v>
      </c>
      <c r="B1" t="s">
        <v>498</v>
      </c>
      <c r="C1" t="s">
        <v>480</v>
      </c>
      <c r="D1" t="s">
        <v>481</v>
      </c>
      <c r="E1" t="s">
        <v>482</v>
      </c>
      <c r="F1" t="s">
        <v>483</v>
      </c>
      <c r="G1" t="s">
        <v>484</v>
      </c>
      <c r="H1" t="s">
        <v>485</v>
      </c>
      <c r="I1" t="s">
        <v>486</v>
      </c>
      <c r="J1" t="s">
        <v>487</v>
      </c>
      <c r="K1" t="s">
        <v>488</v>
      </c>
      <c r="L1" t="s">
        <v>489</v>
      </c>
      <c r="M1" t="s">
        <v>490</v>
      </c>
      <c r="N1" t="s">
        <v>491</v>
      </c>
      <c r="O1" t="s">
        <v>546</v>
      </c>
      <c r="P1" t="s">
        <v>499</v>
      </c>
      <c r="Q1" t="s">
        <v>549</v>
      </c>
      <c r="R1" t="s">
        <v>550</v>
      </c>
      <c r="S1" t="s">
        <v>547</v>
      </c>
      <c r="T1" t="s">
        <v>548</v>
      </c>
      <c r="U1" t="s">
        <v>553</v>
      </c>
      <c r="V1" t="s">
        <v>554</v>
      </c>
      <c r="W1" t="s">
        <v>555</v>
      </c>
      <c r="X1" t="s">
        <v>557</v>
      </c>
      <c r="Y1" t="s">
        <v>559</v>
      </c>
      <c r="Z1" t="s">
        <v>560</v>
      </c>
      <c r="AA1" t="s">
        <v>561</v>
      </c>
      <c r="AB1" t="s">
        <v>562</v>
      </c>
    </row>
    <row r="2" spans="1:28">
      <c r="A2" t="s">
        <v>268</v>
      </c>
      <c r="B2" t="s">
        <v>304</v>
      </c>
      <c r="E2">
        <v>1</v>
      </c>
      <c r="F2">
        <v>1</v>
      </c>
      <c r="O2">
        <v>1</v>
      </c>
      <c r="P2" s="127">
        <v>46052</v>
      </c>
      <c r="Q2" s="127">
        <v>46057</v>
      </c>
      <c r="R2" s="127">
        <v>46072</v>
      </c>
      <c r="S2">
        <v>0</v>
      </c>
      <c r="T2">
        <v>1</v>
      </c>
      <c r="U2" s="127">
        <v>46107</v>
      </c>
      <c r="Y2">
        <v>1</v>
      </c>
      <c r="Z2" s="127">
        <v>46122</v>
      </c>
      <c r="AA2" s="127">
        <v>46157</v>
      </c>
    </row>
    <row r="3" spans="1:28">
      <c r="A3" t="s">
        <v>434</v>
      </c>
      <c r="B3" t="s">
        <v>435</v>
      </c>
      <c r="R3" s="127">
        <v>15</v>
      </c>
      <c r="U3" s="127">
        <v>50</v>
      </c>
      <c r="AA3" s="127">
        <v>35</v>
      </c>
    </row>
    <row r="4" spans="1:28">
      <c r="A4" t="s">
        <v>269</v>
      </c>
      <c r="B4" t="s">
        <v>305</v>
      </c>
      <c r="O4">
        <v>1</v>
      </c>
      <c r="P4" s="127">
        <v>46049</v>
      </c>
      <c r="Q4" s="127">
        <v>46054</v>
      </c>
      <c r="R4" s="127">
        <v>46069</v>
      </c>
      <c r="U4" s="127">
        <v>46104</v>
      </c>
      <c r="AA4" s="127">
        <v>35</v>
      </c>
    </row>
    <row r="5" spans="1:28">
      <c r="A5" t="s">
        <v>270</v>
      </c>
      <c r="B5" t="s">
        <v>306</v>
      </c>
      <c r="R5" s="127">
        <v>15</v>
      </c>
      <c r="U5" s="127">
        <v>50</v>
      </c>
      <c r="AA5" s="127">
        <v>35</v>
      </c>
    </row>
    <row r="6" spans="1:28">
      <c r="A6" t="s">
        <v>271</v>
      </c>
      <c r="B6" t="s">
        <v>307</v>
      </c>
      <c r="R6" s="127">
        <v>15</v>
      </c>
      <c r="U6" s="127">
        <v>50</v>
      </c>
      <c r="AA6" s="127">
        <v>35</v>
      </c>
    </row>
    <row r="7" spans="1:28">
      <c r="A7" t="s">
        <v>272</v>
      </c>
      <c r="B7" t="s">
        <v>308</v>
      </c>
      <c r="F7">
        <v>1</v>
      </c>
      <c r="G7">
        <v>1</v>
      </c>
      <c r="O7">
        <v>1</v>
      </c>
      <c r="P7" s="127">
        <v>46049</v>
      </c>
      <c r="Q7" s="127">
        <v>46054</v>
      </c>
      <c r="R7" s="127">
        <v>46069</v>
      </c>
      <c r="S7">
        <v>1</v>
      </c>
      <c r="T7">
        <v>1</v>
      </c>
      <c r="U7" s="127">
        <v>46104</v>
      </c>
      <c r="AA7" s="127">
        <v>35</v>
      </c>
    </row>
    <row r="8" spans="1:28">
      <c r="A8" t="s">
        <v>273</v>
      </c>
      <c r="B8" t="s">
        <v>309</v>
      </c>
      <c r="E8">
        <v>5</v>
      </c>
      <c r="R8" s="127">
        <v>15</v>
      </c>
      <c r="U8" s="127">
        <v>50</v>
      </c>
      <c r="AA8" s="127">
        <v>35</v>
      </c>
    </row>
    <row r="9" spans="1:28">
      <c r="A9" t="s">
        <v>274</v>
      </c>
      <c r="B9" t="s">
        <v>310</v>
      </c>
      <c r="G9">
        <v>5</v>
      </c>
      <c r="R9" s="127">
        <v>15</v>
      </c>
      <c r="U9" s="127">
        <v>50</v>
      </c>
      <c r="AA9" s="127">
        <v>35</v>
      </c>
    </row>
    <row r="10" spans="1:28">
      <c r="A10" t="s">
        <v>275</v>
      </c>
      <c r="B10" t="s">
        <v>312</v>
      </c>
      <c r="R10" s="127">
        <v>15</v>
      </c>
      <c r="U10" s="127">
        <v>50</v>
      </c>
      <c r="AA10" s="127">
        <v>35</v>
      </c>
    </row>
    <row r="11" spans="1:28">
      <c r="A11" t="s">
        <v>276</v>
      </c>
      <c r="B11" t="s">
        <v>313</v>
      </c>
      <c r="R11" s="127">
        <v>15</v>
      </c>
      <c r="U11" s="127">
        <v>50</v>
      </c>
      <c r="AA11" s="127">
        <v>35</v>
      </c>
    </row>
    <row r="12" spans="1:28">
      <c r="A12" t="s">
        <v>277</v>
      </c>
      <c r="B12" t="s">
        <v>314</v>
      </c>
      <c r="R12" s="127">
        <v>15</v>
      </c>
      <c r="U12" s="127">
        <v>50</v>
      </c>
      <c r="AA12" s="127">
        <v>35</v>
      </c>
    </row>
    <row r="13" spans="1:28">
      <c r="A13" t="s">
        <v>278</v>
      </c>
      <c r="B13" t="s">
        <v>315</v>
      </c>
      <c r="G13">
        <v>5</v>
      </c>
      <c r="R13" s="127">
        <v>15</v>
      </c>
      <c r="U13" s="127">
        <v>50</v>
      </c>
      <c r="AA13" s="127">
        <v>35</v>
      </c>
    </row>
    <row r="14" spans="1:28">
      <c r="A14" t="s">
        <v>279</v>
      </c>
      <c r="B14" t="s">
        <v>316</v>
      </c>
      <c r="R14" s="127">
        <v>15</v>
      </c>
      <c r="U14" s="127">
        <v>50</v>
      </c>
      <c r="AA14" s="127">
        <v>35</v>
      </c>
    </row>
    <row r="15" spans="1:28">
      <c r="A15" t="s">
        <v>280</v>
      </c>
      <c r="B15" t="s">
        <v>317</v>
      </c>
      <c r="D15">
        <v>5</v>
      </c>
      <c r="R15" s="127">
        <v>15</v>
      </c>
      <c r="U15" s="127">
        <v>50</v>
      </c>
      <c r="AA15" s="127">
        <v>35</v>
      </c>
    </row>
    <row r="16" spans="1:28">
      <c r="A16" t="s">
        <v>281</v>
      </c>
      <c r="B16" t="s">
        <v>265</v>
      </c>
      <c r="R16" s="127">
        <v>15</v>
      </c>
      <c r="U16" s="127">
        <v>50</v>
      </c>
      <c r="AA16" s="127">
        <v>35</v>
      </c>
    </row>
    <row r="17" spans="1:27">
      <c r="A17" t="s">
        <v>282</v>
      </c>
      <c r="B17" t="s">
        <v>318</v>
      </c>
      <c r="O17">
        <v>1</v>
      </c>
      <c r="P17" s="127">
        <v>46049</v>
      </c>
      <c r="Q17" s="127">
        <v>46054</v>
      </c>
      <c r="R17" s="127">
        <v>46069</v>
      </c>
      <c r="S17">
        <v>1</v>
      </c>
      <c r="T17">
        <v>1</v>
      </c>
      <c r="U17" s="127">
        <v>46104</v>
      </c>
      <c r="AA17" s="127">
        <v>35</v>
      </c>
    </row>
    <row r="18" spans="1:27">
      <c r="A18" t="s">
        <v>283</v>
      </c>
      <c r="B18" t="s">
        <v>266</v>
      </c>
      <c r="R18" s="127">
        <v>15</v>
      </c>
      <c r="U18" s="127">
        <v>50</v>
      </c>
      <c r="AA18" s="127">
        <v>35</v>
      </c>
    </row>
    <row r="19" spans="1:27">
      <c r="A19" t="s">
        <v>284</v>
      </c>
      <c r="B19" t="s">
        <v>319</v>
      </c>
      <c r="R19" s="127">
        <v>15</v>
      </c>
      <c r="U19" s="127">
        <v>50</v>
      </c>
      <c r="AA19" s="127">
        <v>35</v>
      </c>
    </row>
    <row r="20" spans="1:27">
      <c r="A20" t="s">
        <v>285</v>
      </c>
      <c r="B20" t="s">
        <v>320</v>
      </c>
      <c r="O20">
        <v>1</v>
      </c>
      <c r="P20" s="127">
        <v>46049</v>
      </c>
      <c r="Q20" s="127">
        <v>46054</v>
      </c>
      <c r="R20" s="127">
        <v>46069</v>
      </c>
      <c r="U20" s="127">
        <v>46104</v>
      </c>
      <c r="AA20" s="127">
        <v>35</v>
      </c>
    </row>
    <row r="21" spans="1:27">
      <c r="A21" t="s">
        <v>286</v>
      </c>
      <c r="B21" t="s">
        <v>321</v>
      </c>
      <c r="R21" s="127">
        <v>15</v>
      </c>
      <c r="U21" s="127">
        <v>50</v>
      </c>
      <c r="AA21" s="127">
        <v>35</v>
      </c>
    </row>
    <row r="22" spans="1:27">
      <c r="A22" t="s">
        <v>287</v>
      </c>
      <c r="B22" t="s">
        <v>322</v>
      </c>
      <c r="O22">
        <v>1</v>
      </c>
      <c r="P22" s="127">
        <v>46049</v>
      </c>
      <c r="Q22" s="127">
        <v>46054</v>
      </c>
      <c r="R22" s="127">
        <v>46069</v>
      </c>
      <c r="U22" s="127">
        <v>46104</v>
      </c>
      <c r="AA22" s="127">
        <v>35</v>
      </c>
    </row>
    <row r="23" spans="1:27">
      <c r="A23" t="s">
        <v>288</v>
      </c>
      <c r="B23" t="s">
        <v>323</v>
      </c>
      <c r="O23">
        <v>1</v>
      </c>
      <c r="P23" s="127">
        <v>46049</v>
      </c>
      <c r="Q23" s="127">
        <v>46054</v>
      </c>
      <c r="R23" s="127">
        <v>46069</v>
      </c>
      <c r="U23" s="127">
        <v>46104</v>
      </c>
      <c r="AA23" s="127">
        <v>35</v>
      </c>
    </row>
    <row r="24" spans="1:27">
      <c r="A24" t="s">
        <v>289</v>
      </c>
      <c r="B24" t="s">
        <v>324</v>
      </c>
      <c r="R24" s="127">
        <v>15</v>
      </c>
      <c r="U24" s="127">
        <v>50</v>
      </c>
      <c r="AA24" s="127">
        <v>35</v>
      </c>
    </row>
    <row r="25" spans="1:27">
      <c r="A25" t="s">
        <v>290</v>
      </c>
      <c r="B25" t="s">
        <v>325</v>
      </c>
      <c r="R25" s="127">
        <v>15</v>
      </c>
      <c r="U25" s="127">
        <v>50</v>
      </c>
      <c r="AA25" s="127">
        <v>35</v>
      </c>
    </row>
    <row r="26" spans="1:27">
      <c r="A26" t="s">
        <v>291</v>
      </c>
      <c r="B26" t="s">
        <v>326</v>
      </c>
      <c r="R26" s="127">
        <v>15</v>
      </c>
      <c r="U26" s="127">
        <v>50</v>
      </c>
      <c r="AA26" s="127">
        <v>35</v>
      </c>
    </row>
    <row r="27" spans="1:27">
      <c r="A27" t="s">
        <v>292</v>
      </c>
      <c r="B27" t="s">
        <v>311</v>
      </c>
      <c r="R27" s="127">
        <v>15</v>
      </c>
      <c r="U27" s="127">
        <v>50</v>
      </c>
      <c r="AA27" s="127">
        <v>35</v>
      </c>
    </row>
    <row r="28" spans="1:27">
      <c r="A28" t="s">
        <v>293</v>
      </c>
      <c r="B28" t="s">
        <v>327</v>
      </c>
      <c r="R28" s="127">
        <v>15</v>
      </c>
      <c r="U28" s="127">
        <v>50</v>
      </c>
      <c r="AA28" s="127">
        <v>35</v>
      </c>
    </row>
    <row r="29" spans="1:27">
      <c r="A29" t="s">
        <v>294</v>
      </c>
      <c r="B29" t="s">
        <v>328</v>
      </c>
      <c r="R29" s="127">
        <v>15</v>
      </c>
      <c r="U29" s="127">
        <v>50</v>
      </c>
      <c r="AA29" s="127">
        <v>35</v>
      </c>
    </row>
    <row r="30" spans="1:27">
      <c r="A30" t="s">
        <v>295</v>
      </c>
      <c r="B30" t="s">
        <v>329</v>
      </c>
      <c r="R30" s="127">
        <v>15</v>
      </c>
      <c r="U30" s="127">
        <v>50</v>
      </c>
      <c r="AA30" s="127">
        <v>35</v>
      </c>
    </row>
    <row r="31" spans="1:27">
      <c r="A31" t="s">
        <v>296</v>
      </c>
      <c r="B31" t="s">
        <v>331</v>
      </c>
      <c r="O31">
        <v>1</v>
      </c>
      <c r="P31" s="127">
        <v>46049</v>
      </c>
      <c r="Q31" s="127">
        <v>46054</v>
      </c>
      <c r="R31" s="127">
        <v>46069</v>
      </c>
      <c r="S31">
        <v>1</v>
      </c>
      <c r="T31">
        <v>1</v>
      </c>
      <c r="U31" s="127">
        <v>46104</v>
      </c>
      <c r="AA31" s="127">
        <v>35</v>
      </c>
    </row>
    <row r="32" spans="1:27">
      <c r="A32" t="s">
        <v>297</v>
      </c>
      <c r="B32" t="s">
        <v>332</v>
      </c>
      <c r="R32" s="127">
        <v>15</v>
      </c>
      <c r="U32" s="127">
        <v>50</v>
      </c>
      <c r="AA32" s="127">
        <v>35</v>
      </c>
    </row>
    <row r="33" spans="1:27">
      <c r="A33" t="s">
        <v>298</v>
      </c>
      <c r="B33" t="s">
        <v>317</v>
      </c>
      <c r="R33" s="127">
        <v>15</v>
      </c>
      <c r="U33" s="127">
        <v>50</v>
      </c>
      <c r="AA33" s="127">
        <v>35</v>
      </c>
    </row>
    <row r="34" spans="1:27">
      <c r="A34" t="s">
        <v>299</v>
      </c>
      <c r="B34" t="s">
        <v>333</v>
      </c>
      <c r="R34" s="127">
        <v>15</v>
      </c>
      <c r="U34" s="127">
        <v>50</v>
      </c>
      <c r="AA34" s="127">
        <v>35</v>
      </c>
    </row>
    <row r="35" spans="1:27">
      <c r="A35" t="s">
        <v>300</v>
      </c>
      <c r="B35" t="s">
        <v>334</v>
      </c>
      <c r="R35" s="127">
        <v>15</v>
      </c>
      <c r="U35" s="127">
        <v>50</v>
      </c>
      <c r="AA35" s="127">
        <v>35</v>
      </c>
    </row>
    <row r="36" spans="1:27">
      <c r="A36" t="s">
        <v>301</v>
      </c>
      <c r="B36" t="s">
        <v>335</v>
      </c>
      <c r="R36" s="127">
        <v>15</v>
      </c>
      <c r="U36" s="127">
        <v>50</v>
      </c>
      <c r="AA36" s="127">
        <v>35</v>
      </c>
    </row>
    <row r="37" spans="1:27">
      <c r="A37" t="s">
        <v>302</v>
      </c>
      <c r="B37" t="s">
        <v>336</v>
      </c>
      <c r="R37" s="127">
        <v>15</v>
      </c>
      <c r="U37" s="127">
        <v>50</v>
      </c>
      <c r="AA37" s="127">
        <v>35</v>
      </c>
    </row>
    <row r="38" spans="1:27">
      <c r="A38" t="s">
        <v>303</v>
      </c>
      <c r="B38" t="s">
        <v>337</v>
      </c>
      <c r="R38" s="127">
        <v>15</v>
      </c>
      <c r="U38" s="127">
        <v>50</v>
      </c>
      <c r="AA38" s="127">
        <v>35</v>
      </c>
    </row>
    <row r="39" spans="1:27">
      <c r="A39" t="s">
        <v>267</v>
      </c>
      <c r="B39" t="s">
        <v>338</v>
      </c>
      <c r="R39" s="127">
        <v>15</v>
      </c>
      <c r="U39" s="127">
        <v>50</v>
      </c>
      <c r="AA39" s="127">
        <v>35</v>
      </c>
    </row>
    <row r="40" spans="1:27">
      <c r="A40" t="s">
        <v>340</v>
      </c>
      <c r="B40" t="s">
        <v>348</v>
      </c>
      <c r="R40" s="127">
        <v>15</v>
      </c>
      <c r="U40" s="127">
        <v>50</v>
      </c>
      <c r="AA40" s="127">
        <v>35</v>
      </c>
    </row>
    <row r="41" spans="1:27">
      <c r="A41" t="s">
        <v>341</v>
      </c>
      <c r="B41" t="s">
        <v>349</v>
      </c>
      <c r="R41" s="127">
        <v>15</v>
      </c>
      <c r="U41" s="127">
        <v>50</v>
      </c>
      <c r="AA41" s="127">
        <v>35</v>
      </c>
    </row>
    <row r="42" spans="1:27">
      <c r="A42" t="s">
        <v>342</v>
      </c>
      <c r="B42" t="s">
        <v>350</v>
      </c>
      <c r="R42" s="127">
        <v>15</v>
      </c>
      <c r="U42" s="127">
        <v>50</v>
      </c>
      <c r="AA42" s="127">
        <v>35</v>
      </c>
    </row>
    <row r="43" spans="1:27">
      <c r="A43" t="s">
        <v>343</v>
      </c>
      <c r="B43" t="s">
        <v>351</v>
      </c>
      <c r="R43" s="127">
        <v>15</v>
      </c>
      <c r="U43" s="127">
        <v>50</v>
      </c>
      <c r="AA43" s="127">
        <v>35</v>
      </c>
    </row>
    <row r="44" spans="1:27">
      <c r="A44" t="s">
        <v>344</v>
      </c>
      <c r="B44" t="s">
        <v>352</v>
      </c>
      <c r="R44" s="127">
        <v>15</v>
      </c>
      <c r="U44" s="127">
        <v>50</v>
      </c>
      <c r="AA44" s="127">
        <v>35</v>
      </c>
    </row>
    <row r="45" spans="1:27">
      <c r="A45" t="s">
        <v>606</v>
      </c>
      <c r="B45" t="s">
        <v>353</v>
      </c>
      <c r="O45">
        <v>1</v>
      </c>
      <c r="P45" s="127">
        <v>46071</v>
      </c>
      <c r="R45" s="127">
        <v>15</v>
      </c>
      <c r="U45" s="127">
        <v>50</v>
      </c>
      <c r="AA45" s="127">
        <v>35</v>
      </c>
    </row>
    <row r="46" spans="1:27">
      <c r="A46" t="s">
        <v>345</v>
      </c>
      <c r="B46" t="s">
        <v>354</v>
      </c>
      <c r="R46" s="127">
        <v>15</v>
      </c>
      <c r="U46" s="127">
        <v>50</v>
      </c>
      <c r="AA46" s="127">
        <v>35</v>
      </c>
    </row>
    <row r="47" spans="1:27">
      <c r="A47" t="s">
        <v>346</v>
      </c>
      <c r="B47" t="s">
        <v>355</v>
      </c>
      <c r="O47">
        <v>1</v>
      </c>
      <c r="P47" s="127">
        <v>46049</v>
      </c>
      <c r="Q47" s="127">
        <v>46054</v>
      </c>
      <c r="R47" s="127">
        <v>46069</v>
      </c>
      <c r="S47">
        <v>1</v>
      </c>
      <c r="T47">
        <v>1</v>
      </c>
      <c r="U47" s="127">
        <v>46104</v>
      </c>
      <c r="AA47" s="127">
        <v>35</v>
      </c>
    </row>
    <row r="48" spans="1:27">
      <c r="A48" t="s">
        <v>347</v>
      </c>
      <c r="B48" t="s">
        <v>356</v>
      </c>
      <c r="R48" s="127">
        <v>15</v>
      </c>
      <c r="U48" s="127">
        <v>50</v>
      </c>
      <c r="AA48" s="127">
        <v>35</v>
      </c>
    </row>
    <row r="49" spans="1:27">
      <c r="A49" t="s">
        <v>357</v>
      </c>
      <c r="B49" t="s">
        <v>358</v>
      </c>
      <c r="R49" s="127">
        <v>15</v>
      </c>
      <c r="U49" s="127">
        <v>50</v>
      </c>
      <c r="AA49" s="127">
        <v>35</v>
      </c>
    </row>
    <row r="50" spans="1:27">
      <c r="A50" t="s">
        <v>362</v>
      </c>
      <c r="B50" t="s">
        <v>367</v>
      </c>
      <c r="R50" s="127">
        <v>15</v>
      </c>
      <c r="U50" s="127">
        <v>50</v>
      </c>
      <c r="AA50" s="127">
        <v>35</v>
      </c>
    </row>
    <row r="51" spans="1:27">
      <c r="A51" t="s">
        <v>363</v>
      </c>
      <c r="B51" t="s">
        <v>364</v>
      </c>
      <c r="O51">
        <v>1</v>
      </c>
      <c r="P51" s="127">
        <v>46049</v>
      </c>
      <c r="Q51" s="127">
        <v>46054</v>
      </c>
      <c r="R51" s="127">
        <v>46069</v>
      </c>
      <c r="U51" s="127">
        <v>46104</v>
      </c>
      <c r="AA51" s="127">
        <v>35</v>
      </c>
    </row>
    <row r="52" spans="1:27">
      <c r="A52" t="s">
        <v>359</v>
      </c>
      <c r="B52" t="s">
        <v>360</v>
      </c>
      <c r="R52" s="127">
        <v>15</v>
      </c>
      <c r="U52" s="127">
        <v>50</v>
      </c>
      <c r="AA52" s="127">
        <v>35</v>
      </c>
    </row>
    <row r="53" spans="1:27">
      <c r="A53" t="s">
        <v>365</v>
      </c>
      <c r="B53" t="s">
        <v>366</v>
      </c>
      <c r="R53" s="127">
        <v>15</v>
      </c>
      <c r="U53" s="127">
        <v>50</v>
      </c>
      <c r="AA53" s="127">
        <v>35</v>
      </c>
    </row>
    <row r="54" spans="1:27">
      <c r="A54" t="s">
        <v>368</v>
      </c>
      <c r="B54" t="s">
        <v>369</v>
      </c>
      <c r="R54" s="127">
        <v>15</v>
      </c>
      <c r="U54" s="127">
        <v>50</v>
      </c>
      <c r="AA54" s="127">
        <v>35</v>
      </c>
    </row>
    <row r="55" spans="1:27">
      <c r="A55" t="s">
        <v>431</v>
      </c>
      <c r="B55" t="s">
        <v>432</v>
      </c>
      <c r="R55" s="127">
        <v>15</v>
      </c>
      <c r="U55" s="127">
        <v>50</v>
      </c>
      <c r="AA55" s="127">
        <v>35</v>
      </c>
    </row>
    <row r="56" spans="1:27">
      <c r="A56" t="s">
        <v>370</v>
      </c>
      <c r="B56" t="s">
        <v>371</v>
      </c>
      <c r="R56" s="127">
        <v>15</v>
      </c>
      <c r="U56" s="127">
        <v>50</v>
      </c>
      <c r="AA56" s="127">
        <v>35</v>
      </c>
    </row>
    <row r="57" spans="1:27">
      <c r="A57" t="s">
        <v>372</v>
      </c>
      <c r="B57" t="s">
        <v>373</v>
      </c>
      <c r="R57" s="127">
        <v>15</v>
      </c>
      <c r="U57" s="127">
        <v>50</v>
      </c>
      <c r="AA57" s="127">
        <v>35</v>
      </c>
    </row>
    <row r="58" spans="1:27">
      <c r="A58" t="s">
        <v>374</v>
      </c>
      <c r="B58" t="s">
        <v>375</v>
      </c>
      <c r="R58" s="127">
        <v>15</v>
      </c>
      <c r="U58" s="127">
        <v>50</v>
      </c>
      <c r="AA58" s="127">
        <v>35</v>
      </c>
    </row>
    <row r="59" spans="1:27">
      <c r="A59" t="s">
        <v>376</v>
      </c>
      <c r="B59" t="s">
        <v>375</v>
      </c>
      <c r="R59" s="127">
        <v>15</v>
      </c>
      <c r="U59" s="127">
        <v>50</v>
      </c>
      <c r="AA59" s="127">
        <v>35</v>
      </c>
    </row>
    <row r="60" spans="1:27">
      <c r="A60" t="s">
        <v>377</v>
      </c>
      <c r="B60" t="s">
        <v>378</v>
      </c>
      <c r="R60" s="127">
        <v>15</v>
      </c>
      <c r="U60" s="127">
        <v>50</v>
      </c>
      <c r="AA60" s="127">
        <v>35</v>
      </c>
    </row>
    <row r="61" spans="1:27">
      <c r="A61" t="s">
        <v>382</v>
      </c>
      <c r="B61" t="s">
        <v>383</v>
      </c>
      <c r="R61" s="127">
        <v>15</v>
      </c>
      <c r="U61" s="127">
        <v>50</v>
      </c>
      <c r="AA61" s="127">
        <v>35</v>
      </c>
    </row>
    <row r="62" spans="1:27">
      <c r="A62" t="s">
        <v>384</v>
      </c>
      <c r="B62" t="s">
        <v>385</v>
      </c>
      <c r="O62">
        <v>1</v>
      </c>
      <c r="P62" s="127">
        <v>46049</v>
      </c>
      <c r="Q62" s="127">
        <v>46054</v>
      </c>
      <c r="R62" s="127">
        <v>46069</v>
      </c>
      <c r="U62" s="127">
        <v>46104</v>
      </c>
      <c r="AA62" s="127">
        <v>35</v>
      </c>
    </row>
    <row r="63" spans="1:27">
      <c r="A63" t="s">
        <v>386</v>
      </c>
      <c r="B63" t="s">
        <v>387</v>
      </c>
      <c r="R63" s="127">
        <v>15</v>
      </c>
      <c r="U63" s="127">
        <v>50</v>
      </c>
      <c r="AA63" s="127">
        <v>35</v>
      </c>
    </row>
    <row r="64" spans="1:27">
      <c r="A64" t="s">
        <v>388</v>
      </c>
      <c r="B64" t="s">
        <v>389</v>
      </c>
      <c r="R64" s="127">
        <v>15</v>
      </c>
      <c r="U64" s="127">
        <v>50</v>
      </c>
      <c r="AA64" s="127">
        <v>35</v>
      </c>
    </row>
    <row r="65" spans="1:27">
      <c r="A65" t="s">
        <v>390</v>
      </c>
      <c r="B65" t="s">
        <v>391</v>
      </c>
      <c r="R65" s="127">
        <v>15</v>
      </c>
      <c r="U65" s="127">
        <v>50</v>
      </c>
      <c r="AA65" s="127">
        <v>35</v>
      </c>
    </row>
    <row r="66" spans="1:27">
      <c r="A66" t="s">
        <v>392</v>
      </c>
      <c r="B66" t="s">
        <v>393</v>
      </c>
      <c r="R66" s="127">
        <v>15</v>
      </c>
      <c r="U66" s="127">
        <v>50</v>
      </c>
      <c r="AA66" s="127">
        <v>35</v>
      </c>
    </row>
    <row r="67" spans="1:27">
      <c r="A67" t="s">
        <v>394</v>
      </c>
      <c r="B67" t="s">
        <v>395</v>
      </c>
      <c r="R67" s="127">
        <v>15</v>
      </c>
      <c r="U67" s="127">
        <v>50</v>
      </c>
      <c r="AA67" s="127">
        <v>35</v>
      </c>
    </row>
    <row r="68" spans="1:27">
      <c r="A68" t="s">
        <v>396</v>
      </c>
      <c r="B68" t="s">
        <v>397</v>
      </c>
      <c r="R68" s="127">
        <v>15</v>
      </c>
      <c r="U68" s="127">
        <v>50</v>
      </c>
      <c r="AA68" s="127">
        <v>35</v>
      </c>
    </row>
    <row r="69" spans="1:27">
      <c r="A69" t="s">
        <v>430</v>
      </c>
      <c r="B69" t="s">
        <v>398</v>
      </c>
      <c r="R69" s="127">
        <v>15</v>
      </c>
      <c r="U69" s="127">
        <v>50</v>
      </c>
      <c r="AA69" s="127">
        <v>35</v>
      </c>
    </row>
    <row r="70" spans="1:27">
      <c r="A70" t="s">
        <v>399</v>
      </c>
      <c r="B70" t="s">
        <v>400</v>
      </c>
      <c r="R70" s="127">
        <v>15</v>
      </c>
      <c r="U70" s="127">
        <v>50</v>
      </c>
      <c r="AA70" s="127">
        <v>35</v>
      </c>
    </row>
    <row r="71" spans="1:27">
      <c r="A71" t="s">
        <v>401</v>
      </c>
      <c r="B71" t="s">
        <v>402</v>
      </c>
      <c r="R71" s="127">
        <v>15</v>
      </c>
      <c r="U71" s="127">
        <v>50</v>
      </c>
      <c r="AA71" s="127">
        <v>35</v>
      </c>
    </row>
    <row r="72" spans="1:27">
      <c r="A72" t="s">
        <v>403</v>
      </c>
      <c r="B72" t="s">
        <v>404</v>
      </c>
      <c r="R72" s="127">
        <v>15</v>
      </c>
      <c r="U72" s="127">
        <v>50</v>
      </c>
      <c r="AA72" s="127">
        <v>35</v>
      </c>
    </row>
    <row r="73" spans="1:27">
      <c r="A73" t="s">
        <v>405</v>
      </c>
      <c r="B73" t="s">
        <v>406</v>
      </c>
      <c r="R73" s="127">
        <v>15</v>
      </c>
      <c r="U73" s="127">
        <v>50</v>
      </c>
      <c r="AA73" s="127">
        <v>35</v>
      </c>
    </row>
    <row r="74" spans="1:27">
      <c r="A74" t="s">
        <v>409</v>
      </c>
      <c r="B74" t="s">
        <v>410</v>
      </c>
      <c r="R74" s="127">
        <v>15</v>
      </c>
      <c r="U74" s="127">
        <v>50</v>
      </c>
      <c r="AA74" s="127">
        <v>35</v>
      </c>
    </row>
    <row r="75" spans="1:27">
      <c r="A75" t="s">
        <v>407</v>
      </c>
      <c r="B75" t="s">
        <v>408</v>
      </c>
      <c r="R75" s="127">
        <v>15</v>
      </c>
      <c r="U75" s="127">
        <v>50</v>
      </c>
      <c r="AA75" s="127">
        <v>35</v>
      </c>
    </row>
    <row r="76" spans="1:27">
      <c r="A76" t="s">
        <v>411</v>
      </c>
      <c r="B76" t="s">
        <v>412</v>
      </c>
      <c r="R76" s="127">
        <v>15</v>
      </c>
      <c r="U76" s="127">
        <v>50</v>
      </c>
      <c r="AA76" s="127">
        <v>35</v>
      </c>
    </row>
    <row r="77" spans="1:27">
      <c r="A77" t="s">
        <v>413</v>
      </c>
      <c r="B77" t="s">
        <v>414</v>
      </c>
      <c r="R77" s="127">
        <v>15</v>
      </c>
      <c r="U77" s="127">
        <v>50</v>
      </c>
      <c r="AA77" s="127">
        <v>35</v>
      </c>
    </row>
    <row r="78" spans="1:27">
      <c r="A78" t="s">
        <v>415</v>
      </c>
      <c r="B78" t="s">
        <v>416</v>
      </c>
      <c r="R78" s="127">
        <v>15</v>
      </c>
      <c r="U78" s="127">
        <v>50</v>
      </c>
      <c r="AA78" s="127">
        <v>35</v>
      </c>
    </row>
    <row r="79" spans="1:27">
      <c r="A79" t="s">
        <v>429</v>
      </c>
      <c r="B79" t="s">
        <v>317</v>
      </c>
      <c r="R79" s="127">
        <v>15</v>
      </c>
      <c r="U79" s="127">
        <v>50</v>
      </c>
      <c r="AA79" s="127">
        <v>35</v>
      </c>
    </row>
    <row r="80" spans="1:27">
      <c r="A80" t="s">
        <v>417</v>
      </c>
      <c r="B80" t="s">
        <v>418</v>
      </c>
      <c r="R80" s="127">
        <v>15</v>
      </c>
      <c r="U80" s="127">
        <v>50</v>
      </c>
      <c r="AA80" s="127">
        <v>35</v>
      </c>
    </row>
    <row r="81" spans="1:27">
      <c r="A81" t="s">
        <v>419</v>
      </c>
      <c r="B81" t="s">
        <v>420</v>
      </c>
      <c r="R81" s="127">
        <v>15</v>
      </c>
      <c r="U81" s="127">
        <v>50</v>
      </c>
      <c r="AA81" s="127">
        <v>35</v>
      </c>
    </row>
    <row r="82" spans="1:27">
      <c r="A82" t="s">
        <v>421</v>
      </c>
      <c r="B82" t="s">
        <v>422</v>
      </c>
      <c r="R82" s="127">
        <v>15</v>
      </c>
      <c r="U82" s="127">
        <v>50</v>
      </c>
      <c r="AA82" s="127">
        <v>35</v>
      </c>
    </row>
    <row r="83" spans="1:27">
      <c r="A83" t="s">
        <v>423</v>
      </c>
      <c r="B83" t="s">
        <v>424</v>
      </c>
      <c r="R83" s="127">
        <v>15</v>
      </c>
      <c r="U83" s="127">
        <v>50</v>
      </c>
      <c r="AA83" s="127">
        <v>35</v>
      </c>
    </row>
    <row r="84" spans="1:27">
      <c r="A84" t="s">
        <v>427</v>
      </c>
      <c r="B84" t="s">
        <v>428</v>
      </c>
      <c r="R84" s="127">
        <v>15</v>
      </c>
      <c r="U84" s="127">
        <v>50</v>
      </c>
      <c r="AA84" s="127">
        <v>35</v>
      </c>
    </row>
    <row r="85" spans="1:27">
      <c r="A85" t="s">
        <v>436</v>
      </c>
      <c r="B85" t="s">
        <v>304</v>
      </c>
      <c r="R85" s="127">
        <v>15</v>
      </c>
      <c r="U85" s="127">
        <v>50</v>
      </c>
      <c r="AA85" s="127">
        <v>35</v>
      </c>
    </row>
    <row r="86" spans="1:27">
      <c r="A86" t="s">
        <v>437</v>
      </c>
      <c r="B86" t="s">
        <v>438</v>
      </c>
      <c r="R86" s="127">
        <v>15</v>
      </c>
      <c r="U86" s="127">
        <v>50</v>
      </c>
      <c r="AA86" s="127">
        <v>35</v>
      </c>
    </row>
    <row r="87" spans="1:27">
      <c r="A87" t="s">
        <v>439</v>
      </c>
      <c r="B87" t="s">
        <v>440</v>
      </c>
      <c r="R87" s="127">
        <v>15</v>
      </c>
      <c r="U87" s="127">
        <v>50</v>
      </c>
      <c r="AA87" s="127">
        <v>35</v>
      </c>
    </row>
    <row r="88" spans="1:27">
      <c r="A88" t="s">
        <v>441</v>
      </c>
      <c r="B88" t="s">
        <v>442</v>
      </c>
      <c r="R88" s="127">
        <v>15</v>
      </c>
      <c r="U88" s="127">
        <v>50</v>
      </c>
      <c r="AA88" s="127">
        <v>35</v>
      </c>
    </row>
    <row r="89" spans="1:27">
      <c r="A89" t="s">
        <v>443</v>
      </c>
      <c r="B89" t="s">
        <v>444</v>
      </c>
      <c r="R89" s="127">
        <v>15</v>
      </c>
      <c r="U89" s="127">
        <v>50</v>
      </c>
      <c r="AA89" s="127">
        <v>35</v>
      </c>
    </row>
    <row r="90" spans="1:27">
      <c r="A90" t="s">
        <v>445</v>
      </c>
      <c r="B90" t="s">
        <v>446</v>
      </c>
      <c r="R90" s="127">
        <v>15</v>
      </c>
      <c r="U90" s="127">
        <v>50</v>
      </c>
      <c r="AA90" s="127">
        <v>35</v>
      </c>
    </row>
    <row r="91" spans="1:27">
      <c r="A91" t="s">
        <v>447</v>
      </c>
      <c r="B91" t="s">
        <v>448</v>
      </c>
      <c r="R91" s="127">
        <v>15</v>
      </c>
      <c r="U91" s="127">
        <v>50</v>
      </c>
      <c r="AA91" s="127">
        <v>35</v>
      </c>
    </row>
    <row r="92" spans="1:27">
      <c r="A92" t="s">
        <v>449</v>
      </c>
      <c r="B92" t="s">
        <v>450</v>
      </c>
      <c r="R92" s="127">
        <v>15</v>
      </c>
      <c r="U92" s="127">
        <v>50</v>
      </c>
      <c r="AA92" s="127">
        <v>35</v>
      </c>
    </row>
    <row r="93" spans="1:27">
      <c r="A93" t="s">
        <v>451</v>
      </c>
      <c r="B93" t="s">
        <v>452</v>
      </c>
      <c r="R93" s="127">
        <v>15</v>
      </c>
      <c r="U93" s="127">
        <v>50</v>
      </c>
      <c r="AA93" s="127">
        <v>35</v>
      </c>
    </row>
    <row r="94" spans="1:27">
      <c r="A94" t="s">
        <v>453</v>
      </c>
      <c r="B94" t="s">
        <v>454</v>
      </c>
      <c r="R94" s="127">
        <v>15</v>
      </c>
      <c r="U94" s="127">
        <v>50</v>
      </c>
      <c r="AA94" s="127">
        <v>35</v>
      </c>
    </row>
    <row r="95" spans="1:27">
      <c r="A95" t="s">
        <v>455</v>
      </c>
      <c r="B95" t="s">
        <v>456</v>
      </c>
      <c r="R95" s="127">
        <v>15</v>
      </c>
      <c r="U95" s="127">
        <v>50</v>
      </c>
      <c r="AA95" s="127">
        <v>35</v>
      </c>
    </row>
    <row r="96" spans="1:27">
      <c r="A96" t="s">
        <v>457</v>
      </c>
      <c r="B96" t="s">
        <v>458</v>
      </c>
      <c r="R96" s="127">
        <v>15</v>
      </c>
      <c r="U96" s="127">
        <v>50</v>
      </c>
      <c r="AA96" s="127">
        <v>35</v>
      </c>
    </row>
    <row r="97" spans="1:27">
      <c r="A97" t="s">
        <v>459</v>
      </c>
      <c r="B97" t="s">
        <v>460</v>
      </c>
      <c r="R97" s="127">
        <v>15</v>
      </c>
      <c r="U97" s="127">
        <v>50</v>
      </c>
      <c r="AA97" s="127">
        <v>35</v>
      </c>
    </row>
    <row r="98" spans="1:27">
      <c r="A98" t="s">
        <v>461</v>
      </c>
      <c r="B98" t="s">
        <v>462</v>
      </c>
      <c r="R98" s="127">
        <v>15</v>
      </c>
      <c r="U98" s="127">
        <v>50</v>
      </c>
      <c r="AA98" s="127">
        <v>35</v>
      </c>
    </row>
    <row r="99" spans="1:27">
      <c r="A99" t="s">
        <v>463</v>
      </c>
      <c r="B99" t="s">
        <v>464</v>
      </c>
      <c r="R99" s="127">
        <v>15</v>
      </c>
      <c r="U99" s="127">
        <v>50</v>
      </c>
      <c r="AA99" s="127">
        <v>35</v>
      </c>
    </row>
    <row r="100" spans="1:27">
      <c r="A100" t="s">
        <v>465</v>
      </c>
      <c r="B100" t="s">
        <v>466</v>
      </c>
      <c r="R100" s="127">
        <v>15</v>
      </c>
      <c r="U100" s="127">
        <v>50</v>
      </c>
      <c r="AA100" s="127">
        <v>35</v>
      </c>
    </row>
    <row r="101" spans="1:27">
      <c r="A101" t="s">
        <v>425</v>
      </c>
      <c r="B101" t="s">
        <v>426</v>
      </c>
      <c r="R101" s="127">
        <v>15</v>
      </c>
      <c r="U101" s="127">
        <v>50</v>
      </c>
      <c r="AA101" s="127">
        <v>35</v>
      </c>
    </row>
    <row r="102" spans="1:27">
      <c r="A102" t="s">
        <v>468</v>
      </c>
      <c r="B102" t="s">
        <v>469</v>
      </c>
      <c r="R102" s="127">
        <v>15</v>
      </c>
      <c r="U102" s="127">
        <v>50</v>
      </c>
      <c r="AA102" s="127">
        <v>35</v>
      </c>
    </row>
    <row r="103" spans="1:27">
      <c r="A103" t="s">
        <v>285</v>
      </c>
      <c r="B103" t="s">
        <v>467</v>
      </c>
      <c r="O103">
        <v>1</v>
      </c>
      <c r="R103" s="127">
        <v>15</v>
      </c>
      <c r="U103" s="127">
        <v>50</v>
      </c>
      <c r="AA103" s="127">
        <v>35</v>
      </c>
    </row>
    <row r="104" spans="1:27">
      <c r="A104" t="s">
        <v>500</v>
      </c>
      <c r="B104" t="s">
        <v>330</v>
      </c>
      <c r="R104" s="127">
        <v>15</v>
      </c>
      <c r="U104" s="127">
        <v>50</v>
      </c>
      <c r="AA104" s="127">
        <v>35</v>
      </c>
    </row>
    <row r="105" spans="1:27">
      <c r="A105" t="s">
        <v>502</v>
      </c>
      <c r="B105" t="s">
        <v>503</v>
      </c>
      <c r="R105" s="127">
        <v>15</v>
      </c>
      <c r="U105" s="127">
        <v>50</v>
      </c>
      <c r="AA105" s="127">
        <v>35</v>
      </c>
    </row>
    <row r="106" spans="1:27">
      <c r="A106" t="s">
        <v>505</v>
      </c>
      <c r="B106" t="s">
        <v>506</v>
      </c>
      <c r="R106" s="127">
        <v>15</v>
      </c>
      <c r="U106" s="127">
        <v>50</v>
      </c>
      <c r="AA106" s="127">
        <v>35</v>
      </c>
    </row>
    <row r="107" spans="1:27">
      <c r="A107" t="s">
        <v>507</v>
      </c>
      <c r="B107" t="s">
        <v>508</v>
      </c>
      <c r="R107" s="127">
        <v>15</v>
      </c>
      <c r="U107" s="127">
        <v>50</v>
      </c>
      <c r="AA107" s="127">
        <v>35</v>
      </c>
    </row>
    <row r="108" spans="1:27">
      <c r="A108" t="s">
        <v>509</v>
      </c>
      <c r="B108" t="s">
        <v>511</v>
      </c>
      <c r="R108" s="127">
        <v>15</v>
      </c>
      <c r="U108" s="127">
        <v>50</v>
      </c>
      <c r="AA108" s="127">
        <v>35</v>
      </c>
    </row>
    <row r="109" spans="1:27">
      <c r="A109" t="s">
        <v>510</v>
      </c>
      <c r="B109" t="s">
        <v>512</v>
      </c>
      <c r="R109" s="127">
        <v>15</v>
      </c>
      <c r="U109" s="127">
        <v>50</v>
      </c>
      <c r="AA109" s="127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CROIX BLANCHE PG</vt:lpstr>
      <vt:lpstr>BRSA SORTIES</vt:lpstr>
      <vt:lpstr>Sanctions + absence </vt:lpstr>
      <vt:lpstr>bilan de parcours  + démarches</vt:lpstr>
      <vt:lpstr>Tableau croisé NE PAS TOUCHER </vt:lpstr>
      <vt:lpstr>liste deroulante</vt:lpstr>
      <vt:lpstr>CODIFICATION ACTIVITE</vt:lpstr>
      <vt:lpstr>Feuil1</vt:lpstr>
      <vt:lpstr>'BRSA SORTIES'!Zone_d_impression</vt:lpstr>
      <vt:lpstr>'CROIX BLANCHE PG'!Zone_d_impression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BESSON</dc:creator>
  <cp:lastModifiedBy>Soilie TISSERAND</cp:lastModifiedBy>
  <cp:lastPrinted>2023-12-15T09:13:22Z</cp:lastPrinted>
  <dcterms:created xsi:type="dcterms:W3CDTF">2017-12-13T14:37:52Z</dcterms:created>
  <dcterms:modified xsi:type="dcterms:W3CDTF">2026-09-08T11:29:07Z</dcterms:modified>
</cp:coreProperties>
</file>